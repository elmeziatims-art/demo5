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Données" sheetId="1" state="visible" r:id="rId1"/>
    <sheet name="Données drill" sheetId="2" state="visible" r:id="rId2"/>
    <sheet name="Cockpit" sheetId="3" state="visible" r:id="rId3"/>
    <sheet name="Drill" sheetId="4" state="visible" r:id="rId4"/>
    <sheet name="Drill — Pourquoi" sheetId="5" state="visible" r:id="rId5"/>
    <sheet name="Drill — Par comp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%"/>
    <numFmt numFmtId="165" formatCode="0.0"/>
    <numFmt numFmtId="166" formatCode="#,##0.00,,&quot; M€&quot;"/>
    <numFmt numFmtId="167" formatCode="&quot;▲ &quot;0.0%;&quot;▼ &quot;0.0%"/>
    <numFmt numFmtId="168" formatCode="&quot;↗ +&quot;0.0&quot; pt&quot;;&quot;↘ −&quot;0.0&quot; pt&quot;;&quot;→ &quot;0.0&quot; pt&quot;"/>
    <numFmt numFmtId="169" formatCode="#,##0&quot; €&quot;"/>
    <numFmt numFmtId="170" formatCode="#,##0&quot; places libres&quot;"/>
    <numFmt numFmtId="171" formatCode="0.0%;-0.0%"/>
    <numFmt numFmtId="172" formatCode="0.00&quot; €&quot;"/>
    <numFmt numFmtId="173" formatCode="+#,##0;−#,##0"/>
    <numFmt numFmtId="174" formatCode="&quot;+ &quot;0.0%;&quot;− &quot;0.0%"/>
  </numFmts>
  <fonts count="41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2A78D6"/>
      <sz val="9.5"/>
    </font>
    <font>
      <name val="Segoe UI"/>
      <b val="1"/>
      <color rgb="00FFFFFF"/>
      <sz val="8.5"/>
    </font>
    <font>
      <name val="Segoe UI"/>
      <color rgb="00131922"/>
      <sz val="9.5"/>
    </font>
    <font>
      <name val="Segoe UI"/>
      <b val="1"/>
      <color rgb="00131922"/>
      <sz val="9.5"/>
    </font>
    <font>
      <name val="Segoe UI"/>
      <color rgb="007C8798"/>
      <sz val="9"/>
    </font>
    <font>
      <name val="Segoe UI"/>
      <color rgb="00131922"/>
      <sz val="9"/>
    </font>
    <font>
      <name val="Segoe UI"/>
      <color rgb="007C8798"/>
      <sz val="8"/>
    </font>
    <font>
      <name val="Segoe UI"/>
      <b val="1"/>
      <color rgb="00131922"/>
      <sz val="9"/>
    </font>
    <font>
      <name val="Segoe UI"/>
      <b val="1"/>
      <color rgb="007C8798"/>
      <sz val="8"/>
    </font>
    <font>
      <name val="Segoe UI"/>
      <b val="1"/>
      <color rgb="002A78D6"/>
      <sz val="9"/>
    </font>
    <font>
      <name val="Segoe UI"/>
      <color rgb="004D5866"/>
      <sz val="9"/>
    </font>
    <font>
      <name val="Segoe UI"/>
      <b val="1"/>
      <color rgb="00131922"/>
      <sz val="14"/>
    </font>
    <font>
      <name val="Segoe UI"/>
      <color rgb="007C8798"/>
      <sz val="9.5"/>
    </font>
    <font>
      <name val="Segoe UI"/>
      <b val="1"/>
      <color rgb="007C8798"/>
      <sz val="8.5"/>
    </font>
    <font>
      <name val="Consolas"/>
      <b val="1"/>
      <color rgb="00131922"/>
      <sz val="20"/>
    </font>
    <font>
      <name val="Segoe UI"/>
      <b val="1"/>
      <color rgb="007C8798"/>
      <sz val="9.5"/>
    </font>
    <font>
      <name val="Segoe UI"/>
      <b val="1"/>
      <color rgb="00131922"/>
      <sz val="10.5"/>
    </font>
    <font>
      <name val="Segoe UI"/>
      <color rgb="007C8798"/>
      <sz val="8.5"/>
    </font>
    <font>
      <name val="Segoe UI"/>
      <b val="1"/>
      <color rgb="00131922"/>
      <sz val="10"/>
    </font>
    <font>
      <name val="Consolas"/>
      <b val="1"/>
      <color rgb="00131922"/>
      <sz val="9.5"/>
    </font>
    <font>
      <name val="Segoe UI"/>
      <b val="1"/>
      <color rgb="00EB6834"/>
      <sz val="8"/>
    </font>
    <font>
      <name val="Segoe UI"/>
      <color rgb="004D5866"/>
      <sz val="9.5"/>
    </font>
    <font>
      <name val="Consolas"/>
      <color rgb="004D5866"/>
      <sz val="9.5"/>
    </font>
    <font>
      <name val="Segoe UI"/>
      <b val="1"/>
      <color rgb="00EB6834"/>
      <sz val="9"/>
    </font>
    <font>
      <name val="Segoe UI"/>
      <b val="1"/>
      <color rgb="007C8798"/>
      <sz val="9"/>
    </font>
    <font>
      <name val="Segoe UI"/>
      <b val="1"/>
      <color rgb="002A78D6"/>
      <sz val="10"/>
    </font>
    <font>
      <name val="Segoe UI"/>
      <b val="1"/>
      <color rgb="00131922"/>
      <sz val="11"/>
    </font>
    <font>
      <name val="Consolas"/>
      <b val="1"/>
      <color rgb="00131922"/>
      <sz val="11"/>
    </font>
    <font>
      <name val="Consolas"/>
      <color rgb="00131922"/>
      <sz val="9.5"/>
    </font>
    <font>
      <name val="Segoe UI"/>
      <color rgb="007C8798"/>
      <sz val="7"/>
    </font>
    <font>
      <name val="Segoe UI"/>
      <b val="1"/>
      <color rgb="00FFFFFF"/>
      <sz val="13"/>
    </font>
    <font>
      <name val="Segoe UI"/>
      <color rgb="00D6E6F8"/>
      <sz val="9"/>
    </font>
    <font>
      <name val="Consolas"/>
      <b val="1"/>
      <color rgb="002A78D6"/>
      <sz val="10"/>
    </font>
    <font>
      <name val="Consolas"/>
      <color rgb="004D5866"/>
      <sz val="9"/>
    </font>
    <font>
      <name val="Consolas"/>
      <b val="1"/>
      <color rgb="00131922"/>
      <sz val="10"/>
    </font>
    <font>
      <name val="Consolas"/>
      <color rgb="007C8798"/>
      <sz val="9"/>
    </font>
    <font>
      <name val="Segoe UI"/>
      <color rgb="00131922"/>
      <sz val="10"/>
    </font>
    <font>
      <name val="Consolas"/>
      <b val="1"/>
      <color rgb="000CA30C"/>
      <sz val="10"/>
    </font>
    <font>
      <name val="Segoe UI"/>
      <b val="1"/>
      <color rgb="000CA30C"/>
      <sz val="9"/>
    </font>
  </fonts>
  <fills count="8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4D5866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DCE9F9"/>
      </patternFill>
    </fill>
    <fill>
      <patternFill patternType="solid">
        <fgColor rgb="00F7F9FC"/>
      </patternFill>
    </fill>
  </fills>
  <borders count="40">
    <border>
      <left/>
      <right/>
      <top/>
      <bottom/>
      <diagonal/>
    </border>
    <border>
      <left style="thin">
        <color rgb="004D5866"/>
      </left>
      <right style="thin">
        <color rgb="004D5866"/>
      </right>
      <top style="thin">
        <color rgb="004D5866"/>
      </top>
      <bottom style="thin">
        <color rgb="004D5866"/>
      </bottom>
    </border>
    <border>
      <bottom style="thin">
        <color rgb="00EAEEF4"/>
      </bottom>
    </border>
    <border>
      <top style="thin">
        <color rgb="007C8798"/>
      </top>
    </border>
    <border>
      <bottom style="thin">
        <color rgb="00DFE4EC"/>
      </bottom>
    </border>
    <border>
      <left style="thin">
        <color rgb="00DFE4EC"/>
      </left>
      <top style="thin">
        <color rgb="00DFE4EC"/>
      </top>
    </border>
    <border>
      <top style="thin">
        <color rgb="00DFE4EC"/>
      </top>
    </border>
    <border>
      <right style="thin">
        <color rgb="00DFE4EC"/>
      </right>
      <top style="thin">
        <color rgb="00DFE4EC"/>
      </top>
    </border>
    <border>
      <left style="thin">
        <color rgb="00DFE4EC"/>
      </left>
      <bottom style="thin">
        <color rgb="00DFE4EC"/>
      </bottom>
    </border>
    <border>
      <right style="thin">
        <color rgb="00DFE4EC"/>
      </right>
      <bottom style="thin">
        <color rgb="00DFE4EC"/>
      </bottom>
    </border>
    <border>
      <left style="thin">
        <color rgb="00DFE4EC"/>
      </left>
      <top style="thin">
        <color rgb="00DFE4EC"/>
      </top>
      <bottom style="thin">
        <color rgb="00DFE4EC"/>
      </bottom>
    </border>
    <border>
      <right style="thin">
        <color rgb="00DFE4EC"/>
      </right>
      <top style="thin">
        <color rgb="00DFE4EC"/>
      </top>
      <bottom style="thin">
        <color rgb="00DFE4EC"/>
      </bottom>
    </border>
    <border>
      <left style="thin">
        <color rgb="002A78D6"/>
      </left>
      <top style="thin">
        <color rgb="002A78D6"/>
      </top>
      <bottom style="thin">
        <color rgb="002A78D6"/>
      </bottom>
    </border>
    <border>
      <right style="thin">
        <color rgb="002A78D6"/>
      </right>
      <top style="thin">
        <color rgb="002A78D6"/>
      </top>
      <bottom style="thin">
        <color rgb="002A78D6"/>
      </bottom>
    </border>
    <border>
      <left style="thin">
        <color rgb="00DFE4EC"/>
      </left>
    </border>
    <border>
      <right style="thin">
        <color rgb="00DFE4EC"/>
      </right>
    </border>
    <border>
      <left style="thin">
        <color rgb="00FAB219"/>
      </left>
      <top style="thin">
        <color rgb="00FAB219"/>
      </top>
    </border>
    <border>
      <right style="thin">
        <color rgb="00FAB219"/>
      </right>
      <top style="thin">
        <color rgb="00FAB219"/>
      </top>
    </border>
    <border>
      <left style="thin">
        <color rgb="00FAB219"/>
      </left>
    </border>
    <border>
      <right style="thin">
        <color rgb="00FAB219"/>
      </right>
    </border>
    <border>
      <left style="thin">
        <color rgb="00FAB219"/>
      </left>
      <bottom style="thin">
        <color rgb="00FAB219"/>
      </bottom>
    </border>
    <border>
      <right style="thin">
        <color rgb="00FAB219"/>
      </right>
      <bottom style="thin">
        <color rgb="00FAB219"/>
      </bottom>
    </border>
    <border/>
    <border>
      <top style="thin">
        <color rgb="00DFE4EC"/>
      </top>
      <bottom style="thin">
        <color rgb="00DFE4EC"/>
      </bottom>
    </border>
    <border>
      <left style="thin">
        <color rgb="00DFE4EC"/>
      </left>
      <right style="thin">
        <color rgb="00DFE4EC"/>
      </right>
      <top style="thin">
        <color rgb="00DFE4EC"/>
      </top>
      <bottom style="thin">
        <color rgb="00DFE4EC"/>
      </bottom>
    </border>
    <border>
      <left/>
      <right/>
      <top style="thin">
        <color rgb="00DFE4EC"/>
      </top>
      <bottom/>
      <diagonal/>
    </border>
    <border>
      <left style="thin">
        <color rgb="00DFE4EC"/>
      </left>
      <right/>
      <top/>
      <bottom/>
      <diagonal/>
    </border>
    <border>
      <left/>
      <right style="thin">
        <color rgb="00DFE4EC"/>
      </right>
      <top style="thin">
        <color rgb="00DFE4EC"/>
      </top>
      <bottom/>
      <diagonal/>
    </border>
    <border>
      <left/>
      <right style="thin">
        <color rgb="00DFE4EC"/>
      </right>
      <top/>
      <bottom/>
      <diagonal/>
    </border>
    <border>
      <left style="thin">
        <color rgb="00DFE4EC"/>
      </left>
      <right/>
      <top/>
      <bottom style="thin">
        <color rgb="00DFE4EC"/>
      </bottom>
      <diagonal/>
    </border>
    <border>
      <left/>
      <right/>
      <top/>
      <bottom style="thin">
        <color rgb="00DFE4EC"/>
      </bottom>
      <diagonal/>
    </border>
    <border>
      <left/>
      <right style="thin">
        <color rgb="00DFE4EC"/>
      </right>
      <top/>
      <bottom style="thin">
        <color rgb="00DFE4EC"/>
      </bottom>
      <diagonal/>
    </border>
    <border>
      <left style="thick">
        <color rgb="00EB6834"/>
      </left>
    </border>
    <border>
      <left style="thin">
        <color rgb="002A78D6"/>
      </left>
      <right style="thin">
        <color rgb="002A78D6"/>
      </right>
      <top style="thin">
        <color rgb="002A78D6"/>
      </top>
      <bottom style="thin">
        <color rgb="002A78D6"/>
      </bottom>
    </border>
    <border>
      <left style="thin">
        <color rgb="002A78D6"/>
      </left>
      <top style="thin">
        <color rgb="002A78D6"/>
      </top>
    </border>
    <border>
      <top style="thin">
        <color rgb="002A78D6"/>
      </top>
    </border>
    <border>
      <right style="thin">
        <color rgb="002A78D6"/>
      </right>
      <top style="thin">
        <color rgb="002A78D6"/>
      </top>
    </border>
    <border>
      <left style="thin">
        <color rgb="002A78D6"/>
      </left>
      <bottom style="thin">
        <color rgb="002A78D6"/>
      </bottom>
    </border>
    <border>
      <bottom style="thin">
        <color rgb="002A78D6"/>
      </bottom>
    </border>
    <border>
      <right style="thin">
        <color rgb="002A78D6"/>
      </right>
      <bottom style="thin">
        <color rgb="002A78D6"/>
      </bottom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9" fontId="4" fillId="0" borderId="2" applyAlignment="1" pivotButton="0" quotePrefix="0" xfId="0">
      <alignment horizontal="right" vertical="center"/>
    </xf>
    <xf numFmtId="0" fontId="5" fillId="0" borderId="0" pivotButton="0" quotePrefix="0" xfId="0"/>
    <xf numFmtId="3" fontId="5" fillId="0" borderId="3" applyAlignment="1" pivotButton="0" quotePrefix="0" xfId="0">
      <alignment horizontal="right" vertical="center"/>
    </xf>
    <xf numFmtId="3" fontId="4" fillId="0" borderId="4" applyAlignment="1" pivotButton="0" quotePrefix="0" xfId="0">
      <alignment horizontal="right" vertical="center"/>
    </xf>
    <xf numFmtId="3" fontId="5" fillId="0" borderId="4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1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right" vertical="center"/>
    </xf>
    <xf numFmtId="0" fontId="10" fillId="0" borderId="0" pivotButton="0" quotePrefix="0" xfId="0"/>
    <xf numFmtId="3" fontId="7" fillId="0" borderId="2" applyAlignment="1" pivotButton="0" quotePrefix="0" xfId="0">
      <alignment horizontal="left" vertical="center"/>
    </xf>
    <xf numFmtId="3" fontId="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3" fontId="9" fillId="0" borderId="3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right" vertical="center"/>
    </xf>
    <xf numFmtId="10" fontId="12" fillId="0" borderId="2" applyAlignment="1" pivotButton="0" quotePrefix="0" xfId="0">
      <alignment horizontal="right" vertical="center"/>
    </xf>
    <xf numFmtId="0" fontId="0" fillId="4" borderId="0" pivotButton="0" quotePrefix="0" xfId="0"/>
    <xf numFmtId="0" fontId="13" fillId="5" borderId="5" applyAlignment="1" pivotButton="0" quotePrefix="0" xfId="0">
      <alignment horizontal="left" vertical="center"/>
    </xf>
    <xf numFmtId="0" fontId="0" fillId="5" borderId="6" pivotButton="0" quotePrefix="0" xfId="0"/>
    <xf numFmtId="0" fontId="11" fillId="5" borderId="7" applyAlignment="1" pivotButton="0" quotePrefix="0" xfId="0">
      <alignment horizontal="right" vertical="center"/>
    </xf>
    <xf numFmtId="0" fontId="14" fillId="5" borderId="8" applyAlignment="1" pivotButton="0" quotePrefix="0" xfId="0">
      <alignment horizontal="left" vertical="center"/>
    </xf>
    <xf numFmtId="0" fontId="0" fillId="5" borderId="4" pivotButton="0" quotePrefix="0" xfId="0"/>
    <xf numFmtId="0" fontId="0" fillId="5" borderId="9" pivotButton="0" quotePrefix="0" xfId="0"/>
    <xf numFmtId="0" fontId="6" fillId="5" borderId="10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6" fillId="6" borderId="12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15" fillId="5" borderId="5" applyAlignment="1" pivotButton="0" quotePrefix="0" xfId="0">
      <alignment horizontal="left" vertical="center"/>
    </xf>
    <xf numFmtId="0" fontId="0" fillId="5" borderId="7" pivotButton="0" quotePrefix="0" xfId="0"/>
    <xf numFmtId="0" fontId="15" fillId="5" borderId="16" applyAlignment="1" pivotButton="0" quotePrefix="0" xfId="0">
      <alignment horizontal="left" vertical="center"/>
    </xf>
    <xf numFmtId="0" fontId="0" fillId="5" borderId="17" pivotButton="0" quotePrefix="0" xfId="0"/>
    <xf numFmtId="166" fontId="16" fillId="5" borderId="14" applyAlignment="1" pivotButton="0" quotePrefix="0" xfId="0">
      <alignment horizontal="left" vertical="center" indent="1"/>
    </xf>
    <xf numFmtId="0" fontId="0" fillId="5" borderId="15" pivotButton="0" quotePrefix="0" xfId="0"/>
    <xf numFmtId="164" fontId="16" fillId="5" borderId="14" applyAlignment="1" pivotButton="0" quotePrefix="0" xfId="0">
      <alignment horizontal="left" vertical="center" indent="1"/>
    </xf>
    <xf numFmtId="3" fontId="16" fillId="5" borderId="14" applyAlignment="1" pivotButton="0" quotePrefix="0" xfId="0">
      <alignment horizontal="left" vertical="center" indent="1"/>
    </xf>
    <xf numFmtId="169" fontId="16" fillId="5" borderId="18" applyAlignment="1" pivotButton="0" quotePrefix="0" xfId="0">
      <alignment horizontal="left" vertical="center" indent="1"/>
    </xf>
    <xf numFmtId="0" fontId="0" fillId="5" borderId="19" pivotButton="0" quotePrefix="0" xfId="0"/>
    <xf numFmtId="9" fontId="16" fillId="5" borderId="14" applyAlignment="1" pivotButton="0" quotePrefix="0" xfId="0">
      <alignment horizontal="left" vertical="center" indent="1"/>
    </xf>
    <xf numFmtId="167" fontId="5" fillId="5" borderId="8" applyAlignment="1" pivotButton="0" quotePrefix="0" xfId="0">
      <alignment horizontal="left" vertical="center" indent="1"/>
    </xf>
    <xf numFmtId="168" fontId="5" fillId="5" borderId="8" applyAlignment="1" pivotButton="0" quotePrefix="0" xfId="0">
      <alignment horizontal="left" vertical="center" indent="1"/>
    </xf>
    <xf numFmtId="167" fontId="5" fillId="5" borderId="20" applyAlignment="1" pivotButton="0" quotePrefix="0" xfId="0">
      <alignment horizontal="left" vertical="center" indent="1"/>
    </xf>
    <xf numFmtId="0" fontId="0" fillId="5" borderId="21" pivotButton="0" quotePrefix="0" xfId="0"/>
    <xf numFmtId="170" fontId="17" fillId="5" borderId="8" applyAlignment="1" pivotButton="0" quotePrefix="0" xfId="0">
      <alignment horizontal="left" vertical="center" indent="1"/>
    </xf>
    <xf numFmtId="0" fontId="18" fillId="5" borderId="5" applyAlignment="1" pivotButton="0" quotePrefix="0" xfId="0">
      <alignment horizontal="left" vertical="center"/>
    </xf>
    <xf numFmtId="0" fontId="19" fillId="5" borderId="7" applyAlignment="1" pivotButton="0" quotePrefix="0" xfId="0">
      <alignment horizontal="right" vertical="center"/>
    </xf>
    <xf numFmtId="0" fontId="0" fillId="5" borderId="14" pivotButton="0" quotePrefix="0" xfId="0"/>
    <xf numFmtId="0" fontId="0" fillId="5" borderId="22" pivotButton="0" quotePrefix="0" xfId="0"/>
    <xf numFmtId="0" fontId="0" fillId="5" borderId="8" pivotButton="0" quotePrefix="0" xfId="0"/>
    <xf numFmtId="0" fontId="15" fillId="7" borderId="23" applyAlignment="1" pivotButton="0" quotePrefix="0" xfId="0">
      <alignment horizontal="left" vertical="center"/>
    </xf>
    <xf numFmtId="0" fontId="15" fillId="7" borderId="23" applyAlignment="1" pivotButton="0" quotePrefix="0" xfId="0">
      <alignment horizontal="right" vertical="center"/>
    </xf>
    <xf numFmtId="0" fontId="20" fillId="7" borderId="2" applyAlignment="1" pivotButton="0" quotePrefix="0" xfId="0">
      <alignment horizontal="left" vertical="center"/>
    </xf>
    <xf numFmtId="3" fontId="21" fillId="7" borderId="2" applyAlignment="1" pivotButton="0" quotePrefix="0" xfId="0">
      <alignment horizontal="right" vertical="center"/>
    </xf>
    <xf numFmtId="167" fontId="21" fillId="7" borderId="2" applyAlignment="1" pivotButton="0" quotePrefix="0" xfId="0">
      <alignment horizontal="right" vertical="center"/>
    </xf>
    <xf numFmtId="171" fontId="21" fillId="7" borderId="2" applyAlignment="1" pivotButton="0" quotePrefix="0" xfId="0">
      <alignment horizontal="right" vertical="center"/>
    </xf>
    <xf numFmtId="168" fontId="21" fillId="7" borderId="2" applyAlignment="1" pivotButton="0" quotePrefix="0" xfId="0">
      <alignment horizontal="right" vertical="center"/>
    </xf>
    <xf numFmtId="9" fontId="21" fillId="7" borderId="2" applyAlignment="1" pivotButton="0" quotePrefix="0" xfId="0">
      <alignment horizontal="right" vertical="center"/>
    </xf>
    <xf numFmtId="0" fontId="22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3" fontId="21" fillId="5" borderId="2" applyAlignment="1" pivotButton="0" quotePrefix="0" xfId="0">
      <alignment horizontal="right" vertical="center"/>
    </xf>
    <xf numFmtId="167" fontId="21" fillId="5" borderId="2" applyAlignment="1" pivotButton="0" quotePrefix="0" xfId="0">
      <alignment horizontal="right" vertical="center"/>
    </xf>
    <xf numFmtId="171" fontId="21" fillId="5" borderId="2" applyAlignment="1" pivotButton="0" quotePrefix="0" xfId="0">
      <alignment horizontal="right" vertical="center"/>
    </xf>
    <xf numFmtId="168" fontId="21" fillId="5" borderId="2" applyAlignment="1" pivotButton="0" quotePrefix="0" xfId="0">
      <alignment horizontal="right" vertical="center"/>
    </xf>
    <xf numFmtId="9" fontId="21" fillId="5" borderId="2" applyAlignment="1" pivotButton="0" quotePrefix="0" xfId="0">
      <alignment horizontal="right" vertical="center"/>
    </xf>
    <xf numFmtId="0" fontId="22" fillId="5" borderId="2" applyAlignment="1" pivotButton="0" quotePrefix="0" xfId="0">
      <alignment horizontal="center" vertical="center"/>
    </xf>
    <xf numFmtId="0" fontId="23" fillId="5" borderId="2" applyAlignment="1" pivotButton="0" quotePrefix="0" xfId="0">
      <alignment horizontal="left" vertical="center" indent="2"/>
    </xf>
    <xf numFmtId="3" fontId="24" fillId="5" borderId="2" applyAlignment="1" pivotButton="0" quotePrefix="0" xfId="0">
      <alignment horizontal="right" vertical="center"/>
    </xf>
    <xf numFmtId="167" fontId="24" fillId="5" borderId="2" applyAlignment="1" pivotButton="0" quotePrefix="0" xfId="0">
      <alignment horizontal="right" vertical="center"/>
    </xf>
    <xf numFmtId="171" fontId="24" fillId="5" borderId="2" applyAlignment="1" pivotButton="0" quotePrefix="0" xfId="0">
      <alignment horizontal="right" vertical="center"/>
    </xf>
    <xf numFmtId="168" fontId="24" fillId="5" borderId="2" applyAlignment="1" pivotButton="0" quotePrefix="0" xfId="0">
      <alignment horizontal="right" vertical="center"/>
    </xf>
    <xf numFmtId="9" fontId="24" fillId="5" borderId="2" applyAlignment="1" pivotButton="0" quotePrefix="0" xfId="0">
      <alignment horizontal="right" vertical="center"/>
    </xf>
    <xf numFmtId="0" fontId="23" fillId="7" borderId="32" applyAlignment="1" pivotButton="0" quotePrefix="0" xfId="0">
      <alignment horizontal="left" vertical="top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19" fillId="4" borderId="0" pivotButton="0" quotePrefix="0" xfId="0"/>
    <xf numFmtId="0" fontId="25" fillId="5" borderId="7" applyAlignment="1" pivotButton="0" quotePrefix="0" xfId="0">
      <alignment horizontal="right" vertical="center"/>
    </xf>
    <xf numFmtId="0" fontId="26" fillId="5" borderId="5" applyAlignment="1" pivotButton="0" quotePrefix="0" xfId="0">
      <alignment horizontal="left" vertical="center"/>
    </xf>
    <xf numFmtId="0" fontId="15" fillId="5" borderId="6" applyAlignment="1" pivotButton="0" quotePrefix="0" xfId="0">
      <alignment horizontal="center" vertical="center"/>
    </xf>
    <xf numFmtId="0" fontId="19" fillId="5" borderId="8" applyAlignment="1" pivotButton="0" quotePrefix="0" xfId="0">
      <alignment horizontal="left" vertical="center"/>
    </xf>
    <xf numFmtId="0" fontId="27" fillId="6" borderId="33" applyAlignment="1" pivotButton="0" quotePrefix="0" xfId="0">
      <alignment horizontal="center" vertical="center"/>
    </xf>
    <xf numFmtId="0" fontId="8" fillId="4" borderId="0" pivotButton="0" quotePrefix="0" xfId="0"/>
    <xf numFmtId="0" fontId="28" fillId="4" borderId="0" applyAlignment="1" pivotButton="0" quotePrefix="0" xfId="0">
      <alignment horizontal="left" vertical="center"/>
    </xf>
    <xf numFmtId="0" fontId="15" fillId="5" borderId="4" applyAlignment="1" pivotButton="0" quotePrefix="0" xfId="0">
      <alignment horizontal="left" vertical="center"/>
    </xf>
    <xf numFmtId="0" fontId="15" fillId="5" borderId="4" applyAlignment="1" pivotButton="0" quotePrefix="0" xfId="0">
      <alignment horizontal="right" vertical="center"/>
    </xf>
    <xf numFmtId="0" fontId="28" fillId="5" borderId="8" applyAlignment="1" pivotButton="0" quotePrefix="0" xfId="0">
      <alignment horizontal="left" vertical="center"/>
    </xf>
    <xf numFmtId="3" fontId="29" fillId="5" borderId="4" applyAlignment="1" pivotButton="0" quotePrefix="0" xfId="0">
      <alignment horizontal="right" vertical="center"/>
    </xf>
    <xf numFmtId="167" fontId="29" fillId="5" borderId="4" applyAlignment="1" pivotButton="0" quotePrefix="0" xfId="0">
      <alignment horizontal="right" vertical="center"/>
    </xf>
    <xf numFmtId="164" fontId="29" fillId="5" borderId="4" applyAlignment="1" pivotButton="0" quotePrefix="0" xfId="0">
      <alignment horizontal="right" vertical="center"/>
    </xf>
    <xf numFmtId="9" fontId="29" fillId="5" borderId="4" applyAlignment="1" pivotButton="0" quotePrefix="0" xfId="0">
      <alignment horizontal="right" vertical="center"/>
    </xf>
    <xf numFmtId="0" fontId="28" fillId="5" borderId="9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30" fillId="5" borderId="2" applyAlignment="1" pivotButton="0" quotePrefix="0" xfId="0">
      <alignment horizontal="right" vertical="center"/>
    </xf>
    <xf numFmtId="167" fontId="30" fillId="5" borderId="2" applyAlignment="1" pivotButton="0" quotePrefix="0" xfId="0">
      <alignment horizontal="right" vertical="center"/>
    </xf>
    <xf numFmtId="164" fontId="30" fillId="5" borderId="2" applyAlignment="1" pivotButton="0" quotePrefix="0" xfId="0">
      <alignment horizontal="right" vertical="center"/>
    </xf>
    <xf numFmtId="9" fontId="30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3" fontId="30" fillId="4" borderId="2" applyAlignment="1" pivotButton="0" quotePrefix="0" xfId="0">
      <alignment horizontal="right" vertical="center"/>
    </xf>
    <xf numFmtId="167" fontId="30" fillId="4" borderId="2" applyAlignment="1" pivotButton="0" quotePrefix="0" xfId="0">
      <alignment horizontal="right" vertical="center"/>
    </xf>
    <xf numFmtId="164" fontId="30" fillId="4" borderId="2" applyAlignment="1" pivotButton="0" quotePrefix="0" xfId="0">
      <alignment horizontal="right" vertical="center"/>
    </xf>
    <xf numFmtId="9" fontId="30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24" fillId="5" borderId="2" applyAlignment="1" pivotButton="0" quotePrefix="0" xfId="0">
      <alignment horizontal="right" vertical="center"/>
    </xf>
    <xf numFmtId="0" fontId="23" fillId="5" borderId="2" applyAlignment="1" pivotButton="0" quotePrefix="0" xfId="0">
      <alignment horizontal="center" vertical="center"/>
    </xf>
    <xf numFmtId="0" fontId="31" fillId="4" borderId="0" pivotButton="0" quotePrefix="0" xfId="0"/>
    <xf numFmtId="0" fontId="32" fillId="2" borderId="34" applyAlignment="1" pivotButton="0" quotePrefix="0" xfId="0">
      <alignment horizontal="left" vertical="center"/>
    </xf>
    <xf numFmtId="0" fontId="0" fillId="2" borderId="35" pivotButton="0" quotePrefix="0" xfId="0"/>
    <xf numFmtId="0" fontId="0" fillId="2" borderId="36" pivotButton="0" quotePrefix="0" xfId="0"/>
    <xf numFmtId="0" fontId="33" fillId="2" borderId="37" applyAlignment="1" pivotButton="0" quotePrefix="0" xfId="0">
      <alignment horizontal="left" vertical="center"/>
    </xf>
    <xf numFmtId="0" fontId="0" fillId="2" borderId="38" pivotButton="0" quotePrefix="0" xfId="0"/>
    <xf numFmtId="0" fontId="0" fillId="2" borderId="39" pivotButton="0" quotePrefix="0" xfId="0"/>
    <xf numFmtId="0" fontId="8" fillId="5" borderId="6" applyAlignment="1" pivotButton="0" quotePrefix="0" xfId="0">
      <alignment horizontal="center" vertical="center"/>
    </xf>
    <xf numFmtId="0" fontId="34" fillId="6" borderId="33" applyAlignment="1" pivotButton="0" quotePrefix="0" xfId="0">
      <alignment horizontal="center" vertical="center"/>
    </xf>
    <xf numFmtId="0" fontId="20" fillId="4" borderId="0" applyAlignment="1" pivotButton="0" quotePrefix="0" xfId="0">
      <alignment horizontal="left" vertical="center"/>
    </xf>
    <xf numFmtId="0" fontId="15" fillId="7" borderId="4" applyAlignment="1" pivotButton="0" quotePrefix="0" xfId="0">
      <alignment horizontal="left" vertical="center"/>
    </xf>
    <xf numFmtId="0" fontId="15" fillId="7" borderId="4" applyAlignment="1" pivotButton="0" quotePrefix="0" xfId="0">
      <alignment horizontal="right" vertical="center"/>
    </xf>
    <xf numFmtId="0" fontId="15" fillId="5" borderId="6" applyAlignment="1" pivotButton="0" quotePrefix="0" xfId="0">
      <alignment horizontal="right" vertical="center"/>
    </xf>
    <xf numFmtId="0" fontId="15" fillId="5" borderId="7" applyAlignment="1" pivotButton="0" quotePrefix="0" xfId="0">
      <alignment horizontal="right" vertical="center"/>
    </xf>
    <xf numFmtId="0" fontId="31" fillId="0" borderId="0" pivotButton="0" quotePrefix="0" xfId="0"/>
    <xf numFmtId="169" fontId="36" fillId="7" borderId="2" applyAlignment="1" pivotButton="0" quotePrefix="0" xfId="0">
      <alignment horizontal="right" vertical="center"/>
    </xf>
    <xf numFmtId="0" fontId="37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/>
    </xf>
    <xf numFmtId="0" fontId="12" fillId="5" borderId="14" applyAlignment="1" pivotButton="0" quotePrefix="0" xfId="0">
      <alignment horizontal="left" vertical="center"/>
    </xf>
    <xf numFmtId="3" fontId="35" fillId="5" borderId="2" applyAlignment="1" pivotButton="0" quotePrefix="0" xfId="0">
      <alignment horizontal="right" vertical="center"/>
    </xf>
    <xf numFmtId="3" fontId="31" fillId="0" borderId="0" pivotButton="0" quotePrefix="0" xfId="0"/>
    <xf numFmtId="0" fontId="38" fillId="5" borderId="2" applyAlignment="1" pivotButton="0" quotePrefix="0" xfId="0">
      <alignment horizontal="left" vertical="center"/>
    </xf>
    <xf numFmtId="169" fontId="36" fillId="5" borderId="2" applyAlignment="1" pivotButton="0" quotePrefix="0" xfId="0">
      <alignment horizontal="right" vertical="center"/>
    </xf>
    <xf numFmtId="0" fontId="37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169" fontId="29" fillId="7" borderId="2" applyAlignment="1" pivotButton="0" quotePrefix="0" xfId="0">
      <alignment horizontal="right" vertical="center"/>
    </xf>
    <xf numFmtId="0" fontId="12" fillId="5" borderId="8" applyAlignment="1" pivotButton="0" quotePrefix="0" xfId="0">
      <alignment horizontal="left" vertical="center"/>
    </xf>
    <xf numFmtId="0" fontId="26" fillId="5" borderId="8" applyAlignment="1" pivotButton="0" quotePrefix="0" xfId="0">
      <alignment horizontal="left" vertical="center"/>
    </xf>
    <xf numFmtId="172" fontId="39" fillId="5" borderId="4" applyAlignment="1" pivotButton="0" quotePrefix="0" xfId="0">
      <alignment horizontal="right" vertical="center"/>
    </xf>
    <xf numFmtId="0" fontId="40" fillId="5" borderId="9" applyAlignment="1" pivotButton="0" quotePrefix="0" xfId="0">
      <alignment horizontal="left" vertical="center"/>
    </xf>
    <xf numFmtId="0" fontId="34" fillId="5" borderId="8" applyAlignment="1" pivotButton="0" quotePrefix="0" xfId="0">
      <alignment horizontal="left" vertical="center"/>
    </xf>
    <xf numFmtId="0" fontId="21" fillId="5" borderId="2" applyAlignment="1" pivotButton="0" quotePrefix="0" xfId="0">
      <alignment horizontal="left" vertical="center"/>
    </xf>
    <xf numFmtId="0" fontId="23" fillId="5" borderId="2" applyAlignment="1" pivotButton="0" quotePrefix="0" xfId="0">
      <alignment horizontal="left" vertical="center"/>
    </xf>
    <xf numFmtId="173" fontId="21" fillId="5" borderId="2" applyAlignment="1" pivotButton="0" quotePrefix="0" xfId="0">
      <alignment horizontal="right" vertical="center"/>
    </xf>
    <xf numFmtId="174" fontId="30" fillId="5" borderId="2" applyAlignment="1" pivotButton="0" quotePrefix="0" xfId="0">
      <alignment horizontal="right" vertical="center"/>
    </xf>
    <xf numFmtId="0" fontId="19" fillId="5" borderId="2" applyAlignment="1" pivotButton="0" quotePrefix="0" xfId="0">
      <alignment horizontal="left" vertical="center"/>
    </xf>
    <xf numFmtId="0" fontId="5" fillId="4" borderId="0" pivotButton="0" quotePrefix="0" xfId="0"/>
    <xf numFmtId="3" fontId="36" fillId="4" borderId="3" applyAlignment="1" pivotButton="0" quotePrefix="0" xfId="0">
      <alignment horizontal="right" vertical="center"/>
    </xf>
    <xf numFmtId="173" fontId="36" fillId="4" borderId="3" applyAlignment="1" pivotButton="0" quotePrefix="0" xfId="0">
      <alignment horizontal="right" vertical="center"/>
    </xf>
  </cellXfs>
  <cellStyles count="1">
    <cellStyle name="Normal" xfId="0" builtinId="0" hidden="0"/>
  </cellStyles>
  <dxfs count="11">
    <dxf>
      <font>
        <name val="Segoe UI"/>
        <b val="1"/>
        <color rgb="000CA30C"/>
        <sz val="9.5"/>
      </font>
    </dxf>
    <dxf>
      <font>
        <name val="Segoe UI"/>
        <b val="1"/>
        <color rgb="00D03B3B"/>
        <sz val="9.5"/>
      </font>
    </dxf>
    <dxf>
      <font>
        <name val="Consolas"/>
        <color rgb="000CA30C"/>
        <sz val="9.5"/>
      </font>
    </dxf>
    <dxf>
      <font>
        <name val="Consolas"/>
        <color rgb="00D03B3B"/>
        <sz val="9.5"/>
      </font>
    </dxf>
    <dxf>
      <font>
        <name val="Consolas"/>
        <b val="1"/>
        <color rgb="00FAB219"/>
        <sz val="9.5"/>
      </font>
    </dxf>
    <dxf>
      <font>
        <name val="Segoe UI"/>
        <b val="1"/>
        <color rgb="00EB6834"/>
        <sz val="8.5"/>
      </font>
      <fill>
        <patternFill patternType="solid">
          <fgColor rgb="00FBE3D8"/>
        </patternFill>
      </fill>
    </dxf>
    <dxf>
      <font>
        <name val="Segoe UI"/>
        <b val="1"/>
        <color rgb="00D03B3B"/>
        <sz val="8.5"/>
      </font>
      <fill>
        <patternFill patternType="solid">
          <fgColor rgb="00FBE0E0"/>
        </patternFill>
      </fill>
    </dxf>
    <dxf>
      <font>
        <name val="Segoe UI"/>
        <b val="1"/>
        <color rgb="009A6B00"/>
        <sz val="8.5"/>
      </font>
      <fill>
        <patternFill patternType="solid">
          <fgColor rgb="00FFF3D6"/>
        </patternFill>
      </fill>
    </dxf>
    <dxf>
      <font>
        <name val="Consolas"/>
        <b val="1"/>
        <color rgb="00D03B3B"/>
        <sz val="9.5"/>
      </font>
    </dxf>
    <dxf>
      <font>
        <name val="Consolas"/>
        <b val="1"/>
        <color rgb="000CA30C"/>
        <sz val="10"/>
      </font>
    </dxf>
    <dxf>
      <font>
        <name val="Consolas"/>
        <b val="1"/>
        <color rgb="00D03B3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stacked"/>
        <ser>
          <idx val="0"/>
          <order val="0"/>
          <spPr>
            <a:noFill/>
            <a:ln>
              <a:noFill/>
              <a:prstDash val="solid"/>
            </a:ln>
          </spPr>
          <cat>
            <numRef>
              <f>'Données'!$A$54:$A$58</f>
            </numRef>
          </cat>
          <val>
            <numRef>
              <f>'Données'!$B$54:$B$58</f>
            </numRef>
          </val>
        </ser>
        <ser>
          <idx val="1"/>
          <order val="1"/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dLbls>
            <numFmt formatCode="#,##0,,.000&quot; M€&quot;"/>
            <dLblPos val="ctr"/>
            <showLegendKey val="0"/>
            <showVal val="1"/>
            <showCatName val="0"/>
            <showSerName val="0"/>
          </dLbls>
          <cat>
            <numRef>
              <f>'Données'!$A$54:$A$58</f>
            </numRef>
          </cat>
          <val>
            <numRef>
              <f>'Données'!$C$54:$C$58</f>
            </numRef>
          </val>
        </ser>
        <ser>
          <idx val="2"/>
          <order val="2"/>
          <spPr>
            <a:solidFill>
              <a:srgbClr val="0CA30C"/>
            </a:solidFill>
            <a:ln>
              <a:solidFill>
                <a:srgbClr val="0CA30C"/>
              </a:solidFill>
              <a:prstDash val="solid"/>
            </a:ln>
          </spPr>
          <dLbls>
            <numFmt formatCode="&quot;+ &quot;#,##0&quot; €&quot;"/>
            <dLblPos val="ctr"/>
            <showLegendKey val="0"/>
            <showVal val="1"/>
            <showCatName val="0"/>
            <showSerName val="0"/>
          </dLbls>
          <cat>
            <numRef>
              <f>'Données'!$A$54:$A$58</f>
            </numRef>
          </cat>
          <val>
            <numRef>
              <f>'Données'!$D$54:$D$58</f>
            </numRef>
          </val>
        </ser>
        <ser>
          <idx val="3"/>
          <order val="3"/>
          <spPr>
            <a:solidFill>
              <a:srgbClr val="D03B3B"/>
            </a:solidFill>
            <a:ln>
              <a:solidFill>
                <a:srgbClr val="D03B3B"/>
              </a:solidFill>
              <a:prstDash val="solid"/>
            </a:ln>
          </spPr>
          <dLbls>
            <numFmt formatCode="&quot;− &quot;#,##0&quot; €&quot;"/>
            <dLblPos val="ctr"/>
            <showLegendKey val="0"/>
            <showVal val="1"/>
            <showCatName val="0"/>
            <showSerName val="0"/>
          </dLbls>
          <cat>
            <numRef>
              <f>'Données'!$A$54:$A$58</f>
            </numRef>
          </cat>
          <val>
            <numRef>
              <f>'Données'!$E$54:$E$58</f>
            </numRef>
          </val>
        </ser>
        <gapWidth val="4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000000"/>
          <min val="3200000"/>
        </scaling>
        <delete val="0"/>
        <axPos val="l"/>
        <majorGridlines/>
        <numFmt formatCode="#,##0,,&quot; M€&quot;" sourceLinked="0"/>
        <majorTickMark val="none"/>
        <minorTickMark val="none"/>
        <crossAx val="10"/>
        <majorUnit val="114285.7142857143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'Données'!H44</f>
            </strRef>
          </tx>
          <spPr>
            <a:solidFill>
              <a:srgbClr val="C3D9F4"/>
            </a:solidFill>
            <a:ln>
              <a:solidFill>
                <a:srgbClr val="C3D9F4"/>
              </a:solidFill>
              <a:prstDash val="solid"/>
            </a:ln>
          </spPr>
          <cat>
            <numRef>
              <f>'Données'!$A$46:$A$50</f>
            </numRef>
          </cat>
          <val>
            <numRef>
              <f>'Données'!$H$45:$H$50</f>
            </numRef>
          </val>
        </ser>
        <ser>
          <idx val="1"/>
          <order val="1"/>
          <tx>
            <strRef>
              <f>'Données'!I44</f>
            </strRef>
          </tx>
          <spPr>
            <a:solidFill>
              <a:srgbClr val="7AABE6"/>
            </a:solidFill>
            <a:ln>
              <a:solidFill>
                <a:srgbClr val="7AABE6"/>
              </a:solidFill>
              <a:prstDash val="solid"/>
            </a:ln>
          </spPr>
          <cat>
            <numRef>
              <f>'Données'!$A$46:$A$50</f>
            </numRef>
          </cat>
          <val>
            <numRef>
              <f>'Données'!$I$45:$I$50</f>
            </numRef>
          </val>
        </ser>
        <ser>
          <idx val="2"/>
          <order val="2"/>
          <tx>
            <strRef>
              <f>'Données'!J44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dLbls>
            <numFmt formatCode="0.0%"/>
            <dLblPos val="outEnd"/>
            <showLegendKey val="0"/>
            <showVal val="1"/>
            <showCatName val="0"/>
            <showSerName val="0"/>
          </dLbls>
          <cat>
            <numRef>
              <f>'Données'!$A$46:$A$50</f>
            </numRef>
          </cat>
          <val>
            <numRef>
              <f>'Données'!$J$45:$J$50</f>
            </numRef>
          </val>
        </ser>
        <gapWidth val="55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24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  <majorUnit val="0.05"/>
      </valAx>
    </plotArea>
    <legend>
      <legendPos val="b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'Données'!B61</f>
            </strRef>
          </tx>
          <spPr>
            <a:ln w="25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'Données'!$A$62:$A$64</f>
            </numRef>
          </cat>
          <val>
            <numRef>
              <f>'Données'!$B$62:$B$64</f>
            </numRef>
          </val>
          <smooth val="0"/>
        </ser>
        <ser>
          <idx val="1"/>
          <order val="1"/>
          <tx>
            <strRef>
              <f>'Données'!C61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'Données'!$A$62:$A$64</f>
            </numRef>
          </cat>
          <val>
            <numRef>
              <f>'Données'!$C$62:$C$64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5"/>
          <min val="95"/>
        </scaling>
        <delete val="0"/>
        <axPos val="l"/>
        <majorGridlines/>
        <numFmt formatCode="0" sourceLinked="0"/>
        <majorTickMark val="none"/>
        <minorTickMark val="none"/>
        <crossAx val="10"/>
        <majorUnit val="10"/>
      </valAx>
    </plotArea>
    <legend>
      <legendPos val="b"/>
    </legend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Décomposition de la variation d'EBITDA</a:t>
            </a:r>
          </a:p>
        </rich>
      </tx>
    </title>
    <plotArea>
      <barChart>
        <barDir val="col"/>
        <grouping val="stacked"/>
        <ser>
          <idx val="0"/>
          <order val="0"/>
          <spPr>
            <a:noFill/>
            <a:ln>
              <a:noFill/>
              <a:prstDash val="solid"/>
            </a:ln>
          </spPr>
          <cat>
            <numRef>
              <f>'Drill — Pourquoi'!$K$11:$K$16</f>
            </numRef>
          </cat>
          <val>
            <numRef>
              <f>'Drill — Pourquoi'!$L$11:$L$16</f>
            </numRef>
          </val>
        </ser>
        <ser>
          <idx val="1"/>
          <order val="1"/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dLbls>
            <numFmt formatCode="#,##0&quot; €&quot;"/>
            <dLblPos val="ctr"/>
            <showLegendKey val="0"/>
            <showVal val="1"/>
            <showCatName val="0"/>
            <showSerName val="0"/>
          </dLbls>
          <cat>
            <numRef>
              <f>'Drill — Pourquoi'!$K$11:$K$16</f>
            </numRef>
          </cat>
          <val>
            <numRef>
              <f>'Drill — Pourquoi'!$M$11:$M$16</f>
            </numRef>
          </val>
        </ser>
        <ser>
          <idx val="2"/>
          <order val="2"/>
          <spPr>
            <a:solidFill>
              <a:srgbClr val="0CA30C"/>
            </a:solidFill>
            <a:ln>
              <a:solidFill>
                <a:srgbClr val="0CA30C"/>
              </a:solidFill>
              <a:prstDash val="solid"/>
            </a:ln>
          </spPr>
          <dLbls>
            <numFmt formatCode="&quot;+ &quot;#,##0&quot; €&quot;"/>
            <dLblPos val="ctr"/>
            <showLegendKey val="0"/>
            <showVal val="1"/>
            <showCatName val="0"/>
            <showSerName val="0"/>
          </dLbls>
          <cat>
            <numRef>
              <f>'Drill — Pourquoi'!$K$11:$K$16</f>
            </numRef>
          </cat>
          <val>
            <numRef>
              <f>'Drill — Pourquoi'!$N$11:$N$16</f>
            </numRef>
          </val>
        </ser>
        <ser>
          <idx val="3"/>
          <order val="3"/>
          <spPr>
            <a:solidFill>
              <a:srgbClr val="D03B3B"/>
            </a:solidFill>
            <a:ln>
              <a:solidFill>
                <a:srgbClr val="D03B3B"/>
              </a:solidFill>
              <a:prstDash val="solid"/>
            </a:ln>
          </spPr>
          <dLbls>
            <numFmt formatCode="&quot;− &quot;#,##0&quot; €&quot;"/>
            <dLblPos val="ctr"/>
            <showLegendKey val="0"/>
            <showVal val="1"/>
            <showCatName val="0"/>
            <showSerName val="0"/>
          </dLbls>
          <cat>
            <numRef>
              <f>'Drill — Pourquoi'!$K$11:$K$16</f>
            </numRef>
          </cat>
          <val>
            <numRef>
              <f>'Drill — Pourquoi'!$O$11:$O$16</f>
            </numRef>
          </val>
        </ser>
        <gapWidth val="4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 &quot;€&quot;" sourceLinked="0"/>
        <majorTickMark val="none"/>
        <minorTickMark val="none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3671999" cy="284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11</row>
      <rowOff>0</rowOff>
    </from>
    <ext cx="3024000" cy="284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11</row>
      <rowOff>0</rowOff>
    </from>
    <ext cx="3024000" cy="284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84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0" customWidth="1" min="11" max="11"/>
    <col width="11" customWidth="1" min="12" max="12"/>
  </cols>
  <sheetData>
    <row r="1" ht="24" customHeight="1">
      <c r="A1" s="1" t="inlineStr">
        <is>
          <t>① SOCLE DE DONNÉES — 14 campus × 5 marques  ·  la seule saisie du classeur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" t="inlineStr">
        <is>
          <t>① PÉRIMÈTRE (les filtres du cockpit)</t>
        </is>
      </c>
    </row>
    <row r="4">
      <c r="A4" s="4" t="inlineStr">
        <is>
          <t>Filtre</t>
        </is>
      </c>
      <c r="B4" s="4" t="inlineStr">
        <is>
          <t>Valeur</t>
        </is>
      </c>
    </row>
    <row r="5">
      <c r="A5" s="5" t="inlineStr">
        <is>
          <t>Scénario</t>
        </is>
      </c>
      <c r="B5" s="6" t="inlineStr">
        <is>
          <t>REEL</t>
        </is>
      </c>
    </row>
    <row r="6">
      <c r="A6" s="5" t="inlineStr">
        <is>
          <t>Version</t>
        </is>
      </c>
      <c r="B6" s="6" t="inlineStr">
        <is>
          <t>V_FINAL</t>
        </is>
      </c>
    </row>
    <row r="7">
      <c r="A7" s="5" t="inlineStr">
        <is>
          <t>Exercice</t>
        </is>
      </c>
      <c r="B7" s="6" t="n">
        <v>2026</v>
      </c>
    </row>
    <row r="8">
      <c r="A8" s="5" t="inlineStr">
        <is>
          <t>Période</t>
        </is>
      </c>
      <c r="B8" s="6" t="inlineStr">
        <is>
          <t>12 — Cumul</t>
        </is>
      </c>
    </row>
    <row r="9">
      <c r="A9" s="5" t="inlineStr">
        <is>
          <t>Marque</t>
        </is>
      </c>
      <c r="B9" s="6" t="inlineStr">
        <is>
          <t>Toutes</t>
        </is>
      </c>
    </row>
    <row r="10">
      <c r="A10" s="5" t="inlineStr">
        <is>
          <t>Campus</t>
        </is>
      </c>
      <c r="B10" s="6" t="inlineStr">
        <is>
          <t>Tous</t>
        </is>
      </c>
    </row>
    <row r="11">
      <c r="A11" s="5" t="inlineStr">
        <is>
          <t>Modalité</t>
        </is>
      </c>
      <c r="B11" s="6" t="inlineStr">
        <is>
          <t>Toutes</t>
        </is>
      </c>
    </row>
    <row r="13">
      <c r="A13" s="3" t="inlineStr">
        <is>
          <t>② SOCLE CAMPUS  (source : V_COCKPIT / V_ALLOCATION, grain campus × exercice)</t>
        </is>
      </c>
    </row>
    <row r="14">
      <c r="A14" s="4" t="inlineStr">
        <is>
          <t>Entity</t>
        </is>
      </c>
      <c r="B14" s="4" t="inlineStr">
        <is>
          <t>Marque</t>
        </is>
      </c>
      <c r="C14" s="4" t="inlineStr">
        <is>
          <t>CA 2024</t>
        </is>
      </c>
      <c r="D14" s="4" t="inlineStr">
        <is>
          <t>CA 2025</t>
        </is>
      </c>
      <c r="E14" s="4" t="inlineStr">
        <is>
          <t>CA 2026</t>
        </is>
      </c>
      <c r="F14" s="4" t="inlineStr">
        <is>
          <t>EBITDA 2024</t>
        </is>
      </c>
      <c r="G14" s="4" t="inlineStr">
        <is>
          <t>EBITDA 2025</t>
        </is>
      </c>
      <c r="H14" s="4" t="inlineStr">
        <is>
          <t>EBITDA 2026</t>
        </is>
      </c>
      <c r="I14" s="4" t="inlineStr">
        <is>
          <t>Inscrits 26</t>
        </is>
      </c>
      <c r="J14" s="4" t="inlineStr">
        <is>
          <t>Effectifs 26</t>
        </is>
      </c>
      <c r="K14" s="4" t="inlineStr">
        <is>
          <t>Places 26</t>
        </is>
      </c>
      <c r="L14" s="4" t="inlineStr">
        <is>
          <t>Mix alt. 26</t>
        </is>
      </c>
    </row>
    <row r="15">
      <c r="A15" s="7" t="inlineStr">
        <is>
          <t>MBWAY_BOR</t>
        </is>
      </c>
      <c r="B15" s="7" t="inlineStr">
        <is>
          <t>MBway</t>
        </is>
      </c>
      <c r="C15" s="8" t="n">
        <v>1537990</v>
      </c>
      <c r="D15" s="8" t="n">
        <v>1656282</v>
      </c>
      <c r="E15" s="8" t="n">
        <v>1784942</v>
      </c>
      <c r="F15" s="8" t="n">
        <v>237542</v>
      </c>
      <c r="G15" s="8" t="n">
        <v>268273</v>
      </c>
      <c r="H15" s="8" t="n">
        <v>307544</v>
      </c>
      <c r="I15" s="8" t="n">
        <v>102</v>
      </c>
      <c r="J15" s="8" t="n">
        <v>251</v>
      </c>
      <c r="K15" s="8" t="n">
        <v>296</v>
      </c>
      <c r="L15" s="9" t="n">
        <v>0.7959000000000001</v>
      </c>
    </row>
    <row r="16">
      <c r="A16" s="7" t="inlineStr">
        <is>
          <t>MBWAY_LYO</t>
        </is>
      </c>
      <c r="B16" s="7" t="inlineStr">
        <is>
          <t>MBway</t>
        </is>
      </c>
      <c r="C16" s="8" t="n">
        <v>2154491</v>
      </c>
      <c r="D16" s="8" t="n">
        <v>2320201</v>
      </c>
      <c r="E16" s="8" t="n">
        <v>2500434</v>
      </c>
      <c r="F16" s="8" t="n">
        <v>354945</v>
      </c>
      <c r="G16" s="8" t="n">
        <v>399596</v>
      </c>
      <c r="H16" s="8" t="n">
        <v>456436</v>
      </c>
      <c r="I16" s="8" t="n">
        <v>132</v>
      </c>
      <c r="J16" s="8" t="n">
        <v>324</v>
      </c>
      <c r="K16" s="8" t="n">
        <v>412</v>
      </c>
      <c r="L16" s="9" t="n">
        <v>0.7959000000000001</v>
      </c>
    </row>
    <row r="17">
      <c r="A17" s="7" t="inlineStr">
        <is>
          <t>MBWAY_NAN</t>
        </is>
      </c>
      <c r="B17" s="7" t="inlineStr">
        <is>
          <t>MBway</t>
        </is>
      </c>
      <c r="C17" s="8" t="n">
        <v>1865360</v>
      </c>
      <c r="D17" s="8" t="n">
        <v>2008832</v>
      </c>
      <c r="E17" s="8" t="n">
        <v>2164878</v>
      </c>
      <c r="F17" s="8" t="n">
        <v>299628</v>
      </c>
      <c r="G17" s="8" t="n">
        <v>337733</v>
      </c>
      <c r="H17" s="8" t="n">
        <v>386312</v>
      </c>
      <c r="I17" s="8" t="n">
        <v>120</v>
      </c>
      <c r="J17" s="8" t="n">
        <v>295</v>
      </c>
      <c r="K17" s="8" t="n">
        <v>348</v>
      </c>
      <c r="L17" s="9" t="n">
        <v>0.7959000000000001</v>
      </c>
    </row>
    <row r="18">
      <c r="A18" s="7" t="inlineStr">
        <is>
          <t>MBWAY_PAR</t>
        </is>
      </c>
      <c r="B18" s="7" t="inlineStr">
        <is>
          <t>MBway</t>
        </is>
      </c>
      <c r="C18" s="8" t="n">
        <v>2715965</v>
      </c>
      <c r="D18" s="8" t="n">
        <v>2924860</v>
      </c>
      <c r="E18" s="8" t="n">
        <v>3152062</v>
      </c>
      <c r="F18" s="8" t="n">
        <v>469817</v>
      </c>
      <c r="G18" s="8" t="n">
        <v>527720</v>
      </c>
      <c r="H18" s="8" t="n">
        <v>601217</v>
      </c>
      <c r="I18" s="8" t="n">
        <v>157</v>
      </c>
      <c r="J18" s="8" t="n">
        <v>383</v>
      </c>
      <c r="K18" s="8" t="n">
        <v>470</v>
      </c>
      <c r="L18" s="9" t="n">
        <v>0.7959000000000001</v>
      </c>
    </row>
    <row r="19">
      <c r="A19" s="7" t="inlineStr">
        <is>
          <t>ISCOM_LIL</t>
        </is>
      </c>
      <c r="B19" s="7" t="inlineStr">
        <is>
          <t>ISCOM</t>
        </is>
      </c>
      <c r="C19" s="8" t="n">
        <v>1627556</v>
      </c>
      <c r="D19" s="8" t="n">
        <v>1687214</v>
      </c>
      <c r="E19" s="8" t="n">
        <v>1750304</v>
      </c>
      <c r="F19" s="8" t="n">
        <v>246201</v>
      </c>
      <c r="G19" s="8" t="n">
        <v>272204</v>
      </c>
      <c r="H19" s="8" t="n">
        <v>288015</v>
      </c>
      <c r="I19" s="8" t="n">
        <v>99</v>
      </c>
      <c r="J19" s="8" t="n">
        <v>243</v>
      </c>
      <c r="K19" s="8" t="n">
        <v>296</v>
      </c>
      <c r="L19" s="9" t="n">
        <v>0.7959000000000001</v>
      </c>
    </row>
    <row r="20">
      <c r="A20" s="7" t="inlineStr">
        <is>
          <t>ISCOM_PAR</t>
        </is>
      </c>
      <c r="B20" s="7" t="inlineStr">
        <is>
          <t>ISCOM</t>
        </is>
      </c>
      <c r="C20" s="8" t="n">
        <v>2686759</v>
      </c>
      <c r="D20" s="8" t="n">
        <v>2785243</v>
      </c>
      <c r="E20" s="8" t="n">
        <v>2889390</v>
      </c>
      <c r="F20" s="8" t="n">
        <v>450936</v>
      </c>
      <c r="G20" s="8" t="n">
        <v>495292</v>
      </c>
      <c r="H20" s="8" t="n">
        <v>523028</v>
      </c>
      <c r="I20" s="8" t="n">
        <v>143</v>
      </c>
      <c r="J20" s="8" t="n">
        <v>352</v>
      </c>
      <c r="K20" s="8" t="n">
        <v>444</v>
      </c>
      <c r="L20" s="9" t="n">
        <v>0.7959000000000001</v>
      </c>
    </row>
    <row r="21">
      <c r="A21" s="7" t="inlineStr">
        <is>
          <t>ISCOM_TLS</t>
        </is>
      </c>
      <c r="B21" s="7" t="inlineStr">
        <is>
          <t>ISCOM</t>
        </is>
      </c>
      <c r="C21" s="8" t="n">
        <v>1505766</v>
      </c>
      <c r="D21" s="8" t="n">
        <v>1560960</v>
      </c>
      <c r="E21" s="8" t="n">
        <v>1619329</v>
      </c>
      <c r="F21" s="8" t="n">
        <v>224660</v>
      </c>
      <c r="G21" s="8" t="n">
        <v>248616</v>
      </c>
      <c r="H21" s="8" t="n">
        <v>263130</v>
      </c>
      <c r="I21" s="8" t="n">
        <v>94</v>
      </c>
      <c r="J21" s="8" t="n">
        <v>230</v>
      </c>
      <c r="K21" s="8" t="n">
        <v>296</v>
      </c>
      <c r="L21" s="9" t="n">
        <v>0.7959000000000001</v>
      </c>
    </row>
    <row r="22">
      <c r="A22" s="7" t="inlineStr">
        <is>
          <t>IPAC_MTP</t>
        </is>
      </c>
      <c r="B22" s="7" t="inlineStr">
        <is>
          <t>Ipac</t>
        </is>
      </c>
      <c r="C22" s="8" t="n">
        <v>650230</v>
      </c>
      <c r="D22" s="8" t="n">
        <v>713330</v>
      </c>
      <c r="E22" s="8" t="n">
        <v>783111</v>
      </c>
      <c r="F22" s="8" t="n">
        <v>74568</v>
      </c>
      <c r="G22" s="8" t="n">
        <v>90342</v>
      </c>
      <c r="H22" s="8" t="n">
        <v>108000</v>
      </c>
      <c r="I22" s="8" t="n">
        <v>40</v>
      </c>
      <c r="J22" s="8" t="n">
        <v>117</v>
      </c>
      <c r="K22" s="8" t="n">
        <v>192</v>
      </c>
      <c r="L22" s="9" t="n">
        <v>1</v>
      </c>
    </row>
    <row r="23">
      <c r="A23" s="7" t="inlineStr">
        <is>
          <t>IPAC_NAN</t>
        </is>
      </c>
      <c r="B23" s="7" t="inlineStr">
        <is>
          <t>Ipac</t>
        </is>
      </c>
      <c r="C23" s="8" t="n">
        <v>855566</v>
      </c>
      <c r="D23" s="8" t="n">
        <v>938593</v>
      </c>
      <c r="E23" s="8" t="n">
        <v>1030409</v>
      </c>
      <c r="F23" s="8" t="n">
        <v>105663</v>
      </c>
      <c r="G23" s="8" t="n">
        <v>127069</v>
      </c>
      <c r="H23" s="8" t="n">
        <v>151056</v>
      </c>
      <c r="I23" s="8" t="n">
        <v>50</v>
      </c>
      <c r="J23" s="8" t="n">
        <v>147</v>
      </c>
      <c r="K23" s="8" t="n">
        <v>192</v>
      </c>
      <c r="L23" s="9" t="n">
        <v>1</v>
      </c>
    </row>
    <row r="24">
      <c r="A24" s="7" t="inlineStr">
        <is>
          <t>IPAC_REN</t>
        </is>
      </c>
      <c r="B24" s="7" t="inlineStr">
        <is>
          <t>Ipac</t>
        </is>
      </c>
      <c r="C24" s="8" t="n">
        <v>650230</v>
      </c>
      <c r="D24" s="8" t="n">
        <v>713330</v>
      </c>
      <c r="E24" s="8" t="n">
        <v>783111</v>
      </c>
      <c r="F24" s="8" t="n">
        <v>74568</v>
      </c>
      <c r="G24" s="8" t="n">
        <v>90342</v>
      </c>
      <c r="H24" s="8" t="n">
        <v>108000</v>
      </c>
      <c r="I24" s="8" t="n">
        <v>40</v>
      </c>
      <c r="J24" s="8" t="n">
        <v>117</v>
      </c>
      <c r="K24" s="8" t="n">
        <v>192</v>
      </c>
      <c r="L24" s="9" t="n">
        <v>1</v>
      </c>
    </row>
    <row r="25">
      <c r="A25" s="7" t="inlineStr">
        <is>
          <t>PIGIER_BOR</t>
        </is>
      </c>
      <c r="B25" s="7" t="inlineStr">
        <is>
          <t>Pigier</t>
        </is>
      </c>
      <c r="C25" s="8" t="n">
        <v>1027213</v>
      </c>
      <c r="D25" s="8" t="n">
        <v>1075204</v>
      </c>
      <c r="E25" s="8" t="n">
        <v>1126238</v>
      </c>
      <c r="F25" s="8" t="n">
        <v>196141</v>
      </c>
      <c r="G25" s="8" t="n">
        <v>212061</v>
      </c>
      <c r="H25" s="8" t="n">
        <v>231329</v>
      </c>
      <c r="I25" s="8" t="n">
        <v>72</v>
      </c>
      <c r="J25" s="8" t="n">
        <v>175</v>
      </c>
      <c r="K25" s="8" t="n">
        <v>312</v>
      </c>
      <c r="L25" s="9" t="n">
        <v>1</v>
      </c>
    </row>
    <row r="26">
      <c r="A26" s="7" t="inlineStr">
        <is>
          <t>PIGIER_LYO</t>
        </is>
      </c>
      <c r="B26" s="7" t="inlineStr">
        <is>
          <t>Pigier</t>
        </is>
      </c>
      <c r="C26" s="8" t="n">
        <v>1438970</v>
      </c>
      <c r="D26" s="8" t="n">
        <v>1506199</v>
      </c>
      <c r="E26" s="8" t="n">
        <v>1577690</v>
      </c>
      <c r="F26" s="8" t="n">
        <v>289961</v>
      </c>
      <c r="G26" s="8" t="n">
        <v>312883</v>
      </c>
      <c r="H26" s="8" t="n">
        <v>340591</v>
      </c>
      <c r="I26" s="8" t="n">
        <v>93</v>
      </c>
      <c r="J26" s="8" t="n">
        <v>227</v>
      </c>
      <c r="K26" s="8" t="n">
        <v>312</v>
      </c>
      <c r="L26" s="9" t="n">
        <v>1</v>
      </c>
    </row>
    <row r="27">
      <c r="A27" s="7" t="inlineStr">
        <is>
          <t>TUNON_LYO</t>
        </is>
      </c>
      <c r="B27" s="7" t="inlineStr">
        <is>
          <t>Tunon</t>
        </is>
      </c>
      <c r="C27" s="8" t="n">
        <v>812495</v>
      </c>
      <c r="D27" s="8" t="n">
        <v>834100</v>
      </c>
      <c r="E27" s="8" t="n">
        <v>856888</v>
      </c>
      <c r="F27" s="8" t="n">
        <v>46217</v>
      </c>
      <c r="G27" s="8" t="n">
        <v>42067</v>
      </c>
      <c r="H27" s="8" t="n">
        <v>32586</v>
      </c>
      <c r="I27" s="8" t="n">
        <v>40</v>
      </c>
      <c r="J27" s="8" t="n">
        <v>116</v>
      </c>
      <c r="K27" s="8" t="n">
        <v>192</v>
      </c>
      <c r="L27" s="9" t="n">
        <v>1</v>
      </c>
    </row>
    <row r="28">
      <c r="A28" s="7" t="inlineStr">
        <is>
          <t>TUNON_PAR</t>
        </is>
      </c>
      <c r="B28" s="7" t="inlineStr">
        <is>
          <t>Tunon</t>
        </is>
      </c>
      <c r="C28" s="8" t="n">
        <v>1024236</v>
      </c>
      <c r="D28" s="8" t="n">
        <v>1051471</v>
      </c>
      <c r="E28" s="8" t="n">
        <v>1080198</v>
      </c>
      <c r="F28" s="8" t="n">
        <v>65804</v>
      </c>
      <c r="G28" s="8" t="n">
        <v>60619</v>
      </c>
      <c r="H28" s="8" t="n">
        <v>48547</v>
      </c>
      <c r="I28" s="8" t="n">
        <v>47</v>
      </c>
      <c r="J28" s="8" t="n">
        <v>137</v>
      </c>
      <c r="K28" s="8" t="n">
        <v>192</v>
      </c>
      <c r="L28" s="9" t="n">
        <v>1</v>
      </c>
    </row>
    <row r="29">
      <c r="A29" s="10" t="inlineStr">
        <is>
          <t>TOTAL GROUPE</t>
        </is>
      </c>
      <c r="C29" s="11">
        <f>SUM(C15:C28)</f>
        <v/>
      </c>
      <c r="D29" s="11">
        <f>SUM(D15:D28)</f>
        <v/>
      </c>
      <c r="E29" s="11">
        <f>SUM(E15:E28)</f>
        <v/>
      </c>
      <c r="F29" s="11">
        <f>SUM(F15:F28)</f>
        <v/>
      </c>
      <c r="G29" s="11">
        <f>SUM(G15:G28)</f>
        <v/>
      </c>
      <c r="H29" s="11">
        <f>SUM(H15:H28)</f>
        <v/>
      </c>
      <c r="I29" s="11">
        <f>SUM(I15:I28)</f>
        <v/>
      </c>
      <c r="J29" s="11">
        <f>SUM(J15:J28)</f>
        <v/>
      </c>
      <c r="K29" s="11">
        <f>SUM(K15:K28)</f>
        <v/>
      </c>
    </row>
    <row r="30">
      <c r="A30" s="3" t="inlineStr">
        <is>
          <t>③ ACQUISITION (groupe)</t>
        </is>
      </c>
    </row>
    <row r="31">
      <c r="A31" s="4" t="inlineStr">
        <is>
          <t>Mesure</t>
        </is>
      </c>
      <c r="B31" s="4" t="inlineStr">
        <is>
          <t>2024</t>
        </is>
      </c>
      <c r="C31" s="4" t="inlineStr">
        <is>
          <t>2025</t>
        </is>
      </c>
      <c r="D31" s="4" t="inlineStr">
        <is>
          <t>2026</t>
        </is>
      </c>
    </row>
    <row r="32">
      <c r="A32" s="5" t="inlineStr">
        <is>
          <t>Dépenses d'acquisition (€)</t>
        </is>
      </c>
      <c r="B32" s="12" t="n">
        <v>358170</v>
      </c>
      <c r="C32" s="12" t="n">
        <v>394702</v>
      </c>
      <c r="D32" s="12" t="n">
        <v>434174</v>
      </c>
    </row>
    <row r="33">
      <c r="A33" s="5" t="inlineStr">
        <is>
          <t>Inscrits (nouveaux)</t>
        </is>
      </c>
      <c r="B33" s="12" t="n">
        <v>1092</v>
      </c>
      <c r="C33" s="12" t="n">
        <v>1159</v>
      </c>
      <c r="D33" s="12" t="n">
        <v>1229</v>
      </c>
    </row>
    <row r="34">
      <c r="A34" s="3" t="inlineStr">
        <is>
          <t>④ BRIDGE EBITDA GROUPE 2025 → 2026  (l'effet coûts est le résidu : le pont boucle toujours)</t>
        </is>
      </c>
    </row>
    <row r="35">
      <c r="A35" s="4" t="inlineStr">
        <is>
          <t>Étape</t>
        </is>
      </c>
      <c r="B35" s="4" t="inlineStr">
        <is>
          <t>Montant (€)</t>
        </is>
      </c>
    </row>
    <row r="37">
      <c r="A37" s="5" t="inlineStr">
        <is>
          <t>EBITDA 2025</t>
        </is>
      </c>
      <c r="B37" s="12">
        <f>SUM($G$15:$G$28)</f>
        <v/>
      </c>
    </row>
    <row r="38">
      <c r="A38" s="5" t="inlineStr">
        <is>
          <t>Effet activité</t>
        </is>
      </c>
      <c r="B38" s="12" t="n">
        <v>211706</v>
      </c>
    </row>
    <row r="39">
      <c r="A39" s="5" t="inlineStr">
        <is>
          <t>Effet prix / mix</t>
        </is>
      </c>
      <c r="B39" s="12" t="n">
        <v>289000</v>
      </c>
    </row>
    <row r="40">
      <c r="A40" s="5" t="inlineStr">
        <is>
          <t>Effet coûts (résidu)</t>
        </is>
      </c>
      <c r="B40" s="12">
        <f>B41-B37-B38-B39</f>
        <v/>
      </c>
    </row>
    <row r="41">
      <c r="A41" s="6" t="inlineStr">
        <is>
          <t>EBITDA 2026</t>
        </is>
      </c>
      <c r="B41" s="13">
        <f>SUM($H$15:$H$28)</f>
        <v/>
      </c>
    </row>
    <row r="43">
      <c r="A43" s="3" t="inlineStr">
        <is>
          <t>⑤ AGRÉGATS PAR MARQUE — 100 % calculés depuis ②</t>
        </is>
      </c>
    </row>
    <row r="44">
      <c r="A44" s="4" t="inlineStr">
        <is>
          <t>Marque</t>
        </is>
      </c>
      <c r="B44" s="4" t="inlineStr">
        <is>
          <t>CA 2024</t>
        </is>
      </c>
      <c r="C44" s="4" t="inlineStr">
        <is>
          <t>CA 2025</t>
        </is>
      </c>
      <c r="D44" s="4" t="inlineStr">
        <is>
          <t>CA 2026</t>
        </is>
      </c>
      <c r="E44" s="4" t="inlineStr">
        <is>
          <t>EBITDA 2024</t>
        </is>
      </c>
      <c r="F44" s="4" t="inlineStr">
        <is>
          <t>EBITDA 2025</t>
        </is>
      </c>
      <c r="G44" s="4" t="inlineStr">
        <is>
          <t>EBITDA 2026</t>
        </is>
      </c>
      <c r="H44" s="4" t="inlineStr">
        <is>
          <t>Marge 2024</t>
        </is>
      </c>
      <c r="I44" s="4" t="inlineStr">
        <is>
          <t>Marge 2025</t>
        </is>
      </c>
      <c r="J44" s="4" t="inlineStr">
        <is>
          <t>Marge 2026</t>
        </is>
      </c>
    </row>
    <row r="46">
      <c r="A46" s="7" t="inlineStr">
        <is>
          <t>MBway</t>
        </is>
      </c>
      <c r="B46" s="8">
        <f>SUMIF(Données!$B$15:$B$28,$A46,Données!$C$15:$C$28)</f>
        <v/>
      </c>
      <c r="C46" s="8">
        <f>SUMIF(Données!$B$15:$B$28,$A46,Données!$D$15:$D$28)</f>
        <v/>
      </c>
      <c r="D46" s="8">
        <f>SUMIF(Données!$B$15:$B$28,$A46,Données!$E$15:$E$28)</f>
        <v/>
      </c>
      <c r="E46" s="8">
        <f>SUMIF(Données!$B$15:$B$28,$A46,Données!$F$15:$F$28)</f>
        <v/>
      </c>
      <c r="F46" s="8">
        <f>SUMIF(Données!$B$15:$B$28,$A46,Données!$G$15:$G$28)</f>
        <v/>
      </c>
      <c r="G46" s="8">
        <f>SUMIF(Données!$B$15:$B$28,$A46,Données!$H$15:$H$28)</f>
        <v/>
      </c>
      <c r="H46" s="14">
        <f>E46/B46</f>
        <v/>
      </c>
      <c r="I46" s="14">
        <f>F46/C46</f>
        <v/>
      </c>
      <c r="J46" s="14">
        <f>G46/D46</f>
        <v/>
      </c>
    </row>
    <row r="47">
      <c r="A47" s="7" t="inlineStr">
        <is>
          <t>ISCOM</t>
        </is>
      </c>
      <c r="B47" s="8">
        <f>SUMIF(Données!$B$15:$B$28,$A47,Données!$C$15:$C$28)</f>
        <v/>
      </c>
      <c r="C47" s="8">
        <f>SUMIF(Données!$B$15:$B$28,$A47,Données!$D$15:$D$28)</f>
        <v/>
      </c>
      <c r="D47" s="8">
        <f>SUMIF(Données!$B$15:$B$28,$A47,Données!$E$15:$E$28)</f>
        <v/>
      </c>
      <c r="E47" s="8">
        <f>SUMIF(Données!$B$15:$B$28,$A47,Données!$F$15:$F$28)</f>
        <v/>
      </c>
      <c r="F47" s="8">
        <f>SUMIF(Données!$B$15:$B$28,$A47,Données!$G$15:$G$28)</f>
        <v/>
      </c>
      <c r="G47" s="8">
        <f>SUMIF(Données!$B$15:$B$28,$A47,Données!$H$15:$H$28)</f>
        <v/>
      </c>
      <c r="H47" s="14">
        <f>E47/B47</f>
        <v/>
      </c>
      <c r="I47" s="14">
        <f>F47/C47</f>
        <v/>
      </c>
      <c r="J47" s="14">
        <f>G47/D47</f>
        <v/>
      </c>
    </row>
    <row r="48">
      <c r="A48" s="7" t="inlineStr">
        <is>
          <t>Ipac</t>
        </is>
      </c>
      <c r="B48" s="8">
        <f>SUMIF(Données!$B$15:$B$28,$A48,Données!$C$15:$C$28)</f>
        <v/>
      </c>
      <c r="C48" s="8">
        <f>SUMIF(Données!$B$15:$B$28,$A48,Données!$D$15:$D$28)</f>
        <v/>
      </c>
      <c r="D48" s="8">
        <f>SUMIF(Données!$B$15:$B$28,$A48,Données!$E$15:$E$28)</f>
        <v/>
      </c>
      <c r="E48" s="8">
        <f>SUMIF(Données!$B$15:$B$28,$A48,Données!$F$15:$F$28)</f>
        <v/>
      </c>
      <c r="F48" s="8">
        <f>SUMIF(Données!$B$15:$B$28,$A48,Données!$G$15:$G$28)</f>
        <v/>
      </c>
      <c r="G48" s="8">
        <f>SUMIF(Données!$B$15:$B$28,$A48,Données!$H$15:$H$28)</f>
        <v/>
      </c>
      <c r="H48" s="14">
        <f>E48/B48</f>
        <v/>
      </c>
      <c r="I48" s="14">
        <f>F48/C48</f>
        <v/>
      </c>
      <c r="J48" s="14">
        <f>G48/D48</f>
        <v/>
      </c>
    </row>
    <row r="49">
      <c r="A49" s="7" t="inlineStr">
        <is>
          <t>Pigier</t>
        </is>
      </c>
      <c r="B49" s="8">
        <f>SUMIF(Données!$B$15:$B$28,$A49,Données!$C$15:$C$28)</f>
        <v/>
      </c>
      <c r="C49" s="8">
        <f>SUMIF(Données!$B$15:$B$28,$A49,Données!$D$15:$D$28)</f>
        <v/>
      </c>
      <c r="D49" s="8">
        <f>SUMIF(Données!$B$15:$B$28,$A49,Données!$E$15:$E$28)</f>
        <v/>
      </c>
      <c r="E49" s="8">
        <f>SUMIF(Données!$B$15:$B$28,$A49,Données!$F$15:$F$28)</f>
        <v/>
      </c>
      <c r="F49" s="8">
        <f>SUMIF(Données!$B$15:$B$28,$A49,Données!$G$15:$G$28)</f>
        <v/>
      </c>
      <c r="G49" s="8">
        <f>SUMIF(Données!$B$15:$B$28,$A49,Données!$H$15:$H$28)</f>
        <v/>
      </c>
      <c r="H49" s="14">
        <f>E49/B49</f>
        <v/>
      </c>
      <c r="I49" s="14">
        <f>F49/C49</f>
        <v/>
      </c>
      <c r="J49" s="14">
        <f>G49/D49</f>
        <v/>
      </c>
    </row>
    <row r="50">
      <c r="A50" s="7" t="inlineStr">
        <is>
          <t>Tunon</t>
        </is>
      </c>
      <c r="B50" s="8">
        <f>SUMIF(Données!$B$15:$B$28,$A50,Données!$C$15:$C$28)</f>
        <v/>
      </c>
      <c r="C50" s="8">
        <f>SUMIF(Données!$B$15:$B$28,$A50,Données!$D$15:$D$28)</f>
        <v/>
      </c>
      <c r="D50" s="8">
        <f>SUMIF(Données!$B$15:$B$28,$A50,Données!$E$15:$E$28)</f>
        <v/>
      </c>
      <c r="E50" s="8">
        <f>SUMIF(Données!$B$15:$B$28,$A50,Données!$F$15:$F$28)</f>
        <v/>
      </c>
      <c r="F50" s="8">
        <f>SUMIF(Données!$B$15:$B$28,$A50,Données!$G$15:$G$28)</f>
        <v/>
      </c>
      <c r="G50" s="8">
        <f>SUMIF(Données!$B$15:$B$28,$A50,Données!$H$15:$H$28)</f>
        <v/>
      </c>
      <c r="H50" s="14">
        <f>E50/B50</f>
        <v/>
      </c>
      <c r="I50" s="14">
        <f>F50/C50</f>
        <v/>
      </c>
      <c r="J50" s="14">
        <f>G50/D50</f>
        <v/>
      </c>
    </row>
    <row r="52">
      <c r="A52" s="3" t="inlineStr">
        <is>
          <t>⑥ ZONE TECHNIQUE — séries des graphes (ne pas saisir)</t>
        </is>
      </c>
    </row>
    <row r="53">
      <c r="A53" s="4" t="inlineStr">
        <is>
          <t>Étape (waterfall)</t>
        </is>
      </c>
      <c r="B53" s="4" t="inlineStr">
        <is>
          <t>Socle</t>
        </is>
      </c>
      <c r="C53" s="4" t="inlineStr">
        <is>
          <t>Ancre</t>
        </is>
      </c>
      <c r="D53" s="4" t="inlineStr">
        <is>
          <t>Hausse</t>
        </is>
      </c>
      <c r="E53" s="4" t="inlineStr">
        <is>
          <t>Baisse</t>
        </is>
      </c>
    </row>
    <row r="54">
      <c r="A54" s="15" t="inlineStr">
        <is>
          <t>EBITDA 2025</t>
        </is>
      </c>
      <c r="B54" s="16" t="inlineStr">
        <is>
          <t>0</t>
        </is>
      </c>
      <c r="C54" s="16">
        <f>B37</f>
        <v/>
      </c>
      <c r="D54" s="16" t="inlineStr">
        <is>
          <t>0</t>
        </is>
      </c>
      <c r="E54" s="16" t="inlineStr">
        <is>
          <t>0</t>
        </is>
      </c>
    </row>
    <row r="55">
      <c r="A55" s="15" t="inlineStr">
        <is>
          <t>Activité</t>
        </is>
      </c>
      <c r="B55" s="16">
        <f>B37</f>
        <v/>
      </c>
      <c r="C55" s="16" t="inlineStr">
        <is>
          <t>0</t>
        </is>
      </c>
      <c r="D55" s="16">
        <f>B38</f>
        <v/>
      </c>
      <c r="E55" s="16" t="inlineStr">
        <is>
          <t>0</t>
        </is>
      </c>
    </row>
    <row r="56">
      <c r="A56" s="15" t="inlineStr">
        <is>
          <t>Prix / mix</t>
        </is>
      </c>
      <c r="B56" s="16">
        <f>B37+B38</f>
        <v/>
      </c>
      <c r="C56" s="16" t="inlineStr">
        <is>
          <t>0</t>
        </is>
      </c>
      <c r="D56" s="16">
        <f>B39</f>
        <v/>
      </c>
      <c r="E56" s="16" t="inlineStr">
        <is>
          <t>0</t>
        </is>
      </c>
    </row>
    <row r="57">
      <c r="A57" s="15" t="inlineStr">
        <is>
          <t>Coûts</t>
        </is>
      </c>
      <c r="B57" s="16">
        <f>B41</f>
        <v/>
      </c>
      <c r="C57" s="16" t="inlineStr">
        <is>
          <t>0</t>
        </is>
      </c>
      <c r="D57" s="16" t="inlineStr">
        <is>
          <t>0</t>
        </is>
      </c>
      <c r="E57" s="16">
        <f>B37+B38+B39-B41</f>
        <v/>
      </c>
    </row>
    <row r="58">
      <c r="A58" s="15" t="inlineStr">
        <is>
          <t>EBITDA 2026</t>
        </is>
      </c>
      <c r="B58" s="16" t="inlineStr">
        <is>
          <t>0</t>
        </is>
      </c>
      <c r="C58" s="16">
        <f>B41</f>
        <v/>
      </c>
      <c r="D58" s="16" t="inlineStr">
        <is>
          <t>0</t>
        </is>
      </c>
      <c r="E58" s="16" t="inlineStr">
        <is>
          <t>0</t>
        </is>
      </c>
    </row>
    <row r="61">
      <c r="A61" s="4" t="inlineStr">
        <is>
          <t>Exercice</t>
        </is>
      </c>
      <c r="B61" s="4" t="inlineStr">
        <is>
          <t>Dépenses (base 100)</t>
        </is>
      </c>
      <c r="C61" s="4" t="inlineStr">
        <is>
          <t>Inscrits (base 100)</t>
        </is>
      </c>
    </row>
    <row r="62">
      <c r="A62" s="17" t="n">
        <v>2024</v>
      </c>
      <c r="B62" s="18">
        <f>B32/$B$32*100</f>
        <v/>
      </c>
      <c r="C62" s="18">
        <f>B33/$B$33*100</f>
        <v/>
      </c>
    </row>
    <row r="63">
      <c r="A63" s="17" t="n">
        <v>2025</v>
      </c>
      <c r="B63" s="18">
        <f>C32/$B$32*100</f>
        <v/>
      </c>
      <c r="C63" s="18">
        <f>C33/$B$33*100</f>
        <v/>
      </c>
    </row>
    <row r="64">
      <c r="A64" s="17" t="n">
        <v>2026</v>
      </c>
      <c r="B64" s="18">
        <f>D32/$B$32*100</f>
        <v/>
      </c>
      <c r="C64" s="18">
        <f>D33/$B$33*100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7" customWidth="1" min="4" max="4"/>
    <col width="7" customWidth="1" min="5" max="5"/>
    <col width="6" customWidth="1" min="6" max="6"/>
    <col width="6" customWidth="1" min="7" max="7"/>
    <col width="7" customWidth="1" min="8" max="8"/>
    <col width="8" customWidth="1" min="9" max="9"/>
    <col width="8" customWidth="1" min="10" max="10"/>
    <col width="12" customWidth="1" min="11" max="11"/>
    <col width="12" customWidth="1" min="12" max="12"/>
    <col width="11" customWidth="1" min="13" max="13"/>
    <col width="11" customWidth="1" min="14" max="14"/>
    <col width="12" customWidth="1" min="15" max="15"/>
    <col width="12" customWidth="1" min="16" max="16"/>
    <col width="11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7" customWidth="1" min="23" max="23"/>
    <col width="6" customWidth="1" min="24" max="24"/>
  </cols>
  <sheetData>
    <row r="1" ht="24" customHeight="1">
      <c r="A1" s="1" t="inlineStr">
        <is>
          <t>② DONNÉES DU DRILL — grain COHORTE-CLASSE  (V_ALLOCATION / V_CAMPUS_CLASSE)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3">
      <c r="A3" s="3" t="inlineStr">
        <is>
          <t>Une ligne = une cohorte-classe. Tout remonte exactement au socle campus de l'onglet ①.</t>
        </is>
      </c>
    </row>
    <row r="4">
      <c r="A4" s="4" t="inlineStr">
        <is>
          <t>Marque</t>
        </is>
      </c>
      <c r="B4" s="4" t="inlineStr">
        <is>
          <t>Campus</t>
        </is>
      </c>
      <c r="C4" s="4" t="inlineStr">
        <is>
          <t>Programme</t>
        </is>
      </c>
      <c r="D4" s="4" t="inlineStr">
        <is>
          <t>Année</t>
        </is>
      </c>
      <c r="E4" s="4" t="inlineStr">
        <is>
          <t>Modalité</t>
        </is>
      </c>
      <c r="F4" s="4" t="inlineStr">
        <is>
          <t>Nb cl.</t>
        </is>
      </c>
      <c r="G4" s="4" t="inlineStr">
        <is>
          <t>Capa.</t>
        </is>
      </c>
      <c r="H4" s="4" t="inlineStr">
        <is>
          <t>Places</t>
        </is>
      </c>
      <c r="I4" s="4" t="inlineStr">
        <is>
          <t>Effectif 26</t>
        </is>
      </c>
      <c r="J4" s="4" t="inlineStr">
        <is>
          <t>Effectif 25</t>
        </is>
      </c>
      <c r="K4" s="4" t="inlineStr">
        <is>
          <t>CA 2025</t>
        </is>
      </c>
      <c r="L4" s="4" t="inlineStr">
        <is>
          <t>CA 2026</t>
        </is>
      </c>
      <c r="M4" s="4" t="inlineStr">
        <is>
          <t>Coût var. 25</t>
        </is>
      </c>
      <c r="N4" s="4" t="inlineStr">
        <is>
          <t>Coût var. 26</t>
        </is>
      </c>
      <c r="O4" s="4" t="inlineStr">
        <is>
          <t>Coût dir. 25</t>
        </is>
      </c>
      <c r="P4" s="4" t="inlineStr">
        <is>
          <t>Coût dir. 26</t>
        </is>
      </c>
      <c r="Q4" s="4" t="inlineStr">
        <is>
          <t>Coût siège</t>
        </is>
      </c>
      <c r="R4" s="4" t="inlineStr">
        <is>
          <t>EBITDA 2025</t>
        </is>
      </c>
      <c r="S4" s="4" t="inlineStr">
        <is>
          <t>EBITDA 2026</t>
        </is>
      </c>
      <c r="T4" s="4" t="inlineStr">
        <is>
          <t>Contribution</t>
        </is>
      </c>
      <c r="U4" s="4" t="inlineStr">
        <is>
          <t>Coût complet</t>
        </is>
      </c>
      <c r="V4" s="4" t="inlineStr">
        <is>
          <t>Marge complète</t>
        </is>
      </c>
      <c r="W4" s="4" t="inlineStr">
        <is>
          <t>Inclus</t>
        </is>
      </c>
      <c r="X4" s="4" t="inlineStr">
        <is>
          <t>Rang</t>
        </is>
      </c>
      <c r="Z4" s="19" t="inlineStr">
        <is>
          <t>— membres —</t>
        </is>
      </c>
      <c r="AH4" s="19" t="inlineStr">
        <is>
          <t>Marque</t>
        </is>
      </c>
      <c r="AI4" s="19" t="inlineStr">
        <is>
          <t>Campus</t>
        </is>
      </c>
      <c r="AJ4" s="19" t="inlineStr">
        <is>
          <t>Programme</t>
        </is>
      </c>
      <c r="AK4" s="19" t="inlineStr">
        <is>
          <t>Année d'étude</t>
        </is>
      </c>
      <c r="AL4" s="19" t="inlineStr">
        <is>
          <t>Modalité</t>
        </is>
      </c>
    </row>
    <row r="5">
      <c r="A5" s="20" t="inlineStr">
        <is>
          <t>MBway</t>
        </is>
      </c>
      <c r="B5" s="20" t="inlineStr">
        <is>
          <t>MBWAY_BOR</t>
        </is>
      </c>
      <c r="C5" s="20" t="inlineStr">
        <is>
          <t>BAC_MGT</t>
        </is>
      </c>
      <c r="D5" s="20" t="inlineStr">
        <is>
          <t>B1</t>
        </is>
      </c>
      <c r="E5" s="20" t="inlineStr">
        <is>
          <t>INIT</t>
        </is>
      </c>
      <c r="F5" s="21" t="n">
        <v>2</v>
      </c>
      <c r="G5" s="21" t="n">
        <v>32</v>
      </c>
      <c r="H5" s="21">
        <f>F5*G5</f>
        <v/>
      </c>
      <c r="I5" s="21" t="n">
        <v>51</v>
      </c>
      <c r="J5" s="21" t="n">
        <v>48</v>
      </c>
      <c r="K5" s="21" t="n">
        <v>347043</v>
      </c>
      <c r="L5" s="21" t="n">
        <v>374001</v>
      </c>
      <c r="M5" s="21" t="n">
        <v>16961</v>
      </c>
      <c r="N5" s="21" t="n">
        <v>18571</v>
      </c>
      <c r="O5" s="21" t="n">
        <v>275831</v>
      </c>
      <c r="P5" s="21" t="n">
        <v>293058</v>
      </c>
      <c r="Q5" s="21" t="n">
        <v>20536</v>
      </c>
      <c r="R5" s="21">
        <f>K5-M5-O5</f>
        <v/>
      </c>
      <c r="S5" s="21">
        <f>L5-N5-P5</f>
        <v/>
      </c>
      <c r="T5" s="21">
        <f>L5-N5</f>
        <v/>
      </c>
      <c r="U5" s="21">
        <f>N5+P5+Q5</f>
        <v/>
      </c>
      <c r="V5" s="21">
        <f>L5-U5</f>
        <v/>
      </c>
      <c r="W5" s="22">
        <f>IF(AND(OR(Drill!$C$6="(Tous)",$A5=Drill!$C$6),OR(Drill!$D$6="(Tous)",$B5=Drill!$D$6),OR(Drill!$E$6="(Tous)",$C5=Drill!$E$6),OR(Drill!$F$6="(Tous)",$D5=Drill!$F$6),OR(Drill!$G$6="(Tous)",$E5=Drill!$G$6)),1,0)</f>
        <v/>
      </c>
      <c r="X5" s="22">
        <f>IF(W5=1,SUM($W$5:W5),"")</f>
        <v/>
      </c>
      <c r="Z5" s="23" t="inlineStr">
        <is>
          <t>MBway</t>
        </is>
      </c>
      <c r="AA5" s="23" t="inlineStr">
        <is>
          <t>MBWAY_BOR</t>
        </is>
      </c>
      <c r="AB5" s="23" t="inlineStr">
        <is>
          <t>BAC_CCE</t>
        </is>
      </c>
      <c r="AC5" s="23" t="inlineStr">
        <is>
          <t>1</t>
        </is>
      </c>
      <c r="AD5" s="23" t="inlineStr">
        <is>
          <t>ALT</t>
        </is>
      </c>
      <c r="AF5" s="23" t="inlineStr">
        <is>
          <t>Marque</t>
        </is>
      </c>
      <c r="AH5" s="23" t="inlineStr">
        <is>
          <t>(Tous)</t>
        </is>
      </c>
      <c r="AI5" s="23" t="inlineStr">
        <is>
          <t>(Tous)</t>
        </is>
      </c>
      <c r="AJ5" s="23" t="inlineStr">
        <is>
          <t>(Tous)</t>
        </is>
      </c>
      <c r="AK5" s="23" t="inlineStr">
        <is>
          <t>(Tous)</t>
        </is>
      </c>
      <c r="AL5" s="23" t="inlineStr">
        <is>
          <t>(Tous)</t>
        </is>
      </c>
    </row>
    <row r="6">
      <c r="A6" s="20" t="inlineStr">
        <is>
          <t>MBway</t>
        </is>
      </c>
      <c r="B6" s="20" t="inlineStr">
        <is>
          <t>MBWAY_BOR</t>
        </is>
      </c>
      <c r="C6" s="20" t="inlineStr">
        <is>
          <t>BAC_MGT</t>
        </is>
      </c>
      <c r="D6" s="20" t="inlineStr">
        <is>
          <t>B2</t>
        </is>
      </c>
      <c r="E6" s="20" t="inlineStr">
        <is>
          <t>ALT</t>
        </is>
      </c>
      <c r="F6" s="21" t="n">
        <v>2</v>
      </c>
      <c r="G6" s="21" t="n">
        <v>32</v>
      </c>
      <c r="H6" s="21">
        <f>F6*G6</f>
        <v/>
      </c>
      <c r="I6" s="21" t="n">
        <v>50</v>
      </c>
      <c r="J6" s="21" t="n">
        <v>47</v>
      </c>
      <c r="K6" s="21" t="n">
        <v>314189</v>
      </c>
      <c r="L6" s="21" t="n">
        <v>338596</v>
      </c>
      <c r="M6" s="21" t="n">
        <v>16452</v>
      </c>
      <c r="N6" s="21" t="n">
        <v>18014</v>
      </c>
      <c r="O6" s="21" t="n">
        <v>275831</v>
      </c>
      <c r="P6" s="21" t="n">
        <v>293058</v>
      </c>
      <c r="Q6" s="21" t="n">
        <v>19920</v>
      </c>
      <c r="R6" s="21">
        <f>K6-M6-O6</f>
        <v/>
      </c>
      <c r="S6" s="21">
        <f>L6-N6-P6</f>
        <v/>
      </c>
      <c r="T6" s="21">
        <f>L6-N6</f>
        <v/>
      </c>
      <c r="U6" s="21">
        <f>N6+P6+Q6</f>
        <v/>
      </c>
      <c r="V6" s="21">
        <f>L6-U6</f>
        <v/>
      </c>
      <c r="W6" s="22">
        <f>IF(AND(OR(Drill!$C$6="(Tous)",$A6=Drill!$C$6),OR(Drill!$D$6="(Tous)",$B6=Drill!$D$6),OR(Drill!$E$6="(Tous)",$C6=Drill!$E$6),OR(Drill!$F$6="(Tous)",$D6=Drill!$F$6),OR(Drill!$G$6="(Tous)",$E6=Drill!$G$6)),1,0)</f>
        <v/>
      </c>
      <c r="X6" s="22">
        <f>IF(W6=1,SUM($W$5:W6),"")</f>
        <v/>
      </c>
      <c r="Z6" s="23" t="inlineStr">
        <is>
          <t>ISCOM</t>
        </is>
      </c>
      <c r="AA6" s="23" t="inlineStr">
        <is>
          <t>MBWAY_LYO</t>
        </is>
      </c>
      <c r="AB6" s="23" t="inlineStr">
        <is>
          <t>BAC_COM</t>
        </is>
      </c>
      <c r="AC6" s="23" t="inlineStr">
        <is>
          <t>2</t>
        </is>
      </c>
      <c r="AD6" s="23" t="inlineStr">
        <is>
          <t>INIT</t>
        </is>
      </c>
      <c r="AF6" s="23" t="inlineStr">
        <is>
          <t>Campus</t>
        </is>
      </c>
      <c r="AH6" s="23" t="inlineStr">
        <is>
          <t>MBway</t>
        </is>
      </c>
      <c r="AI6" s="23" t="inlineStr">
        <is>
          <t>MBWAY_BOR</t>
        </is>
      </c>
      <c r="AJ6" s="23" t="inlineStr">
        <is>
          <t>BAC_CCE</t>
        </is>
      </c>
      <c r="AK6" s="23" t="inlineStr">
        <is>
          <t>1</t>
        </is>
      </c>
      <c r="AL6" s="23" t="inlineStr">
        <is>
          <t>ALT</t>
        </is>
      </c>
    </row>
    <row r="7">
      <c r="A7" s="20" t="inlineStr">
        <is>
          <t>MBway</t>
        </is>
      </c>
      <c r="B7" s="20" t="inlineStr">
        <is>
          <t>MBWAY_BOR</t>
        </is>
      </c>
      <c r="C7" s="20" t="inlineStr">
        <is>
          <t>BAC_MGT</t>
        </is>
      </c>
      <c r="D7" s="20" t="inlineStr">
        <is>
          <t>B3</t>
        </is>
      </c>
      <c r="E7" s="20" t="inlineStr">
        <is>
          <t>ALT</t>
        </is>
      </c>
      <c r="F7" s="21" t="n">
        <v>2</v>
      </c>
      <c r="G7" s="21" t="n">
        <v>32</v>
      </c>
      <c r="H7" s="21">
        <f>F7*G7</f>
        <v/>
      </c>
      <c r="I7" s="21" t="n">
        <v>49</v>
      </c>
      <c r="J7" s="21" t="n">
        <v>46</v>
      </c>
      <c r="K7" s="21" t="n">
        <v>307906</v>
      </c>
      <c r="L7" s="21" t="n">
        <v>331824</v>
      </c>
      <c r="M7" s="21" t="n">
        <v>16123</v>
      </c>
      <c r="N7" s="21" t="n">
        <v>17654</v>
      </c>
      <c r="O7" s="21" t="n">
        <v>275831</v>
      </c>
      <c r="P7" s="21" t="n">
        <v>293058</v>
      </c>
      <c r="Q7" s="21" t="n">
        <v>19522</v>
      </c>
      <c r="R7" s="21">
        <f>K7-M7-O7</f>
        <v/>
      </c>
      <c r="S7" s="21">
        <f>L7-N7-P7</f>
        <v/>
      </c>
      <c r="T7" s="21">
        <f>L7-N7</f>
        <v/>
      </c>
      <c r="U7" s="21">
        <f>N7+P7+Q7</f>
        <v/>
      </c>
      <c r="V7" s="21">
        <f>L7-U7</f>
        <v/>
      </c>
      <c r="W7" s="22">
        <f>IF(AND(OR(Drill!$C$6="(Tous)",$A7=Drill!$C$6),OR(Drill!$D$6="(Tous)",$B7=Drill!$D$6),OR(Drill!$E$6="(Tous)",$C7=Drill!$E$6),OR(Drill!$F$6="(Tous)",$D7=Drill!$F$6),OR(Drill!$G$6="(Tous)",$E7=Drill!$G$6)),1,0)</f>
        <v/>
      </c>
      <c r="X7" s="22">
        <f>IF(W7=1,SUM($W$5:W7),"")</f>
        <v/>
      </c>
      <c r="Z7" s="23" t="inlineStr">
        <is>
          <t>Ipac</t>
        </is>
      </c>
      <c r="AA7" s="23" t="inlineStr">
        <is>
          <t>MBWAY_NAN</t>
        </is>
      </c>
      <c r="AB7" s="23" t="inlineStr">
        <is>
          <t>BAC_MGT</t>
        </is>
      </c>
      <c r="AC7" s="23" t="inlineStr">
        <is>
          <t>B1</t>
        </is>
      </c>
      <c r="AF7" s="23" t="inlineStr">
        <is>
          <t>Programme</t>
        </is>
      </c>
      <c r="AH7" s="23" t="inlineStr">
        <is>
          <t>ISCOM</t>
        </is>
      </c>
      <c r="AI7" s="23" t="inlineStr">
        <is>
          <t>MBWAY_LYO</t>
        </is>
      </c>
      <c r="AJ7" s="23" t="inlineStr">
        <is>
          <t>BAC_COM</t>
        </is>
      </c>
      <c r="AK7" s="23" t="inlineStr">
        <is>
          <t>2</t>
        </is>
      </c>
      <c r="AL7" s="23" t="inlineStr">
        <is>
          <t>INIT</t>
        </is>
      </c>
    </row>
    <row r="8">
      <c r="A8" s="20" t="inlineStr">
        <is>
          <t>MBway</t>
        </is>
      </c>
      <c r="B8" s="20" t="inlineStr">
        <is>
          <t>MBWAY_BOR</t>
        </is>
      </c>
      <c r="C8" s="20" t="inlineStr">
        <is>
          <t>MAS_MGT</t>
        </is>
      </c>
      <c r="D8" s="20" t="inlineStr">
        <is>
          <t>M1</t>
        </is>
      </c>
      <c r="E8" s="20" t="inlineStr">
        <is>
          <t>ALT</t>
        </is>
      </c>
      <c r="F8" s="21" t="n">
        <v>2</v>
      </c>
      <c r="G8" s="21" t="n">
        <v>26</v>
      </c>
      <c r="H8" s="21">
        <f>F8*G8</f>
        <v/>
      </c>
      <c r="I8" s="21" t="n">
        <v>51</v>
      </c>
      <c r="J8" s="21" t="n">
        <v>48</v>
      </c>
      <c r="K8" s="21" t="n">
        <v>347043</v>
      </c>
      <c r="L8" s="21" t="n">
        <v>374001</v>
      </c>
      <c r="M8" s="21" t="n">
        <v>16961</v>
      </c>
      <c r="N8" s="21" t="n">
        <v>18571</v>
      </c>
      <c r="O8" s="21" t="n">
        <v>238700</v>
      </c>
      <c r="P8" s="21" t="n">
        <v>253608</v>
      </c>
      <c r="Q8" s="21" t="n">
        <v>20536</v>
      </c>
      <c r="R8" s="21">
        <f>K8-M8-O8</f>
        <v/>
      </c>
      <c r="S8" s="21">
        <f>L8-N8-P8</f>
        <v/>
      </c>
      <c r="T8" s="21">
        <f>L8-N8</f>
        <v/>
      </c>
      <c r="U8" s="21">
        <f>N8+P8+Q8</f>
        <v/>
      </c>
      <c r="V8" s="21">
        <f>L8-U8</f>
        <v/>
      </c>
      <c r="W8" s="22">
        <f>IF(AND(OR(Drill!$C$6="(Tous)",$A8=Drill!$C$6),OR(Drill!$D$6="(Tous)",$B8=Drill!$D$6),OR(Drill!$E$6="(Tous)",$C8=Drill!$E$6),OR(Drill!$F$6="(Tous)",$D8=Drill!$F$6),OR(Drill!$G$6="(Tous)",$E8=Drill!$G$6)),1,0)</f>
        <v/>
      </c>
      <c r="X8" s="22">
        <f>IF(W8=1,SUM($W$5:W8),"")</f>
        <v/>
      </c>
      <c r="Z8" s="23" t="inlineStr">
        <is>
          <t>Pigier</t>
        </is>
      </c>
      <c r="AA8" s="23" t="inlineStr">
        <is>
          <t>MBWAY_PAR</t>
        </is>
      </c>
      <c r="AB8" s="23" t="inlineStr">
        <is>
          <t>BAC_RH</t>
        </is>
      </c>
      <c r="AC8" s="23" t="inlineStr">
        <is>
          <t>B2</t>
        </is>
      </c>
      <c r="AF8" s="23" t="inlineStr">
        <is>
          <t>Année d'étude</t>
        </is>
      </c>
      <c r="AH8" s="23" t="inlineStr">
        <is>
          <t>Ipac</t>
        </is>
      </c>
      <c r="AI8" s="23" t="inlineStr">
        <is>
          <t>MBWAY_NAN</t>
        </is>
      </c>
      <c r="AJ8" s="23" t="inlineStr">
        <is>
          <t>BAC_MGT</t>
        </is>
      </c>
      <c r="AK8" s="23" t="inlineStr">
        <is>
          <t>B1</t>
        </is>
      </c>
    </row>
    <row r="9">
      <c r="A9" s="20" t="inlineStr">
        <is>
          <t>MBway</t>
        </is>
      </c>
      <c r="B9" s="20" t="inlineStr">
        <is>
          <t>MBWAY_BOR</t>
        </is>
      </c>
      <c r="C9" s="20" t="inlineStr">
        <is>
          <t>MAS_MGT</t>
        </is>
      </c>
      <c r="D9" s="20" t="inlineStr">
        <is>
          <t>M2</t>
        </is>
      </c>
      <c r="E9" s="20" t="inlineStr">
        <is>
          <t>ALT</t>
        </is>
      </c>
      <c r="F9" s="21" t="n">
        <v>2</v>
      </c>
      <c r="G9" s="21" t="n">
        <v>26</v>
      </c>
      <c r="H9" s="21">
        <f>F9*G9</f>
        <v/>
      </c>
      <c r="I9" s="21" t="n">
        <v>50</v>
      </c>
      <c r="J9" s="21" t="n">
        <v>47</v>
      </c>
      <c r="K9" s="21" t="n">
        <v>340102</v>
      </c>
      <c r="L9" s="21" t="n">
        <v>366521</v>
      </c>
      <c r="M9" s="21" t="n">
        <v>16622</v>
      </c>
      <c r="N9" s="21" t="n">
        <v>18200</v>
      </c>
      <c r="O9" s="21" t="n">
        <v>238700</v>
      </c>
      <c r="P9" s="21" t="n">
        <v>253608</v>
      </c>
      <c r="Q9" s="21" t="n">
        <v>20125</v>
      </c>
      <c r="R9" s="21">
        <f>K9-M9-O9</f>
        <v/>
      </c>
      <c r="S9" s="21">
        <f>L9-N9-P9</f>
        <v/>
      </c>
      <c r="T9" s="21">
        <f>L9-N9</f>
        <v/>
      </c>
      <c r="U9" s="21">
        <f>N9+P9+Q9</f>
        <v/>
      </c>
      <c r="V9" s="21">
        <f>L9-U9</f>
        <v/>
      </c>
      <c r="W9" s="22">
        <f>IF(AND(OR(Drill!$C$6="(Tous)",$A9=Drill!$C$6),OR(Drill!$D$6="(Tous)",$B9=Drill!$D$6),OR(Drill!$E$6="(Tous)",$C9=Drill!$E$6),OR(Drill!$F$6="(Tous)",$D9=Drill!$F$6),OR(Drill!$G$6="(Tous)",$E9=Drill!$G$6)),1,0)</f>
        <v/>
      </c>
      <c r="X9" s="22">
        <f>IF(W9=1,SUM($W$5:W9),"")</f>
        <v/>
      </c>
      <c r="Z9" s="23" t="inlineStr">
        <is>
          <t>Tunon</t>
        </is>
      </c>
      <c r="AA9" s="23" t="inlineStr">
        <is>
          <t>ISCOM_LIL</t>
        </is>
      </c>
      <c r="AB9" s="23" t="inlineStr">
        <is>
          <t>BAC_TOU</t>
        </is>
      </c>
      <c r="AC9" s="23" t="inlineStr">
        <is>
          <t>B3</t>
        </is>
      </c>
      <c r="AF9" s="23" t="inlineStr">
        <is>
          <t>Modalité</t>
        </is>
      </c>
      <c r="AH9" s="23" t="inlineStr">
        <is>
          <t>Pigier</t>
        </is>
      </c>
      <c r="AI9" s="23" t="inlineStr">
        <is>
          <t>MBWAY_PAR</t>
        </is>
      </c>
      <c r="AJ9" s="23" t="inlineStr">
        <is>
          <t>BAC_RH</t>
        </is>
      </c>
      <c r="AK9" s="23" t="inlineStr">
        <is>
          <t>B2</t>
        </is>
      </c>
    </row>
    <row r="10">
      <c r="A10" s="20" t="inlineStr">
        <is>
          <t>MBway</t>
        </is>
      </c>
      <c r="B10" s="20" t="inlineStr">
        <is>
          <t>MBWAY_LYO</t>
        </is>
      </c>
      <c r="C10" s="20" t="inlineStr">
        <is>
          <t>BAC_MGT</t>
        </is>
      </c>
      <c r="D10" s="20" t="inlineStr">
        <is>
          <t>B1</t>
        </is>
      </c>
      <c r="E10" s="20" t="inlineStr">
        <is>
          <t>INIT</t>
        </is>
      </c>
      <c r="F10" s="21" t="n">
        <v>3</v>
      </c>
      <c r="G10" s="21" t="n">
        <v>32</v>
      </c>
      <c r="H10" s="21">
        <f>F10*G10</f>
        <v/>
      </c>
      <c r="I10" s="21" t="n">
        <v>66</v>
      </c>
      <c r="J10" s="21" t="n">
        <v>62</v>
      </c>
      <c r="K10" s="21" t="n">
        <v>486154</v>
      </c>
      <c r="L10" s="21" t="n">
        <v>523919</v>
      </c>
      <c r="M10" s="21" t="n">
        <v>21949</v>
      </c>
      <c r="N10" s="21" t="n">
        <v>24033</v>
      </c>
      <c r="O10" s="21" t="n">
        <v>412295</v>
      </c>
      <c r="P10" s="21" t="n">
        <v>438033</v>
      </c>
      <c r="Q10" s="21" t="n">
        <v>26576</v>
      </c>
      <c r="R10" s="21">
        <f>K10-M10-O10</f>
        <v/>
      </c>
      <c r="S10" s="21">
        <f>L10-N10-P10</f>
        <v/>
      </c>
      <c r="T10" s="21">
        <f>L10-N10</f>
        <v/>
      </c>
      <c r="U10" s="21">
        <f>N10+P10+Q10</f>
        <v/>
      </c>
      <c r="V10" s="21">
        <f>L10-U10</f>
        <v/>
      </c>
      <c r="W10" s="22">
        <f>IF(AND(OR(Drill!$C$6="(Tous)",$A10=Drill!$C$6),OR(Drill!$D$6="(Tous)",$B10=Drill!$D$6),OR(Drill!$E$6="(Tous)",$C10=Drill!$E$6),OR(Drill!$F$6="(Tous)",$D10=Drill!$F$6),OR(Drill!$G$6="(Tous)",$E10=Drill!$G$6)),1,0)</f>
        <v/>
      </c>
      <c r="X10" s="22">
        <f>IF(W10=1,SUM($W$5:W10),"")</f>
        <v/>
      </c>
      <c r="AA10" s="23" t="inlineStr">
        <is>
          <t>ISCOM_PAR</t>
        </is>
      </c>
      <c r="AB10" s="23" t="inlineStr">
        <is>
          <t>BTS_GES</t>
        </is>
      </c>
      <c r="AC10" s="23" t="inlineStr">
        <is>
          <t>M1</t>
        </is>
      </c>
      <c r="AH10" s="23" t="inlineStr">
        <is>
          <t>Tunon</t>
        </is>
      </c>
      <c r="AI10" s="23" t="inlineStr">
        <is>
          <t>ISCOM_LIL</t>
        </is>
      </c>
      <c r="AJ10" s="23" t="inlineStr">
        <is>
          <t>BAC_TOU</t>
        </is>
      </c>
      <c r="AK10" s="23" t="inlineStr">
        <is>
          <t>B3</t>
        </is>
      </c>
    </row>
    <row r="11">
      <c r="A11" s="20" t="inlineStr">
        <is>
          <t>MBway</t>
        </is>
      </c>
      <c r="B11" s="20" t="inlineStr">
        <is>
          <t>MBWAY_LYO</t>
        </is>
      </c>
      <c r="C11" s="20" t="inlineStr">
        <is>
          <t>BAC_MGT</t>
        </is>
      </c>
      <c r="D11" s="20" t="inlineStr">
        <is>
          <t>B2</t>
        </is>
      </c>
      <c r="E11" s="20" t="inlineStr">
        <is>
          <t>ALT</t>
        </is>
      </c>
      <c r="F11" s="21" t="n">
        <v>3</v>
      </c>
      <c r="G11" s="21" t="n">
        <v>32</v>
      </c>
      <c r="H11" s="21">
        <f>F11*G11</f>
        <v/>
      </c>
      <c r="I11" s="21" t="n">
        <v>64</v>
      </c>
      <c r="J11" s="21" t="n">
        <v>60</v>
      </c>
      <c r="K11" s="21" t="n">
        <v>440132</v>
      </c>
      <c r="L11" s="21" t="n">
        <v>474321</v>
      </c>
      <c r="M11" s="21" t="n">
        <v>21291</v>
      </c>
      <c r="N11" s="21" t="n">
        <v>23312</v>
      </c>
      <c r="O11" s="21" t="n">
        <v>412295</v>
      </c>
      <c r="P11" s="21" t="n">
        <v>438033</v>
      </c>
      <c r="Q11" s="21" t="n">
        <v>25779</v>
      </c>
      <c r="R11" s="21">
        <f>K11-M11-O11</f>
        <v/>
      </c>
      <c r="S11" s="21">
        <f>L11-N11-P11</f>
        <v/>
      </c>
      <c r="T11" s="21">
        <f>L11-N11</f>
        <v/>
      </c>
      <c r="U11" s="21">
        <f>N11+P11+Q11</f>
        <v/>
      </c>
      <c r="V11" s="21">
        <f>L11-U11</f>
        <v/>
      </c>
      <c r="W11" s="22">
        <f>IF(AND(OR(Drill!$C$6="(Tous)",$A11=Drill!$C$6),OR(Drill!$D$6="(Tous)",$B11=Drill!$D$6),OR(Drill!$E$6="(Tous)",$C11=Drill!$E$6),OR(Drill!$F$6="(Tous)",$D11=Drill!$F$6),OR(Drill!$G$6="(Tous)",$E11=Drill!$G$6)),1,0)</f>
        <v/>
      </c>
      <c r="X11" s="22">
        <f>IF(W11=1,SUM($W$5:W11),"")</f>
        <v/>
      </c>
      <c r="AA11" s="23" t="inlineStr">
        <is>
          <t>ISCOM_TLS</t>
        </is>
      </c>
      <c r="AB11" s="23" t="inlineStr">
        <is>
          <t>MAS_COM</t>
        </is>
      </c>
      <c r="AC11" s="23" t="inlineStr">
        <is>
          <t>M2</t>
        </is>
      </c>
      <c r="AI11" s="23" t="inlineStr">
        <is>
          <t>ISCOM_PAR</t>
        </is>
      </c>
      <c r="AJ11" s="23" t="inlineStr">
        <is>
          <t>BTS_GES</t>
        </is>
      </c>
      <c r="AK11" s="23" t="inlineStr">
        <is>
          <t>M1</t>
        </is>
      </c>
    </row>
    <row r="12">
      <c r="A12" s="20" t="inlineStr">
        <is>
          <t>MBway</t>
        </is>
      </c>
      <c r="B12" s="20" t="inlineStr">
        <is>
          <t>MBWAY_LYO</t>
        </is>
      </c>
      <c r="C12" s="20" t="inlineStr">
        <is>
          <t>BAC_MGT</t>
        </is>
      </c>
      <c r="D12" s="20" t="inlineStr">
        <is>
          <t>B3</t>
        </is>
      </c>
      <c r="E12" s="20" t="inlineStr">
        <is>
          <t>ALT</t>
        </is>
      </c>
      <c r="F12" s="21" t="n">
        <v>2</v>
      </c>
      <c r="G12" s="21" t="n">
        <v>32</v>
      </c>
      <c r="H12" s="21">
        <f>F12*G12</f>
        <v/>
      </c>
      <c r="I12" s="21" t="n">
        <v>63</v>
      </c>
      <c r="J12" s="21" t="n">
        <v>59</v>
      </c>
      <c r="K12" s="21" t="n">
        <v>431329</v>
      </c>
      <c r="L12" s="21" t="n">
        <v>464835</v>
      </c>
      <c r="M12" s="21" t="n">
        <v>20865</v>
      </c>
      <c r="N12" s="21" t="n">
        <v>22846</v>
      </c>
      <c r="O12" s="21" t="n">
        <v>274863</v>
      </c>
      <c r="P12" s="21" t="n">
        <v>292022</v>
      </c>
      <c r="Q12" s="21" t="n">
        <v>25263</v>
      </c>
      <c r="R12" s="21">
        <f>K12-M12-O12</f>
        <v/>
      </c>
      <c r="S12" s="21">
        <f>L12-N12-P12</f>
        <v/>
      </c>
      <c r="T12" s="21">
        <f>L12-N12</f>
        <v/>
      </c>
      <c r="U12" s="21">
        <f>N12+P12+Q12</f>
        <v/>
      </c>
      <c r="V12" s="21">
        <f>L12-U12</f>
        <v/>
      </c>
      <c r="W12" s="22">
        <f>IF(AND(OR(Drill!$C$6="(Tous)",$A12=Drill!$C$6),OR(Drill!$D$6="(Tous)",$B12=Drill!$D$6),OR(Drill!$E$6="(Tous)",$C12=Drill!$E$6),OR(Drill!$F$6="(Tous)",$D12=Drill!$F$6),OR(Drill!$G$6="(Tous)",$E12=Drill!$G$6)),1,0)</f>
        <v/>
      </c>
      <c r="X12" s="22">
        <f>IF(W12=1,SUM($W$5:W12),"")</f>
        <v/>
      </c>
      <c r="AA12" s="23" t="inlineStr">
        <is>
          <t>IPAC_MTP</t>
        </is>
      </c>
      <c r="AB12" s="23" t="inlineStr">
        <is>
          <t>MAS_MGT</t>
        </is>
      </c>
      <c r="AI12" s="23" t="inlineStr">
        <is>
          <t>ISCOM_TLS</t>
        </is>
      </c>
      <c r="AJ12" s="23" t="inlineStr">
        <is>
          <t>MAS_COM</t>
        </is>
      </c>
      <c r="AK12" s="23" t="inlineStr">
        <is>
          <t>M2</t>
        </is>
      </c>
    </row>
    <row r="13">
      <c r="A13" s="20" t="inlineStr">
        <is>
          <t>MBway</t>
        </is>
      </c>
      <c r="B13" s="20" t="inlineStr">
        <is>
          <t>MBWAY_LYO</t>
        </is>
      </c>
      <c r="C13" s="20" t="inlineStr">
        <is>
          <t>MAS_MGT</t>
        </is>
      </c>
      <c r="D13" s="20" t="inlineStr">
        <is>
          <t>M1</t>
        </is>
      </c>
      <c r="E13" s="20" t="inlineStr">
        <is>
          <t>ALT</t>
        </is>
      </c>
      <c r="F13" s="21" t="n">
        <v>3</v>
      </c>
      <c r="G13" s="21" t="n">
        <v>26</v>
      </c>
      <c r="H13" s="21">
        <f>F13*G13</f>
        <v/>
      </c>
      <c r="I13" s="21" t="n">
        <v>66</v>
      </c>
      <c r="J13" s="21" t="n">
        <v>62</v>
      </c>
      <c r="K13" s="21" t="n">
        <v>486154</v>
      </c>
      <c r="L13" s="21" t="n">
        <v>523919</v>
      </c>
      <c r="M13" s="21" t="n">
        <v>21949</v>
      </c>
      <c r="N13" s="21" t="n">
        <v>24033</v>
      </c>
      <c r="O13" s="21" t="n">
        <v>356794</v>
      </c>
      <c r="P13" s="21" t="n">
        <v>379067</v>
      </c>
      <c r="Q13" s="21" t="n">
        <v>26576</v>
      </c>
      <c r="R13" s="21">
        <f>K13-M13-O13</f>
        <v/>
      </c>
      <c r="S13" s="21">
        <f>L13-N13-P13</f>
        <v/>
      </c>
      <c r="T13" s="21">
        <f>L13-N13</f>
        <v/>
      </c>
      <c r="U13" s="21">
        <f>N13+P13+Q13</f>
        <v/>
      </c>
      <c r="V13" s="21">
        <f>L13-U13</f>
        <v/>
      </c>
      <c r="W13" s="22">
        <f>IF(AND(OR(Drill!$C$6="(Tous)",$A13=Drill!$C$6),OR(Drill!$D$6="(Tous)",$B13=Drill!$D$6),OR(Drill!$E$6="(Tous)",$C13=Drill!$E$6),OR(Drill!$F$6="(Tous)",$D13=Drill!$F$6),OR(Drill!$G$6="(Tous)",$E13=Drill!$G$6)),1,0)</f>
        <v/>
      </c>
      <c r="X13" s="22">
        <f>IF(W13=1,SUM($W$5:W13),"")</f>
        <v/>
      </c>
      <c r="AA13" s="23" t="inlineStr">
        <is>
          <t>IPAC_NAN</t>
        </is>
      </c>
      <c r="AI13" s="23" t="inlineStr">
        <is>
          <t>IPAC_MTP</t>
        </is>
      </c>
      <c r="AJ13" s="23" t="inlineStr">
        <is>
          <t>MAS_MGT</t>
        </is>
      </c>
    </row>
    <row r="14">
      <c r="A14" s="20" t="inlineStr">
        <is>
          <t>MBway</t>
        </is>
      </c>
      <c r="B14" s="20" t="inlineStr">
        <is>
          <t>MBWAY_LYO</t>
        </is>
      </c>
      <c r="C14" s="20" t="inlineStr">
        <is>
          <t>MAS_MGT</t>
        </is>
      </c>
      <c r="D14" s="20" t="inlineStr">
        <is>
          <t>M2</t>
        </is>
      </c>
      <c r="E14" s="20" t="inlineStr">
        <is>
          <t>ALT</t>
        </is>
      </c>
      <c r="F14" s="21" t="n">
        <v>3</v>
      </c>
      <c r="G14" s="21" t="n">
        <v>26</v>
      </c>
      <c r="H14" s="21">
        <f>F14*G14</f>
        <v/>
      </c>
      <c r="I14" s="21" t="n">
        <v>65</v>
      </c>
      <c r="J14" s="21" t="n">
        <v>61</v>
      </c>
      <c r="K14" s="21" t="n">
        <v>476431</v>
      </c>
      <c r="L14" s="21" t="n">
        <v>513440</v>
      </c>
      <c r="M14" s="21" t="n">
        <v>21510</v>
      </c>
      <c r="N14" s="21" t="n">
        <v>23552</v>
      </c>
      <c r="O14" s="21" t="n">
        <v>356794</v>
      </c>
      <c r="P14" s="21" t="n">
        <v>379067</v>
      </c>
      <c r="Q14" s="21" t="n">
        <v>26045</v>
      </c>
      <c r="R14" s="21">
        <f>K14-M14-O14</f>
        <v/>
      </c>
      <c r="S14" s="21">
        <f>L14-N14-P14</f>
        <v/>
      </c>
      <c r="T14" s="21">
        <f>L14-N14</f>
        <v/>
      </c>
      <c r="U14" s="21">
        <f>N14+P14+Q14</f>
        <v/>
      </c>
      <c r="V14" s="21">
        <f>L14-U14</f>
        <v/>
      </c>
      <c r="W14" s="22">
        <f>IF(AND(OR(Drill!$C$6="(Tous)",$A14=Drill!$C$6),OR(Drill!$D$6="(Tous)",$B14=Drill!$D$6),OR(Drill!$E$6="(Tous)",$C14=Drill!$E$6),OR(Drill!$F$6="(Tous)",$D14=Drill!$F$6),OR(Drill!$G$6="(Tous)",$E14=Drill!$G$6)),1,0)</f>
        <v/>
      </c>
      <c r="X14" s="22">
        <f>IF(W14=1,SUM($W$5:W14),"")</f>
        <v/>
      </c>
      <c r="AA14" s="23" t="inlineStr">
        <is>
          <t>IPAC_REN</t>
        </is>
      </c>
      <c r="AI14" s="23" t="inlineStr">
        <is>
          <t>IPAC_NAN</t>
        </is>
      </c>
    </row>
    <row r="15">
      <c r="A15" s="20" t="inlineStr">
        <is>
          <t>MBway</t>
        </is>
      </c>
      <c r="B15" s="20" t="inlineStr">
        <is>
          <t>MBWAY_NAN</t>
        </is>
      </c>
      <c r="C15" s="20" t="inlineStr">
        <is>
          <t>BAC_MGT</t>
        </is>
      </c>
      <c r="D15" s="20" t="inlineStr">
        <is>
          <t>B1</t>
        </is>
      </c>
      <c r="E15" s="20" t="inlineStr">
        <is>
          <t>INIT</t>
        </is>
      </c>
      <c r="F15" s="21" t="n">
        <v>2</v>
      </c>
      <c r="G15" s="21" t="n">
        <v>32</v>
      </c>
      <c r="H15" s="21">
        <f>F15*G15</f>
        <v/>
      </c>
      <c r="I15" s="21" t="n">
        <v>60</v>
      </c>
      <c r="J15" s="21" t="n">
        <v>57</v>
      </c>
      <c r="K15" s="21" t="n">
        <v>420913</v>
      </c>
      <c r="L15" s="21" t="n">
        <v>453609</v>
      </c>
      <c r="M15" s="21" t="n">
        <v>19954</v>
      </c>
      <c r="N15" s="21" t="n">
        <v>21848</v>
      </c>
      <c r="O15" s="21" t="n">
        <v>281142</v>
      </c>
      <c r="P15" s="21" t="n">
        <v>298687</v>
      </c>
      <c r="Q15" s="21" t="n">
        <v>24160</v>
      </c>
      <c r="R15" s="21">
        <f>K15-M15-O15</f>
        <v/>
      </c>
      <c r="S15" s="21">
        <f>L15-N15-P15</f>
        <v/>
      </c>
      <c r="T15" s="21">
        <f>L15-N15</f>
        <v/>
      </c>
      <c r="U15" s="21">
        <f>N15+P15+Q15</f>
        <v/>
      </c>
      <c r="V15" s="21">
        <f>L15-U15</f>
        <v/>
      </c>
      <c r="W15" s="22">
        <f>IF(AND(OR(Drill!$C$6="(Tous)",$A15=Drill!$C$6),OR(Drill!$D$6="(Tous)",$B15=Drill!$D$6),OR(Drill!$E$6="(Tous)",$C15=Drill!$E$6),OR(Drill!$F$6="(Tous)",$D15=Drill!$F$6),OR(Drill!$G$6="(Tous)",$E15=Drill!$G$6)),1,0)</f>
        <v/>
      </c>
      <c r="X15" s="22">
        <f>IF(W15=1,SUM($W$5:W15),"")</f>
        <v/>
      </c>
      <c r="AA15" s="23" t="inlineStr">
        <is>
          <t>PIGIER_BOR</t>
        </is>
      </c>
      <c r="AI15" s="23" t="inlineStr">
        <is>
          <t>IPAC_REN</t>
        </is>
      </c>
    </row>
    <row r="16">
      <c r="A16" s="20" t="inlineStr">
        <is>
          <t>MBway</t>
        </is>
      </c>
      <c r="B16" s="20" t="inlineStr">
        <is>
          <t>MBWAY_NAN</t>
        </is>
      </c>
      <c r="C16" s="20" t="inlineStr">
        <is>
          <t>BAC_MGT</t>
        </is>
      </c>
      <c r="D16" s="20" t="inlineStr">
        <is>
          <t>B2</t>
        </is>
      </c>
      <c r="E16" s="20" t="inlineStr">
        <is>
          <t>ALT</t>
        </is>
      </c>
      <c r="F16" s="21" t="n">
        <v>2</v>
      </c>
      <c r="G16" s="21" t="n">
        <v>32</v>
      </c>
      <c r="H16" s="21">
        <f>F16*G16</f>
        <v/>
      </c>
      <c r="I16" s="21" t="n">
        <v>59</v>
      </c>
      <c r="J16" s="21" t="n">
        <v>55</v>
      </c>
      <c r="K16" s="21" t="n">
        <v>381067</v>
      </c>
      <c r="L16" s="21" t="n">
        <v>410668</v>
      </c>
      <c r="M16" s="21" t="n">
        <v>19355</v>
      </c>
      <c r="N16" s="21" t="n">
        <v>21193</v>
      </c>
      <c r="O16" s="21" t="n">
        <v>281142</v>
      </c>
      <c r="P16" s="21" t="n">
        <v>298687</v>
      </c>
      <c r="Q16" s="21" t="n">
        <v>23435</v>
      </c>
      <c r="R16" s="21">
        <f>K16-M16-O16</f>
        <v/>
      </c>
      <c r="S16" s="21">
        <f>L16-N16-P16</f>
        <v/>
      </c>
      <c r="T16" s="21">
        <f>L16-N16</f>
        <v/>
      </c>
      <c r="U16" s="21">
        <f>N16+P16+Q16</f>
        <v/>
      </c>
      <c r="V16" s="21">
        <f>L16-U16</f>
        <v/>
      </c>
      <c r="W16" s="22">
        <f>IF(AND(OR(Drill!$C$6="(Tous)",$A16=Drill!$C$6),OR(Drill!$D$6="(Tous)",$B16=Drill!$D$6),OR(Drill!$E$6="(Tous)",$C16=Drill!$E$6),OR(Drill!$F$6="(Tous)",$D16=Drill!$F$6),OR(Drill!$G$6="(Tous)",$E16=Drill!$G$6)),1,0)</f>
        <v/>
      </c>
      <c r="X16" s="22">
        <f>IF(W16=1,SUM($W$5:W16),"")</f>
        <v/>
      </c>
      <c r="AA16" s="23" t="inlineStr">
        <is>
          <t>PIGIER_LYO</t>
        </is>
      </c>
      <c r="AI16" s="23" t="inlineStr">
        <is>
          <t>PIGIER_BOR</t>
        </is>
      </c>
    </row>
    <row r="17">
      <c r="A17" s="20" t="inlineStr">
        <is>
          <t>MBway</t>
        </is>
      </c>
      <c r="B17" s="20" t="inlineStr">
        <is>
          <t>MBWAY_NAN</t>
        </is>
      </c>
      <c r="C17" s="20" t="inlineStr">
        <is>
          <t>BAC_MGT</t>
        </is>
      </c>
      <c r="D17" s="20" t="inlineStr">
        <is>
          <t>B3</t>
        </is>
      </c>
      <c r="E17" s="20" t="inlineStr">
        <is>
          <t>ALT</t>
        </is>
      </c>
      <c r="F17" s="21" t="n">
        <v>2</v>
      </c>
      <c r="G17" s="21" t="n">
        <v>32</v>
      </c>
      <c r="H17" s="21">
        <f>F17*G17</f>
        <v/>
      </c>
      <c r="I17" s="21" t="n">
        <v>57</v>
      </c>
      <c r="J17" s="21" t="n">
        <v>54</v>
      </c>
      <c r="K17" s="21" t="n">
        <v>373445</v>
      </c>
      <c r="L17" s="21" t="n">
        <v>402454</v>
      </c>
      <c r="M17" s="21" t="n">
        <v>18968</v>
      </c>
      <c r="N17" s="21" t="n">
        <v>20769</v>
      </c>
      <c r="O17" s="21" t="n">
        <v>281142</v>
      </c>
      <c r="P17" s="21" t="n">
        <v>298687</v>
      </c>
      <c r="Q17" s="21" t="n">
        <v>22967</v>
      </c>
      <c r="R17" s="21">
        <f>K17-M17-O17</f>
        <v/>
      </c>
      <c r="S17" s="21">
        <f>L17-N17-P17</f>
        <v/>
      </c>
      <c r="T17" s="21">
        <f>L17-N17</f>
        <v/>
      </c>
      <c r="U17" s="21">
        <f>N17+P17+Q17</f>
        <v/>
      </c>
      <c r="V17" s="21">
        <f>L17-U17</f>
        <v/>
      </c>
      <c r="W17" s="22">
        <f>IF(AND(OR(Drill!$C$6="(Tous)",$A17=Drill!$C$6),OR(Drill!$D$6="(Tous)",$B17=Drill!$D$6),OR(Drill!$E$6="(Tous)",$C17=Drill!$E$6),OR(Drill!$F$6="(Tous)",$D17=Drill!$F$6),OR(Drill!$G$6="(Tous)",$E17=Drill!$G$6)),1,0)</f>
        <v/>
      </c>
      <c r="X17" s="22">
        <f>IF(W17=1,SUM($W$5:W17),"")</f>
        <v/>
      </c>
      <c r="AA17" s="23" t="inlineStr">
        <is>
          <t>TUNON_LYO</t>
        </is>
      </c>
      <c r="AI17" s="23" t="inlineStr">
        <is>
          <t>PIGIER_LYO</t>
        </is>
      </c>
    </row>
    <row r="18">
      <c r="A18" s="20" t="inlineStr">
        <is>
          <t>MBway</t>
        </is>
      </c>
      <c r="B18" s="20" t="inlineStr">
        <is>
          <t>MBWAY_NAN</t>
        </is>
      </c>
      <c r="C18" s="20" t="inlineStr">
        <is>
          <t>MAS_MGT</t>
        </is>
      </c>
      <c r="D18" s="20" t="inlineStr">
        <is>
          <t>M1</t>
        </is>
      </c>
      <c r="E18" s="20" t="inlineStr">
        <is>
          <t>ALT</t>
        </is>
      </c>
      <c r="F18" s="21" t="n">
        <v>3</v>
      </c>
      <c r="G18" s="21" t="n">
        <v>26</v>
      </c>
      <c r="H18" s="21">
        <f>F18*G18</f>
        <v/>
      </c>
      <c r="I18" s="21" t="n">
        <v>60</v>
      </c>
      <c r="J18" s="21" t="n">
        <v>57</v>
      </c>
      <c r="K18" s="21" t="n">
        <v>420913</v>
      </c>
      <c r="L18" s="21" t="n">
        <v>453609</v>
      </c>
      <c r="M18" s="21" t="n">
        <v>19954</v>
      </c>
      <c r="N18" s="21" t="n">
        <v>21848</v>
      </c>
      <c r="O18" s="21" t="n">
        <v>364944</v>
      </c>
      <c r="P18" s="21" t="n">
        <v>387718</v>
      </c>
      <c r="Q18" s="21" t="n">
        <v>24160</v>
      </c>
      <c r="R18" s="21">
        <f>K18-M18-O18</f>
        <v/>
      </c>
      <c r="S18" s="21">
        <f>L18-N18-P18</f>
        <v/>
      </c>
      <c r="T18" s="21">
        <f>L18-N18</f>
        <v/>
      </c>
      <c r="U18" s="21">
        <f>N18+P18+Q18</f>
        <v/>
      </c>
      <c r="V18" s="21">
        <f>L18-U18</f>
        <v/>
      </c>
      <c r="W18" s="22">
        <f>IF(AND(OR(Drill!$C$6="(Tous)",$A18=Drill!$C$6),OR(Drill!$D$6="(Tous)",$B18=Drill!$D$6),OR(Drill!$E$6="(Tous)",$C18=Drill!$E$6),OR(Drill!$F$6="(Tous)",$D18=Drill!$F$6),OR(Drill!$G$6="(Tous)",$E18=Drill!$G$6)),1,0)</f>
        <v/>
      </c>
      <c r="X18" s="22">
        <f>IF(W18=1,SUM($W$5:W18),"")</f>
        <v/>
      </c>
      <c r="AA18" s="23" t="inlineStr">
        <is>
          <t>TUNON_PAR</t>
        </is>
      </c>
      <c r="AI18" s="23" t="inlineStr">
        <is>
          <t>TUNON_LYO</t>
        </is>
      </c>
    </row>
    <row r="19">
      <c r="A19" s="20" t="inlineStr">
        <is>
          <t>MBway</t>
        </is>
      </c>
      <c r="B19" s="20" t="inlineStr">
        <is>
          <t>MBWAY_NAN</t>
        </is>
      </c>
      <c r="C19" s="20" t="inlineStr">
        <is>
          <t>MAS_MGT</t>
        </is>
      </c>
      <c r="D19" s="20" t="inlineStr">
        <is>
          <t>M2</t>
        </is>
      </c>
      <c r="E19" s="20" t="inlineStr">
        <is>
          <t>ALT</t>
        </is>
      </c>
      <c r="F19" s="21" t="n">
        <v>3</v>
      </c>
      <c r="G19" s="21" t="n">
        <v>26</v>
      </c>
      <c r="H19" s="21">
        <f>F19*G19</f>
        <v/>
      </c>
      <c r="I19" s="21" t="n">
        <v>59</v>
      </c>
      <c r="J19" s="21" t="n">
        <v>56</v>
      </c>
      <c r="K19" s="21" t="n">
        <v>412495</v>
      </c>
      <c r="L19" s="21" t="n">
        <v>444537</v>
      </c>
      <c r="M19" s="21" t="n">
        <v>19555</v>
      </c>
      <c r="N19" s="21" t="n">
        <v>21411</v>
      </c>
      <c r="O19" s="21" t="n">
        <v>364944</v>
      </c>
      <c r="P19" s="21" t="n">
        <v>387718</v>
      </c>
      <c r="Q19" s="21" t="n">
        <v>23677</v>
      </c>
      <c r="R19" s="21">
        <f>K19-M19-O19</f>
        <v/>
      </c>
      <c r="S19" s="21">
        <f>L19-N19-P19</f>
        <v/>
      </c>
      <c r="T19" s="21">
        <f>L19-N19</f>
        <v/>
      </c>
      <c r="U19" s="21">
        <f>N19+P19+Q19</f>
        <v/>
      </c>
      <c r="V19" s="21">
        <f>L19-U19</f>
        <v/>
      </c>
      <c r="W19" s="22">
        <f>IF(AND(OR(Drill!$C$6="(Tous)",$A19=Drill!$C$6),OR(Drill!$D$6="(Tous)",$B19=Drill!$D$6),OR(Drill!$E$6="(Tous)",$C19=Drill!$E$6),OR(Drill!$F$6="(Tous)",$D19=Drill!$F$6),OR(Drill!$G$6="(Tous)",$E19=Drill!$G$6)),1,0)</f>
        <v/>
      </c>
      <c r="X19" s="22">
        <f>IF(W19=1,SUM($W$5:W19),"")</f>
        <v/>
      </c>
      <c r="AI19" s="23" t="inlineStr">
        <is>
          <t>TUNON_PAR</t>
        </is>
      </c>
    </row>
    <row r="20">
      <c r="A20" s="20" t="inlineStr">
        <is>
          <t>MBway</t>
        </is>
      </c>
      <c r="B20" s="20" t="inlineStr">
        <is>
          <t>MBWAY_PAR</t>
        </is>
      </c>
      <c r="C20" s="20" t="inlineStr">
        <is>
          <t>BAC_MGT</t>
        </is>
      </c>
      <c r="D20" s="20" t="inlineStr">
        <is>
          <t>B1</t>
        </is>
      </c>
      <c r="E20" s="20" t="inlineStr">
        <is>
          <t>INIT</t>
        </is>
      </c>
      <c r="F20" s="21" t="n">
        <v>3</v>
      </c>
      <c r="G20" s="21" t="n">
        <v>32</v>
      </c>
      <c r="H20" s="21">
        <f>F20*G20</f>
        <v/>
      </c>
      <c r="I20" s="21" t="n">
        <v>78</v>
      </c>
      <c r="J20" s="21" t="n">
        <v>74</v>
      </c>
      <c r="K20" s="21" t="n">
        <v>612849</v>
      </c>
      <c r="L20" s="21" t="n">
        <v>660455</v>
      </c>
      <c r="M20" s="21" t="n">
        <v>25940</v>
      </c>
      <c r="N20" s="21" t="n">
        <v>28403</v>
      </c>
      <c r="O20" s="21" t="n">
        <v>452264</v>
      </c>
      <c r="P20" s="21" t="n">
        <v>480483</v>
      </c>
      <c r="Q20" s="21" t="n">
        <v>31408</v>
      </c>
      <c r="R20" s="21">
        <f>K20-M20-O20</f>
        <v/>
      </c>
      <c r="S20" s="21">
        <f>L20-N20-P20</f>
        <v/>
      </c>
      <c r="T20" s="21">
        <f>L20-N20</f>
        <v/>
      </c>
      <c r="U20" s="21">
        <f>N20+P20+Q20</f>
        <v/>
      </c>
      <c r="V20" s="21">
        <f>L20-U20</f>
        <v/>
      </c>
      <c r="W20" s="22">
        <f>IF(AND(OR(Drill!$C$6="(Tous)",$A20=Drill!$C$6),OR(Drill!$D$6="(Tous)",$B20=Drill!$D$6),OR(Drill!$E$6="(Tous)",$C20=Drill!$E$6),OR(Drill!$F$6="(Tous)",$D20=Drill!$F$6),OR(Drill!$G$6="(Tous)",$E20=Drill!$G$6)),1,0)</f>
        <v/>
      </c>
      <c r="X20" s="22">
        <f>IF(W20=1,SUM($W$5:W20),"")</f>
        <v/>
      </c>
    </row>
    <row r="21">
      <c r="A21" s="20" t="inlineStr">
        <is>
          <t>MBway</t>
        </is>
      </c>
      <c r="B21" s="20" t="inlineStr">
        <is>
          <t>MBWAY_PAR</t>
        </is>
      </c>
      <c r="C21" s="20" t="inlineStr">
        <is>
          <t>BAC_MGT</t>
        </is>
      </c>
      <c r="D21" s="20" t="inlineStr">
        <is>
          <t>B2</t>
        </is>
      </c>
      <c r="E21" s="20" t="inlineStr">
        <is>
          <t>ALT</t>
        </is>
      </c>
      <c r="F21" s="21" t="n">
        <v>3</v>
      </c>
      <c r="G21" s="21" t="n">
        <v>32</v>
      </c>
      <c r="H21" s="21">
        <f>F21*G21</f>
        <v/>
      </c>
      <c r="I21" s="21" t="n">
        <v>76</v>
      </c>
      <c r="J21" s="21" t="n">
        <v>71</v>
      </c>
      <c r="K21" s="21" t="n">
        <v>554833</v>
      </c>
      <c r="L21" s="21" t="n">
        <v>597932</v>
      </c>
      <c r="M21" s="21" t="n">
        <v>25162</v>
      </c>
      <c r="N21" s="21" t="n">
        <v>27551</v>
      </c>
      <c r="O21" s="21" t="n">
        <v>452264</v>
      </c>
      <c r="P21" s="21" t="n">
        <v>480483</v>
      </c>
      <c r="Q21" s="21" t="n">
        <v>30466</v>
      </c>
      <c r="R21" s="21">
        <f>K21-M21-O21</f>
        <v/>
      </c>
      <c r="S21" s="21">
        <f>L21-N21-P21</f>
        <v/>
      </c>
      <c r="T21" s="21">
        <f>L21-N21</f>
        <v/>
      </c>
      <c r="U21" s="21">
        <f>N21+P21+Q21</f>
        <v/>
      </c>
      <c r="V21" s="21">
        <f>L21-U21</f>
        <v/>
      </c>
      <c r="W21" s="22">
        <f>IF(AND(OR(Drill!$C$6="(Tous)",$A21=Drill!$C$6),OR(Drill!$D$6="(Tous)",$B21=Drill!$D$6),OR(Drill!$E$6="(Tous)",$C21=Drill!$E$6),OR(Drill!$F$6="(Tous)",$D21=Drill!$F$6),OR(Drill!$G$6="(Tous)",$E21=Drill!$G$6)),1,0)</f>
        <v/>
      </c>
      <c r="X21" s="22">
        <f>IF(W21=1,SUM($W$5:W21),"")</f>
        <v/>
      </c>
    </row>
    <row r="22">
      <c r="A22" s="20" t="inlineStr">
        <is>
          <t>MBway</t>
        </is>
      </c>
      <c r="B22" s="20" t="inlineStr">
        <is>
          <t>MBWAY_PAR</t>
        </is>
      </c>
      <c r="C22" s="20" t="inlineStr">
        <is>
          <t>BAC_MGT</t>
        </is>
      </c>
      <c r="D22" s="20" t="inlineStr">
        <is>
          <t>B3</t>
        </is>
      </c>
      <c r="E22" s="20" t="inlineStr">
        <is>
          <t>ALT</t>
        </is>
      </c>
      <c r="F22" s="21" t="n">
        <v>3</v>
      </c>
      <c r="G22" s="21" t="n">
        <v>32</v>
      </c>
      <c r="H22" s="21">
        <f>F22*G22</f>
        <v/>
      </c>
      <c r="I22" s="21" t="n">
        <v>74</v>
      </c>
      <c r="J22" s="21" t="n">
        <v>70</v>
      </c>
      <c r="K22" s="21" t="n">
        <v>543736</v>
      </c>
      <c r="L22" s="21" t="n">
        <v>585974</v>
      </c>
      <c r="M22" s="21" t="n">
        <v>24659</v>
      </c>
      <c r="N22" s="21" t="n">
        <v>27000</v>
      </c>
      <c r="O22" s="21" t="n">
        <v>452264</v>
      </c>
      <c r="P22" s="21" t="n">
        <v>480483</v>
      </c>
      <c r="Q22" s="21" t="n">
        <v>29857</v>
      </c>
      <c r="R22" s="21">
        <f>K22-M22-O22</f>
        <v/>
      </c>
      <c r="S22" s="21">
        <f>L22-N22-P22</f>
        <v/>
      </c>
      <c r="T22" s="21">
        <f>L22-N22</f>
        <v/>
      </c>
      <c r="U22" s="21">
        <f>N22+P22+Q22</f>
        <v/>
      </c>
      <c r="V22" s="21">
        <f>L22-U22</f>
        <v/>
      </c>
      <c r="W22" s="22">
        <f>IF(AND(OR(Drill!$C$6="(Tous)",$A22=Drill!$C$6),OR(Drill!$D$6="(Tous)",$B22=Drill!$D$6),OR(Drill!$E$6="(Tous)",$C22=Drill!$E$6),OR(Drill!$F$6="(Tous)",$D22=Drill!$F$6),OR(Drill!$G$6="(Tous)",$E22=Drill!$G$6)),1,0)</f>
        <v/>
      </c>
      <c r="X22" s="22">
        <f>IF(W22=1,SUM($W$5:W22),"")</f>
        <v/>
      </c>
    </row>
    <row r="23">
      <c r="A23" s="20" t="inlineStr">
        <is>
          <t>MBway</t>
        </is>
      </c>
      <c r="B23" s="20" t="inlineStr">
        <is>
          <t>MBWAY_PAR</t>
        </is>
      </c>
      <c r="C23" s="20" t="inlineStr">
        <is>
          <t>MAS_MGT</t>
        </is>
      </c>
      <c r="D23" s="20" t="inlineStr">
        <is>
          <t>M1</t>
        </is>
      </c>
      <c r="E23" s="20" t="inlineStr">
        <is>
          <t>ALT</t>
        </is>
      </c>
      <c r="F23" s="21" t="n">
        <v>4</v>
      </c>
      <c r="G23" s="21" t="n">
        <v>26</v>
      </c>
      <c r="H23" s="21">
        <f>F23*G23</f>
        <v/>
      </c>
      <c r="I23" s="21" t="n">
        <v>78</v>
      </c>
      <c r="J23" s="21" t="n">
        <v>74</v>
      </c>
      <c r="K23" s="21" t="n">
        <v>612849</v>
      </c>
      <c r="L23" s="21" t="n">
        <v>660455</v>
      </c>
      <c r="M23" s="21" t="n">
        <v>25940</v>
      </c>
      <c r="N23" s="21" t="n">
        <v>28403</v>
      </c>
      <c r="O23" s="21" t="n">
        <v>521843</v>
      </c>
      <c r="P23" s="21" t="n">
        <v>554404</v>
      </c>
      <c r="Q23" s="21" t="n">
        <v>31408</v>
      </c>
      <c r="R23" s="21">
        <f>K23-M23-O23</f>
        <v/>
      </c>
      <c r="S23" s="21">
        <f>L23-N23-P23</f>
        <v/>
      </c>
      <c r="T23" s="21">
        <f>L23-N23</f>
        <v/>
      </c>
      <c r="U23" s="21">
        <f>N23+P23+Q23</f>
        <v/>
      </c>
      <c r="V23" s="21">
        <f>L23-U23</f>
        <v/>
      </c>
      <c r="W23" s="22">
        <f>IF(AND(OR(Drill!$C$6="(Tous)",$A23=Drill!$C$6),OR(Drill!$D$6="(Tous)",$B23=Drill!$D$6),OR(Drill!$E$6="(Tous)",$C23=Drill!$E$6),OR(Drill!$F$6="(Tous)",$D23=Drill!$F$6),OR(Drill!$G$6="(Tous)",$E23=Drill!$G$6)),1,0)</f>
        <v/>
      </c>
      <c r="X23" s="22">
        <f>IF(W23=1,SUM($W$5:W23),"")</f>
        <v/>
      </c>
    </row>
    <row r="24">
      <c r="A24" s="20" t="inlineStr">
        <is>
          <t>MBway</t>
        </is>
      </c>
      <c r="B24" s="20" t="inlineStr">
        <is>
          <t>MBWAY_PAR</t>
        </is>
      </c>
      <c r="C24" s="20" t="inlineStr">
        <is>
          <t>MAS_MGT</t>
        </is>
      </c>
      <c r="D24" s="20" t="inlineStr">
        <is>
          <t>M2</t>
        </is>
      </c>
      <c r="E24" s="20" t="inlineStr">
        <is>
          <t>ALT</t>
        </is>
      </c>
      <c r="F24" s="21" t="n">
        <v>3</v>
      </c>
      <c r="G24" s="21" t="n">
        <v>26</v>
      </c>
      <c r="H24" s="21">
        <f>F24*G24</f>
        <v/>
      </c>
      <c r="I24" s="21" t="n">
        <v>77</v>
      </c>
      <c r="J24" s="21" t="n">
        <v>72</v>
      </c>
      <c r="K24" s="21" t="n">
        <v>600592</v>
      </c>
      <c r="L24" s="21" t="n">
        <v>647246</v>
      </c>
      <c r="M24" s="21" t="n">
        <v>25421</v>
      </c>
      <c r="N24" s="21" t="n">
        <v>27835</v>
      </c>
      <c r="O24" s="21" t="n">
        <v>391382</v>
      </c>
      <c r="P24" s="21" t="n">
        <v>415803</v>
      </c>
      <c r="Q24" s="21" t="n">
        <v>30780</v>
      </c>
      <c r="R24" s="21">
        <f>K24-M24-O24</f>
        <v/>
      </c>
      <c r="S24" s="21">
        <f>L24-N24-P24</f>
        <v/>
      </c>
      <c r="T24" s="21">
        <f>L24-N24</f>
        <v/>
      </c>
      <c r="U24" s="21">
        <f>N24+P24+Q24</f>
        <v/>
      </c>
      <c r="V24" s="21">
        <f>L24-U24</f>
        <v/>
      </c>
      <c r="W24" s="22">
        <f>IF(AND(OR(Drill!$C$6="(Tous)",$A24=Drill!$C$6),OR(Drill!$D$6="(Tous)",$B24=Drill!$D$6),OR(Drill!$E$6="(Tous)",$C24=Drill!$E$6),OR(Drill!$F$6="(Tous)",$D24=Drill!$F$6),OR(Drill!$G$6="(Tous)",$E24=Drill!$G$6)),1,0)</f>
        <v/>
      </c>
      <c r="X24" s="22">
        <f>IF(W24=1,SUM($W$5:W24),"")</f>
        <v/>
      </c>
    </row>
    <row r="25">
      <c r="A25" s="20" t="inlineStr">
        <is>
          <t>ISCOM</t>
        </is>
      </c>
      <c r="B25" s="20" t="inlineStr">
        <is>
          <t>ISCOM_LIL</t>
        </is>
      </c>
      <c r="C25" s="20" t="inlineStr">
        <is>
          <t>BAC_COM</t>
        </is>
      </c>
      <c r="D25" s="20" t="inlineStr">
        <is>
          <t>B1</t>
        </is>
      </c>
      <c r="E25" s="20" t="inlineStr">
        <is>
          <t>INIT</t>
        </is>
      </c>
      <c r="F25" s="21" t="n">
        <v>2</v>
      </c>
      <c r="G25" s="21" t="n">
        <v>32</v>
      </c>
      <c r="H25" s="21">
        <f>F25*G25</f>
        <v/>
      </c>
      <c r="I25" s="21" t="n">
        <v>50</v>
      </c>
      <c r="J25" s="21" t="n">
        <v>49</v>
      </c>
      <c r="K25" s="21" t="n">
        <v>353524</v>
      </c>
      <c r="L25" s="21" t="n">
        <v>366743</v>
      </c>
      <c r="M25" s="21" t="n">
        <v>17101</v>
      </c>
      <c r="N25" s="21" t="n">
        <v>18025</v>
      </c>
      <c r="O25" s="21" t="n">
        <v>281393</v>
      </c>
      <c r="P25" s="21" t="n">
        <v>290430</v>
      </c>
      <c r="Q25" s="21" t="n">
        <v>19932</v>
      </c>
      <c r="R25" s="21">
        <f>K25-M25-O25</f>
        <v/>
      </c>
      <c r="S25" s="21">
        <f>L25-N25-P25</f>
        <v/>
      </c>
      <c r="T25" s="21">
        <f>L25-N25</f>
        <v/>
      </c>
      <c r="U25" s="21">
        <f>N25+P25+Q25</f>
        <v/>
      </c>
      <c r="V25" s="21">
        <f>L25-U25</f>
        <v/>
      </c>
      <c r="W25" s="22">
        <f>IF(AND(OR(Drill!$C$6="(Tous)",$A25=Drill!$C$6),OR(Drill!$D$6="(Tous)",$B25=Drill!$D$6),OR(Drill!$E$6="(Tous)",$C25=Drill!$E$6),OR(Drill!$F$6="(Tous)",$D25=Drill!$F$6),OR(Drill!$G$6="(Tous)",$E25=Drill!$G$6)),1,0)</f>
        <v/>
      </c>
      <c r="X25" s="22">
        <f>IF(W25=1,SUM($W$5:W25),"")</f>
        <v/>
      </c>
    </row>
    <row r="26">
      <c r="A26" s="20" t="inlineStr">
        <is>
          <t>ISCOM</t>
        </is>
      </c>
      <c r="B26" s="20" t="inlineStr">
        <is>
          <t>ISCOM_LIL</t>
        </is>
      </c>
      <c r="C26" s="20" t="inlineStr">
        <is>
          <t>BAC_COM</t>
        </is>
      </c>
      <c r="D26" s="20" t="inlineStr">
        <is>
          <t>B2</t>
        </is>
      </c>
      <c r="E26" s="20" t="inlineStr">
        <is>
          <t>ALT</t>
        </is>
      </c>
      <c r="F26" s="21" t="n">
        <v>2</v>
      </c>
      <c r="G26" s="21" t="n">
        <v>32</v>
      </c>
      <c r="H26" s="21">
        <f>F26*G26</f>
        <v/>
      </c>
      <c r="I26" s="21" t="n">
        <v>48</v>
      </c>
      <c r="J26" s="21" t="n">
        <v>47</v>
      </c>
      <c r="K26" s="21" t="n">
        <v>320057</v>
      </c>
      <c r="L26" s="21" t="n">
        <v>332025</v>
      </c>
      <c r="M26" s="21" t="n">
        <v>16588</v>
      </c>
      <c r="N26" s="21" t="n">
        <v>17484</v>
      </c>
      <c r="O26" s="21" t="n">
        <v>281393</v>
      </c>
      <c r="P26" s="21" t="n">
        <v>290430</v>
      </c>
      <c r="Q26" s="21" t="n">
        <v>19334</v>
      </c>
      <c r="R26" s="21">
        <f>K26-M26-O26</f>
        <v/>
      </c>
      <c r="S26" s="21">
        <f>L26-N26-P26</f>
        <v/>
      </c>
      <c r="T26" s="21">
        <f>L26-N26</f>
        <v/>
      </c>
      <c r="U26" s="21">
        <f>N26+P26+Q26</f>
        <v/>
      </c>
      <c r="V26" s="21">
        <f>L26-U26</f>
        <v/>
      </c>
      <c r="W26" s="22">
        <f>IF(AND(OR(Drill!$C$6="(Tous)",$A26=Drill!$C$6),OR(Drill!$D$6="(Tous)",$B26=Drill!$D$6),OR(Drill!$E$6="(Tous)",$C26=Drill!$E$6),OR(Drill!$F$6="(Tous)",$D26=Drill!$F$6),OR(Drill!$G$6="(Tous)",$E26=Drill!$G$6)),1,0)</f>
        <v/>
      </c>
      <c r="X26" s="22">
        <f>IF(W26=1,SUM($W$5:W26),"")</f>
        <v/>
      </c>
    </row>
    <row r="27">
      <c r="A27" s="20" t="inlineStr">
        <is>
          <t>ISCOM</t>
        </is>
      </c>
      <c r="B27" s="20" t="inlineStr">
        <is>
          <t>ISCOM_LIL</t>
        </is>
      </c>
      <c r="C27" s="20" t="inlineStr">
        <is>
          <t>BAC_COM</t>
        </is>
      </c>
      <c r="D27" s="20" t="inlineStr">
        <is>
          <t>B3</t>
        </is>
      </c>
      <c r="E27" s="20" t="inlineStr">
        <is>
          <t>ALT</t>
        </is>
      </c>
      <c r="F27" s="21" t="n">
        <v>2</v>
      </c>
      <c r="G27" s="21" t="n">
        <v>32</v>
      </c>
      <c r="H27" s="21">
        <f>F27*G27</f>
        <v/>
      </c>
      <c r="I27" s="21" t="n">
        <v>47</v>
      </c>
      <c r="J27" s="21" t="n">
        <v>46</v>
      </c>
      <c r="K27" s="21" t="n">
        <v>313656</v>
      </c>
      <c r="L27" s="21" t="n">
        <v>325384</v>
      </c>
      <c r="M27" s="21" t="n">
        <v>16256</v>
      </c>
      <c r="N27" s="21" t="n">
        <v>17134</v>
      </c>
      <c r="O27" s="21" t="n">
        <v>281393</v>
      </c>
      <c r="P27" s="21" t="n">
        <v>290430</v>
      </c>
      <c r="Q27" s="21" t="n">
        <v>18947</v>
      </c>
      <c r="R27" s="21">
        <f>K27-M27-O27</f>
        <v/>
      </c>
      <c r="S27" s="21">
        <f>L27-N27-P27</f>
        <v/>
      </c>
      <c r="T27" s="21">
        <f>L27-N27</f>
        <v/>
      </c>
      <c r="U27" s="21">
        <f>N27+P27+Q27</f>
        <v/>
      </c>
      <c r="V27" s="21">
        <f>L27-U27</f>
        <v/>
      </c>
      <c r="W27" s="22">
        <f>IF(AND(OR(Drill!$C$6="(Tous)",$A27=Drill!$C$6),OR(Drill!$D$6="(Tous)",$B27=Drill!$D$6),OR(Drill!$E$6="(Tous)",$C27=Drill!$E$6),OR(Drill!$F$6="(Tous)",$D27=Drill!$F$6),OR(Drill!$G$6="(Tous)",$E27=Drill!$G$6)),1,0)</f>
        <v/>
      </c>
      <c r="X27" s="22">
        <f>IF(W27=1,SUM($W$5:W27),"")</f>
        <v/>
      </c>
    </row>
    <row r="28">
      <c r="A28" s="20" t="inlineStr">
        <is>
          <t>ISCOM</t>
        </is>
      </c>
      <c r="B28" s="20" t="inlineStr">
        <is>
          <t>ISCOM_LIL</t>
        </is>
      </c>
      <c r="C28" s="20" t="inlineStr">
        <is>
          <t>MAS_COM</t>
        </is>
      </c>
      <c r="D28" s="20" t="inlineStr">
        <is>
          <t>M1</t>
        </is>
      </c>
      <c r="E28" s="20" t="inlineStr">
        <is>
          <t>ALT</t>
        </is>
      </c>
      <c r="F28" s="21" t="n">
        <v>2</v>
      </c>
      <c r="G28" s="21" t="n">
        <v>26</v>
      </c>
      <c r="H28" s="21">
        <f>F28*G28</f>
        <v/>
      </c>
      <c r="I28" s="21" t="n">
        <v>49</v>
      </c>
      <c r="J28" s="21" t="n">
        <v>49</v>
      </c>
      <c r="K28" s="21" t="n">
        <v>353524</v>
      </c>
      <c r="L28" s="21" t="n">
        <v>366743</v>
      </c>
      <c r="M28" s="21" t="n">
        <v>17101</v>
      </c>
      <c r="N28" s="21" t="n">
        <v>18025</v>
      </c>
      <c r="O28" s="21" t="n">
        <v>243513</v>
      </c>
      <c r="P28" s="21" t="n">
        <v>251334</v>
      </c>
      <c r="Q28" s="21" t="n">
        <v>19932</v>
      </c>
      <c r="R28" s="21">
        <f>K28-M28-O28</f>
        <v/>
      </c>
      <c r="S28" s="21">
        <f>L28-N28-P28</f>
        <v/>
      </c>
      <c r="T28" s="21">
        <f>L28-N28</f>
        <v/>
      </c>
      <c r="U28" s="21">
        <f>N28+P28+Q28</f>
        <v/>
      </c>
      <c r="V28" s="21">
        <f>L28-U28</f>
        <v/>
      </c>
      <c r="W28" s="22">
        <f>IF(AND(OR(Drill!$C$6="(Tous)",$A28=Drill!$C$6),OR(Drill!$D$6="(Tous)",$B28=Drill!$D$6),OR(Drill!$E$6="(Tous)",$C28=Drill!$E$6),OR(Drill!$F$6="(Tous)",$D28=Drill!$F$6),OR(Drill!$G$6="(Tous)",$E28=Drill!$G$6)),1,0)</f>
        <v/>
      </c>
      <c r="X28" s="22">
        <f>IF(W28=1,SUM($W$5:W28),"")</f>
        <v/>
      </c>
    </row>
    <row r="29">
      <c r="A29" s="20" t="inlineStr">
        <is>
          <t>ISCOM</t>
        </is>
      </c>
      <c r="B29" s="20" t="inlineStr">
        <is>
          <t>ISCOM_LIL</t>
        </is>
      </c>
      <c r="C29" s="20" t="inlineStr">
        <is>
          <t>MAS_COM</t>
        </is>
      </c>
      <c r="D29" s="20" t="inlineStr">
        <is>
          <t>M2</t>
        </is>
      </c>
      <c r="E29" s="20" t="inlineStr">
        <is>
          <t>ALT</t>
        </is>
      </c>
      <c r="F29" s="21" t="n">
        <v>2</v>
      </c>
      <c r="G29" s="21" t="n">
        <v>26</v>
      </c>
      <c r="H29" s="21">
        <f>F29*G29</f>
        <v/>
      </c>
      <c r="I29" s="21" t="n">
        <v>49</v>
      </c>
      <c r="J29" s="21" t="n">
        <v>48</v>
      </c>
      <c r="K29" s="21" t="n">
        <v>346453</v>
      </c>
      <c r="L29" s="21" t="n">
        <v>359408</v>
      </c>
      <c r="M29" s="21" t="n">
        <v>16759</v>
      </c>
      <c r="N29" s="21" t="n">
        <v>17664</v>
      </c>
      <c r="O29" s="21" t="n">
        <v>243513</v>
      </c>
      <c r="P29" s="21" t="n">
        <v>251334</v>
      </c>
      <c r="Q29" s="21" t="n">
        <v>19533</v>
      </c>
      <c r="R29" s="21">
        <f>K29-M29-O29</f>
        <v/>
      </c>
      <c r="S29" s="21">
        <f>L29-N29-P29</f>
        <v/>
      </c>
      <c r="T29" s="21">
        <f>L29-N29</f>
        <v/>
      </c>
      <c r="U29" s="21">
        <f>N29+P29+Q29</f>
        <v/>
      </c>
      <c r="V29" s="21">
        <f>L29-U29</f>
        <v/>
      </c>
      <c r="W29" s="22">
        <f>IF(AND(OR(Drill!$C$6="(Tous)",$A29=Drill!$C$6),OR(Drill!$D$6="(Tous)",$B29=Drill!$D$6),OR(Drill!$E$6="(Tous)",$C29=Drill!$E$6),OR(Drill!$F$6="(Tous)",$D29=Drill!$F$6),OR(Drill!$G$6="(Tous)",$E29=Drill!$G$6)),1,0)</f>
        <v/>
      </c>
      <c r="X29" s="22">
        <f>IF(W29=1,SUM($W$5:W29),"")</f>
        <v/>
      </c>
    </row>
    <row r="30">
      <c r="A30" s="20" t="inlineStr">
        <is>
          <t>ISCOM</t>
        </is>
      </c>
      <c r="B30" s="20" t="inlineStr">
        <is>
          <t>ISCOM_PAR</t>
        </is>
      </c>
      <c r="C30" s="20" t="inlineStr">
        <is>
          <t>BAC_COM</t>
        </is>
      </c>
      <c r="D30" s="20" t="inlineStr">
        <is>
          <t>B1</t>
        </is>
      </c>
      <c r="E30" s="20" t="inlineStr">
        <is>
          <t>INIT</t>
        </is>
      </c>
      <c r="F30" s="21" t="n">
        <v>3</v>
      </c>
      <c r="G30" s="21" t="n">
        <v>32</v>
      </c>
      <c r="H30" s="21">
        <f>F30*G30</f>
        <v/>
      </c>
      <c r="I30" s="21" t="n">
        <v>72</v>
      </c>
      <c r="J30" s="21" t="n">
        <v>70</v>
      </c>
      <c r="K30" s="21" t="n">
        <v>583595</v>
      </c>
      <c r="L30" s="21" t="n">
        <v>605417</v>
      </c>
      <c r="M30" s="21" t="n">
        <v>24702</v>
      </c>
      <c r="N30" s="21" t="n">
        <v>26036</v>
      </c>
      <c r="O30" s="21" t="n">
        <v>458466</v>
      </c>
      <c r="P30" s="21" t="n">
        <v>473236</v>
      </c>
      <c r="Q30" s="21" t="n">
        <v>28791</v>
      </c>
      <c r="R30" s="21">
        <f>K30-M30-O30</f>
        <v/>
      </c>
      <c r="S30" s="21">
        <f>L30-N30-P30</f>
        <v/>
      </c>
      <c r="T30" s="21">
        <f>L30-N30</f>
        <v/>
      </c>
      <c r="U30" s="21">
        <f>N30+P30+Q30</f>
        <v/>
      </c>
      <c r="V30" s="21">
        <f>L30-U30</f>
        <v/>
      </c>
      <c r="W30" s="22">
        <f>IF(AND(OR(Drill!$C$6="(Tous)",$A30=Drill!$C$6),OR(Drill!$D$6="(Tous)",$B30=Drill!$D$6),OR(Drill!$E$6="(Tous)",$C30=Drill!$E$6),OR(Drill!$F$6="(Tous)",$D30=Drill!$F$6),OR(Drill!$G$6="(Tous)",$E30=Drill!$G$6)),1,0)</f>
        <v/>
      </c>
      <c r="X30" s="22">
        <f>IF(W30=1,SUM($W$5:W30),"")</f>
        <v/>
      </c>
    </row>
    <row r="31">
      <c r="A31" s="20" t="inlineStr">
        <is>
          <t>ISCOM</t>
        </is>
      </c>
      <c r="B31" s="20" t="inlineStr">
        <is>
          <t>ISCOM_PAR</t>
        </is>
      </c>
      <c r="C31" s="20" t="inlineStr">
        <is>
          <t>BAC_COM</t>
        </is>
      </c>
      <c r="D31" s="20" t="inlineStr">
        <is>
          <t>B2</t>
        </is>
      </c>
      <c r="E31" s="20" t="inlineStr">
        <is>
          <t>ALT</t>
        </is>
      </c>
      <c r="F31" s="21" t="n">
        <v>3</v>
      </c>
      <c r="G31" s="21" t="n">
        <v>32</v>
      </c>
      <c r="H31" s="21">
        <f>F31*G31</f>
        <v/>
      </c>
      <c r="I31" s="21" t="n">
        <v>70</v>
      </c>
      <c r="J31" s="21" t="n">
        <v>68</v>
      </c>
      <c r="K31" s="21" t="n">
        <v>528348</v>
      </c>
      <c r="L31" s="21" t="n">
        <v>548104</v>
      </c>
      <c r="M31" s="21" t="n">
        <v>23961</v>
      </c>
      <c r="N31" s="21" t="n">
        <v>25255</v>
      </c>
      <c r="O31" s="21" t="n">
        <v>458466</v>
      </c>
      <c r="P31" s="21" t="n">
        <v>473236</v>
      </c>
      <c r="Q31" s="21" t="n">
        <v>27927</v>
      </c>
      <c r="R31" s="21">
        <f>K31-M31-O31</f>
        <v/>
      </c>
      <c r="S31" s="21">
        <f>L31-N31-P31</f>
        <v/>
      </c>
      <c r="T31" s="21">
        <f>L31-N31</f>
        <v/>
      </c>
      <c r="U31" s="21">
        <f>N31+P31+Q31</f>
        <v/>
      </c>
      <c r="V31" s="21">
        <f>L31-U31</f>
        <v/>
      </c>
      <c r="W31" s="22">
        <f>IF(AND(OR(Drill!$C$6="(Tous)",$A31=Drill!$C$6),OR(Drill!$D$6="(Tous)",$B31=Drill!$D$6),OR(Drill!$E$6="(Tous)",$C31=Drill!$E$6),OR(Drill!$F$6="(Tous)",$D31=Drill!$F$6),OR(Drill!$G$6="(Tous)",$E31=Drill!$G$6)),1,0)</f>
        <v/>
      </c>
      <c r="X31" s="22">
        <f>IF(W31=1,SUM($W$5:W31),"")</f>
        <v/>
      </c>
    </row>
    <row r="32">
      <c r="A32" s="20" t="inlineStr">
        <is>
          <t>ISCOM</t>
        </is>
      </c>
      <c r="B32" s="20" t="inlineStr">
        <is>
          <t>ISCOM_PAR</t>
        </is>
      </c>
      <c r="C32" s="20" t="inlineStr">
        <is>
          <t>BAC_COM</t>
        </is>
      </c>
      <c r="D32" s="20" t="inlineStr">
        <is>
          <t>B3</t>
        </is>
      </c>
      <c r="E32" s="20" t="inlineStr">
        <is>
          <t>ALT</t>
        </is>
      </c>
      <c r="F32" s="21" t="n">
        <v>3</v>
      </c>
      <c r="G32" s="21" t="n">
        <v>32</v>
      </c>
      <c r="H32" s="21">
        <f>F32*G32</f>
        <v/>
      </c>
      <c r="I32" s="21" t="n">
        <v>68</v>
      </c>
      <c r="J32" s="21" t="n">
        <v>67</v>
      </c>
      <c r="K32" s="21" t="n">
        <v>517781</v>
      </c>
      <c r="L32" s="21" t="n">
        <v>537142</v>
      </c>
      <c r="M32" s="21" t="n">
        <v>23482</v>
      </c>
      <c r="N32" s="21" t="n">
        <v>24750</v>
      </c>
      <c r="O32" s="21" t="n">
        <v>458466</v>
      </c>
      <c r="P32" s="21" t="n">
        <v>473236</v>
      </c>
      <c r="Q32" s="21" t="n">
        <v>27369</v>
      </c>
      <c r="R32" s="21">
        <f>K32-M32-O32</f>
        <v/>
      </c>
      <c r="S32" s="21">
        <f>L32-N32-P32</f>
        <v/>
      </c>
      <c r="T32" s="21">
        <f>L32-N32</f>
        <v/>
      </c>
      <c r="U32" s="21">
        <f>N32+P32+Q32</f>
        <v/>
      </c>
      <c r="V32" s="21">
        <f>L32-U32</f>
        <v/>
      </c>
      <c r="W32" s="22">
        <f>IF(AND(OR(Drill!$C$6="(Tous)",$A32=Drill!$C$6),OR(Drill!$D$6="(Tous)",$B32=Drill!$D$6),OR(Drill!$E$6="(Tous)",$C32=Drill!$E$6),OR(Drill!$F$6="(Tous)",$D32=Drill!$F$6),OR(Drill!$G$6="(Tous)",$E32=Drill!$G$6)),1,0)</f>
        <v/>
      </c>
      <c r="X32" s="22">
        <f>IF(W32=1,SUM($W$5:W32),"")</f>
        <v/>
      </c>
    </row>
    <row r="33">
      <c r="A33" s="20" t="inlineStr">
        <is>
          <t>ISCOM</t>
        </is>
      </c>
      <c r="B33" s="20" t="inlineStr">
        <is>
          <t>ISCOM_PAR</t>
        </is>
      </c>
      <c r="C33" s="20" t="inlineStr">
        <is>
          <t>MAS_COM</t>
        </is>
      </c>
      <c r="D33" s="20" t="inlineStr">
        <is>
          <t>M1</t>
        </is>
      </c>
      <c r="E33" s="20" t="inlineStr">
        <is>
          <t>ALT</t>
        </is>
      </c>
      <c r="F33" s="21" t="n">
        <v>3</v>
      </c>
      <c r="G33" s="21" t="n">
        <v>26</v>
      </c>
      <c r="H33" s="21">
        <f>F33*G33</f>
        <v/>
      </c>
      <c r="I33" s="21" t="n">
        <v>72</v>
      </c>
      <c r="J33" s="21" t="n">
        <v>70</v>
      </c>
      <c r="K33" s="21" t="n">
        <v>583595</v>
      </c>
      <c r="L33" s="21" t="n">
        <v>605417</v>
      </c>
      <c r="M33" s="21" t="n">
        <v>24702</v>
      </c>
      <c r="N33" s="21" t="n">
        <v>26036</v>
      </c>
      <c r="O33" s="21" t="n">
        <v>396749</v>
      </c>
      <c r="P33" s="21" t="n">
        <v>409531</v>
      </c>
      <c r="Q33" s="21" t="n">
        <v>28791</v>
      </c>
      <c r="R33" s="21">
        <f>K33-M33-O33</f>
        <v/>
      </c>
      <c r="S33" s="21">
        <f>L33-N33-P33</f>
        <v/>
      </c>
      <c r="T33" s="21">
        <f>L33-N33</f>
        <v/>
      </c>
      <c r="U33" s="21">
        <f>N33+P33+Q33</f>
        <v/>
      </c>
      <c r="V33" s="21">
        <f>L33-U33</f>
        <v/>
      </c>
      <c r="W33" s="22">
        <f>IF(AND(OR(Drill!$C$6="(Tous)",$A33=Drill!$C$6),OR(Drill!$D$6="(Tous)",$B33=Drill!$D$6),OR(Drill!$E$6="(Tous)",$C33=Drill!$E$6),OR(Drill!$F$6="(Tous)",$D33=Drill!$F$6),OR(Drill!$G$6="(Tous)",$E33=Drill!$G$6)),1,0)</f>
        <v/>
      </c>
      <c r="X33" s="22">
        <f>IF(W33=1,SUM($W$5:W33),"")</f>
        <v/>
      </c>
    </row>
    <row r="34">
      <c r="A34" s="20" t="inlineStr">
        <is>
          <t>ISCOM</t>
        </is>
      </c>
      <c r="B34" s="20" t="inlineStr">
        <is>
          <t>ISCOM_PAR</t>
        </is>
      </c>
      <c r="C34" s="20" t="inlineStr">
        <is>
          <t>MAS_COM</t>
        </is>
      </c>
      <c r="D34" s="20" t="inlineStr">
        <is>
          <t>M2</t>
        </is>
      </c>
      <c r="E34" s="20" t="inlineStr">
        <is>
          <t>ALT</t>
        </is>
      </c>
      <c r="F34" s="21" t="n">
        <v>3</v>
      </c>
      <c r="G34" s="21" t="n">
        <v>26</v>
      </c>
      <c r="H34" s="21">
        <f>F34*G34</f>
        <v/>
      </c>
      <c r="I34" s="21" t="n">
        <v>70</v>
      </c>
      <c r="J34" s="21" t="n">
        <v>69</v>
      </c>
      <c r="K34" s="21" t="n">
        <v>571923</v>
      </c>
      <c r="L34" s="21" t="n">
        <v>593309</v>
      </c>
      <c r="M34" s="21" t="n">
        <v>24208</v>
      </c>
      <c r="N34" s="21" t="n">
        <v>25515</v>
      </c>
      <c r="O34" s="21" t="n">
        <v>396749</v>
      </c>
      <c r="P34" s="21" t="n">
        <v>409531</v>
      </c>
      <c r="Q34" s="21" t="n">
        <v>28215</v>
      </c>
      <c r="R34" s="21">
        <f>K34-M34-O34</f>
        <v/>
      </c>
      <c r="S34" s="21">
        <f>L34-N34-P34</f>
        <v/>
      </c>
      <c r="T34" s="21">
        <f>L34-N34</f>
        <v/>
      </c>
      <c r="U34" s="21">
        <f>N34+P34+Q34</f>
        <v/>
      </c>
      <c r="V34" s="21">
        <f>L34-U34</f>
        <v/>
      </c>
      <c r="W34" s="22">
        <f>IF(AND(OR(Drill!$C$6="(Tous)",$A34=Drill!$C$6),OR(Drill!$D$6="(Tous)",$B34=Drill!$D$6),OR(Drill!$E$6="(Tous)",$C34=Drill!$E$6),OR(Drill!$F$6="(Tous)",$D34=Drill!$F$6),OR(Drill!$G$6="(Tous)",$E34=Drill!$G$6)),1,0)</f>
        <v/>
      </c>
      <c r="X34" s="22">
        <f>IF(W34=1,SUM($W$5:W34),"")</f>
        <v/>
      </c>
    </row>
    <row r="35">
      <c r="A35" s="20" t="inlineStr">
        <is>
          <t>ISCOM</t>
        </is>
      </c>
      <c r="B35" s="20" t="inlineStr">
        <is>
          <t>ISCOM_TLS</t>
        </is>
      </c>
      <c r="C35" s="20" t="inlineStr">
        <is>
          <t>BAC_COM</t>
        </is>
      </c>
      <c r="D35" s="20" t="inlineStr">
        <is>
          <t>B1</t>
        </is>
      </c>
      <c r="E35" s="20" t="inlineStr">
        <is>
          <t>INIT</t>
        </is>
      </c>
      <c r="F35" s="21" t="n">
        <v>2</v>
      </c>
      <c r="G35" s="21" t="n">
        <v>32</v>
      </c>
      <c r="H35" s="21">
        <f>F35*G35</f>
        <v/>
      </c>
      <c r="I35" s="21" t="n">
        <v>47</v>
      </c>
      <c r="J35" s="21" t="n">
        <v>46</v>
      </c>
      <c r="K35" s="21" t="n">
        <v>327070</v>
      </c>
      <c r="L35" s="21" t="n">
        <v>339300</v>
      </c>
      <c r="M35" s="21" t="n">
        <v>16151</v>
      </c>
      <c r="N35" s="21" t="n">
        <v>17023</v>
      </c>
      <c r="O35" s="21" t="n">
        <v>260675</v>
      </c>
      <c r="P35" s="21" t="n">
        <v>269042</v>
      </c>
      <c r="Q35" s="21" t="n">
        <v>18825</v>
      </c>
      <c r="R35" s="21">
        <f>K35-M35-O35</f>
        <v/>
      </c>
      <c r="S35" s="21">
        <f>L35-N35-P35</f>
        <v/>
      </c>
      <c r="T35" s="21">
        <f>L35-N35</f>
        <v/>
      </c>
      <c r="U35" s="21">
        <f>N35+P35+Q35</f>
        <v/>
      </c>
      <c r="V35" s="21">
        <f>L35-U35</f>
        <v/>
      </c>
      <c r="W35" s="22">
        <f>IF(AND(OR(Drill!$C$6="(Tous)",$A35=Drill!$C$6),OR(Drill!$D$6="(Tous)",$B35=Drill!$D$6),OR(Drill!$E$6="(Tous)",$C35=Drill!$E$6),OR(Drill!$F$6="(Tous)",$D35=Drill!$F$6),OR(Drill!$G$6="(Tous)",$E35=Drill!$G$6)),1,0)</f>
        <v/>
      </c>
      <c r="X35" s="22">
        <f>IF(W35=1,SUM($W$5:W35),"")</f>
        <v/>
      </c>
    </row>
    <row r="36">
      <c r="A36" s="20" t="inlineStr">
        <is>
          <t>ISCOM</t>
        </is>
      </c>
      <c r="B36" s="20" t="inlineStr">
        <is>
          <t>ISCOM_TLS</t>
        </is>
      </c>
      <c r="C36" s="20" t="inlineStr">
        <is>
          <t>BAC_COM</t>
        </is>
      </c>
      <c r="D36" s="20" t="inlineStr">
        <is>
          <t>B2</t>
        </is>
      </c>
      <c r="E36" s="20" t="inlineStr">
        <is>
          <t>ALT</t>
        </is>
      </c>
      <c r="F36" s="21" t="n">
        <v>2</v>
      </c>
      <c r="G36" s="21" t="n">
        <v>32</v>
      </c>
      <c r="H36" s="21">
        <f>F36*G36</f>
        <v/>
      </c>
      <c r="I36" s="21" t="n">
        <v>45</v>
      </c>
      <c r="J36" s="21" t="n">
        <v>45</v>
      </c>
      <c r="K36" s="21" t="n">
        <v>296107</v>
      </c>
      <c r="L36" s="21" t="n">
        <v>307179</v>
      </c>
      <c r="M36" s="21" t="n">
        <v>15667</v>
      </c>
      <c r="N36" s="21" t="n">
        <v>16513</v>
      </c>
      <c r="O36" s="21" t="n">
        <v>260675</v>
      </c>
      <c r="P36" s="21" t="n">
        <v>269042</v>
      </c>
      <c r="Q36" s="21" t="n">
        <v>18260</v>
      </c>
      <c r="R36" s="21">
        <f>K36-M36-O36</f>
        <v/>
      </c>
      <c r="S36" s="21">
        <f>L36-N36-P36</f>
        <v/>
      </c>
      <c r="T36" s="21">
        <f>L36-N36</f>
        <v/>
      </c>
      <c r="U36" s="21">
        <f>N36+P36+Q36</f>
        <v/>
      </c>
      <c r="V36" s="21">
        <f>L36-U36</f>
        <v/>
      </c>
      <c r="W36" s="22">
        <f>IF(AND(OR(Drill!$C$6="(Tous)",$A36=Drill!$C$6),OR(Drill!$D$6="(Tous)",$B36=Drill!$D$6),OR(Drill!$E$6="(Tous)",$C36=Drill!$E$6),OR(Drill!$F$6="(Tous)",$D36=Drill!$F$6),OR(Drill!$G$6="(Tous)",$E36=Drill!$G$6)),1,0)</f>
        <v/>
      </c>
      <c r="X36" s="22">
        <f>IF(W36=1,SUM($W$5:W36),"")</f>
        <v/>
      </c>
    </row>
    <row r="37">
      <c r="A37" s="20" t="inlineStr">
        <is>
          <t>ISCOM</t>
        </is>
      </c>
      <c r="B37" s="20" t="inlineStr">
        <is>
          <t>ISCOM_TLS</t>
        </is>
      </c>
      <c r="C37" s="20" t="inlineStr">
        <is>
          <t>BAC_COM</t>
        </is>
      </c>
      <c r="D37" s="20" t="inlineStr">
        <is>
          <t>B3</t>
        </is>
      </c>
      <c r="E37" s="20" t="inlineStr">
        <is>
          <t>ALT</t>
        </is>
      </c>
      <c r="F37" s="21" t="n">
        <v>2</v>
      </c>
      <c r="G37" s="21" t="n">
        <v>32</v>
      </c>
      <c r="H37" s="21">
        <f>F37*G37</f>
        <v/>
      </c>
      <c r="I37" s="21" t="n">
        <v>45</v>
      </c>
      <c r="J37" s="21" t="n">
        <v>44</v>
      </c>
      <c r="K37" s="21" t="n">
        <v>290185</v>
      </c>
      <c r="L37" s="21" t="n">
        <v>301036</v>
      </c>
      <c r="M37" s="21" t="n">
        <v>15353</v>
      </c>
      <c r="N37" s="21" t="n">
        <v>16182</v>
      </c>
      <c r="O37" s="21" t="n">
        <v>260675</v>
      </c>
      <c r="P37" s="21" t="n">
        <v>269042</v>
      </c>
      <c r="Q37" s="21" t="n">
        <v>17895</v>
      </c>
      <c r="R37" s="21">
        <f>K37-M37-O37</f>
        <v/>
      </c>
      <c r="S37" s="21">
        <f>L37-N37-P37</f>
        <v/>
      </c>
      <c r="T37" s="21">
        <f>L37-N37</f>
        <v/>
      </c>
      <c r="U37" s="21">
        <f>N37+P37+Q37</f>
        <v/>
      </c>
      <c r="V37" s="21">
        <f>L37-U37</f>
        <v/>
      </c>
      <c r="W37" s="22">
        <f>IF(AND(OR(Drill!$C$6="(Tous)",$A37=Drill!$C$6),OR(Drill!$D$6="(Tous)",$B37=Drill!$D$6),OR(Drill!$E$6="(Tous)",$C37=Drill!$E$6),OR(Drill!$F$6="(Tous)",$D37=Drill!$F$6),OR(Drill!$G$6="(Tous)",$E37=Drill!$G$6)),1,0)</f>
        <v/>
      </c>
      <c r="X37" s="22">
        <f>IF(W37=1,SUM($W$5:W37),"")</f>
        <v/>
      </c>
    </row>
    <row r="38">
      <c r="A38" s="20" t="inlineStr">
        <is>
          <t>ISCOM</t>
        </is>
      </c>
      <c r="B38" s="20" t="inlineStr">
        <is>
          <t>ISCOM_TLS</t>
        </is>
      </c>
      <c r="C38" s="20" t="inlineStr">
        <is>
          <t>MAS_COM</t>
        </is>
      </c>
      <c r="D38" s="20" t="inlineStr">
        <is>
          <t>M1</t>
        </is>
      </c>
      <c r="E38" s="20" t="inlineStr">
        <is>
          <t>ALT</t>
        </is>
      </c>
      <c r="F38" s="21" t="n">
        <v>2</v>
      </c>
      <c r="G38" s="21" t="n">
        <v>26</v>
      </c>
      <c r="H38" s="21">
        <f>F38*G38</f>
        <v/>
      </c>
      <c r="I38" s="21" t="n">
        <v>47</v>
      </c>
      <c r="J38" s="21" t="n">
        <v>46</v>
      </c>
      <c r="K38" s="21" t="n">
        <v>327070</v>
      </c>
      <c r="L38" s="21" t="n">
        <v>339300</v>
      </c>
      <c r="M38" s="21" t="n">
        <v>16151</v>
      </c>
      <c r="N38" s="21" t="n">
        <v>17023</v>
      </c>
      <c r="O38" s="21" t="n">
        <v>225584</v>
      </c>
      <c r="P38" s="21" t="n">
        <v>232825</v>
      </c>
      <c r="Q38" s="21" t="n">
        <v>18825</v>
      </c>
      <c r="R38" s="21">
        <f>K38-M38-O38</f>
        <v/>
      </c>
      <c r="S38" s="21">
        <f>L38-N38-P38</f>
        <v/>
      </c>
      <c r="T38" s="21">
        <f>L38-N38</f>
        <v/>
      </c>
      <c r="U38" s="21">
        <f>N38+P38+Q38</f>
        <v/>
      </c>
      <c r="V38" s="21">
        <f>L38-U38</f>
        <v/>
      </c>
      <c r="W38" s="22">
        <f>IF(AND(OR(Drill!$C$6="(Tous)",$A38=Drill!$C$6),OR(Drill!$D$6="(Tous)",$B38=Drill!$D$6),OR(Drill!$E$6="(Tous)",$C38=Drill!$E$6),OR(Drill!$F$6="(Tous)",$D38=Drill!$F$6),OR(Drill!$G$6="(Tous)",$E38=Drill!$G$6)),1,0)</f>
        <v/>
      </c>
      <c r="X38" s="22">
        <f>IF(W38=1,SUM($W$5:W38),"")</f>
        <v/>
      </c>
    </row>
    <row r="39">
      <c r="A39" s="20" t="inlineStr">
        <is>
          <t>ISCOM</t>
        </is>
      </c>
      <c r="B39" s="20" t="inlineStr">
        <is>
          <t>ISCOM_TLS</t>
        </is>
      </c>
      <c r="C39" s="20" t="inlineStr">
        <is>
          <t>MAS_COM</t>
        </is>
      </c>
      <c r="D39" s="20" t="inlineStr">
        <is>
          <t>M2</t>
        </is>
      </c>
      <c r="E39" s="20" t="inlineStr">
        <is>
          <t>ALT</t>
        </is>
      </c>
      <c r="F39" s="21" t="n">
        <v>2</v>
      </c>
      <c r="G39" s="21" t="n">
        <v>26</v>
      </c>
      <c r="H39" s="21">
        <f>F39*G39</f>
        <v/>
      </c>
      <c r="I39" s="21" t="n">
        <v>46</v>
      </c>
      <c r="J39" s="21" t="n">
        <v>45</v>
      </c>
      <c r="K39" s="21" t="n">
        <v>320528</v>
      </c>
      <c r="L39" s="21" t="n">
        <v>332514</v>
      </c>
      <c r="M39" s="21" t="n">
        <v>15828</v>
      </c>
      <c r="N39" s="21" t="n">
        <v>16683</v>
      </c>
      <c r="O39" s="21" t="n">
        <v>225584</v>
      </c>
      <c r="P39" s="21" t="n">
        <v>232825</v>
      </c>
      <c r="Q39" s="21" t="n">
        <v>18448</v>
      </c>
      <c r="R39" s="21">
        <f>K39-M39-O39</f>
        <v/>
      </c>
      <c r="S39" s="21">
        <f>L39-N39-P39</f>
        <v/>
      </c>
      <c r="T39" s="21">
        <f>L39-N39</f>
        <v/>
      </c>
      <c r="U39" s="21">
        <f>N39+P39+Q39</f>
        <v/>
      </c>
      <c r="V39" s="21">
        <f>L39-U39</f>
        <v/>
      </c>
      <c r="W39" s="22">
        <f>IF(AND(OR(Drill!$C$6="(Tous)",$A39=Drill!$C$6),OR(Drill!$D$6="(Tous)",$B39=Drill!$D$6),OR(Drill!$E$6="(Tous)",$C39=Drill!$E$6),OR(Drill!$F$6="(Tous)",$D39=Drill!$F$6),OR(Drill!$G$6="(Tous)",$E39=Drill!$G$6)),1,0)</f>
        <v/>
      </c>
      <c r="X39" s="22">
        <f>IF(W39=1,SUM($W$5:W39),"")</f>
        <v/>
      </c>
    </row>
    <row r="40">
      <c r="A40" s="20" t="inlineStr">
        <is>
          <t>Ipac</t>
        </is>
      </c>
      <c r="B40" s="20" t="inlineStr">
        <is>
          <t>IPAC_MTP</t>
        </is>
      </c>
      <c r="C40" s="20" t="inlineStr">
        <is>
          <t>BAC_CCE</t>
        </is>
      </c>
      <c r="D40" s="20" t="inlineStr">
        <is>
          <t>B1</t>
        </is>
      </c>
      <c r="E40" s="20" t="inlineStr">
        <is>
          <t>ALT</t>
        </is>
      </c>
      <c r="F40" s="21" t="n">
        <v>2</v>
      </c>
      <c r="G40" s="21" t="n">
        <v>32</v>
      </c>
      <c r="H40" s="21">
        <f>F40*G40</f>
        <v/>
      </c>
      <c r="I40" s="21" t="n">
        <v>40</v>
      </c>
      <c r="J40" s="21" t="n">
        <v>37</v>
      </c>
      <c r="K40" s="21" t="n">
        <v>244241</v>
      </c>
      <c r="L40" s="21" t="n">
        <v>268134</v>
      </c>
      <c r="M40" s="21" t="n">
        <v>13058</v>
      </c>
      <c r="N40" s="21" t="n">
        <v>14565</v>
      </c>
      <c r="O40" s="21" t="n">
        <v>194950</v>
      </c>
      <c r="P40" s="21" t="n">
        <v>210857</v>
      </c>
      <c r="Q40" s="21" t="n">
        <v>16107</v>
      </c>
      <c r="R40" s="21">
        <f>K40-M40-O40</f>
        <v/>
      </c>
      <c r="S40" s="21">
        <f>L40-N40-P40</f>
        <v/>
      </c>
      <c r="T40" s="21">
        <f>L40-N40</f>
        <v/>
      </c>
      <c r="U40" s="21">
        <f>N40+P40+Q40</f>
        <v/>
      </c>
      <c r="V40" s="21">
        <f>L40-U40</f>
        <v/>
      </c>
      <c r="W40" s="22">
        <f>IF(AND(OR(Drill!$C$6="(Tous)",$A40=Drill!$C$6),OR(Drill!$D$6="(Tous)",$B40=Drill!$D$6),OR(Drill!$E$6="(Tous)",$C40=Drill!$E$6),OR(Drill!$F$6="(Tous)",$D40=Drill!$F$6),OR(Drill!$G$6="(Tous)",$E40=Drill!$G$6)),1,0)</f>
        <v/>
      </c>
      <c r="X40" s="22">
        <f>IF(W40=1,SUM($W$5:W40),"")</f>
        <v/>
      </c>
    </row>
    <row r="41">
      <c r="A41" s="20" t="inlineStr">
        <is>
          <t>Ipac</t>
        </is>
      </c>
      <c r="B41" s="20" t="inlineStr">
        <is>
          <t>IPAC_MTP</t>
        </is>
      </c>
      <c r="C41" s="20" t="inlineStr">
        <is>
          <t>BAC_CCE</t>
        </is>
      </c>
      <c r="D41" s="20" t="inlineStr">
        <is>
          <t>B2</t>
        </is>
      </c>
      <c r="E41" s="20" t="inlineStr">
        <is>
          <t>ALT</t>
        </is>
      </c>
      <c r="F41" s="21" t="n">
        <v>2</v>
      </c>
      <c r="G41" s="21" t="n">
        <v>32</v>
      </c>
      <c r="H41" s="21">
        <f>F41*G41</f>
        <v/>
      </c>
      <c r="I41" s="21" t="n">
        <v>39</v>
      </c>
      <c r="J41" s="21" t="n">
        <v>36</v>
      </c>
      <c r="K41" s="21" t="n">
        <v>236914</v>
      </c>
      <c r="L41" s="21" t="n">
        <v>260090</v>
      </c>
      <c r="M41" s="21" t="n">
        <v>12667</v>
      </c>
      <c r="N41" s="21" t="n">
        <v>14128</v>
      </c>
      <c r="O41" s="21" t="n">
        <v>194950</v>
      </c>
      <c r="P41" s="21" t="n">
        <v>210857</v>
      </c>
      <c r="Q41" s="21" t="n">
        <v>15624</v>
      </c>
      <c r="R41" s="21">
        <f>K41-M41-O41</f>
        <v/>
      </c>
      <c r="S41" s="21">
        <f>L41-N41-P41</f>
        <v/>
      </c>
      <c r="T41" s="21">
        <f>L41-N41</f>
        <v/>
      </c>
      <c r="U41" s="21">
        <f>N41+P41+Q41</f>
        <v/>
      </c>
      <c r="V41" s="21">
        <f>L41-U41</f>
        <v/>
      </c>
      <c r="W41" s="22">
        <f>IF(AND(OR(Drill!$C$6="(Tous)",$A41=Drill!$C$6),OR(Drill!$D$6="(Tous)",$B41=Drill!$D$6),OR(Drill!$E$6="(Tous)",$C41=Drill!$E$6),OR(Drill!$F$6="(Tous)",$D41=Drill!$F$6),OR(Drill!$G$6="(Tous)",$E41=Drill!$G$6)),1,0)</f>
        <v/>
      </c>
      <c r="X41" s="22">
        <f>IF(W41=1,SUM($W$5:W41),"")</f>
        <v/>
      </c>
    </row>
    <row r="42">
      <c r="A42" s="20" t="inlineStr">
        <is>
          <t>Ipac</t>
        </is>
      </c>
      <c r="B42" s="20" t="inlineStr">
        <is>
          <t>IPAC_MTP</t>
        </is>
      </c>
      <c r="C42" s="20" t="inlineStr">
        <is>
          <t>BAC_CCE</t>
        </is>
      </c>
      <c r="D42" s="20" t="inlineStr">
        <is>
          <t>B3</t>
        </is>
      </c>
      <c r="E42" s="20" t="inlineStr">
        <is>
          <t>ALT</t>
        </is>
      </c>
      <c r="F42" s="21" t="n">
        <v>2</v>
      </c>
      <c r="G42" s="21" t="n">
        <v>32</v>
      </c>
      <c r="H42" s="21">
        <f>F42*G42</f>
        <v/>
      </c>
      <c r="I42" s="21" t="n">
        <v>38</v>
      </c>
      <c r="J42" s="21" t="n">
        <v>35</v>
      </c>
      <c r="K42" s="21" t="n">
        <v>232176</v>
      </c>
      <c r="L42" s="21" t="n">
        <v>254888</v>
      </c>
      <c r="M42" s="21" t="n">
        <v>12413</v>
      </c>
      <c r="N42" s="21" t="n">
        <v>13846</v>
      </c>
      <c r="O42" s="21" t="n">
        <v>194950</v>
      </c>
      <c r="P42" s="21" t="n">
        <v>210857</v>
      </c>
      <c r="Q42" s="21" t="n">
        <v>15311</v>
      </c>
      <c r="R42" s="21">
        <f>K42-M42-O42</f>
        <v/>
      </c>
      <c r="S42" s="21">
        <f>L42-N42-P42</f>
        <v/>
      </c>
      <c r="T42" s="21">
        <f>L42-N42</f>
        <v/>
      </c>
      <c r="U42" s="21">
        <f>N42+P42+Q42</f>
        <v/>
      </c>
      <c r="V42" s="21">
        <f>L42-U42</f>
        <v/>
      </c>
      <c r="W42" s="22">
        <f>IF(AND(OR(Drill!$C$6="(Tous)",$A42=Drill!$C$6),OR(Drill!$D$6="(Tous)",$B42=Drill!$D$6),OR(Drill!$E$6="(Tous)",$C42=Drill!$E$6),OR(Drill!$F$6="(Tous)",$D42=Drill!$F$6),OR(Drill!$G$6="(Tous)",$E42=Drill!$G$6)),1,0)</f>
        <v/>
      </c>
      <c r="X42" s="22">
        <f>IF(W42=1,SUM($W$5:W42),"")</f>
        <v/>
      </c>
    </row>
    <row r="43">
      <c r="A43" s="20" t="inlineStr">
        <is>
          <t>Ipac</t>
        </is>
      </c>
      <c r="B43" s="20" t="inlineStr">
        <is>
          <t>IPAC_NAN</t>
        </is>
      </c>
      <c r="C43" s="20" t="inlineStr">
        <is>
          <t>BAC_CCE</t>
        </is>
      </c>
      <c r="D43" s="20" t="inlineStr">
        <is>
          <t>B1</t>
        </is>
      </c>
      <c r="E43" s="20" t="inlineStr">
        <is>
          <t>ALT</t>
        </is>
      </c>
      <c r="F43" s="21" t="n">
        <v>2</v>
      </c>
      <c r="G43" s="21" t="n">
        <v>32</v>
      </c>
      <c r="H43" s="21">
        <f>F43*G43</f>
        <v/>
      </c>
      <c r="I43" s="21" t="n">
        <v>50</v>
      </c>
      <c r="J43" s="21" t="n">
        <v>46</v>
      </c>
      <c r="K43" s="21" t="n">
        <v>321370</v>
      </c>
      <c r="L43" s="21" t="n">
        <v>352807</v>
      </c>
      <c r="M43" s="21" t="n">
        <v>16323</v>
      </c>
      <c r="N43" s="21" t="n">
        <v>18207</v>
      </c>
      <c r="O43" s="21" t="n">
        <v>254617</v>
      </c>
      <c r="P43" s="21" t="n">
        <v>275393</v>
      </c>
      <c r="Q43" s="21" t="n">
        <v>20133</v>
      </c>
      <c r="R43" s="21">
        <f>K43-M43-O43</f>
        <v/>
      </c>
      <c r="S43" s="21">
        <f>L43-N43-P43</f>
        <v/>
      </c>
      <c r="T43" s="21">
        <f>L43-N43</f>
        <v/>
      </c>
      <c r="U43" s="21">
        <f>N43+P43+Q43</f>
        <v/>
      </c>
      <c r="V43" s="21">
        <f>L43-U43</f>
        <v/>
      </c>
      <c r="W43" s="22">
        <f>IF(AND(OR(Drill!$C$6="(Tous)",$A43=Drill!$C$6),OR(Drill!$D$6="(Tous)",$B43=Drill!$D$6),OR(Drill!$E$6="(Tous)",$C43=Drill!$E$6),OR(Drill!$F$6="(Tous)",$D43=Drill!$F$6),OR(Drill!$G$6="(Tous)",$E43=Drill!$G$6)),1,0)</f>
        <v/>
      </c>
      <c r="X43" s="22">
        <f>IF(W43=1,SUM($W$5:W43),"")</f>
        <v/>
      </c>
    </row>
    <row r="44">
      <c r="A44" s="20" t="inlineStr">
        <is>
          <t>Ipac</t>
        </is>
      </c>
      <c r="B44" s="20" t="inlineStr">
        <is>
          <t>IPAC_NAN</t>
        </is>
      </c>
      <c r="C44" s="20" t="inlineStr">
        <is>
          <t>BAC_CCE</t>
        </is>
      </c>
      <c r="D44" s="20" t="inlineStr">
        <is>
          <t>B2</t>
        </is>
      </c>
      <c r="E44" s="20" t="inlineStr">
        <is>
          <t>ALT</t>
        </is>
      </c>
      <c r="F44" s="21" t="n">
        <v>2</v>
      </c>
      <c r="G44" s="21" t="n">
        <v>32</v>
      </c>
      <c r="H44" s="21">
        <f>F44*G44</f>
        <v/>
      </c>
      <c r="I44" s="21" t="n">
        <v>49</v>
      </c>
      <c r="J44" s="21" t="n">
        <v>45</v>
      </c>
      <c r="K44" s="21" t="n">
        <v>311729</v>
      </c>
      <c r="L44" s="21" t="n">
        <v>342223</v>
      </c>
      <c r="M44" s="21" t="n">
        <v>15833</v>
      </c>
      <c r="N44" s="21" t="n">
        <v>17661</v>
      </c>
      <c r="O44" s="21" t="n">
        <v>254617</v>
      </c>
      <c r="P44" s="21" t="n">
        <v>275393</v>
      </c>
      <c r="Q44" s="21" t="n">
        <v>19529</v>
      </c>
      <c r="R44" s="21">
        <f>K44-M44-O44</f>
        <v/>
      </c>
      <c r="S44" s="21">
        <f>L44-N44-P44</f>
        <v/>
      </c>
      <c r="T44" s="21">
        <f>L44-N44</f>
        <v/>
      </c>
      <c r="U44" s="21">
        <f>N44+P44+Q44</f>
        <v/>
      </c>
      <c r="V44" s="21">
        <f>L44-U44</f>
        <v/>
      </c>
      <c r="W44" s="22">
        <f>IF(AND(OR(Drill!$C$6="(Tous)",$A44=Drill!$C$6),OR(Drill!$D$6="(Tous)",$B44=Drill!$D$6),OR(Drill!$E$6="(Tous)",$C44=Drill!$E$6),OR(Drill!$F$6="(Tous)",$D44=Drill!$F$6),OR(Drill!$G$6="(Tous)",$E44=Drill!$G$6)),1,0)</f>
        <v/>
      </c>
      <c r="X44" s="22">
        <f>IF(W44=1,SUM($W$5:W44),"")</f>
        <v/>
      </c>
    </row>
    <row r="45">
      <c r="A45" s="20" t="inlineStr">
        <is>
          <t>Ipac</t>
        </is>
      </c>
      <c r="B45" s="20" t="inlineStr">
        <is>
          <t>IPAC_NAN</t>
        </is>
      </c>
      <c r="C45" s="20" t="inlineStr">
        <is>
          <t>BAC_CCE</t>
        </is>
      </c>
      <c r="D45" s="20" t="inlineStr">
        <is>
          <t>B3</t>
        </is>
      </c>
      <c r="E45" s="20" t="inlineStr">
        <is>
          <t>ALT</t>
        </is>
      </c>
      <c r="F45" s="21" t="n">
        <v>2</v>
      </c>
      <c r="G45" s="21" t="n">
        <v>32</v>
      </c>
      <c r="H45" s="21">
        <f>F45*G45</f>
        <v/>
      </c>
      <c r="I45" s="21" t="n">
        <v>48</v>
      </c>
      <c r="J45" s="21" t="n">
        <v>44</v>
      </c>
      <c r="K45" s="21" t="n">
        <v>305494</v>
      </c>
      <c r="L45" s="21" t="n">
        <v>335379</v>
      </c>
      <c r="M45" s="21" t="n">
        <v>15517</v>
      </c>
      <c r="N45" s="21" t="n">
        <v>17307</v>
      </c>
      <c r="O45" s="21" t="n">
        <v>254617</v>
      </c>
      <c r="P45" s="21" t="n">
        <v>275393</v>
      </c>
      <c r="Q45" s="21" t="n">
        <v>19139</v>
      </c>
      <c r="R45" s="21">
        <f>K45-M45-O45</f>
        <v/>
      </c>
      <c r="S45" s="21">
        <f>L45-N45-P45</f>
        <v/>
      </c>
      <c r="T45" s="21">
        <f>L45-N45</f>
        <v/>
      </c>
      <c r="U45" s="21">
        <f>N45+P45+Q45</f>
        <v/>
      </c>
      <c r="V45" s="21">
        <f>L45-U45</f>
        <v/>
      </c>
      <c r="W45" s="22">
        <f>IF(AND(OR(Drill!$C$6="(Tous)",$A45=Drill!$C$6),OR(Drill!$D$6="(Tous)",$B45=Drill!$D$6),OR(Drill!$E$6="(Tous)",$C45=Drill!$E$6),OR(Drill!$F$6="(Tous)",$D45=Drill!$F$6),OR(Drill!$G$6="(Tous)",$E45=Drill!$G$6)),1,0)</f>
        <v/>
      </c>
      <c r="X45" s="22">
        <f>IF(W45=1,SUM($W$5:W45),"")</f>
        <v/>
      </c>
    </row>
    <row r="46">
      <c r="A46" s="20" t="inlineStr">
        <is>
          <t>Ipac</t>
        </is>
      </c>
      <c r="B46" s="20" t="inlineStr">
        <is>
          <t>IPAC_REN</t>
        </is>
      </c>
      <c r="C46" s="20" t="inlineStr">
        <is>
          <t>BAC_CCE</t>
        </is>
      </c>
      <c r="D46" s="20" t="inlineStr">
        <is>
          <t>B1</t>
        </is>
      </c>
      <c r="E46" s="20" t="inlineStr">
        <is>
          <t>ALT</t>
        </is>
      </c>
      <c r="F46" s="21" t="n">
        <v>2</v>
      </c>
      <c r="G46" s="21" t="n">
        <v>32</v>
      </c>
      <c r="H46" s="21">
        <f>F46*G46</f>
        <v/>
      </c>
      <c r="I46" s="21" t="n">
        <v>40</v>
      </c>
      <c r="J46" s="21" t="n">
        <v>37</v>
      </c>
      <c r="K46" s="21" t="n">
        <v>244241</v>
      </c>
      <c r="L46" s="21" t="n">
        <v>268134</v>
      </c>
      <c r="M46" s="21" t="n">
        <v>13058</v>
      </c>
      <c r="N46" s="21" t="n">
        <v>14565</v>
      </c>
      <c r="O46" s="21" t="n">
        <v>194950</v>
      </c>
      <c r="P46" s="21" t="n">
        <v>210857</v>
      </c>
      <c r="Q46" s="21" t="n">
        <v>16107</v>
      </c>
      <c r="R46" s="21">
        <f>K46-M46-O46</f>
        <v/>
      </c>
      <c r="S46" s="21">
        <f>L46-N46-P46</f>
        <v/>
      </c>
      <c r="T46" s="21">
        <f>L46-N46</f>
        <v/>
      </c>
      <c r="U46" s="21">
        <f>N46+P46+Q46</f>
        <v/>
      </c>
      <c r="V46" s="21">
        <f>L46-U46</f>
        <v/>
      </c>
      <c r="W46" s="22">
        <f>IF(AND(OR(Drill!$C$6="(Tous)",$A46=Drill!$C$6),OR(Drill!$D$6="(Tous)",$B46=Drill!$D$6),OR(Drill!$E$6="(Tous)",$C46=Drill!$E$6),OR(Drill!$F$6="(Tous)",$D46=Drill!$F$6),OR(Drill!$G$6="(Tous)",$E46=Drill!$G$6)),1,0)</f>
        <v/>
      </c>
      <c r="X46" s="22">
        <f>IF(W46=1,SUM($W$5:W46),"")</f>
        <v/>
      </c>
    </row>
    <row r="47">
      <c r="A47" s="20" t="inlineStr">
        <is>
          <t>Ipac</t>
        </is>
      </c>
      <c r="B47" s="20" t="inlineStr">
        <is>
          <t>IPAC_REN</t>
        </is>
      </c>
      <c r="C47" s="20" t="inlineStr">
        <is>
          <t>BAC_CCE</t>
        </is>
      </c>
      <c r="D47" s="20" t="inlineStr">
        <is>
          <t>B2</t>
        </is>
      </c>
      <c r="E47" s="20" t="inlineStr">
        <is>
          <t>ALT</t>
        </is>
      </c>
      <c r="F47" s="21" t="n">
        <v>2</v>
      </c>
      <c r="G47" s="21" t="n">
        <v>32</v>
      </c>
      <c r="H47" s="21">
        <f>F47*G47</f>
        <v/>
      </c>
      <c r="I47" s="21" t="n">
        <v>39</v>
      </c>
      <c r="J47" s="21" t="n">
        <v>36</v>
      </c>
      <c r="K47" s="21" t="n">
        <v>236914</v>
      </c>
      <c r="L47" s="21" t="n">
        <v>260090</v>
      </c>
      <c r="M47" s="21" t="n">
        <v>12667</v>
      </c>
      <c r="N47" s="21" t="n">
        <v>14128</v>
      </c>
      <c r="O47" s="21" t="n">
        <v>194950</v>
      </c>
      <c r="P47" s="21" t="n">
        <v>210857</v>
      </c>
      <c r="Q47" s="21" t="n">
        <v>15624</v>
      </c>
      <c r="R47" s="21">
        <f>K47-M47-O47</f>
        <v/>
      </c>
      <c r="S47" s="21">
        <f>L47-N47-P47</f>
        <v/>
      </c>
      <c r="T47" s="21">
        <f>L47-N47</f>
        <v/>
      </c>
      <c r="U47" s="21">
        <f>N47+P47+Q47</f>
        <v/>
      </c>
      <c r="V47" s="21">
        <f>L47-U47</f>
        <v/>
      </c>
      <c r="W47" s="22">
        <f>IF(AND(OR(Drill!$C$6="(Tous)",$A47=Drill!$C$6),OR(Drill!$D$6="(Tous)",$B47=Drill!$D$6),OR(Drill!$E$6="(Tous)",$C47=Drill!$E$6),OR(Drill!$F$6="(Tous)",$D47=Drill!$F$6),OR(Drill!$G$6="(Tous)",$E47=Drill!$G$6)),1,0)</f>
        <v/>
      </c>
      <c r="X47" s="22">
        <f>IF(W47=1,SUM($W$5:W47),"")</f>
        <v/>
      </c>
    </row>
    <row r="48">
      <c r="A48" s="20" t="inlineStr">
        <is>
          <t>Ipac</t>
        </is>
      </c>
      <c r="B48" s="20" t="inlineStr">
        <is>
          <t>IPAC_REN</t>
        </is>
      </c>
      <c r="C48" s="20" t="inlineStr">
        <is>
          <t>BAC_CCE</t>
        </is>
      </c>
      <c r="D48" s="20" t="inlineStr">
        <is>
          <t>B3</t>
        </is>
      </c>
      <c r="E48" s="20" t="inlineStr">
        <is>
          <t>ALT</t>
        </is>
      </c>
      <c r="F48" s="21" t="n">
        <v>2</v>
      </c>
      <c r="G48" s="21" t="n">
        <v>32</v>
      </c>
      <c r="H48" s="21">
        <f>F48*G48</f>
        <v/>
      </c>
      <c r="I48" s="21" t="n">
        <v>38</v>
      </c>
      <c r="J48" s="21" t="n">
        <v>35</v>
      </c>
      <c r="K48" s="21" t="n">
        <v>232176</v>
      </c>
      <c r="L48" s="21" t="n">
        <v>254888</v>
      </c>
      <c r="M48" s="21" t="n">
        <v>12413</v>
      </c>
      <c r="N48" s="21" t="n">
        <v>13846</v>
      </c>
      <c r="O48" s="21" t="n">
        <v>194950</v>
      </c>
      <c r="P48" s="21" t="n">
        <v>210857</v>
      </c>
      <c r="Q48" s="21" t="n">
        <v>15311</v>
      </c>
      <c r="R48" s="21">
        <f>K48-M48-O48</f>
        <v/>
      </c>
      <c r="S48" s="21">
        <f>L48-N48-P48</f>
        <v/>
      </c>
      <c r="T48" s="21">
        <f>L48-N48</f>
        <v/>
      </c>
      <c r="U48" s="21">
        <f>N48+P48+Q48</f>
        <v/>
      </c>
      <c r="V48" s="21">
        <f>L48-U48</f>
        <v/>
      </c>
      <c r="W48" s="22">
        <f>IF(AND(OR(Drill!$C$6="(Tous)",$A48=Drill!$C$6),OR(Drill!$D$6="(Tous)",$B48=Drill!$D$6),OR(Drill!$E$6="(Tous)",$C48=Drill!$E$6),OR(Drill!$F$6="(Tous)",$D48=Drill!$F$6),OR(Drill!$G$6="(Tous)",$E48=Drill!$G$6)),1,0)</f>
        <v/>
      </c>
      <c r="X48" s="22">
        <f>IF(W48=1,SUM($W$5:W48),"")</f>
        <v/>
      </c>
    </row>
    <row r="49">
      <c r="A49" s="20" t="inlineStr">
        <is>
          <t>Pigier</t>
        </is>
      </c>
      <c r="B49" s="20" t="inlineStr">
        <is>
          <t>PIGIER_BOR</t>
        </is>
      </c>
      <c r="C49" s="20" t="inlineStr">
        <is>
          <t>BAC_RH</t>
        </is>
      </c>
      <c r="D49" s="20" t="inlineStr">
        <is>
          <t>B1</t>
        </is>
      </c>
      <c r="E49" s="20" t="inlineStr">
        <is>
          <t>ALT</t>
        </is>
      </c>
      <c r="F49" s="21" t="n">
        <v>2</v>
      </c>
      <c r="G49" s="21" t="n">
        <v>32</v>
      </c>
      <c r="H49" s="21">
        <f>F49*G49</f>
        <v/>
      </c>
      <c r="I49" s="21" t="n">
        <v>36</v>
      </c>
      <c r="J49" s="21" t="n">
        <v>35</v>
      </c>
      <c r="K49" s="21" t="n">
        <v>233275</v>
      </c>
      <c r="L49" s="21" t="n">
        <v>244347</v>
      </c>
      <c r="M49" s="21" t="n">
        <v>12215</v>
      </c>
      <c r="N49" s="21" t="n">
        <v>13000</v>
      </c>
      <c r="O49" s="21" t="n">
        <v>155885</v>
      </c>
      <c r="P49" s="21" t="n">
        <v>161303</v>
      </c>
      <c r="Q49" s="21" t="n">
        <v>14375</v>
      </c>
      <c r="R49" s="21">
        <f>K49-M49-O49</f>
        <v/>
      </c>
      <c r="S49" s="21">
        <f>L49-N49-P49</f>
        <v/>
      </c>
      <c r="T49" s="21">
        <f>L49-N49</f>
        <v/>
      </c>
      <c r="U49" s="21">
        <f>N49+P49+Q49</f>
        <v/>
      </c>
      <c r="V49" s="21">
        <f>L49-U49</f>
        <v/>
      </c>
      <c r="W49" s="22">
        <f>IF(AND(OR(Drill!$C$6="(Tous)",$A49=Drill!$C$6),OR(Drill!$D$6="(Tous)",$B49=Drill!$D$6),OR(Drill!$E$6="(Tous)",$C49=Drill!$E$6),OR(Drill!$F$6="(Tous)",$D49=Drill!$F$6),OR(Drill!$G$6="(Tous)",$E49=Drill!$G$6)),1,0)</f>
        <v/>
      </c>
      <c r="X49" s="22">
        <f>IF(W49=1,SUM($W$5:W49),"")</f>
        <v/>
      </c>
    </row>
    <row r="50">
      <c r="A50" s="20" t="inlineStr">
        <is>
          <t>Pigier</t>
        </is>
      </c>
      <c r="B50" s="20" t="inlineStr">
        <is>
          <t>PIGIER_BOR</t>
        </is>
      </c>
      <c r="C50" s="20" t="inlineStr">
        <is>
          <t>BAC_RH</t>
        </is>
      </c>
      <c r="D50" s="20" t="inlineStr">
        <is>
          <t>B2</t>
        </is>
      </c>
      <c r="E50" s="20" t="inlineStr">
        <is>
          <t>ALT</t>
        </is>
      </c>
      <c r="F50" s="21" t="n">
        <v>2</v>
      </c>
      <c r="G50" s="21" t="n">
        <v>32</v>
      </c>
      <c r="H50" s="21">
        <f>F50*G50</f>
        <v/>
      </c>
      <c r="I50" s="21" t="n">
        <v>35</v>
      </c>
      <c r="J50" s="21" t="n">
        <v>34</v>
      </c>
      <c r="K50" s="21" t="n">
        <v>226277</v>
      </c>
      <c r="L50" s="21" t="n">
        <v>237017</v>
      </c>
      <c r="M50" s="21" t="n">
        <v>11849</v>
      </c>
      <c r="N50" s="21" t="n">
        <v>12610</v>
      </c>
      <c r="O50" s="21" t="n">
        <v>155885</v>
      </c>
      <c r="P50" s="21" t="n">
        <v>161303</v>
      </c>
      <c r="Q50" s="21" t="n">
        <v>13944</v>
      </c>
      <c r="R50" s="21">
        <f>K50-M50-O50</f>
        <v/>
      </c>
      <c r="S50" s="21">
        <f>L50-N50-P50</f>
        <v/>
      </c>
      <c r="T50" s="21">
        <f>L50-N50</f>
        <v/>
      </c>
      <c r="U50" s="21">
        <f>N50+P50+Q50</f>
        <v/>
      </c>
      <c r="V50" s="21">
        <f>L50-U50</f>
        <v/>
      </c>
      <c r="W50" s="22">
        <f>IF(AND(OR(Drill!$C$6="(Tous)",$A50=Drill!$C$6),OR(Drill!$D$6="(Tous)",$B50=Drill!$D$6),OR(Drill!$E$6="(Tous)",$C50=Drill!$E$6),OR(Drill!$F$6="(Tous)",$D50=Drill!$F$6),OR(Drill!$G$6="(Tous)",$E50=Drill!$G$6)),1,0)</f>
        <v/>
      </c>
      <c r="X50" s="22">
        <f>IF(W50=1,SUM($W$5:W50),"")</f>
        <v/>
      </c>
    </row>
    <row r="51">
      <c r="A51" s="20" t="inlineStr">
        <is>
          <t>Pigier</t>
        </is>
      </c>
      <c r="B51" s="20" t="inlineStr">
        <is>
          <t>PIGIER_BOR</t>
        </is>
      </c>
      <c r="C51" s="20" t="inlineStr">
        <is>
          <t>BAC_RH</t>
        </is>
      </c>
      <c r="D51" s="20" t="inlineStr">
        <is>
          <t>B3</t>
        </is>
      </c>
      <c r="E51" s="20" t="inlineStr">
        <is>
          <t>ALT</t>
        </is>
      </c>
      <c r="F51" s="21" t="n">
        <v>2</v>
      </c>
      <c r="G51" s="21" t="n">
        <v>32</v>
      </c>
      <c r="H51" s="21">
        <f>F51*G51</f>
        <v/>
      </c>
      <c r="I51" s="21" t="n">
        <v>34</v>
      </c>
      <c r="J51" s="21" t="n">
        <v>33</v>
      </c>
      <c r="K51" s="21" t="n">
        <v>221751</v>
      </c>
      <c r="L51" s="21" t="n">
        <v>232277</v>
      </c>
      <c r="M51" s="21" t="n">
        <v>11612</v>
      </c>
      <c r="N51" s="21" t="n">
        <v>12357</v>
      </c>
      <c r="O51" s="21" t="n">
        <v>155885</v>
      </c>
      <c r="P51" s="21" t="n">
        <v>161303</v>
      </c>
      <c r="Q51" s="21" t="n">
        <v>13665</v>
      </c>
      <c r="R51" s="21">
        <f>K51-M51-O51</f>
        <v/>
      </c>
      <c r="S51" s="21">
        <f>L51-N51-P51</f>
        <v/>
      </c>
      <c r="T51" s="21">
        <f>L51-N51</f>
        <v/>
      </c>
      <c r="U51" s="21">
        <f>N51+P51+Q51</f>
        <v/>
      </c>
      <c r="V51" s="21">
        <f>L51-U51</f>
        <v/>
      </c>
      <c r="W51" s="22">
        <f>IF(AND(OR(Drill!$C$6="(Tous)",$A51=Drill!$C$6),OR(Drill!$D$6="(Tous)",$B51=Drill!$D$6),OR(Drill!$E$6="(Tous)",$C51=Drill!$E$6),OR(Drill!$F$6="(Tous)",$D51=Drill!$F$6),OR(Drill!$G$6="(Tous)",$E51=Drill!$G$6)),1,0)</f>
        <v/>
      </c>
      <c r="X51" s="22">
        <f>IF(W51=1,SUM($W$5:W51),"")</f>
        <v/>
      </c>
    </row>
    <row r="52">
      <c r="A52" s="20" t="inlineStr">
        <is>
          <t>Pigier</t>
        </is>
      </c>
      <c r="B52" s="20" t="inlineStr">
        <is>
          <t>PIGIER_BOR</t>
        </is>
      </c>
      <c r="C52" s="20" t="inlineStr">
        <is>
          <t>BTS_GES</t>
        </is>
      </c>
      <c r="D52" s="20" t="inlineStr">
        <is>
          <t>1</t>
        </is>
      </c>
      <c r="E52" s="20" t="inlineStr">
        <is>
          <t>ALT</t>
        </is>
      </c>
      <c r="F52" s="21" t="n">
        <v>2</v>
      </c>
      <c r="G52" s="21" t="n">
        <v>30</v>
      </c>
      <c r="H52" s="21">
        <f>F52*G52</f>
        <v/>
      </c>
      <c r="I52" s="21" t="n">
        <v>36</v>
      </c>
      <c r="J52" s="21" t="n">
        <v>35</v>
      </c>
      <c r="K52" s="21" t="n">
        <v>199950</v>
      </c>
      <c r="L52" s="21" t="n">
        <v>209441</v>
      </c>
      <c r="M52" s="21" t="n">
        <v>12215</v>
      </c>
      <c r="N52" s="21" t="n">
        <v>13000</v>
      </c>
      <c r="O52" s="21" t="n">
        <v>167876</v>
      </c>
      <c r="P52" s="21" t="n">
        <v>173711</v>
      </c>
      <c r="Q52" s="21" t="n">
        <v>14375</v>
      </c>
      <c r="R52" s="21">
        <f>K52-M52-O52</f>
        <v/>
      </c>
      <c r="S52" s="21">
        <f>L52-N52-P52</f>
        <v/>
      </c>
      <c r="T52" s="21">
        <f>L52-N52</f>
        <v/>
      </c>
      <c r="U52" s="21">
        <f>N52+P52+Q52</f>
        <v/>
      </c>
      <c r="V52" s="21">
        <f>L52-U52</f>
        <v/>
      </c>
      <c r="W52" s="22">
        <f>IF(AND(OR(Drill!$C$6="(Tous)",$A52=Drill!$C$6),OR(Drill!$D$6="(Tous)",$B52=Drill!$D$6),OR(Drill!$E$6="(Tous)",$C52=Drill!$E$6),OR(Drill!$F$6="(Tous)",$D52=Drill!$F$6),OR(Drill!$G$6="(Tous)",$E52=Drill!$G$6)),1,0)</f>
        <v/>
      </c>
      <c r="X52" s="22">
        <f>IF(W52=1,SUM($W$5:W52),"")</f>
        <v/>
      </c>
    </row>
    <row r="53">
      <c r="A53" s="20" t="inlineStr">
        <is>
          <t>Pigier</t>
        </is>
      </c>
      <c r="B53" s="20" t="inlineStr">
        <is>
          <t>PIGIER_BOR</t>
        </is>
      </c>
      <c r="C53" s="20" t="inlineStr">
        <is>
          <t>BTS_GES</t>
        </is>
      </c>
      <c r="D53" s="20" t="inlineStr">
        <is>
          <t>2</t>
        </is>
      </c>
      <c r="E53" s="20" t="inlineStr">
        <is>
          <t>ALT</t>
        </is>
      </c>
      <c r="F53" s="21" t="n">
        <v>2</v>
      </c>
      <c r="G53" s="21" t="n">
        <v>30</v>
      </c>
      <c r="H53" s="21">
        <f>F53*G53</f>
        <v/>
      </c>
      <c r="I53" s="21" t="n">
        <v>34</v>
      </c>
      <c r="J53" s="21" t="n">
        <v>34</v>
      </c>
      <c r="K53" s="21" t="n">
        <v>193951</v>
      </c>
      <c r="L53" s="21" t="n">
        <v>203157</v>
      </c>
      <c r="M53" s="21" t="n">
        <v>11849</v>
      </c>
      <c r="N53" s="21" t="n">
        <v>12610</v>
      </c>
      <c r="O53" s="21" t="n">
        <v>167876</v>
      </c>
      <c r="P53" s="21" t="n">
        <v>173711</v>
      </c>
      <c r="Q53" s="21" t="n">
        <v>13944</v>
      </c>
      <c r="R53" s="21">
        <f>K53-M53-O53</f>
        <v/>
      </c>
      <c r="S53" s="21">
        <f>L53-N53-P53</f>
        <v/>
      </c>
      <c r="T53" s="21">
        <f>L53-N53</f>
        <v/>
      </c>
      <c r="U53" s="21">
        <f>N53+P53+Q53</f>
        <v/>
      </c>
      <c r="V53" s="21">
        <f>L53-U53</f>
        <v/>
      </c>
      <c r="W53" s="22">
        <f>IF(AND(OR(Drill!$C$6="(Tous)",$A53=Drill!$C$6),OR(Drill!$D$6="(Tous)",$B53=Drill!$D$6),OR(Drill!$E$6="(Tous)",$C53=Drill!$E$6),OR(Drill!$F$6="(Tous)",$D53=Drill!$F$6),OR(Drill!$G$6="(Tous)",$E53=Drill!$G$6)),1,0)</f>
        <v/>
      </c>
      <c r="X53" s="22">
        <f>IF(W53=1,SUM($W$5:W53),"")</f>
        <v/>
      </c>
    </row>
    <row r="54">
      <c r="A54" s="20" t="inlineStr">
        <is>
          <t>Pigier</t>
        </is>
      </c>
      <c r="B54" s="20" t="inlineStr">
        <is>
          <t>PIGIER_LYO</t>
        </is>
      </c>
      <c r="C54" s="20" t="inlineStr">
        <is>
          <t>BAC_RH</t>
        </is>
      </c>
      <c r="D54" s="20" t="inlineStr">
        <is>
          <t>B1</t>
        </is>
      </c>
      <c r="E54" s="20" t="inlineStr">
        <is>
          <t>ALT</t>
        </is>
      </c>
      <c r="F54" s="21" t="n">
        <v>2</v>
      </c>
      <c r="G54" s="21" t="n">
        <v>32</v>
      </c>
      <c r="H54" s="21">
        <f>F54*G54</f>
        <v/>
      </c>
      <c r="I54" s="21" t="n">
        <v>47</v>
      </c>
      <c r="J54" s="21" t="n">
        <v>45</v>
      </c>
      <c r="K54" s="21" t="n">
        <v>326783</v>
      </c>
      <c r="L54" s="21" t="n">
        <v>342294</v>
      </c>
      <c r="M54" s="21" t="n">
        <v>15808</v>
      </c>
      <c r="N54" s="21" t="n">
        <v>16823</v>
      </c>
      <c r="O54" s="21" t="n">
        <v>216539</v>
      </c>
      <c r="P54" s="21" t="n">
        <v>224070</v>
      </c>
      <c r="Q54" s="21" t="n">
        <v>18603</v>
      </c>
      <c r="R54" s="21">
        <f>K54-M54-O54</f>
        <v/>
      </c>
      <c r="S54" s="21">
        <f>L54-N54-P54</f>
        <v/>
      </c>
      <c r="T54" s="21">
        <f>L54-N54</f>
        <v/>
      </c>
      <c r="U54" s="21">
        <f>N54+P54+Q54</f>
        <v/>
      </c>
      <c r="V54" s="21">
        <f>L54-U54</f>
        <v/>
      </c>
      <c r="W54" s="22">
        <f>IF(AND(OR(Drill!$C$6="(Tous)",$A54=Drill!$C$6),OR(Drill!$D$6="(Tous)",$B54=Drill!$D$6),OR(Drill!$E$6="(Tous)",$C54=Drill!$E$6),OR(Drill!$F$6="(Tous)",$D54=Drill!$F$6),OR(Drill!$G$6="(Tous)",$E54=Drill!$G$6)),1,0)</f>
        <v/>
      </c>
      <c r="X54" s="22">
        <f>IF(W54=1,SUM($W$5:W54),"")</f>
        <v/>
      </c>
    </row>
    <row r="55">
      <c r="A55" s="20" t="inlineStr">
        <is>
          <t>Pigier</t>
        </is>
      </c>
      <c r="B55" s="20" t="inlineStr">
        <is>
          <t>PIGIER_LYO</t>
        </is>
      </c>
      <c r="C55" s="20" t="inlineStr">
        <is>
          <t>BAC_RH</t>
        </is>
      </c>
      <c r="D55" s="20" t="inlineStr">
        <is>
          <t>B2</t>
        </is>
      </c>
      <c r="E55" s="20" t="inlineStr">
        <is>
          <t>ALT</t>
        </is>
      </c>
      <c r="F55" s="21" t="n">
        <v>2</v>
      </c>
      <c r="G55" s="21" t="n">
        <v>32</v>
      </c>
      <c r="H55" s="21">
        <f>F55*G55</f>
        <v/>
      </c>
      <c r="I55" s="21" t="n">
        <v>45</v>
      </c>
      <c r="J55" s="21" t="n">
        <v>44</v>
      </c>
      <c r="K55" s="21" t="n">
        <v>316980</v>
      </c>
      <c r="L55" s="21" t="n">
        <v>332025</v>
      </c>
      <c r="M55" s="21" t="n">
        <v>15333</v>
      </c>
      <c r="N55" s="21" t="n">
        <v>16318</v>
      </c>
      <c r="O55" s="21" t="n">
        <v>216539</v>
      </c>
      <c r="P55" s="21" t="n">
        <v>224070</v>
      </c>
      <c r="Q55" s="21" t="n">
        <v>18045</v>
      </c>
      <c r="R55" s="21">
        <f>K55-M55-O55</f>
        <v/>
      </c>
      <c r="S55" s="21">
        <f>L55-N55-P55</f>
        <v/>
      </c>
      <c r="T55" s="21">
        <f>L55-N55</f>
        <v/>
      </c>
      <c r="U55" s="21">
        <f>N55+P55+Q55</f>
        <v/>
      </c>
      <c r="V55" s="21">
        <f>L55-U55</f>
        <v/>
      </c>
      <c r="W55" s="22">
        <f>IF(AND(OR(Drill!$C$6="(Tous)",$A55=Drill!$C$6),OR(Drill!$D$6="(Tous)",$B55=Drill!$D$6),OR(Drill!$E$6="(Tous)",$C55=Drill!$E$6),OR(Drill!$F$6="(Tous)",$D55=Drill!$F$6),OR(Drill!$G$6="(Tous)",$E55=Drill!$G$6)),1,0)</f>
        <v/>
      </c>
      <c r="X55" s="22">
        <f>IF(W55=1,SUM($W$5:W55),"")</f>
        <v/>
      </c>
    </row>
    <row r="56">
      <c r="A56" s="20" t="inlineStr">
        <is>
          <t>Pigier</t>
        </is>
      </c>
      <c r="B56" s="20" t="inlineStr">
        <is>
          <t>PIGIER_LYO</t>
        </is>
      </c>
      <c r="C56" s="20" t="inlineStr">
        <is>
          <t>BAC_RH</t>
        </is>
      </c>
      <c r="D56" s="20" t="inlineStr">
        <is>
          <t>B3</t>
        </is>
      </c>
      <c r="E56" s="20" t="inlineStr">
        <is>
          <t>ALT</t>
        </is>
      </c>
      <c r="F56" s="21" t="n">
        <v>2</v>
      </c>
      <c r="G56" s="21" t="n">
        <v>32</v>
      </c>
      <c r="H56" s="21">
        <f>F56*G56</f>
        <v/>
      </c>
      <c r="I56" s="21" t="n">
        <v>44</v>
      </c>
      <c r="J56" s="21" t="n">
        <v>43</v>
      </c>
      <c r="K56" s="21" t="n">
        <v>310640</v>
      </c>
      <c r="L56" s="21" t="n">
        <v>325384</v>
      </c>
      <c r="M56" s="21" t="n">
        <v>15027</v>
      </c>
      <c r="N56" s="21" t="n">
        <v>15992</v>
      </c>
      <c r="O56" s="21" t="n">
        <v>216539</v>
      </c>
      <c r="P56" s="21" t="n">
        <v>224070</v>
      </c>
      <c r="Q56" s="21" t="n">
        <v>17684</v>
      </c>
      <c r="R56" s="21">
        <f>K56-M56-O56</f>
        <v/>
      </c>
      <c r="S56" s="21">
        <f>L56-N56-P56</f>
        <v/>
      </c>
      <c r="T56" s="21">
        <f>L56-N56</f>
        <v/>
      </c>
      <c r="U56" s="21">
        <f>N56+P56+Q56</f>
        <v/>
      </c>
      <c r="V56" s="21">
        <f>L56-U56</f>
        <v/>
      </c>
      <c r="W56" s="22">
        <f>IF(AND(OR(Drill!$C$6="(Tous)",$A56=Drill!$C$6),OR(Drill!$D$6="(Tous)",$B56=Drill!$D$6),OR(Drill!$E$6="(Tous)",$C56=Drill!$E$6),OR(Drill!$F$6="(Tous)",$D56=Drill!$F$6),OR(Drill!$G$6="(Tous)",$E56=Drill!$G$6)),1,0)</f>
        <v/>
      </c>
      <c r="X56" s="22">
        <f>IF(W56=1,SUM($W$5:W56),"")</f>
        <v/>
      </c>
    </row>
    <row r="57">
      <c r="A57" s="20" t="inlineStr">
        <is>
          <t>Pigier</t>
        </is>
      </c>
      <c r="B57" s="20" t="inlineStr">
        <is>
          <t>PIGIER_LYO</t>
        </is>
      </c>
      <c r="C57" s="20" t="inlineStr">
        <is>
          <t>BTS_GES</t>
        </is>
      </c>
      <c r="D57" s="20" t="inlineStr">
        <is>
          <t>1</t>
        </is>
      </c>
      <c r="E57" s="20" t="inlineStr">
        <is>
          <t>ALT</t>
        </is>
      </c>
      <c r="F57" s="21" t="n">
        <v>2</v>
      </c>
      <c r="G57" s="21" t="n">
        <v>30</v>
      </c>
      <c r="H57" s="21">
        <f>F57*G57</f>
        <v/>
      </c>
      <c r="I57" s="21" t="n">
        <v>46</v>
      </c>
      <c r="J57" s="21" t="n">
        <v>45</v>
      </c>
      <c r="K57" s="21" t="n">
        <v>280100</v>
      </c>
      <c r="L57" s="21" t="n">
        <v>293395</v>
      </c>
      <c r="M57" s="21" t="n">
        <v>15808</v>
      </c>
      <c r="N57" s="21" t="n">
        <v>16823</v>
      </c>
      <c r="O57" s="21" t="n">
        <v>233195</v>
      </c>
      <c r="P57" s="21" t="n">
        <v>241307</v>
      </c>
      <c r="Q57" s="21" t="n">
        <v>18603</v>
      </c>
      <c r="R57" s="21">
        <f>K57-M57-O57</f>
        <v/>
      </c>
      <c r="S57" s="21">
        <f>L57-N57-P57</f>
        <v/>
      </c>
      <c r="T57" s="21">
        <f>L57-N57</f>
        <v/>
      </c>
      <c r="U57" s="21">
        <f>N57+P57+Q57</f>
        <v/>
      </c>
      <c r="V57" s="21">
        <f>L57-U57</f>
        <v/>
      </c>
      <c r="W57" s="22">
        <f>IF(AND(OR(Drill!$C$6="(Tous)",$A57=Drill!$C$6),OR(Drill!$D$6="(Tous)",$B57=Drill!$D$6),OR(Drill!$E$6="(Tous)",$C57=Drill!$E$6),OR(Drill!$F$6="(Tous)",$D57=Drill!$F$6),OR(Drill!$G$6="(Tous)",$E57=Drill!$G$6)),1,0)</f>
        <v/>
      </c>
      <c r="X57" s="22">
        <f>IF(W57=1,SUM($W$5:W57),"")</f>
        <v/>
      </c>
    </row>
    <row r="58">
      <c r="A58" s="20" t="inlineStr">
        <is>
          <t>Pigier</t>
        </is>
      </c>
      <c r="B58" s="20" t="inlineStr">
        <is>
          <t>PIGIER_LYO</t>
        </is>
      </c>
      <c r="C58" s="20" t="inlineStr">
        <is>
          <t>BTS_GES</t>
        </is>
      </c>
      <c r="D58" s="20" t="inlineStr">
        <is>
          <t>2</t>
        </is>
      </c>
      <c r="E58" s="20" t="inlineStr">
        <is>
          <t>ALT</t>
        </is>
      </c>
      <c r="F58" s="21" t="n">
        <v>2</v>
      </c>
      <c r="G58" s="21" t="n">
        <v>30</v>
      </c>
      <c r="H58" s="21">
        <f>F58*G58</f>
        <v/>
      </c>
      <c r="I58" s="21" t="n">
        <v>45</v>
      </c>
      <c r="J58" s="21" t="n">
        <v>44</v>
      </c>
      <c r="K58" s="21" t="n">
        <v>271697</v>
      </c>
      <c r="L58" s="21" t="n">
        <v>284593</v>
      </c>
      <c r="M58" s="21" t="n">
        <v>15333</v>
      </c>
      <c r="N58" s="21" t="n">
        <v>16318</v>
      </c>
      <c r="O58" s="21" t="n">
        <v>233195</v>
      </c>
      <c r="P58" s="21" t="n">
        <v>241307</v>
      </c>
      <c r="Q58" s="21" t="n">
        <v>18045</v>
      </c>
      <c r="R58" s="21">
        <f>K58-M58-O58</f>
        <v/>
      </c>
      <c r="S58" s="21">
        <f>L58-N58-P58</f>
        <v/>
      </c>
      <c r="T58" s="21">
        <f>L58-N58</f>
        <v/>
      </c>
      <c r="U58" s="21">
        <f>N58+P58+Q58</f>
        <v/>
      </c>
      <c r="V58" s="21">
        <f>L58-U58</f>
        <v/>
      </c>
      <c r="W58" s="22">
        <f>IF(AND(OR(Drill!$C$6="(Tous)",$A58=Drill!$C$6),OR(Drill!$D$6="(Tous)",$B58=Drill!$D$6),OR(Drill!$E$6="(Tous)",$C58=Drill!$E$6),OR(Drill!$F$6="(Tous)",$D58=Drill!$F$6),OR(Drill!$G$6="(Tous)",$E58=Drill!$G$6)),1,0)</f>
        <v/>
      </c>
      <c r="X58" s="22">
        <f>IF(W58=1,SUM($W$5:W58),"")</f>
        <v/>
      </c>
    </row>
    <row r="59">
      <c r="A59" s="20" t="inlineStr">
        <is>
          <t>Tunon</t>
        </is>
      </c>
      <c r="B59" s="20" t="inlineStr">
        <is>
          <t>TUNON_LYO</t>
        </is>
      </c>
      <c r="C59" s="20" t="inlineStr">
        <is>
          <t>BAC_TOU</t>
        </is>
      </c>
      <c r="D59" s="20" t="inlineStr">
        <is>
          <t>B1</t>
        </is>
      </c>
      <c r="E59" s="20" t="inlineStr">
        <is>
          <t>ALT</t>
        </is>
      </c>
      <c r="F59" s="21" t="n">
        <v>2</v>
      </c>
      <c r="G59" s="21" t="n">
        <v>32</v>
      </c>
      <c r="H59" s="21">
        <f>F59*G59</f>
        <v/>
      </c>
      <c r="I59" s="21" t="n">
        <v>40</v>
      </c>
      <c r="J59" s="21" t="n">
        <v>39</v>
      </c>
      <c r="K59" s="21" t="n">
        <v>285592</v>
      </c>
      <c r="L59" s="21" t="n">
        <v>293395</v>
      </c>
      <c r="M59" s="21" t="n">
        <v>13815</v>
      </c>
      <c r="N59" s="21" t="n">
        <v>14420</v>
      </c>
      <c r="O59" s="21" t="n">
        <v>250561</v>
      </c>
      <c r="P59" s="21" t="n">
        <v>260729</v>
      </c>
      <c r="Q59" s="21" t="n">
        <v>15946</v>
      </c>
      <c r="R59" s="21">
        <f>K59-M59-O59</f>
        <v/>
      </c>
      <c r="S59" s="21">
        <f>L59-N59-P59</f>
        <v/>
      </c>
      <c r="T59" s="21">
        <f>L59-N59</f>
        <v/>
      </c>
      <c r="U59" s="21">
        <f>N59+P59+Q59</f>
        <v/>
      </c>
      <c r="V59" s="21">
        <f>L59-U59</f>
        <v/>
      </c>
      <c r="W59" s="22">
        <f>IF(AND(OR(Drill!$C$6="(Tous)",$A59=Drill!$C$6),OR(Drill!$D$6="(Tous)",$B59=Drill!$D$6),OR(Drill!$E$6="(Tous)",$C59=Drill!$E$6),OR(Drill!$F$6="(Tous)",$D59=Drill!$F$6),OR(Drill!$G$6="(Tous)",$E59=Drill!$G$6)),1,0)</f>
        <v/>
      </c>
      <c r="X59" s="22">
        <f>IF(W59=1,SUM($W$5:W59),"")</f>
        <v/>
      </c>
    </row>
    <row r="60">
      <c r="A60" s="20" t="inlineStr">
        <is>
          <t>Tunon</t>
        </is>
      </c>
      <c r="B60" s="20" t="inlineStr">
        <is>
          <t>TUNON_LYO</t>
        </is>
      </c>
      <c r="C60" s="20" t="inlineStr">
        <is>
          <t>BAC_TOU</t>
        </is>
      </c>
      <c r="D60" s="20" t="inlineStr">
        <is>
          <t>B2</t>
        </is>
      </c>
      <c r="E60" s="20" t="inlineStr">
        <is>
          <t>ALT</t>
        </is>
      </c>
      <c r="F60" s="21" t="n">
        <v>2</v>
      </c>
      <c r="G60" s="21" t="n">
        <v>32</v>
      </c>
      <c r="H60" s="21">
        <f>F60*G60</f>
        <v/>
      </c>
      <c r="I60" s="21" t="n">
        <v>38</v>
      </c>
      <c r="J60" s="21" t="n">
        <v>38</v>
      </c>
      <c r="K60" s="21" t="n">
        <v>277024</v>
      </c>
      <c r="L60" s="21" t="n">
        <v>284593</v>
      </c>
      <c r="M60" s="21" t="n">
        <v>13401</v>
      </c>
      <c r="N60" s="21" t="n">
        <v>13987</v>
      </c>
      <c r="O60" s="21" t="n">
        <v>250561</v>
      </c>
      <c r="P60" s="21" t="n">
        <v>260729</v>
      </c>
      <c r="Q60" s="21" t="n">
        <v>15467</v>
      </c>
      <c r="R60" s="21">
        <f>K60-M60-O60</f>
        <v/>
      </c>
      <c r="S60" s="21">
        <f>L60-N60-P60</f>
        <v/>
      </c>
      <c r="T60" s="21">
        <f>L60-N60</f>
        <v/>
      </c>
      <c r="U60" s="21">
        <f>N60+P60+Q60</f>
        <v/>
      </c>
      <c r="V60" s="21">
        <f>L60-U60</f>
        <v/>
      </c>
      <c r="W60" s="22">
        <f>IF(AND(OR(Drill!$C$6="(Tous)",$A60=Drill!$C$6),OR(Drill!$D$6="(Tous)",$B60=Drill!$D$6),OR(Drill!$E$6="(Tous)",$C60=Drill!$E$6),OR(Drill!$F$6="(Tous)",$D60=Drill!$F$6),OR(Drill!$G$6="(Tous)",$E60=Drill!$G$6)),1,0)</f>
        <v/>
      </c>
      <c r="X60" s="22">
        <f>IF(W60=1,SUM($W$5:W60),"")</f>
        <v/>
      </c>
    </row>
    <row r="61">
      <c r="A61" s="20" t="inlineStr">
        <is>
          <t>Tunon</t>
        </is>
      </c>
      <c r="B61" s="20" t="inlineStr">
        <is>
          <t>TUNON_LYO</t>
        </is>
      </c>
      <c r="C61" s="20" t="inlineStr">
        <is>
          <t>BAC_TOU</t>
        </is>
      </c>
      <c r="D61" s="20" t="inlineStr">
        <is>
          <t>B3</t>
        </is>
      </c>
      <c r="E61" s="20" t="inlineStr">
        <is>
          <t>ALT</t>
        </is>
      </c>
      <c r="F61" s="21" t="n">
        <v>2</v>
      </c>
      <c r="G61" s="21" t="n">
        <v>32</v>
      </c>
      <c r="H61" s="21">
        <f>F61*G61</f>
        <v/>
      </c>
      <c r="I61" s="21" t="n">
        <v>38</v>
      </c>
      <c r="J61" s="21" t="n">
        <v>37</v>
      </c>
      <c r="K61" s="21" t="n">
        <v>271484</v>
      </c>
      <c r="L61" s="21" t="n">
        <v>278901</v>
      </c>
      <c r="M61" s="21" t="n">
        <v>13133</v>
      </c>
      <c r="N61" s="21" t="n">
        <v>13707</v>
      </c>
      <c r="O61" s="21" t="n">
        <v>250561</v>
      </c>
      <c r="P61" s="21" t="n">
        <v>260729</v>
      </c>
      <c r="Q61" s="21" t="n">
        <v>15158</v>
      </c>
      <c r="R61" s="21">
        <f>K61-M61-O61</f>
        <v/>
      </c>
      <c r="S61" s="21">
        <f>L61-N61-P61</f>
        <v/>
      </c>
      <c r="T61" s="21">
        <f>L61-N61</f>
        <v/>
      </c>
      <c r="U61" s="21">
        <f>N61+P61+Q61</f>
        <v/>
      </c>
      <c r="V61" s="21">
        <f>L61-U61</f>
        <v/>
      </c>
      <c r="W61" s="22">
        <f>IF(AND(OR(Drill!$C$6="(Tous)",$A61=Drill!$C$6),OR(Drill!$D$6="(Tous)",$B61=Drill!$D$6),OR(Drill!$E$6="(Tous)",$C61=Drill!$E$6),OR(Drill!$F$6="(Tous)",$D61=Drill!$F$6),OR(Drill!$G$6="(Tous)",$E61=Drill!$G$6)),1,0)</f>
        <v/>
      </c>
      <c r="X61" s="22">
        <f>IF(W61=1,SUM($W$5:W61),"")</f>
        <v/>
      </c>
    </row>
    <row r="62">
      <c r="A62" s="20" t="inlineStr">
        <is>
          <t>Tunon</t>
        </is>
      </c>
      <c r="B62" s="20" t="inlineStr">
        <is>
          <t>TUNON_PAR</t>
        </is>
      </c>
      <c r="C62" s="20" t="inlineStr">
        <is>
          <t>BAC_TOU</t>
        </is>
      </c>
      <c r="D62" s="20" t="inlineStr">
        <is>
          <t>B1</t>
        </is>
      </c>
      <c r="E62" s="20" t="inlineStr">
        <is>
          <t>ALT</t>
        </is>
      </c>
      <c r="F62" s="21" t="n">
        <v>2</v>
      </c>
      <c r="G62" s="21" t="n">
        <v>32</v>
      </c>
      <c r="H62" s="21">
        <f>F62*G62</f>
        <v/>
      </c>
      <c r="I62" s="21" t="n">
        <v>47</v>
      </c>
      <c r="J62" s="21" t="n">
        <v>46</v>
      </c>
      <c r="K62" s="21" t="n">
        <v>360019</v>
      </c>
      <c r="L62" s="21" t="n">
        <v>369855</v>
      </c>
      <c r="M62" s="21" t="n">
        <v>16327</v>
      </c>
      <c r="N62" s="21" t="n">
        <v>17042</v>
      </c>
      <c r="O62" s="21" t="n">
        <v>314389</v>
      </c>
      <c r="P62" s="21" t="n">
        <v>327293</v>
      </c>
      <c r="Q62" s="21" t="n">
        <v>18845</v>
      </c>
      <c r="R62" s="21">
        <f>K62-M62-O62</f>
        <v/>
      </c>
      <c r="S62" s="21">
        <f>L62-N62-P62</f>
        <v/>
      </c>
      <c r="T62" s="21">
        <f>L62-N62</f>
        <v/>
      </c>
      <c r="U62" s="21">
        <f>N62+P62+Q62</f>
        <v/>
      </c>
      <c r="V62" s="21">
        <f>L62-U62</f>
        <v/>
      </c>
      <c r="W62" s="22">
        <f>IF(AND(OR(Drill!$C$6="(Tous)",$A62=Drill!$C$6),OR(Drill!$D$6="(Tous)",$B62=Drill!$D$6),OR(Drill!$E$6="(Tous)",$C62=Drill!$E$6),OR(Drill!$F$6="(Tous)",$D62=Drill!$F$6),OR(Drill!$G$6="(Tous)",$E62=Drill!$G$6)),1,0)</f>
        <v/>
      </c>
      <c r="X62" s="22">
        <f>IF(W62=1,SUM($W$5:W62),"")</f>
        <v/>
      </c>
    </row>
    <row r="63">
      <c r="A63" s="20" t="inlineStr">
        <is>
          <t>Tunon</t>
        </is>
      </c>
      <c r="B63" s="20" t="inlineStr">
        <is>
          <t>TUNON_PAR</t>
        </is>
      </c>
      <c r="C63" s="20" t="inlineStr">
        <is>
          <t>BAC_TOU</t>
        </is>
      </c>
      <c r="D63" s="20" t="inlineStr">
        <is>
          <t>B2</t>
        </is>
      </c>
      <c r="E63" s="20" t="inlineStr">
        <is>
          <t>ALT</t>
        </is>
      </c>
      <c r="F63" s="21" t="n">
        <v>2</v>
      </c>
      <c r="G63" s="21" t="n">
        <v>32</v>
      </c>
      <c r="H63" s="21">
        <f>F63*G63</f>
        <v/>
      </c>
      <c r="I63" s="21" t="n">
        <v>45</v>
      </c>
      <c r="J63" s="21" t="n">
        <v>45</v>
      </c>
      <c r="K63" s="21" t="n">
        <v>349218</v>
      </c>
      <c r="L63" s="21" t="n">
        <v>358759</v>
      </c>
      <c r="M63" s="21" t="n">
        <v>15837</v>
      </c>
      <c r="N63" s="21" t="n">
        <v>16530</v>
      </c>
      <c r="O63" s="21" t="n">
        <v>314389</v>
      </c>
      <c r="P63" s="21" t="n">
        <v>327293</v>
      </c>
      <c r="Q63" s="21" t="n">
        <v>18280</v>
      </c>
      <c r="R63" s="21">
        <f>K63-M63-O63</f>
        <v/>
      </c>
      <c r="S63" s="21">
        <f>L63-N63-P63</f>
        <v/>
      </c>
      <c r="T63" s="21">
        <f>L63-N63</f>
        <v/>
      </c>
      <c r="U63" s="21">
        <f>N63+P63+Q63</f>
        <v/>
      </c>
      <c r="V63" s="21">
        <f>L63-U63</f>
        <v/>
      </c>
      <c r="W63" s="22">
        <f>IF(AND(OR(Drill!$C$6="(Tous)",$A63=Drill!$C$6),OR(Drill!$D$6="(Tous)",$B63=Drill!$D$6),OR(Drill!$E$6="(Tous)",$C63=Drill!$E$6),OR(Drill!$F$6="(Tous)",$D63=Drill!$F$6),OR(Drill!$G$6="(Tous)",$E63=Drill!$G$6)),1,0)</f>
        <v/>
      </c>
      <c r="X63" s="22">
        <f>IF(W63=1,SUM($W$5:W63),"")</f>
        <v/>
      </c>
    </row>
    <row r="64">
      <c r="A64" s="20" t="inlineStr">
        <is>
          <t>Tunon</t>
        </is>
      </c>
      <c r="B64" s="20" t="inlineStr">
        <is>
          <t>TUNON_PAR</t>
        </is>
      </c>
      <c r="C64" s="20" t="inlineStr">
        <is>
          <t>BAC_TOU</t>
        </is>
      </c>
      <c r="D64" s="20" t="inlineStr">
        <is>
          <t>B3</t>
        </is>
      </c>
      <c r="E64" s="20" t="inlineStr">
        <is>
          <t>ALT</t>
        </is>
      </c>
      <c r="F64" s="21" t="n">
        <v>2</v>
      </c>
      <c r="G64" s="21" t="n">
        <v>32</v>
      </c>
      <c r="H64" s="21">
        <f>F64*G64</f>
        <v/>
      </c>
      <c r="I64" s="21" t="n">
        <v>45</v>
      </c>
      <c r="J64" s="21" t="n">
        <v>44</v>
      </c>
      <c r="K64" s="21" t="n">
        <v>342234</v>
      </c>
      <c r="L64" s="21" t="n">
        <v>351584</v>
      </c>
      <c r="M64" s="21" t="n">
        <v>15520</v>
      </c>
      <c r="N64" s="21" t="n">
        <v>16200</v>
      </c>
      <c r="O64" s="21" t="n">
        <v>314389</v>
      </c>
      <c r="P64" s="21" t="n">
        <v>327293</v>
      </c>
      <c r="Q64" s="21" t="n">
        <v>17914</v>
      </c>
      <c r="R64" s="21">
        <f>K64-M64-O64</f>
        <v/>
      </c>
      <c r="S64" s="21">
        <f>L64-N64-P64</f>
        <v/>
      </c>
      <c r="T64" s="21">
        <f>L64-N64</f>
        <v/>
      </c>
      <c r="U64" s="21">
        <f>N64+P64+Q64</f>
        <v/>
      </c>
      <c r="V64" s="21">
        <f>L64-U64</f>
        <v/>
      </c>
      <c r="W64" s="22">
        <f>IF(AND(OR(Drill!$C$6="(Tous)",$A64=Drill!$C$6),OR(Drill!$D$6="(Tous)",$B64=Drill!$D$6),OR(Drill!$E$6="(Tous)",$C64=Drill!$E$6),OR(Drill!$F$6="(Tous)",$D64=Drill!$F$6),OR(Drill!$G$6="(Tous)",$E64=Drill!$G$6)),1,0)</f>
        <v/>
      </c>
      <c r="X64" s="22">
        <f>IF(W64=1,SUM($W$5:W64),"")</f>
        <v/>
      </c>
    </row>
    <row r="65">
      <c r="A65" s="24" t="inlineStr">
        <is>
          <t>TOTAL</t>
        </is>
      </c>
      <c r="F65" s="25">
        <f>SUM(F5:F64)</f>
        <v/>
      </c>
      <c r="G65" s="25">
        <f>SUM(G5:G64)</f>
        <v/>
      </c>
      <c r="H65" s="25">
        <f>SUM(H5:H64)</f>
        <v/>
      </c>
      <c r="I65" s="25">
        <f>SUM(I5:I64)</f>
        <v/>
      </c>
      <c r="J65" s="25">
        <f>SUM(J5:J64)</f>
        <v/>
      </c>
      <c r="K65" s="25">
        <f>SUM(K5:K64)</f>
        <v/>
      </c>
      <c r="L65" s="25">
        <f>SUM(L5:L64)</f>
        <v/>
      </c>
      <c r="M65" s="25">
        <f>SUM(M5:M64)</f>
        <v/>
      </c>
      <c r="N65" s="25">
        <f>SUM(N5:N64)</f>
        <v/>
      </c>
      <c r="O65" s="25">
        <f>SUM(O5:O64)</f>
        <v/>
      </c>
      <c r="P65" s="25">
        <f>SUM(P5:P64)</f>
        <v/>
      </c>
      <c r="Q65" s="25">
        <f>SUM(Q5:Q64)</f>
        <v/>
      </c>
      <c r="R65" s="25">
        <f>SUM(R5:R64)</f>
        <v/>
      </c>
      <c r="S65" s="25">
        <f>SUM(S5:S64)</f>
        <v/>
      </c>
      <c r="T65" s="25">
        <f>SUM(T5:T64)</f>
        <v/>
      </c>
      <c r="U65" s="25">
        <f>SUM(U5:U64)</f>
        <v/>
      </c>
      <c r="V65" s="25">
        <f>SUM(V5:V64)</f>
        <v/>
      </c>
    </row>
    <row r="67">
      <c r="A67" s="26" t="inlineStr">
        <is>
          <t>Clés de ventilation comptable (onglet ⑥) — les postes du coût direct n'évoluent pas au même rythme</t>
        </is>
      </c>
    </row>
    <row r="68">
      <c r="A68" s="4" t="inlineStr">
        <is>
          <t>Compte</t>
        </is>
      </c>
      <c r="B68" s="4" t="inlineStr">
        <is>
          <t>Libellé</t>
        </is>
      </c>
      <c r="C68" s="4" t="inlineStr">
        <is>
          <t>Assiette</t>
        </is>
      </c>
      <c r="D68" s="4" t="inlineStr">
        <is>
          <t>Part 2025</t>
        </is>
      </c>
      <c r="E68" s="4" t="inlineStr">
        <is>
          <t>Part 2026</t>
        </is>
      </c>
    </row>
    <row r="69">
      <c r="A69" s="27" t="inlineStr">
        <is>
          <t>706</t>
        </is>
      </c>
      <c r="B69" s="27" t="inlineStr">
        <is>
          <t>Scolarité initiale</t>
        </is>
      </c>
      <c r="C69" s="27" t="inlineStr">
        <is>
          <t>CA × 0,97 × (1−mix alt.)</t>
        </is>
      </c>
      <c r="D69" s="28" t="n"/>
      <c r="E69" s="28" t="n"/>
    </row>
    <row r="70">
      <c r="A70" s="27" t="inlineStr">
        <is>
          <t>7062</t>
        </is>
      </c>
      <c r="B70" s="27" t="inlineStr">
        <is>
          <t>Scolarité alternance</t>
        </is>
      </c>
      <c r="C70" s="27" t="inlineStr">
        <is>
          <t>CA × 0,97 × mix alt.</t>
        </is>
      </c>
      <c r="D70" s="28" t="n"/>
      <c r="E70" s="28" t="n"/>
    </row>
    <row r="71">
      <c r="A71" s="27" t="inlineStr">
        <is>
          <t>708</t>
        </is>
      </c>
      <c r="B71" s="27" t="inlineStr">
        <is>
          <t>Produits annexes</t>
        </is>
      </c>
      <c r="C71" s="27" t="inlineStr">
        <is>
          <t>CA</t>
        </is>
      </c>
      <c r="D71" s="29" t="n">
        <v>0.03</v>
      </c>
      <c r="E71" s="29" t="n">
        <v>0.03</v>
      </c>
    </row>
    <row r="72">
      <c r="A72" s="27" t="inlineStr">
        <is>
          <t>621</t>
        </is>
      </c>
      <c r="B72" s="27" t="inlineStr">
        <is>
          <t>Vacataires</t>
        </is>
      </c>
      <c r="C72" s="27" t="inlineStr">
        <is>
          <t>Coût variable</t>
        </is>
      </c>
      <c r="D72" s="29" t="n">
        <v>0.85</v>
      </c>
      <c r="E72" s="29" t="n">
        <v>0.85</v>
      </c>
    </row>
    <row r="73">
      <c r="A73" s="27" t="inlineStr">
        <is>
          <t>604</t>
        </is>
      </c>
      <c r="B73" s="27" t="inlineStr">
        <is>
          <t>Achats de prestations</t>
        </is>
      </c>
      <c r="C73" s="27" t="inlineStr">
        <is>
          <t>Coût variable</t>
        </is>
      </c>
      <c r="D73" s="29" t="n">
        <v>0.15</v>
      </c>
      <c r="E73" s="29" t="n">
        <v>0.15</v>
      </c>
    </row>
    <row r="74">
      <c r="A74" s="27" t="inlineStr">
        <is>
          <t>641</t>
        </is>
      </c>
      <c r="B74" s="27" t="inlineStr">
        <is>
          <t>Masse salariale permanente</t>
        </is>
      </c>
      <c r="C74" s="27" t="inlineStr">
        <is>
          <t>Coût direct</t>
        </is>
      </c>
      <c r="D74" s="29" t="n">
        <v>0.64</v>
      </c>
      <c r="E74" s="29" t="n">
        <v>0.6465592972181552</v>
      </c>
    </row>
    <row r="75">
      <c r="A75" s="27" t="inlineStr">
        <is>
          <t>613</t>
        </is>
      </c>
      <c r="B75" s="27" t="inlineStr">
        <is>
          <t>Loyers &amp; charges locatives</t>
        </is>
      </c>
      <c r="C75" s="27" t="inlineStr">
        <is>
          <t>Coût direct</t>
        </is>
      </c>
      <c r="D75" s="29" t="n">
        <v>0.22</v>
      </c>
      <c r="E75" s="29" t="n">
        <v>0.2201073694485114</v>
      </c>
    </row>
    <row r="76">
      <c r="A76" s="27" t="inlineStr">
        <is>
          <t>6236</t>
        </is>
      </c>
      <c r="B76" s="27" t="inlineStr">
        <is>
          <t>Quote-part marque</t>
        </is>
      </c>
      <c r="C76" s="27" t="inlineStr">
        <is>
          <t>Coût direct</t>
        </is>
      </c>
      <c r="D76" s="29" t="n">
        <v>0.1</v>
      </c>
      <c r="E76" s="29" t="n">
        <v>0.09272816007808687</v>
      </c>
    </row>
    <row r="77">
      <c r="A77" s="27" t="inlineStr">
        <is>
          <t>6063</t>
        </is>
      </c>
      <c r="B77" s="27" t="inlineStr">
        <is>
          <t>Fournitures &amp; petits équipements</t>
        </is>
      </c>
      <c r="C77" s="27" t="inlineStr">
        <is>
          <t>Coût direct</t>
        </is>
      </c>
      <c r="D77" s="29" t="n">
        <v>0.04</v>
      </c>
      <c r="E77" s="29" t="n">
        <v>0.04060517325524647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O63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6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</row>
    <row r="2" ht="30" customHeight="1">
      <c r="A2" s="30" t="n"/>
      <c r="B2" s="31" t="inlineStr">
        <is>
          <t xml:space="preserve">  ③ Cockpit de performance — EDUSERVICES GROUP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3" t="inlineStr">
        <is>
          <t xml:space="preserve">RÉEL · CLÔTURE 2026  </t>
        </is>
      </c>
      <c r="N2" s="30" t="n"/>
      <c r="O2" s="30" t="n"/>
    </row>
    <row r="3" ht="16" customHeight="1">
      <c r="A3" s="30" t="n"/>
      <c r="B3" s="34" t="inlineStr">
        <is>
          <t xml:space="preserve">  Constat 2024 → 2026 · 14 campus · 5 marques · socle CRM &amp; comptabilité rapprochés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6" t="n"/>
      <c r="N3" s="30" t="n"/>
      <c r="O3" s="30" t="n"/>
    </row>
    <row r="4" ht="6" customHeight="1">
      <c r="A4" s="30" t="n"/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</row>
    <row r="5" ht="20" customHeight="1">
      <c r="A5" s="30" t="n"/>
      <c r="B5" s="37" t="inlineStr">
        <is>
          <t xml:space="preserve">  Scénario</t>
        </is>
      </c>
      <c r="C5" s="38">
        <f>Données!B5</f>
        <v/>
      </c>
      <c r="D5" s="37" t="inlineStr">
        <is>
          <t xml:space="preserve">  Version</t>
        </is>
      </c>
      <c r="E5" s="38">
        <f>Données!B6</f>
        <v/>
      </c>
      <c r="F5" s="39" t="inlineStr">
        <is>
          <t xml:space="preserve">  Exercice</t>
        </is>
      </c>
      <c r="G5" s="40">
        <f>Données!B7</f>
        <v/>
      </c>
      <c r="H5" s="37" t="inlineStr">
        <is>
          <t xml:space="preserve">  Période</t>
        </is>
      </c>
      <c r="I5" s="38">
        <f>Données!B8</f>
        <v/>
      </c>
      <c r="J5" s="37" t="inlineStr">
        <is>
          <t xml:space="preserve">  Marque</t>
        </is>
      </c>
      <c r="K5" s="38">
        <f>Données!B9</f>
        <v/>
      </c>
      <c r="L5" s="37" t="inlineStr">
        <is>
          <t xml:space="preserve">  Campus</t>
        </is>
      </c>
      <c r="M5" s="38">
        <f>Données!B10</f>
        <v/>
      </c>
      <c r="N5" s="30" t="n"/>
      <c r="O5" s="30" t="n"/>
    </row>
    <row r="6" ht="6" customHeight="1">
      <c r="A6" s="30" t="n"/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</row>
    <row r="7" ht="15" customHeight="1">
      <c r="A7" s="30" t="n"/>
      <c r="B7" s="41" t="inlineStr">
        <is>
          <t xml:space="preserve">  CHIFFRE D'AFFAIRES</t>
        </is>
      </c>
      <c r="C7" s="42" t="n"/>
      <c r="D7" s="41" t="inlineStr">
        <is>
          <t xml:space="preserve">  EBITDA</t>
        </is>
      </c>
      <c r="E7" s="42" t="n"/>
      <c r="F7" s="41" t="inlineStr">
        <is>
          <t xml:space="preserve">  MARGE EBITDA</t>
        </is>
      </c>
      <c r="G7" s="42" t="n"/>
      <c r="H7" s="41" t="inlineStr">
        <is>
          <t xml:space="preserve">  INSCRITS (NOUVEAUX)</t>
        </is>
      </c>
      <c r="I7" s="42" t="n"/>
      <c r="J7" s="43" t="inlineStr">
        <is>
          <t xml:space="preserve">  COÛT D'ACQUISITION</t>
        </is>
      </c>
      <c r="K7" s="44" t="n"/>
      <c r="L7" s="41" t="inlineStr">
        <is>
          <t xml:space="preserve">  REMPLISSAGE MOYEN</t>
        </is>
      </c>
      <c r="M7" s="42" t="n"/>
      <c r="N7" s="30" t="n"/>
      <c r="O7" s="30" t="n"/>
    </row>
    <row r="8" ht="28" customHeight="1">
      <c r="A8" s="30" t="n"/>
      <c r="B8" s="45">
        <f>C35</f>
        <v/>
      </c>
      <c r="C8" s="46" t="n"/>
      <c r="D8" s="45">
        <f>E35</f>
        <v/>
      </c>
      <c r="E8" s="46" t="n"/>
      <c r="F8" s="47">
        <f>H35</f>
        <v/>
      </c>
      <c r="G8" s="46" t="n"/>
      <c r="H8" s="48">
        <f>J35</f>
        <v/>
      </c>
      <c r="I8" s="46" t="n"/>
      <c r="J8" s="49">
        <f>Données!D32/Données!D33</f>
        <v/>
      </c>
      <c r="K8" s="50" t="n"/>
      <c r="L8" s="51">
        <f>K35</f>
        <v/>
      </c>
      <c r="M8" s="46" t="n"/>
      <c r="N8" s="30" t="n"/>
      <c r="O8" s="30" t="n"/>
    </row>
    <row r="9" ht="16" customHeight="1">
      <c r="A9" s="30" t="n"/>
      <c r="B9" s="52">
        <f>D35</f>
        <v/>
      </c>
      <c r="C9" s="36" t="n"/>
      <c r="D9" s="52">
        <f>F35</f>
        <v/>
      </c>
      <c r="E9" s="36" t="n"/>
      <c r="F9" s="53">
        <f>I35</f>
        <v/>
      </c>
      <c r="G9" s="36" t="n"/>
      <c r="H9" s="52">
        <f>J35/Données!C33-1</f>
        <v/>
      </c>
      <c r="I9" s="36" t="n"/>
      <c r="J9" s="54">
        <f>(Données!D32/Données!D33)/(Données!C32/Données!C33)-1</f>
        <v/>
      </c>
      <c r="K9" s="55" t="n"/>
      <c r="L9" s="56">
        <f>SUM(Données!$K$15:$K$28)-SUM(Données!$J$15:$J$28)</f>
        <v/>
      </c>
      <c r="M9" s="36" t="n"/>
      <c r="N9" s="30" t="n"/>
      <c r="O9" s="30" t="n"/>
    </row>
    <row r="10" ht="8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</row>
    <row r="11" ht="20" customHeight="1">
      <c r="A11" s="30" t="n"/>
      <c r="B11" s="57" t="inlineStr">
        <is>
          <t xml:space="preserve">  Bridge EBITDA 2025 → 2026</t>
        </is>
      </c>
      <c r="C11" s="32" t="n"/>
      <c r="D11" s="32" t="n"/>
      <c r="E11" s="58" t="inlineStr">
        <is>
          <t xml:space="preserve">M€ · axe tronqué à 3,2  </t>
        </is>
      </c>
      <c r="F11" s="57" t="inlineStr">
        <is>
          <t xml:space="preserve">  Marge EBITDA par marque</t>
        </is>
      </c>
      <c r="G11" s="32" t="n"/>
      <c r="H11" s="32" t="n"/>
      <c r="I11" s="58" t="inlineStr">
        <is>
          <t xml:space="preserve">2024 · 2025 · 2026  </t>
        </is>
      </c>
      <c r="J11" s="57" t="inlineStr">
        <is>
          <t xml:space="preserve">  Tension acquisition</t>
        </is>
      </c>
      <c r="K11" s="32" t="n"/>
      <c r="L11" s="32" t="n"/>
      <c r="M11" s="58" t="inlineStr">
        <is>
          <t xml:space="preserve">base 100 = 2024  </t>
        </is>
      </c>
      <c r="N11" s="30" t="n"/>
      <c r="O11" s="30" t="n"/>
    </row>
    <row r="12" ht="16" customHeight="1">
      <c r="A12" s="30" t="n"/>
      <c r="B12" s="59" t="n"/>
      <c r="C12" s="60" t="n"/>
      <c r="D12" s="60" t="n"/>
      <c r="E12" s="46" t="n"/>
      <c r="F12" s="59" t="n"/>
      <c r="G12" s="60" t="n"/>
      <c r="H12" s="60" t="n"/>
      <c r="I12" s="46" t="n"/>
      <c r="J12" s="59" t="n"/>
      <c r="K12" s="60" t="n"/>
      <c r="L12" s="60" t="n"/>
      <c r="M12" s="46" t="n"/>
      <c r="N12" s="30" t="n"/>
      <c r="O12" s="30" t="n"/>
    </row>
    <row r="13" ht="16" customHeight="1">
      <c r="A13" s="30" t="n"/>
      <c r="B13" s="59" t="n"/>
      <c r="C13" s="60" t="n"/>
      <c r="D13" s="60" t="n"/>
      <c r="E13" s="46" t="n"/>
      <c r="F13" s="59" t="n"/>
      <c r="G13" s="60" t="n"/>
      <c r="H13" s="60" t="n"/>
      <c r="I13" s="46" t="n"/>
      <c r="J13" s="59" t="n"/>
      <c r="K13" s="60" t="n"/>
      <c r="L13" s="60" t="n"/>
      <c r="M13" s="46" t="n"/>
      <c r="N13" s="30" t="n"/>
      <c r="O13" s="30" t="n"/>
    </row>
    <row r="14" ht="16" customHeight="1">
      <c r="A14" s="30" t="n"/>
      <c r="B14" s="59" t="n"/>
      <c r="C14" s="60" t="n"/>
      <c r="D14" s="60" t="n"/>
      <c r="E14" s="46" t="n"/>
      <c r="F14" s="59" t="n"/>
      <c r="G14" s="60" t="n"/>
      <c r="H14" s="60" t="n"/>
      <c r="I14" s="46" t="n"/>
      <c r="J14" s="59" t="n"/>
      <c r="K14" s="60" t="n"/>
      <c r="L14" s="60" t="n"/>
      <c r="M14" s="46" t="n"/>
      <c r="N14" s="30" t="n"/>
      <c r="O14" s="30" t="n"/>
    </row>
    <row r="15" ht="16" customHeight="1">
      <c r="A15" s="30" t="n"/>
      <c r="B15" s="59" t="n"/>
      <c r="C15" s="60" t="n"/>
      <c r="D15" s="60" t="n"/>
      <c r="E15" s="46" t="n"/>
      <c r="F15" s="59" t="n"/>
      <c r="G15" s="60" t="n"/>
      <c r="H15" s="60" t="n"/>
      <c r="I15" s="46" t="n"/>
      <c r="J15" s="59" t="n"/>
      <c r="K15" s="60" t="n"/>
      <c r="L15" s="60" t="n"/>
      <c r="M15" s="46" t="n"/>
      <c r="N15" s="30" t="n"/>
      <c r="O15" s="30" t="n"/>
    </row>
    <row r="16" ht="16" customHeight="1">
      <c r="A16" s="30" t="n"/>
      <c r="B16" s="59" t="n"/>
      <c r="C16" s="60" t="n"/>
      <c r="D16" s="60" t="n"/>
      <c r="E16" s="46" t="n"/>
      <c r="F16" s="59" t="n"/>
      <c r="G16" s="60" t="n"/>
      <c r="H16" s="60" t="n"/>
      <c r="I16" s="46" t="n"/>
      <c r="J16" s="59" t="n"/>
      <c r="K16" s="60" t="n"/>
      <c r="L16" s="60" t="n"/>
      <c r="M16" s="46" t="n"/>
      <c r="N16" s="30" t="n"/>
      <c r="O16" s="30" t="n"/>
    </row>
    <row r="17" ht="16" customHeight="1">
      <c r="A17" s="30" t="n"/>
      <c r="B17" s="59" t="n"/>
      <c r="C17" s="60" t="n"/>
      <c r="D17" s="60" t="n"/>
      <c r="E17" s="46" t="n"/>
      <c r="F17" s="59" t="n"/>
      <c r="G17" s="60" t="n"/>
      <c r="H17" s="60" t="n"/>
      <c r="I17" s="46" t="n"/>
      <c r="J17" s="59" t="n"/>
      <c r="K17" s="60" t="n"/>
      <c r="L17" s="60" t="n"/>
      <c r="M17" s="46" t="n"/>
      <c r="N17" s="30" t="n"/>
      <c r="O17" s="30" t="n"/>
    </row>
    <row r="18" ht="16" customHeight="1">
      <c r="A18" s="30" t="n"/>
      <c r="B18" s="59" t="n"/>
      <c r="C18" s="60" t="n"/>
      <c r="D18" s="60" t="n"/>
      <c r="E18" s="46" t="n"/>
      <c r="F18" s="59" t="n"/>
      <c r="G18" s="60" t="n"/>
      <c r="H18" s="60" t="n"/>
      <c r="I18" s="46" t="n"/>
      <c r="J18" s="59" t="n"/>
      <c r="K18" s="60" t="n"/>
      <c r="L18" s="60" t="n"/>
      <c r="M18" s="46" t="n"/>
      <c r="N18" s="30" t="n"/>
      <c r="O18" s="30" t="n"/>
    </row>
    <row r="19" ht="16" customHeight="1">
      <c r="A19" s="30" t="n"/>
      <c r="B19" s="59" t="n"/>
      <c r="C19" s="60" t="n"/>
      <c r="D19" s="60" t="n"/>
      <c r="E19" s="46" t="n"/>
      <c r="F19" s="59" t="n"/>
      <c r="G19" s="60" t="n"/>
      <c r="H19" s="60" t="n"/>
      <c r="I19" s="46" t="n"/>
      <c r="J19" s="59" t="n"/>
      <c r="K19" s="60" t="n"/>
      <c r="L19" s="60" t="n"/>
      <c r="M19" s="46" t="n"/>
      <c r="N19" s="30" t="n"/>
      <c r="O19" s="30" t="n"/>
    </row>
    <row r="20" ht="16" customHeight="1">
      <c r="A20" s="30" t="n"/>
      <c r="B20" s="59" t="n"/>
      <c r="C20" s="60" t="n"/>
      <c r="D20" s="60" t="n"/>
      <c r="E20" s="46" t="n"/>
      <c r="F20" s="59" t="n"/>
      <c r="G20" s="60" t="n"/>
      <c r="H20" s="60" t="n"/>
      <c r="I20" s="46" t="n"/>
      <c r="J20" s="59" t="n"/>
      <c r="K20" s="60" t="n"/>
      <c r="L20" s="60" t="n"/>
      <c r="M20" s="46" t="n"/>
      <c r="N20" s="30" t="n"/>
      <c r="O20" s="30" t="n"/>
    </row>
    <row r="21" ht="16" customHeight="1">
      <c r="A21" s="30" t="n"/>
      <c r="B21" s="59" t="n"/>
      <c r="C21" s="60" t="n"/>
      <c r="D21" s="60" t="n"/>
      <c r="E21" s="46" t="n"/>
      <c r="F21" s="59" t="n"/>
      <c r="G21" s="60" t="n"/>
      <c r="H21" s="60" t="n"/>
      <c r="I21" s="46" t="n"/>
      <c r="J21" s="59" t="n"/>
      <c r="K21" s="60" t="n"/>
      <c r="L21" s="60" t="n"/>
      <c r="M21" s="46" t="n"/>
      <c r="N21" s="30" t="n"/>
      <c r="O21" s="30" t="n"/>
    </row>
    <row r="22" ht="16" customHeight="1">
      <c r="A22" s="30" t="n"/>
      <c r="B22" s="59" t="n"/>
      <c r="C22" s="60" t="n"/>
      <c r="D22" s="60" t="n"/>
      <c r="E22" s="46" t="n"/>
      <c r="F22" s="59" t="n"/>
      <c r="G22" s="60" t="n"/>
      <c r="H22" s="60" t="n"/>
      <c r="I22" s="46" t="n"/>
      <c r="J22" s="59" t="n"/>
      <c r="K22" s="60" t="n"/>
      <c r="L22" s="60" t="n"/>
      <c r="M22" s="46" t="n"/>
      <c r="N22" s="30" t="n"/>
      <c r="O22" s="30" t="n"/>
    </row>
    <row r="23" ht="16" customHeight="1">
      <c r="A23" s="30" t="n"/>
      <c r="B23" s="59" t="n"/>
      <c r="C23" s="60" t="n"/>
      <c r="D23" s="60" t="n"/>
      <c r="E23" s="46" t="n"/>
      <c r="F23" s="59" t="n"/>
      <c r="G23" s="60" t="n"/>
      <c r="H23" s="60" t="n"/>
      <c r="I23" s="46" t="n"/>
      <c r="J23" s="59" t="n"/>
      <c r="K23" s="60" t="n"/>
      <c r="L23" s="60" t="n"/>
      <c r="M23" s="46" t="n"/>
      <c r="N23" s="30" t="n"/>
      <c r="O23" s="30" t="n"/>
    </row>
    <row r="24" ht="16" customHeight="1">
      <c r="A24" s="30" t="n"/>
      <c r="B24" s="59" t="n"/>
      <c r="C24" s="60" t="n"/>
      <c r="D24" s="60" t="n"/>
      <c r="E24" s="46" t="n"/>
      <c r="F24" s="59" t="n"/>
      <c r="G24" s="60" t="n"/>
      <c r="H24" s="60" t="n"/>
      <c r="I24" s="46" t="n"/>
      <c r="J24" s="59" t="n"/>
      <c r="K24" s="60" t="n"/>
      <c r="L24" s="60" t="n"/>
      <c r="M24" s="46" t="n"/>
      <c r="N24" s="30" t="n"/>
      <c r="O24" s="30" t="n"/>
    </row>
    <row r="25" ht="16" customHeight="1">
      <c r="A25" s="30" t="n"/>
      <c r="B25" s="59" t="n"/>
      <c r="C25" s="60" t="n"/>
      <c r="D25" s="60" t="n"/>
      <c r="E25" s="46" t="n"/>
      <c r="F25" s="59" t="n"/>
      <c r="G25" s="60" t="n"/>
      <c r="H25" s="60" t="n"/>
      <c r="I25" s="46" t="n"/>
      <c r="J25" s="59" t="n"/>
      <c r="K25" s="60" t="n"/>
      <c r="L25" s="60" t="n"/>
      <c r="M25" s="46" t="n"/>
      <c r="N25" s="30" t="n"/>
      <c r="O25" s="30" t="n"/>
    </row>
    <row r="26" ht="16" customHeight="1">
      <c r="A26" s="30" t="n"/>
      <c r="B26" s="59" t="n"/>
      <c r="C26" s="60" t="n"/>
      <c r="D26" s="60" t="n"/>
      <c r="E26" s="46" t="n"/>
      <c r="F26" s="59" t="n"/>
      <c r="G26" s="60" t="n"/>
      <c r="H26" s="60" t="n"/>
      <c r="I26" s="46" t="n"/>
      <c r="J26" s="59" t="n"/>
      <c r="K26" s="60" t="n"/>
      <c r="L26" s="60" t="n"/>
      <c r="M26" s="46" t="n"/>
      <c r="N26" s="30" t="n"/>
      <c r="O26" s="30" t="n"/>
    </row>
    <row r="27" ht="16" customHeight="1">
      <c r="A27" s="30" t="n"/>
      <c r="B27" s="59" t="n"/>
      <c r="C27" s="60" t="n"/>
      <c r="D27" s="60" t="n"/>
      <c r="E27" s="46" t="n"/>
      <c r="F27" s="59" t="n"/>
      <c r="G27" s="60" t="n"/>
      <c r="H27" s="60" t="n"/>
      <c r="I27" s="46" t="n"/>
      <c r="J27" s="59" t="n"/>
      <c r="K27" s="60" t="n"/>
      <c r="L27" s="60" t="n"/>
      <c r="M27" s="46" t="n"/>
      <c r="N27" s="30" t="n"/>
      <c r="O27" s="30" t="n"/>
    </row>
    <row r="28" ht="16" customHeight="1">
      <c r="A28" s="30" t="n"/>
      <c r="B28" s="59" t="n"/>
      <c r="C28" s="60" t="n"/>
      <c r="D28" s="60" t="n"/>
      <c r="E28" s="46" t="n"/>
      <c r="F28" s="59" t="n"/>
      <c r="G28" s="60" t="n"/>
      <c r="H28" s="60" t="n"/>
      <c r="I28" s="46" t="n"/>
      <c r="J28" s="59" t="n"/>
      <c r="K28" s="60" t="n"/>
      <c r="L28" s="60" t="n"/>
      <c r="M28" s="46" t="n"/>
      <c r="N28" s="30" t="n"/>
      <c r="O28" s="30" t="n"/>
    </row>
    <row r="29" ht="16" customHeight="1">
      <c r="A29" s="30" t="n"/>
      <c r="B29" s="59" t="n"/>
      <c r="C29" s="60" t="n"/>
      <c r="D29" s="60" t="n"/>
      <c r="E29" s="46" t="n"/>
      <c r="F29" s="59" t="n"/>
      <c r="G29" s="60" t="n"/>
      <c r="H29" s="60" t="n"/>
      <c r="I29" s="46" t="n"/>
      <c r="J29" s="59" t="n"/>
      <c r="K29" s="60" t="n"/>
      <c r="L29" s="60" t="n"/>
      <c r="M29" s="46" t="n"/>
      <c r="N29" s="30" t="n"/>
      <c r="O29" s="30" t="n"/>
    </row>
    <row r="30" ht="16" customHeight="1">
      <c r="A30" s="30" t="n"/>
      <c r="B30" s="59" t="n"/>
      <c r="C30" s="60" t="n"/>
      <c r="D30" s="60" t="n"/>
      <c r="E30" s="46" t="n"/>
      <c r="F30" s="59" t="n"/>
      <c r="G30" s="60" t="n"/>
      <c r="H30" s="60" t="n"/>
      <c r="I30" s="46" t="n"/>
      <c r="J30" s="59" t="n"/>
      <c r="K30" s="60" t="n"/>
      <c r="L30" s="60" t="n"/>
      <c r="M30" s="46" t="n"/>
      <c r="N30" s="30" t="n"/>
      <c r="O30" s="30" t="n"/>
    </row>
    <row r="31" ht="16" customHeight="1">
      <c r="A31" s="30" t="n"/>
      <c r="B31" s="61" t="n"/>
      <c r="C31" s="35" t="n"/>
      <c r="D31" s="35" t="n"/>
      <c r="E31" s="36" t="n"/>
      <c r="F31" s="61" t="n"/>
      <c r="G31" s="35" t="n"/>
      <c r="H31" s="35" t="n"/>
      <c r="I31" s="36" t="n"/>
      <c r="J31" s="61" t="n"/>
      <c r="K31" s="35" t="n"/>
      <c r="L31" s="35" t="n"/>
      <c r="M31" s="36" t="n"/>
      <c r="N31" s="30" t="n"/>
      <c r="O31" s="30" t="n"/>
    </row>
    <row r="32" ht="8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</row>
    <row r="33" ht="20" customHeight="1">
      <c r="A33" s="30" t="n"/>
      <c r="B33" s="57" t="inlineStr">
        <is>
          <t xml:space="preserve">  Portefeuille — marque &amp; campus</t>
        </is>
      </c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58" t="inlineStr">
        <is>
          <t xml:space="preserve">exercice 2026 · variation vs 2025  </t>
        </is>
      </c>
      <c r="N33" s="30" t="n"/>
      <c r="O33" s="30" t="n"/>
    </row>
    <row r="34" ht="18" customHeight="1">
      <c r="A34" s="30" t="n"/>
      <c r="B34" s="62" t="inlineStr">
        <is>
          <t>Marque / campus</t>
        </is>
      </c>
      <c r="C34" s="63" t="inlineStr">
        <is>
          <t>CA 2026</t>
        </is>
      </c>
      <c r="D34" s="63" t="inlineStr">
        <is>
          <t>Δ CA</t>
        </is>
      </c>
      <c r="E34" s="63" t="inlineStr">
        <is>
          <t>EBITDA</t>
        </is>
      </c>
      <c r="F34" s="63" t="inlineStr">
        <is>
          <t>Δ EBITDA</t>
        </is>
      </c>
      <c r="G34" s="63" t="inlineStr">
        <is>
          <t>Part EBITDA</t>
        </is>
      </c>
      <c r="H34" s="63" t="inlineStr">
        <is>
          <t>Marge EBITDA</t>
        </is>
      </c>
      <c r="I34" s="63" t="inlineStr">
        <is>
          <t>Δ marge</t>
        </is>
      </c>
      <c r="J34" s="63" t="inlineStr">
        <is>
          <t>Inscrits</t>
        </is>
      </c>
      <c r="K34" s="63" t="inlineStr">
        <is>
          <t>Rempl.</t>
        </is>
      </c>
      <c r="L34" s="63" t="inlineStr">
        <is>
          <t>Mix alt.</t>
        </is>
      </c>
      <c r="M34" s="63" t="inlineStr">
        <is>
          <t>Alerte</t>
        </is>
      </c>
      <c r="N34" s="30" t="n"/>
      <c r="O34" s="30" t="n"/>
    </row>
    <row r="35" ht="17" customHeight="1">
      <c r="A35" s="30" t="n"/>
      <c r="B35" s="64" t="inlineStr">
        <is>
          <t>GROUPE</t>
        </is>
      </c>
      <c r="C35" s="65">
        <f>SUM(Données!$E$15:$E$28)</f>
        <v/>
      </c>
      <c r="D35" s="66">
        <f>C35/SUM(Données!$D$15:$D$28)-1</f>
        <v/>
      </c>
      <c r="E35" s="65">
        <f>SUM(Données!$H$15:$H$28)</f>
        <v/>
      </c>
      <c r="F35" s="66">
        <f>E35/SUM(Données!$G$15:$G$28)-1</f>
        <v/>
      </c>
      <c r="G35" s="67">
        <f>E35/$E$35</f>
        <v/>
      </c>
      <c r="H35" s="67">
        <f>E35/C35</f>
        <v/>
      </c>
      <c r="I35" s="68">
        <f>(H35-SUM(Données!$G$15:$G$28)/SUM(Données!$D$15:$D$28))*100</f>
        <v/>
      </c>
      <c r="J35" s="65">
        <f>SUM(Données!$I$15:$I$28)</f>
        <v/>
      </c>
      <c r="K35" s="69">
        <f>SUM(Données!$J$15:$J$28)/SUM(Données!$K$15:$K$28)</f>
        <v/>
      </c>
      <c r="L35" s="69">
        <f>SUMPRODUCT(Données!$J$15:$J$28,Données!$L$15:$L$28)/SUM(Données!$J$15:$J$28)</f>
        <v/>
      </c>
      <c r="M35" s="70">
        <f>IF(H35&lt;0.08,"FRAGILE","")</f>
        <v/>
      </c>
      <c r="N35" s="30" t="n"/>
      <c r="O35" s="30" t="n"/>
    </row>
    <row r="36" outlineLevel="1" ht="17" customHeight="1">
      <c r="A36" s="30" t="n"/>
      <c r="B36" s="71" t="inlineStr">
        <is>
          <t>MBway</t>
        </is>
      </c>
      <c r="C36" s="72">
        <f>SUMIF(Données!$B$15:$B$28,$B36,Données!$E$15:$E$28)</f>
        <v/>
      </c>
      <c r="D36" s="73">
        <f>C36/SUMIF(Données!$B$15:$B$28,$B36,Données!$D$15:$D$28)-1</f>
        <v/>
      </c>
      <c r="E36" s="72">
        <f>SUMIF(Données!$B$15:$B$28,$B36,Données!$H$15:$H$28)</f>
        <v/>
      </c>
      <c r="F36" s="73">
        <f>E36/SUMIF(Données!$B$15:$B$28,$B36,Données!$G$15:$G$28)-1</f>
        <v/>
      </c>
      <c r="G36" s="74">
        <f>E36/$E$35</f>
        <v/>
      </c>
      <c r="H36" s="74">
        <f>E36/C36</f>
        <v/>
      </c>
      <c r="I36" s="75">
        <f>(H36-SUMIF(Données!$B$15:$B$28,$B36,Données!$G$15:$G$28)/SUMIF(Données!$B$15:$B$28,$B36,Données!$D$15:$D$28))*100</f>
        <v/>
      </c>
      <c r="J36" s="72">
        <f>SUMIF(Données!$B$15:$B$28,$B36,Données!$I$15:$I$28)</f>
        <v/>
      </c>
      <c r="K36" s="76">
        <f>SUMIF(Données!$B$15:$B$28,$B36,Données!$J$15:$J$28)/SUMIF(Données!$B$15:$B$28,$B36,Données!$K$15:$K$28)</f>
        <v/>
      </c>
      <c r="L36" s="76">
        <f>SUMPRODUCT((Données!$B$15:$B$28=$B36)*Données!$J$15:$J$28*Données!$L$15:$L$28)/SUMIF(Données!$B$15:$B$28,$B36,Données!$J$15:$J$28)</f>
        <v/>
      </c>
      <c r="M36" s="77">
        <f>IF(H36&lt;0.08,"FRAGILE","")</f>
        <v/>
      </c>
      <c r="N36" s="30" t="n"/>
      <c r="O36" s="30" t="n"/>
    </row>
    <row r="37" outlineLevel="2" ht="17" customHeight="1">
      <c r="A37" s="30" t="n"/>
      <c r="B37" s="78" t="inlineStr">
        <is>
          <t>MBWAY_BOR</t>
        </is>
      </c>
      <c r="C37" s="79">
        <f>VLOOKUP($B37,Données!$A$15:$L$28,5,0)</f>
        <v/>
      </c>
      <c r="D37" s="80">
        <f>C37/VLOOKUP($B37,Données!$A$15:$L$28,4,0)-1</f>
        <v/>
      </c>
      <c r="E37" s="79">
        <f>VLOOKUP($B37,Données!$A$15:$L$28,8,0)</f>
        <v/>
      </c>
      <c r="F37" s="80">
        <f>IF(VLOOKUP($B37,Données!$A$15:$L$28,7,0)&lt;=0,"n/s",E37/VLOOKUP($B37,Données!$A$15:$L$28,7,0)-1)</f>
        <v/>
      </c>
      <c r="G37" s="81">
        <f>E37/$E$35</f>
        <v/>
      </c>
      <c r="H37" s="81">
        <f>E37/C37</f>
        <v/>
      </c>
      <c r="I37" s="82">
        <f>(H37-VLOOKUP($B37,Données!$A$15:$L$28,7,0)/VLOOKUP($B37,Données!$A$15:$L$28,4,0))*100</f>
        <v/>
      </c>
      <c r="J37" s="79">
        <f>VLOOKUP($B37,Données!$A$15:$L$28,9,0)</f>
        <v/>
      </c>
      <c r="K37" s="83">
        <f>VLOOKUP($B37,Données!$A$15:$L$28,10,0)/VLOOKUP($B37,Données!$A$15:$L$28,11,0)</f>
        <v/>
      </c>
      <c r="L37" s="83">
        <f>VLOOKUP($B37,Données!$A$15:$L$28,12,0)</f>
        <v/>
      </c>
      <c r="M37" s="77">
        <f>IF(H37&lt;0.08,"FRAGILE","")</f>
        <v/>
      </c>
      <c r="N37" s="30" t="n"/>
      <c r="O37" s="30" t="n"/>
    </row>
    <row r="38" outlineLevel="2" ht="17" customHeight="1">
      <c r="A38" s="30" t="n"/>
      <c r="B38" s="78" t="inlineStr">
        <is>
          <t>MBWAY_LYO</t>
        </is>
      </c>
      <c r="C38" s="79">
        <f>VLOOKUP($B38,Données!$A$15:$L$28,5,0)</f>
        <v/>
      </c>
      <c r="D38" s="80">
        <f>C38/VLOOKUP($B38,Données!$A$15:$L$28,4,0)-1</f>
        <v/>
      </c>
      <c r="E38" s="79">
        <f>VLOOKUP($B38,Données!$A$15:$L$28,8,0)</f>
        <v/>
      </c>
      <c r="F38" s="80">
        <f>IF(VLOOKUP($B38,Données!$A$15:$L$28,7,0)&lt;=0,"n/s",E38/VLOOKUP($B38,Données!$A$15:$L$28,7,0)-1)</f>
        <v/>
      </c>
      <c r="G38" s="81">
        <f>E38/$E$35</f>
        <v/>
      </c>
      <c r="H38" s="81">
        <f>E38/C38</f>
        <v/>
      </c>
      <c r="I38" s="82">
        <f>(H38-VLOOKUP($B38,Données!$A$15:$L$28,7,0)/VLOOKUP($B38,Données!$A$15:$L$28,4,0))*100</f>
        <v/>
      </c>
      <c r="J38" s="79">
        <f>VLOOKUP($B38,Données!$A$15:$L$28,9,0)</f>
        <v/>
      </c>
      <c r="K38" s="83">
        <f>VLOOKUP($B38,Données!$A$15:$L$28,10,0)/VLOOKUP($B38,Données!$A$15:$L$28,11,0)</f>
        <v/>
      </c>
      <c r="L38" s="83">
        <f>VLOOKUP($B38,Données!$A$15:$L$28,12,0)</f>
        <v/>
      </c>
      <c r="M38" s="77">
        <f>IF(H38&lt;0.08,"FRAGILE","")</f>
        <v/>
      </c>
      <c r="N38" s="30" t="n"/>
      <c r="O38" s="30" t="n"/>
    </row>
    <row r="39" outlineLevel="2" ht="17" customHeight="1">
      <c r="A39" s="30" t="n"/>
      <c r="B39" s="78" t="inlineStr">
        <is>
          <t>MBWAY_NAN</t>
        </is>
      </c>
      <c r="C39" s="79">
        <f>VLOOKUP($B39,Données!$A$15:$L$28,5,0)</f>
        <v/>
      </c>
      <c r="D39" s="80">
        <f>C39/VLOOKUP($B39,Données!$A$15:$L$28,4,0)-1</f>
        <v/>
      </c>
      <c r="E39" s="79">
        <f>VLOOKUP($B39,Données!$A$15:$L$28,8,0)</f>
        <v/>
      </c>
      <c r="F39" s="80">
        <f>IF(VLOOKUP($B39,Données!$A$15:$L$28,7,0)&lt;=0,"n/s",E39/VLOOKUP($B39,Données!$A$15:$L$28,7,0)-1)</f>
        <v/>
      </c>
      <c r="G39" s="81">
        <f>E39/$E$35</f>
        <v/>
      </c>
      <c r="H39" s="81">
        <f>E39/C39</f>
        <v/>
      </c>
      <c r="I39" s="82">
        <f>(H39-VLOOKUP($B39,Données!$A$15:$L$28,7,0)/VLOOKUP($B39,Données!$A$15:$L$28,4,0))*100</f>
        <v/>
      </c>
      <c r="J39" s="79">
        <f>VLOOKUP($B39,Données!$A$15:$L$28,9,0)</f>
        <v/>
      </c>
      <c r="K39" s="83">
        <f>VLOOKUP($B39,Données!$A$15:$L$28,10,0)/VLOOKUP($B39,Données!$A$15:$L$28,11,0)</f>
        <v/>
      </c>
      <c r="L39" s="83">
        <f>VLOOKUP($B39,Données!$A$15:$L$28,12,0)</f>
        <v/>
      </c>
      <c r="M39" s="77">
        <f>IF(H39&lt;0.08,"FRAGILE","")</f>
        <v/>
      </c>
      <c r="N39" s="30" t="n"/>
      <c r="O39" s="30" t="n"/>
    </row>
    <row r="40" outlineLevel="2" ht="17" customHeight="1">
      <c r="A40" s="30" t="n"/>
      <c r="B40" s="78" t="inlineStr">
        <is>
          <t>MBWAY_PAR</t>
        </is>
      </c>
      <c r="C40" s="79">
        <f>VLOOKUP($B40,Données!$A$15:$L$28,5,0)</f>
        <v/>
      </c>
      <c r="D40" s="80">
        <f>C40/VLOOKUP($B40,Données!$A$15:$L$28,4,0)-1</f>
        <v/>
      </c>
      <c r="E40" s="79">
        <f>VLOOKUP($B40,Données!$A$15:$L$28,8,0)</f>
        <v/>
      </c>
      <c r="F40" s="80">
        <f>IF(VLOOKUP($B40,Données!$A$15:$L$28,7,0)&lt;=0,"n/s",E40/VLOOKUP($B40,Données!$A$15:$L$28,7,0)-1)</f>
        <v/>
      </c>
      <c r="G40" s="81">
        <f>E40/$E$35</f>
        <v/>
      </c>
      <c r="H40" s="81">
        <f>E40/C40</f>
        <v/>
      </c>
      <c r="I40" s="82">
        <f>(H40-VLOOKUP($B40,Données!$A$15:$L$28,7,0)/VLOOKUP($B40,Données!$A$15:$L$28,4,0))*100</f>
        <v/>
      </c>
      <c r="J40" s="79">
        <f>VLOOKUP($B40,Données!$A$15:$L$28,9,0)</f>
        <v/>
      </c>
      <c r="K40" s="83">
        <f>VLOOKUP($B40,Données!$A$15:$L$28,10,0)/VLOOKUP($B40,Données!$A$15:$L$28,11,0)</f>
        <v/>
      </c>
      <c r="L40" s="83">
        <f>VLOOKUP($B40,Données!$A$15:$L$28,12,0)</f>
        <v/>
      </c>
      <c r="M40" s="77">
        <f>IF(H40&lt;0.08,"FRAGILE","")</f>
        <v/>
      </c>
      <c r="N40" s="30" t="n"/>
      <c r="O40" s="30" t="n"/>
    </row>
    <row r="41" outlineLevel="1" ht="17" customHeight="1">
      <c r="A41" s="30" t="n"/>
      <c r="B41" s="71" t="inlineStr">
        <is>
          <t>ISCOM</t>
        </is>
      </c>
      <c r="C41" s="72">
        <f>SUMIF(Données!$B$15:$B$28,$B41,Données!$E$15:$E$28)</f>
        <v/>
      </c>
      <c r="D41" s="73">
        <f>C41/SUMIF(Données!$B$15:$B$28,$B41,Données!$D$15:$D$28)-1</f>
        <v/>
      </c>
      <c r="E41" s="72">
        <f>SUMIF(Données!$B$15:$B$28,$B41,Données!$H$15:$H$28)</f>
        <v/>
      </c>
      <c r="F41" s="73">
        <f>E41/SUMIF(Données!$B$15:$B$28,$B41,Données!$G$15:$G$28)-1</f>
        <v/>
      </c>
      <c r="G41" s="74">
        <f>E41/$E$35</f>
        <v/>
      </c>
      <c r="H41" s="74">
        <f>E41/C41</f>
        <v/>
      </c>
      <c r="I41" s="75">
        <f>(H41-SUMIF(Données!$B$15:$B$28,$B41,Données!$G$15:$G$28)/SUMIF(Données!$B$15:$B$28,$B41,Données!$D$15:$D$28))*100</f>
        <v/>
      </c>
      <c r="J41" s="72">
        <f>SUMIF(Données!$B$15:$B$28,$B41,Données!$I$15:$I$28)</f>
        <v/>
      </c>
      <c r="K41" s="76">
        <f>SUMIF(Données!$B$15:$B$28,$B41,Données!$J$15:$J$28)/SUMIF(Données!$B$15:$B$28,$B41,Données!$K$15:$K$28)</f>
        <v/>
      </c>
      <c r="L41" s="76">
        <f>SUMPRODUCT((Données!$B$15:$B$28=$B41)*Données!$J$15:$J$28*Données!$L$15:$L$28)/SUMIF(Données!$B$15:$B$28,$B41,Données!$J$15:$J$28)</f>
        <v/>
      </c>
      <c r="M41" s="77">
        <f>IF(H41&lt;0.08,"FRAGILE","")</f>
        <v/>
      </c>
      <c r="N41" s="30" t="n"/>
      <c r="O41" s="30" t="n"/>
    </row>
    <row r="42" outlineLevel="2" ht="17" customHeight="1">
      <c r="A42" s="30" t="n"/>
      <c r="B42" s="78" t="inlineStr">
        <is>
          <t>ISCOM_LIL</t>
        </is>
      </c>
      <c r="C42" s="79">
        <f>VLOOKUP($B42,Données!$A$15:$L$28,5,0)</f>
        <v/>
      </c>
      <c r="D42" s="80">
        <f>C42/VLOOKUP($B42,Données!$A$15:$L$28,4,0)-1</f>
        <v/>
      </c>
      <c r="E42" s="79">
        <f>VLOOKUP($B42,Données!$A$15:$L$28,8,0)</f>
        <v/>
      </c>
      <c r="F42" s="80">
        <f>IF(VLOOKUP($B42,Données!$A$15:$L$28,7,0)&lt;=0,"n/s",E42/VLOOKUP($B42,Données!$A$15:$L$28,7,0)-1)</f>
        <v/>
      </c>
      <c r="G42" s="81">
        <f>E42/$E$35</f>
        <v/>
      </c>
      <c r="H42" s="81">
        <f>E42/C42</f>
        <v/>
      </c>
      <c r="I42" s="82">
        <f>(H42-VLOOKUP($B42,Données!$A$15:$L$28,7,0)/VLOOKUP($B42,Données!$A$15:$L$28,4,0))*100</f>
        <v/>
      </c>
      <c r="J42" s="79">
        <f>VLOOKUP($B42,Données!$A$15:$L$28,9,0)</f>
        <v/>
      </c>
      <c r="K42" s="83">
        <f>VLOOKUP($B42,Données!$A$15:$L$28,10,0)/VLOOKUP($B42,Données!$A$15:$L$28,11,0)</f>
        <v/>
      </c>
      <c r="L42" s="83">
        <f>VLOOKUP($B42,Données!$A$15:$L$28,12,0)</f>
        <v/>
      </c>
      <c r="M42" s="77">
        <f>IF(H42&lt;0.08,"FRAGILE","")</f>
        <v/>
      </c>
      <c r="N42" s="30" t="n"/>
      <c r="O42" s="30" t="n"/>
    </row>
    <row r="43" outlineLevel="2" ht="17" customHeight="1">
      <c r="A43" s="30" t="n"/>
      <c r="B43" s="78" t="inlineStr">
        <is>
          <t>ISCOM_PAR</t>
        </is>
      </c>
      <c r="C43" s="79">
        <f>VLOOKUP($B43,Données!$A$15:$L$28,5,0)</f>
        <v/>
      </c>
      <c r="D43" s="80">
        <f>C43/VLOOKUP($B43,Données!$A$15:$L$28,4,0)-1</f>
        <v/>
      </c>
      <c r="E43" s="79">
        <f>VLOOKUP($B43,Données!$A$15:$L$28,8,0)</f>
        <v/>
      </c>
      <c r="F43" s="80">
        <f>IF(VLOOKUP($B43,Données!$A$15:$L$28,7,0)&lt;=0,"n/s",E43/VLOOKUP($B43,Données!$A$15:$L$28,7,0)-1)</f>
        <v/>
      </c>
      <c r="G43" s="81">
        <f>E43/$E$35</f>
        <v/>
      </c>
      <c r="H43" s="81">
        <f>E43/C43</f>
        <v/>
      </c>
      <c r="I43" s="82">
        <f>(H43-VLOOKUP($B43,Données!$A$15:$L$28,7,0)/VLOOKUP($B43,Données!$A$15:$L$28,4,0))*100</f>
        <v/>
      </c>
      <c r="J43" s="79">
        <f>VLOOKUP($B43,Données!$A$15:$L$28,9,0)</f>
        <v/>
      </c>
      <c r="K43" s="83">
        <f>VLOOKUP($B43,Données!$A$15:$L$28,10,0)/VLOOKUP($B43,Données!$A$15:$L$28,11,0)</f>
        <v/>
      </c>
      <c r="L43" s="83">
        <f>VLOOKUP($B43,Données!$A$15:$L$28,12,0)</f>
        <v/>
      </c>
      <c r="M43" s="77">
        <f>IF(H43&lt;0.08,"FRAGILE","")</f>
        <v/>
      </c>
      <c r="N43" s="30" t="n"/>
      <c r="O43" s="30" t="n"/>
    </row>
    <row r="44" outlineLevel="2" ht="17" customHeight="1">
      <c r="A44" s="30" t="n"/>
      <c r="B44" s="78" t="inlineStr">
        <is>
          <t>ISCOM_TLS</t>
        </is>
      </c>
      <c r="C44" s="79">
        <f>VLOOKUP($B44,Données!$A$15:$L$28,5,0)</f>
        <v/>
      </c>
      <c r="D44" s="80">
        <f>C44/VLOOKUP($B44,Données!$A$15:$L$28,4,0)-1</f>
        <v/>
      </c>
      <c r="E44" s="79">
        <f>VLOOKUP($B44,Données!$A$15:$L$28,8,0)</f>
        <v/>
      </c>
      <c r="F44" s="80">
        <f>IF(VLOOKUP($B44,Données!$A$15:$L$28,7,0)&lt;=0,"n/s",E44/VLOOKUP($B44,Données!$A$15:$L$28,7,0)-1)</f>
        <v/>
      </c>
      <c r="G44" s="81">
        <f>E44/$E$35</f>
        <v/>
      </c>
      <c r="H44" s="81">
        <f>E44/C44</f>
        <v/>
      </c>
      <c r="I44" s="82">
        <f>(H44-VLOOKUP($B44,Données!$A$15:$L$28,7,0)/VLOOKUP($B44,Données!$A$15:$L$28,4,0))*100</f>
        <v/>
      </c>
      <c r="J44" s="79">
        <f>VLOOKUP($B44,Données!$A$15:$L$28,9,0)</f>
        <v/>
      </c>
      <c r="K44" s="83">
        <f>VLOOKUP($B44,Données!$A$15:$L$28,10,0)/VLOOKUP($B44,Données!$A$15:$L$28,11,0)</f>
        <v/>
      </c>
      <c r="L44" s="83">
        <f>VLOOKUP($B44,Données!$A$15:$L$28,12,0)</f>
        <v/>
      </c>
      <c r="M44" s="77">
        <f>IF(H44&lt;0.08,"FRAGILE","")</f>
        <v/>
      </c>
      <c r="N44" s="30" t="n"/>
      <c r="O44" s="30" t="n"/>
    </row>
    <row r="45" outlineLevel="1" ht="17" customHeight="1">
      <c r="A45" s="30" t="n"/>
      <c r="B45" s="71" t="inlineStr">
        <is>
          <t>Ipac</t>
        </is>
      </c>
      <c r="C45" s="72">
        <f>SUMIF(Données!$B$15:$B$28,$B45,Données!$E$15:$E$28)</f>
        <v/>
      </c>
      <c r="D45" s="73">
        <f>C45/SUMIF(Données!$B$15:$B$28,$B45,Données!$D$15:$D$28)-1</f>
        <v/>
      </c>
      <c r="E45" s="72">
        <f>SUMIF(Données!$B$15:$B$28,$B45,Données!$H$15:$H$28)</f>
        <v/>
      </c>
      <c r="F45" s="73">
        <f>E45/SUMIF(Données!$B$15:$B$28,$B45,Données!$G$15:$G$28)-1</f>
        <v/>
      </c>
      <c r="G45" s="74">
        <f>E45/$E$35</f>
        <v/>
      </c>
      <c r="H45" s="74">
        <f>E45/C45</f>
        <v/>
      </c>
      <c r="I45" s="75">
        <f>(H45-SUMIF(Données!$B$15:$B$28,$B45,Données!$G$15:$G$28)/SUMIF(Données!$B$15:$B$28,$B45,Données!$D$15:$D$28))*100</f>
        <v/>
      </c>
      <c r="J45" s="72">
        <f>SUMIF(Données!$B$15:$B$28,$B45,Données!$I$15:$I$28)</f>
        <v/>
      </c>
      <c r="K45" s="76">
        <f>SUMIF(Données!$B$15:$B$28,$B45,Données!$J$15:$J$28)/SUMIF(Données!$B$15:$B$28,$B45,Données!$K$15:$K$28)</f>
        <v/>
      </c>
      <c r="L45" s="76">
        <f>SUMPRODUCT((Données!$B$15:$B$28=$B45)*Données!$J$15:$J$28*Données!$L$15:$L$28)/SUMIF(Données!$B$15:$B$28,$B45,Données!$J$15:$J$28)</f>
        <v/>
      </c>
      <c r="M45" s="77">
        <f>IF(H45&lt;0.08,"FRAGILE","")</f>
        <v/>
      </c>
      <c r="N45" s="30" t="n"/>
      <c r="O45" s="30" t="n"/>
    </row>
    <row r="46" outlineLevel="2" ht="17" customHeight="1">
      <c r="A46" s="30" t="n"/>
      <c r="B46" s="78" t="inlineStr">
        <is>
          <t>IPAC_MTP</t>
        </is>
      </c>
      <c r="C46" s="79">
        <f>VLOOKUP($B46,Données!$A$15:$L$28,5,0)</f>
        <v/>
      </c>
      <c r="D46" s="80">
        <f>C46/VLOOKUP($B46,Données!$A$15:$L$28,4,0)-1</f>
        <v/>
      </c>
      <c r="E46" s="79">
        <f>VLOOKUP($B46,Données!$A$15:$L$28,8,0)</f>
        <v/>
      </c>
      <c r="F46" s="80">
        <f>IF(VLOOKUP($B46,Données!$A$15:$L$28,7,0)&lt;=0,"n/s",E46/VLOOKUP($B46,Données!$A$15:$L$28,7,0)-1)</f>
        <v/>
      </c>
      <c r="G46" s="81">
        <f>E46/$E$35</f>
        <v/>
      </c>
      <c r="H46" s="81">
        <f>E46/C46</f>
        <v/>
      </c>
      <c r="I46" s="82">
        <f>(H46-VLOOKUP($B46,Données!$A$15:$L$28,7,0)/VLOOKUP($B46,Données!$A$15:$L$28,4,0))*100</f>
        <v/>
      </c>
      <c r="J46" s="79">
        <f>VLOOKUP($B46,Données!$A$15:$L$28,9,0)</f>
        <v/>
      </c>
      <c r="K46" s="83">
        <f>VLOOKUP($B46,Données!$A$15:$L$28,10,0)/VLOOKUP($B46,Données!$A$15:$L$28,11,0)</f>
        <v/>
      </c>
      <c r="L46" s="83">
        <f>VLOOKUP($B46,Données!$A$15:$L$28,12,0)</f>
        <v/>
      </c>
      <c r="M46" s="77">
        <f>IF(H46&lt;0.08,"FRAGILE","")</f>
        <v/>
      </c>
      <c r="N46" s="30" t="n"/>
      <c r="O46" s="30" t="n"/>
    </row>
    <row r="47" outlineLevel="2" ht="17" customHeight="1">
      <c r="A47" s="30" t="n"/>
      <c r="B47" s="78" t="inlineStr">
        <is>
          <t>IPAC_NAN</t>
        </is>
      </c>
      <c r="C47" s="79">
        <f>VLOOKUP($B47,Données!$A$15:$L$28,5,0)</f>
        <v/>
      </c>
      <c r="D47" s="80">
        <f>C47/VLOOKUP($B47,Données!$A$15:$L$28,4,0)-1</f>
        <v/>
      </c>
      <c r="E47" s="79">
        <f>VLOOKUP($B47,Données!$A$15:$L$28,8,0)</f>
        <v/>
      </c>
      <c r="F47" s="80">
        <f>IF(VLOOKUP($B47,Données!$A$15:$L$28,7,0)&lt;=0,"n/s",E47/VLOOKUP($B47,Données!$A$15:$L$28,7,0)-1)</f>
        <v/>
      </c>
      <c r="G47" s="81">
        <f>E47/$E$35</f>
        <v/>
      </c>
      <c r="H47" s="81">
        <f>E47/C47</f>
        <v/>
      </c>
      <c r="I47" s="82">
        <f>(H47-VLOOKUP($B47,Données!$A$15:$L$28,7,0)/VLOOKUP($B47,Données!$A$15:$L$28,4,0))*100</f>
        <v/>
      </c>
      <c r="J47" s="79">
        <f>VLOOKUP($B47,Données!$A$15:$L$28,9,0)</f>
        <v/>
      </c>
      <c r="K47" s="83">
        <f>VLOOKUP($B47,Données!$A$15:$L$28,10,0)/VLOOKUP($B47,Données!$A$15:$L$28,11,0)</f>
        <v/>
      </c>
      <c r="L47" s="83">
        <f>VLOOKUP($B47,Données!$A$15:$L$28,12,0)</f>
        <v/>
      </c>
      <c r="M47" s="77">
        <f>IF(H47&lt;0.08,"FRAGILE","")</f>
        <v/>
      </c>
      <c r="N47" s="30" t="n"/>
      <c r="O47" s="30" t="n"/>
    </row>
    <row r="48" outlineLevel="2" ht="17" customHeight="1">
      <c r="A48" s="30" t="n"/>
      <c r="B48" s="78" t="inlineStr">
        <is>
          <t>IPAC_REN</t>
        </is>
      </c>
      <c r="C48" s="79">
        <f>VLOOKUP($B48,Données!$A$15:$L$28,5,0)</f>
        <v/>
      </c>
      <c r="D48" s="80">
        <f>C48/VLOOKUP($B48,Données!$A$15:$L$28,4,0)-1</f>
        <v/>
      </c>
      <c r="E48" s="79">
        <f>VLOOKUP($B48,Données!$A$15:$L$28,8,0)</f>
        <v/>
      </c>
      <c r="F48" s="80">
        <f>IF(VLOOKUP($B48,Données!$A$15:$L$28,7,0)&lt;=0,"n/s",E48/VLOOKUP($B48,Données!$A$15:$L$28,7,0)-1)</f>
        <v/>
      </c>
      <c r="G48" s="81">
        <f>E48/$E$35</f>
        <v/>
      </c>
      <c r="H48" s="81">
        <f>E48/C48</f>
        <v/>
      </c>
      <c r="I48" s="82">
        <f>(H48-VLOOKUP($B48,Données!$A$15:$L$28,7,0)/VLOOKUP($B48,Données!$A$15:$L$28,4,0))*100</f>
        <v/>
      </c>
      <c r="J48" s="79">
        <f>VLOOKUP($B48,Données!$A$15:$L$28,9,0)</f>
        <v/>
      </c>
      <c r="K48" s="83">
        <f>VLOOKUP($B48,Données!$A$15:$L$28,10,0)/VLOOKUP($B48,Données!$A$15:$L$28,11,0)</f>
        <v/>
      </c>
      <c r="L48" s="83">
        <f>VLOOKUP($B48,Données!$A$15:$L$28,12,0)</f>
        <v/>
      </c>
      <c r="M48" s="77">
        <f>IF(H48&lt;0.08,"FRAGILE","")</f>
        <v/>
      </c>
      <c r="N48" s="30" t="n"/>
      <c r="O48" s="30" t="n"/>
    </row>
    <row r="49" outlineLevel="1" ht="17" customHeight="1">
      <c r="A49" s="30" t="n"/>
      <c r="B49" s="71" t="inlineStr">
        <is>
          <t>Pigier</t>
        </is>
      </c>
      <c r="C49" s="72">
        <f>SUMIF(Données!$B$15:$B$28,$B49,Données!$E$15:$E$28)</f>
        <v/>
      </c>
      <c r="D49" s="73">
        <f>C49/SUMIF(Données!$B$15:$B$28,$B49,Données!$D$15:$D$28)-1</f>
        <v/>
      </c>
      <c r="E49" s="72">
        <f>SUMIF(Données!$B$15:$B$28,$B49,Données!$H$15:$H$28)</f>
        <v/>
      </c>
      <c r="F49" s="73">
        <f>E49/SUMIF(Données!$B$15:$B$28,$B49,Données!$G$15:$G$28)-1</f>
        <v/>
      </c>
      <c r="G49" s="74">
        <f>E49/$E$35</f>
        <v/>
      </c>
      <c r="H49" s="74">
        <f>E49/C49</f>
        <v/>
      </c>
      <c r="I49" s="75">
        <f>(H49-SUMIF(Données!$B$15:$B$28,$B49,Données!$G$15:$G$28)/SUMIF(Données!$B$15:$B$28,$B49,Données!$D$15:$D$28))*100</f>
        <v/>
      </c>
      <c r="J49" s="72">
        <f>SUMIF(Données!$B$15:$B$28,$B49,Données!$I$15:$I$28)</f>
        <v/>
      </c>
      <c r="K49" s="76">
        <f>SUMIF(Données!$B$15:$B$28,$B49,Données!$J$15:$J$28)/SUMIF(Données!$B$15:$B$28,$B49,Données!$K$15:$K$28)</f>
        <v/>
      </c>
      <c r="L49" s="76">
        <f>SUMPRODUCT((Données!$B$15:$B$28=$B49)*Données!$J$15:$J$28*Données!$L$15:$L$28)/SUMIF(Données!$B$15:$B$28,$B49,Données!$J$15:$J$28)</f>
        <v/>
      </c>
      <c r="M49" s="77">
        <f>IF(H49&lt;0.08,"FRAGILE","")</f>
        <v/>
      </c>
      <c r="N49" s="30" t="n"/>
      <c r="O49" s="30" t="n"/>
    </row>
    <row r="50" outlineLevel="2" ht="17" customHeight="1">
      <c r="A50" s="30" t="n"/>
      <c r="B50" s="78" t="inlineStr">
        <is>
          <t>PIGIER_BOR</t>
        </is>
      </c>
      <c r="C50" s="79">
        <f>VLOOKUP($B50,Données!$A$15:$L$28,5,0)</f>
        <v/>
      </c>
      <c r="D50" s="80">
        <f>C50/VLOOKUP($B50,Données!$A$15:$L$28,4,0)-1</f>
        <v/>
      </c>
      <c r="E50" s="79">
        <f>VLOOKUP($B50,Données!$A$15:$L$28,8,0)</f>
        <v/>
      </c>
      <c r="F50" s="80">
        <f>IF(VLOOKUP($B50,Données!$A$15:$L$28,7,0)&lt;=0,"n/s",E50/VLOOKUP($B50,Données!$A$15:$L$28,7,0)-1)</f>
        <v/>
      </c>
      <c r="G50" s="81">
        <f>E50/$E$35</f>
        <v/>
      </c>
      <c r="H50" s="81">
        <f>E50/C50</f>
        <v/>
      </c>
      <c r="I50" s="82">
        <f>(H50-VLOOKUP($B50,Données!$A$15:$L$28,7,0)/VLOOKUP($B50,Données!$A$15:$L$28,4,0))*100</f>
        <v/>
      </c>
      <c r="J50" s="79">
        <f>VLOOKUP($B50,Données!$A$15:$L$28,9,0)</f>
        <v/>
      </c>
      <c r="K50" s="83">
        <f>VLOOKUP($B50,Données!$A$15:$L$28,10,0)/VLOOKUP($B50,Données!$A$15:$L$28,11,0)</f>
        <v/>
      </c>
      <c r="L50" s="83">
        <f>VLOOKUP($B50,Données!$A$15:$L$28,12,0)</f>
        <v/>
      </c>
      <c r="M50" s="77">
        <f>IF(H50&lt;0.08,"FRAGILE","")</f>
        <v/>
      </c>
      <c r="N50" s="30" t="n"/>
      <c r="O50" s="30" t="n"/>
    </row>
    <row r="51" outlineLevel="2" ht="17" customHeight="1">
      <c r="A51" s="30" t="n"/>
      <c r="B51" s="78" t="inlineStr">
        <is>
          <t>PIGIER_LYO</t>
        </is>
      </c>
      <c r="C51" s="79">
        <f>VLOOKUP($B51,Données!$A$15:$L$28,5,0)</f>
        <v/>
      </c>
      <c r="D51" s="80">
        <f>C51/VLOOKUP($B51,Données!$A$15:$L$28,4,0)-1</f>
        <v/>
      </c>
      <c r="E51" s="79">
        <f>VLOOKUP($B51,Données!$A$15:$L$28,8,0)</f>
        <v/>
      </c>
      <c r="F51" s="80">
        <f>IF(VLOOKUP($B51,Données!$A$15:$L$28,7,0)&lt;=0,"n/s",E51/VLOOKUP($B51,Données!$A$15:$L$28,7,0)-1)</f>
        <v/>
      </c>
      <c r="G51" s="81">
        <f>E51/$E$35</f>
        <v/>
      </c>
      <c r="H51" s="81">
        <f>E51/C51</f>
        <v/>
      </c>
      <c r="I51" s="82">
        <f>(H51-VLOOKUP($B51,Données!$A$15:$L$28,7,0)/VLOOKUP($B51,Données!$A$15:$L$28,4,0))*100</f>
        <v/>
      </c>
      <c r="J51" s="79">
        <f>VLOOKUP($B51,Données!$A$15:$L$28,9,0)</f>
        <v/>
      </c>
      <c r="K51" s="83">
        <f>VLOOKUP($B51,Données!$A$15:$L$28,10,0)/VLOOKUP($B51,Données!$A$15:$L$28,11,0)</f>
        <v/>
      </c>
      <c r="L51" s="83">
        <f>VLOOKUP($B51,Données!$A$15:$L$28,12,0)</f>
        <v/>
      </c>
      <c r="M51" s="77">
        <f>IF(H51&lt;0.08,"FRAGILE","")</f>
        <v/>
      </c>
      <c r="N51" s="30" t="n"/>
      <c r="O51" s="30" t="n"/>
    </row>
    <row r="52" outlineLevel="1" ht="17" customHeight="1">
      <c r="A52" s="30" t="n"/>
      <c r="B52" s="71" t="inlineStr">
        <is>
          <t>Tunon</t>
        </is>
      </c>
      <c r="C52" s="72">
        <f>SUMIF(Données!$B$15:$B$28,$B52,Données!$E$15:$E$28)</f>
        <v/>
      </c>
      <c r="D52" s="73">
        <f>C52/SUMIF(Données!$B$15:$B$28,$B52,Données!$D$15:$D$28)-1</f>
        <v/>
      </c>
      <c r="E52" s="72">
        <f>SUMIF(Données!$B$15:$B$28,$B52,Données!$H$15:$H$28)</f>
        <v/>
      </c>
      <c r="F52" s="73">
        <f>E52/SUMIF(Données!$B$15:$B$28,$B52,Données!$G$15:$G$28)-1</f>
        <v/>
      </c>
      <c r="G52" s="74">
        <f>E52/$E$35</f>
        <v/>
      </c>
      <c r="H52" s="74">
        <f>E52/C52</f>
        <v/>
      </c>
      <c r="I52" s="75">
        <f>(H52-SUMIF(Données!$B$15:$B$28,$B52,Données!$G$15:$G$28)/SUMIF(Données!$B$15:$B$28,$B52,Données!$D$15:$D$28))*100</f>
        <v/>
      </c>
      <c r="J52" s="72">
        <f>SUMIF(Données!$B$15:$B$28,$B52,Données!$I$15:$I$28)</f>
        <v/>
      </c>
      <c r="K52" s="76">
        <f>SUMIF(Données!$B$15:$B$28,$B52,Données!$J$15:$J$28)/SUMIF(Données!$B$15:$B$28,$B52,Données!$K$15:$K$28)</f>
        <v/>
      </c>
      <c r="L52" s="76">
        <f>SUMPRODUCT((Données!$B$15:$B$28=$B52)*Données!$J$15:$J$28*Données!$L$15:$L$28)/SUMIF(Données!$B$15:$B$28,$B52,Données!$J$15:$J$28)</f>
        <v/>
      </c>
      <c r="M52" s="77">
        <f>IF(H52&lt;0.08,"FRAGILE","")</f>
        <v/>
      </c>
      <c r="N52" s="30" t="n"/>
      <c r="O52" s="30" t="n"/>
    </row>
    <row r="53" outlineLevel="2" ht="17" customHeight="1">
      <c r="A53" s="30" t="n"/>
      <c r="B53" s="78" t="inlineStr">
        <is>
          <t>TUNON_LYO</t>
        </is>
      </c>
      <c r="C53" s="79">
        <f>VLOOKUP($B53,Données!$A$15:$L$28,5,0)</f>
        <v/>
      </c>
      <c r="D53" s="80">
        <f>C53/VLOOKUP($B53,Données!$A$15:$L$28,4,0)-1</f>
        <v/>
      </c>
      <c r="E53" s="79">
        <f>VLOOKUP($B53,Données!$A$15:$L$28,8,0)</f>
        <v/>
      </c>
      <c r="F53" s="80">
        <f>IF(VLOOKUP($B53,Données!$A$15:$L$28,7,0)&lt;=0,"n/s",E53/VLOOKUP($B53,Données!$A$15:$L$28,7,0)-1)</f>
        <v/>
      </c>
      <c r="G53" s="81">
        <f>E53/$E$35</f>
        <v/>
      </c>
      <c r="H53" s="81">
        <f>E53/C53</f>
        <v/>
      </c>
      <c r="I53" s="82">
        <f>(H53-VLOOKUP($B53,Données!$A$15:$L$28,7,0)/VLOOKUP($B53,Données!$A$15:$L$28,4,0))*100</f>
        <v/>
      </c>
      <c r="J53" s="79">
        <f>VLOOKUP($B53,Données!$A$15:$L$28,9,0)</f>
        <v/>
      </c>
      <c r="K53" s="83">
        <f>VLOOKUP($B53,Données!$A$15:$L$28,10,0)/VLOOKUP($B53,Données!$A$15:$L$28,11,0)</f>
        <v/>
      </c>
      <c r="L53" s="83">
        <f>VLOOKUP($B53,Données!$A$15:$L$28,12,0)</f>
        <v/>
      </c>
      <c r="M53" s="77">
        <f>IF(H53&lt;0.08,"FRAGILE","")</f>
        <v/>
      </c>
      <c r="N53" s="30" t="n"/>
      <c r="O53" s="30" t="n"/>
    </row>
    <row r="54" outlineLevel="2" ht="17" customHeight="1">
      <c r="A54" s="30" t="n"/>
      <c r="B54" s="78" t="inlineStr">
        <is>
          <t>TUNON_PAR</t>
        </is>
      </c>
      <c r="C54" s="79">
        <f>VLOOKUP($B54,Données!$A$15:$L$28,5,0)</f>
        <v/>
      </c>
      <c r="D54" s="80">
        <f>C54/VLOOKUP($B54,Données!$A$15:$L$28,4,0)-1</f>
        <v/>
      </c>
      <c r="E54" s="79">
        <f>VLOOKUP($B54,Données!$A$15:$L$28,8,0)</f>
        <v/>
      </c>
      <c r="F54" s="80">
        <f>IF(VLOOKUP($B54,Données!$A$15:$L$28,7,0)&lt;=0,"n/s",E54/VLOOKUP($B54,Données!$A$15:$L$28,7,0)-1)</f>
        <v/>
      </c>
      <c r="G54" s="81">
        <f>E54/$E$35</f>
        <v/>
      </c>
      <c r="H54" s="81">
        <f>E54/C54</f>
        <v/>
      </c>
      <c r="I54" s="82">
        <f>(H54-VLOOKUP($B54,Données!$A$15:$L$28,7,0)/VLOOKUP($B54,Données!$A$15:$L$28,4,0))*100</f>
        <v/>
      </c>
      <c r="J54" s="79">
        <f>VLOOKUP($B54,Données!$A$15:$L$28,9,0)</f>
        <v/>
      </c>
      <c r="K54" s="83">
        <f>VLOOKUP($B54,Données!$A$15:$L$28,10,0)/VLOOKUP($B54,Données!$A$15:$L$28,11,0)</f>
        <v/>
      </c>
      <c r="L54" s="83">
        <f>VLOOKUP($B54,Données!$A$15:$L$28,12,0)</f>
        <v/>
      </c>
      <c r="M54" s="77">
        <f>IF(H54&lt;0.08,"FRAGILE","")</f>
        <v/>
      </c>
      <c r="N54" s="30" t="n"/>
      <c r="O54" s="30" t="n"/>
    </row>
    <row r="55" ht="8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</row>
    <row r="56">
      <c r="A56" s="30" t="n"/>
      <c r="B56" s="84" t="inlineStr">
        <is>
          <t xml:space="preserve">  Le signal du cockpit.  Tunon pèse 8,4 % du CA mais 2,1 % de l'EBITDA. Ipac, le réseau le plus jeune, pèse 11,2 % du CA pour 9,5 % de l'EBITDA — il monte en charge, Rennes et Montpellier encore à 61 % de remplissage. À l'inverse Pigier, la plus petite des cinq, est la plus rentable (21,2 %). Et le groupe n'occupe que 75 % de ses places : plus de 1 000 places ouvertes et vides. Le cadrage 2027 ne peut pas être un « + x % » uniforme — c'est ici que le drill prend le relais.</t>
        </is>
      </c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6" t="n"/>
      <c r="N56" s="30" t="n"/>
      <c r="O56" s="30" t="n"/>
    </row>
    <row r="57">
      <c r="A57" s="30" t="n"/>
      <c r="B57" s="87" t="n"/>
      <c r="M57" s="88" t="n"/>
      <c r="N57" s="30" t="n"/>
      <c r="O57" s="30" t="n"/>
    </row>
    <row r="58">
      <c r="A58" s="30" t="n"/>
      <c r="B58" s="87" t="n"/>
      <c r="C58" s="89" t="n"/>
      <c r="D58" s="89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90" t="n"/>
      <c r="N58" s="30" t="n"/>
      <c r="O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</row>
    <row r="60" ht="6" customHeight="1">
      <c r="A60" s="30" t="n"/>
      <c r="B60" s="91" t="inlineStr">
        <is>
          <t>Source : socle CRM et comptabilité rapprochés · les marges se lisent en POINTS. Tout le cockpit est en formules : seuls les onglets ① et ② se saisissent.</t>
        </is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</row>
    <row r="6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</row>
    <row r="63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</row>
  </sheetData>
  <mergeCells count="1">
    <mergeCell ref="B56:M58"/>
  </mergeCells>
  <conditionalFormatting sqref="B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J9"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1">
      <formula>0</formula>
    </cfRule>
  </conditionalFormatting>
  <conditionalFormatting sqref="H35:H54">
    <cfRule type="dataBar" priority="12">
      <dataBar showValue="1">
        <cfvo type="num" val="0"/>
        <cfvo type="num" val="0.24"/>
        <color rgb="FF2A78D6"/>
      </dataBar>
    </cfRule>
  </conditionalFormatting>
  <conditionalFormatting sqref="D35:D54">
    <cfRule type="cellIs" priority="13" operator="greaterThan" dxfId="2">
      <formula>0</formula>
    </cfRule>
    <cfRule type="cellIs" priority="14" operator="lessThan" dxfId="3">
      <formula>0</formula>
    </cfRule>
  </conditionalFormatting>
  <conditionalFormatting sqref="F35:F54">
    <cfRule type="cellIs" priority="15" operator="greaterThan" dxfId="2">
      <formula>0</formula>
    </cfRule>
    <cfRule type="cellIs" priority="16" operator="lessThan" dxfId="3">
      <formula>0</formula>
    </cfRule>
  </conditionalFormatting>
  <conditionalFormatting sqref="I35:I54">
    <cfRule type="cellIs" priority="17" operator="greaterThan" dxfId="2">
      <formula>0</formula>
    </cfRule>
    <cfRule type="cellIs" priority="18" operator="lessThan" dxfId="3">
      <formula>0</formula>
    </cfRule>
  </conditionalFormatting>
  <conditionalFormatting sqref="K35:K54">
    <cfRule type="cellIs" priority="19" operator="lessThan" dxfId="4">
      <formula>0.70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3" customWidth="1" min="14" max="14"/>
    <col hidden="1" width="3" customWidth="1" min="15" max="15"/>
  </cols>
  <sheetData>
    <row r="1" ht="6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</row>
    <row r="2" ht="28" customHeight="1">
      <c r="A2" s="30" t="n"/>
      <c r="B2" s="31" t="inlineStr">
        <is>
          <t xml:space="preserve">  ④ Drill EBITDA — du groupe à la classe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92" t="inlineStr">
        <is>
          <t xml:space="preserve">CONTRIBUTION vs COÛT COMPLET  </t>
        </is>
      </c>
      <c r="N2" s="30" t="n"/>
      <c r="O2" s="30" t="n"/>
    </row>
    <row r="3" ht="16" customHeight="1">
      <c r="A3" s="30" t="n"/>
      <c r="B3" s="34" t="inlineStr">
        <is>
          <t xml:space="preserve">  Marque → Campus → Programme → Année d'étude → Modalité · exercice 2026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6" t="n"/>
      <c r="N3" s="30" t="n"/>
      <c r="O3" s="30" t="n"/>
    </row>
    <row r="4" ht="8" customHeight="1">
      <c r="A4" s="30" t="n"/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</row>
    <row r="5" ht="15" customHeight="1">
      <c r="A5" s="30" t="n"/>
      <c r="B5" s="93" t="inlineStr">
        <is>
          <t xml:space="preserve">  ① CHEMIN DE DRILL</t>
        </is>
      </c>
      <c r="C5" s="94" t="inlineStr">
        <is>
          <t>Marque</t>
        </is>
      </c>
      <c r="D5" s="94" t="inlineStr">
        <is>
          <t>Campus</t>
        </is>
      </c>
      <c r="E5" s="94" t="inlineStr">
        <is>
          <t>Programme</t>
        </is>
      </c>
      <c r="F5" s="94" t="inlineStr">
        <is>
          <t>Année d'étude</t>
        </is>
      </c>
      <c r="G5" s="94" t="inlineStr">
        <is>
          <t>Modalité</t>
        </is>
      </c>
      <c r="H5" s="32" t="n"/>
      <c r="I5" s="32" t="n"/>
      <c r="J5" s="32" t="n"/>
      <c r="K5" s="32" t="n"/>
      <c r="L5" s="32" t="n"/>
      <c r="M5" s="42" t="n"/>
      <c r="N5" s="30" t="n"/>
      <c r="O5" s="30" t="n"/>
    </row>
    <row r="6" ht="22" customHeight="1">
      <c r="A6" s="30" t="n"/>
      <c r="B6" s="95" t="inlineStr">
        <is>
          <t xml:space="preserve">  remets « (Tous) » pour remonter d'un niveau</t>
        </is>
      </c>
      <c r="C6" s="96" t="inlineStr">
        <is>
          <t>(Tous)</t>
        </is>
      </c>
      <c r="D6" s="96" t="inlineStr">
        <is>
          <t>(Tous)</t>
        </is>
      </c>
      <c r="E6" s="96" t="inlineStr">
        <is>
          <t>(Tous)</t>
        </is>
      </c>
      <c r="F6" s="96" t="inlineStr">
        <is>
          <t>(Tous)</t>
        </is>
      </c>
      <c r="G6" s="96" t="inlineStr">
        <is>
          <t>(Tous)</t>
        </is>
      </c>
      <c r="H6" s="35" t="n"/>
      <c r="I6" s="35" t="n"/>
      <c r="J6" s="35" t="n"/>
      <c r="K6" s="35" t="n"/>
      <c r="L6" s="35" t="n"/>
      <c r="M6" s="36" t="n"/>
      <c r="N6" s="30" t="n"/>
      <c r="O6" s="97">
        <f>5-COUNTIF($C$6:$G$6,"(Tous)")+1</f>
        <v/>
      </c>
    </row>
    <row r="7" ht="8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</row>
    <row r="8" ht="18" customHeight="1">
      <c r="A8" s="30" t="n"/>
      <c r="B8" s="98">
        <f>"②  Vous regardez : "&amp;IF($O$6=1,"le GROUPE (tous périmètres)",IF($C$6="(Tous)","",$C$6)&amp;IF($D$6="(Tous)",""," › "&amp;$D$6)&amp;IF($E$6="(Tous)",""," › "&amp;$E$6)&amp;IF($F$6="(Tous)",""," › "&amp;$F$6)&amp;IF($G$6="(Tous)",""," › "&amp;$G$6))</f>
        <v/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</row>
    <row r="9" ht="8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</row>
    <row r="10" ht="20" customHeight="1">
      <c r="A10" s="30" t="n"/>
      <c r="B10" s="93" t="inlineStr">
        <is>
          <t xml:space="preserve">  ② NIVEAU COURANT</t>
        </is>
      </c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42" t="n"/>
      <c r="N10" s="30" t="n"/>
      <c r="O10" s="30" t="n"/>
    </row>
    <row r="11" ht="18" customHeight="1">
      <c r="A11" s="30" t="n"/>
      <c r="B11" s="99" t="inlineStr">
        <is>
          <t>Agrégat de la sélection</t>
        </is>
      </c>
      <c r="C11" s="100" t="inlineStr">
        <is>
          <t>CA 2026</t>
        </is>
      </c>
      <c r="D11" s="100" t="inlineStr">
        <is>
          <t>Δ CA</t>
        </is>
      </c>
      <c r="E11" s="100" t="inlineStr">
        <is>
          <t>EBITDA</t>
        </is>
      </c>
      <c r="F11" s="100" t="inlineStr">
        <is>
          <t>Marge EBITDA</t>
        </is>
      </c>
      <c r="G11" s="100" t="inlineStr">
        <is>
          <t>Contribution</t>
        </is>
      </c>
      <c r="H11" s="100" t="inlineStr">
        <is>
          <t>Coût complet</t>
        </is>
      </c>
      <c r="I11" s="100" t="inlineStr">
        <is>
          <t>Marge complète</t>
        </is>
      </c>
      <c r="J11" s="100" t="inlineStr">
        <is>
          <t>Effectifs</t>
        </is>
      </c>
      <c r="K11" s="100" t="inlineStr">
        <is>
          <t>Places</t>
        </is>
      </c>
      <c r="L11" s="100" t="inlineStr">
        <is>
          <t>Remplissage</t>
        </is>
      </c>
      <c r="M11" s="100" t="inlineStr">
        <is>
          <t>Statut</t>
        </is>
      </c>
      <c r="N11" s="30" t="n"/>
      <c r="O11" s="30" t="n"/>
    </row>
    <row r="12" ht="24" customHeight="1">
      <c r="A12" s="30" t="n"/>
      <c r="B12" s="101">
        <f>IF($O$6=1,"GROUPE",INDEX($C$6:$G$6,$O$6-1))</f>
        <v/>
      </c>
      <c r="C12" s="102">
        <f>SUMPRODUCT('Données drill'!$W$5:$W$64,'Données drill'!$L$5:$L$64)</f>
        <v/>
      </c>
      <c r="D12" s="103">
        <f>C12/SUMPRODUCT('Données drill'!$W$5:$W$64,'Données drill'!$K$5:$K$64)-1</f>
        <v/>
      </c>
      <c r="E12" s="102">
        <f>SUMPRODUCT('Données drill'!$W$5:$W$64,'Données drill'!$S$5:$S$64)</f>
        <v/>
      </c>
      <c r="F12" s="104">
        <f>IFERROR(E12/C12,0)</f>
        <v/>
      </c>
      <c r="G12" s="102">
        <f>SUMPRODUCT('Données drill'!$W$5:$W$64,'Données drill'!$T$5:$T$64)</f>
        <v/>
      </c>
      <c r="H12" s="102">
        <f>SUMPRODUCT('Données drill'!$W$5:$W$64,'Données drill'!$U$5:$U$64)</f>
        <v/>
      </c>
      <c r="I12" s="102">
        <f>SUMPRODUCT('Données drill'!$W$5:$W$64,'Données drill'!$V$5:$V$64)</f>
        <v/>
      </c>
      <c r="J12" s="102">
        <f>SUMPRODUCT('Données drill'!$W$5:$W$64,'Données drill'!$I$5:$I$64)</f>
        <v/>
      </c>
      <c r="K12" s="102">
        <f>SUMPRODUCT('Données drill'!$W$5:$W$64,'Données drill'!$H$5:$H$64)</f>
        <v/>
      </c>
      <c r="L12" s="105">
        <f>IFERROR(J12/K12,0)</f>
        <v/>
      </c>
      <c r="M12" s="106">
        <f>IF(E12&lt;0,"DÉFICITAIRE",IF(I12&lt;0,"PIÈGE",IF(L12&lt;0.7,"SOUS-REMPLI","SAIN")))</f>
        <v/>
      </c>
      <c r="N12" s="30" t="n"/>
      <c r="O12" s="30" t="n"/>
    </row>
    <row r="13" ht="10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</row>
    <row r="14" ht="20" customHeight="1">
      <c r="A14" s="30" t="n"/>
      <c r="B14" s="93">
        <f>"  ③ NIVEAU SUIVANT — "&amp;IF($O$6&gt;5,"grain classe atteint, voir le détail ci-dessous",UPPER(INDEX('Données drill'!$AF$5:$AF$9,$O$6)))</f>
        <v/>
      </c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42" t="n"/>
      <c r="N14" s="30" t="n"/>
      <c r="O14" s="30" t="n"/>
    </row>
    <row r="15" ht="18" customHeight="1">
      <c r="A15" s="30" t="n"/>
      <c r="B15" s="99" t="inlineStr">
        <is>
          <t>Membre</t>
        </is>
      </c>
      <c r="C15" s="100" t="inlineStr">
        <is>
          <t>CA 2026</t>
        </is>
      </c>
      <c r="D15" s="100" t="inlineStr">
        <is>
          <t>Δ CA</t>
        </is>
      </c>
      <c r="E15" s="100" t="inlineStr">
        <is>
          <t>EBITDA</t>
        </is>
      </c>
      <c r="F15" s="100" t="inlineStr">
        <is>
          <t>Marge EBITDA</t>
        </is>
      </c>
      <c r="G15" s="100" t="inlineStr">
        <is>
          <t>Contribution</t>
        </is>
      </c>
      <c r="H15" s="100" t="inlineStr">
        <is>
          <t>Coût complet</t>
        </is>
      </c>
      <c r="I15" s="100" t="inlineStr">
        <is>
          <t>Marge complète</t>
        </is>
      </c>
      <c r="J15" s="100" t="inlineStr">
        <is>
          <t>Effectifs</t>
        </is>
      </c>
      <c r="K15" s="100" t="inlineStr">
        <is>
          <t>Places</t>
        </is>
      </c>
      <c r="L15" s="100" t="inlineStr">
        <is>
          <t>Remplissage</t>
        </is>
      </c>
      <c r="M15" s="100" t="inlineStr">
        <is>
          <t>Statut</t>
        </is>
      </c>
      <c r="N15" s="30" t="n"/>
      <c r="O15" s="30" t="n"/>
    </row>
    <row r="16" ht="16" customHeight="1">
      <c r="A16" s="30" t="n"/>
      <c r="B16" s="107">
        <f>IF($O$6&gt;5,"",IFERROR(INDEX('Données drill'!$Z$5:$AD$18,1,$O$6),""))</f>
        <v/>
      </c>
      <c r="C16" s="108">
        <f>IF($B16="","",SUMPRODUCT('Données drill'!$W$5:$W$64*(INDEX('Données drill'!$A$5:$E$64,0,$O$6)=$B16)*'Données drill'!$L$5:$L$64))</f>
        <v/>
      </c>
      <c r="D16" s="109">
        <f>IF(OR($C16="",$C16=0),"",C16/SUMPRODUCT('Données drill'!$W$5:$W$64*(INDEX('Données drill'!$A$5:$E$64,0,$O$6)=$B16)*'Données drill'!$K$5:$K$64)-1)</f>
        <v/>
      </c>
      <c r="E16" s="108">
        <f>IF(OR($C16="",$C16=0),"",SUMPRODUCT('Données drill'!$W$5:$W$64*(INDEX('Données drill'!$A$5:$E$64,0,$O$6)=$B16)*'Données drill'!$S$5:$S$64))</f>
        <v/>
      </c>
      <c r="F16" s="110">
        <f>IF(OR($C16="",$C16=0),"",E16/C16)</f>
        <v/>
      </c>
      <c r="G16" s="108">
        <f>IF(OR($C16="",$C16=0),"",SUMPRODUCT('Données drill'!$W$5:$W$64*(INDEX('Données drill'!$A$5:$E$64,0,$O$6)=$B16)*'Données drill'!$T$5:$T$64))</f>
        <v/>
      </c>
      <c r="H16" s="108">
        <f>IF(OR($C16="",$C16=0),"",SUMPRODUCT('Données drill'!$W$5:$W$64*(INDEX('Données drill'!$A$5:$E$64,0,$O$6)=$B16)*'Données drill'!$U$5:$U$64))</f>
        <v/>
      </c>
      <c r="I16" s="108">
        <f>IF(OR($C16="",$C16=0),"",SUMPRODUCT('Données drill'!$W$5:$W$64*(INDEX('Données drill'!$A$5:$E$64,0,$O$6)=$B16)*'Données drill'!$V$5:$V$64))</f>
        <v/>
      </c>
      <c r="J16" s="108">
        <f>IF(OR($C16="",$C16=0),"",SUMPRODUCT('Données drill'!$W$5:$W$64*(INDEX('Données drill'!$A$5:$E$64,0,$O$6)=$B16)*'Données drill'!$I$5:$I$64))</f>
        <v/>
      </c>
      <c r="K16" s="108">
        <f>IF(OR($C16="",$C16=0),"",SUMPRODUCT('Données drill'!$W$5:$W$64*(INDEX('Données drill'!$A$5:$E$64,0,$O$6)=$B16)*'Données drill'!$H$5:$H$64))</f>
        <v/>
      </c>
      <c r="L16" s="111">
        <f>IF(OR($C16="",$C16=0),"",J16/K16)</f>
        <v/>
      </c>
      <c r="M16" s="112">
        <f>IF(OR($C16="",$C16=0),"",IF(E16&lt;0,"DÉFICITAIRE",IF(I16&lt;0,"PIÈGE",IF(L16&lt;0.7,"SOUS-REMPLI",""))))</f>
        <v/>
      </c>
      <c r="N16" s="30" t="n"/>
      <c r="O16" s="30" t="n"/>
    </row>
    <row r="17" ht="16" customHeight="1">
      <c r="A17" s="30" t="n"/>
      <c r="B17" s="107">
        <f>IF($O$6&gt;5,"",IFERROR(INDEX('Données drill'!$Z$5:$AD$18,2,$O$6),""))</f>
        <v/>
      </c>
      <c r="C17" s="108">
        <f>IF($B17="","",SUMPRODUCT('Données drill'!$W$5:$W$64*(INDEX('Données drill'!$A$5:$E$64,0,$O$6)=$B17)*'Données drill'!$L$5:$L$64))</f>
        <v/>
      </c>
      <c r="D17" s="109">
        <f>IF(OR($C17="",$C17=0),"",C17/SUMPRODUCT('Données drill'!$W$5:$W$64*(INDEX('Données drill'!$A$5:$E$64,0,$O$6)=$B17)*'Données drill'!$K$5:$K$64)-1)</f>
        <v/>
      </c>
      <c r="E17" s="108">
        <f>IF(OR($C17="",$C17=0),"",SUMPRODUCT('Données drill'!$W$5:$W$64*(INDEX('Données drill'!$A$5:$E$64,0,$O$6)=$B17)*'Données drill'!$S$5:$S$64))</f>
        <v/>
      </c>
      <c r="F17" s="110">
        <f>IF(OR($C17="",$C17=0),"",E17/C17)</f>
        <v/>
      </c>
      <c r="G17" s="108">
        <f>IF(OR($C17="",$C17=0),"",SUMPRODUCT('Données drill'!$W$5:$W$64*(INDEX('Données drill'!$A$5:$E$64,0,$O$6)=$B17)*'Données drill'!$T$5:$T$64))</f>
        <v/>
      </c>
      <c r="H17" s="108">
        <f>IF(OR($C17="",$C17=0),"",SUMPRODUCT('Données drill'!$W$5:$W$64*(INDEX('Données drill'!$A$5:$E$64,0,$O$6)=$B17)*'Données drill'!$U$5:$U$64))</f>
        <v/>
      </c>
      <c r="I17" s="108">
        <f>IF(OR($C17="",$C17=0),"",SUMPRODUCT('Données drill'!$W$5:$W$64*(INDEX('Données drill'!$A$5:$E$64,0,$O$6)=$B17)*'Données drill'!$V$5:$V$64))</f>
        <v/>
      </c>
      <c r="J17" s="108">
        <f>IF(OR($C17="",$C17=0),"",SUMPRODUCT('Données drill'!$W$5:$W$64*(INDEX('Données drill'!$A$5:$E$64,0,$O$6)=$B17)*'Données drill'!$I$5:$I$64))</f>
        <v/>
      </c>
      <c r="K17" s="108">
        <f>IF(OR($C17="",$C17=0),"",SUMPRODUCT('Données drill'!$W$5:$W$64*(INDEX('Données drill'!$A$5:$E$64,0,$O$6)=$B17)*'Données drill'!$H$5:$H$64))</f>
        <v/>
      </c>
      <c r="L17" s="111">
        <f>IF(OR($C17="",$C17=0),"",J17/K17)</f>
        <v/>
      </c>
      <c r="M17" s="112">
        <f>IF(OR($C17="",$C17=0),"",IF(E17&lt;0,"DÉFICITAIRE",IF(I17&lt;0,"PIÈGE",IF(L17&lt;0.7,"SOUS-REMPLI",""))))</f>
        <v/>
      </c>
      <c r="N17" s="30" t="n"/>
      <c r="O17" s="30" t="n"/>
    </row>
    <row r="18" ht="16" customHeight="1">
      <c r="A18" s="30" t="n"/>
      <c r="B18" s="107">
        <f>IF($O$6&gt;5,"",IFERROR(INDEX('Données drill'!$Z$5:$AD$18,3,$O$6),""))</f>
        <v/>
      </c>
      <c r="C18" s="108">
        <f>IF($B18="","",SUMPRODUCT('Données drill'!$W$5:$W$64*(INDEX('Données drill'!$A$5:$E$64,0,$O$6)=$B18)*'Données drill'!$L$5:$L$64))</f>
        <v/>
      </c>
      <c r="D18" s="109">
        <f>IF(OR($C18="",$C18=0),"",C18/SUMPRODUCT('Données drill'!$W$5:$W$64*(INDEX('Données drill'!$A$5:$E$64,0,$O$6)=$B18)*'Données drill'!$K$5:$K$64)-1)</f>
        <v/>
      </c>
      <c r="E18" s="108">
        <f>IF(OR($C18="",$C18=0),"",SUMPRODUCT('Données drill'!$W$5:$W$64*(INDEX('Données drill'!$A$5:$E$64,0,$O$6)=$B18)*'Données drill'!$S$5:$S$64))</f>
        <v/>
      </c>
      <c r="F18" s="110">
        <f>IF(OR($C18="",$C18=0),"",E18/C18)</f>
        <v/>
      </c>
      <c r="G18" s="108">
        <f>IF(OR($C18="",$C18=0),"",SUMPRODUCT('Données drill'!$W$5:$W$64*(INDEX('Données drill'!$A$5:$E$64,0,$O$6)=$B18)*'Données drill'!$T$5:$T$64))</f>
        <v/>
      </c>
      <c r="H18" s="108">
        <f>IF(OR($C18="",$C18=0),"",SUMPRODUCT('Données drill'!$W$5:$W$64*(INDEX('Données drill'!$A$5:$E$64,0,$O$6)=$B18)*'Données drill'!$U$5:$U$64))</f>
        <v/>
      </c>
      <c r="I18" s="108">
        <f>IF(OR($C18="",$C18=0),"",SUMPRODUCT('Données drill'!$W$5:$W$64*(INDEX('Données drill'!$A$5:$E$64,0,$O$6)=$B18)*'Données drill'!$V$5:$V$64))</f>
        <v/>
      </c>
      <c r="J18" s="108">
        <f>IF(OR($C18="",$C18=0),"",SUMPRODUCT('Données drill'!$W$5:$W$64*(INDEX('Données drill'!$A$5:$E$64,0,$O$6)=$B18)*'Données drill'!$I$5:$I$64))</f>
        <v/>
      </c>
      <c r="K18" s="108">
        <f>IF(OR($C18="",$C18=0),"",SUMPRODUCT('Données drill'!$W$5:$W$64*(INDEX('Données drill'!$A$5:$E$64,0,$O$6)=$B18)*'Données drill'!$H$5:$H$64))</f>
        <v/>
      </c>
      <c r="L18" s="111">
        <f>IF(OR($C18="",$C18=0),"",J18/K18)</f>
        <v/>
      </c>
      <c r="M18" s="112">
        <f>IF(OR($C18="",$C18=0),"",IF(E18&lt;0,"DÉFICITAIRE",IF(I18&lt;0,"PIÈGE",IF(L18&lt;0.7,"SOUS-REMPLI",""))))</f>
        <v/>
      </c>
      <c r="N18" s="30" t="n"/>
      <c r="O18" s="30" t="n"/>
    </row>
    <row r="19" ht="16" customHeight="1">
      <c r="A19" s="30" t="n"/>
      <c r="B19" s="107">
        <f>IF($O$6&gt;5,"",IFERROR(INDEX('Données drill'!$Z$5:$AD$18,4,$O$6),""))</f>
        <v/>
      </c>
      <c r="C19" s="108">
        <f>IF($B19="","",SUMPRODUCT('Données drill'!$W$5:$W$64*(INDEX('Données drill'!$A$5:$E$64,0,$O$6)=$B19)*'Données drill'!$L$5:$L$64))</f>
        <v/>
      </c>
      <c r="D19" s="109">
        <f>IF(OR($C19="",$C19=0),"",C19/SUMPRODUCT('Données drill'!$W$5:$W$64*(INDEX('Données drill'!$A$5:$E$64,0,$O$6)=$B19)*'Données drill'!$K$5:$K$64)-1)</f>
        <v/>
      </c>
      <c r="E19" s="108">
        <f>IF(OR($C19="",$C19=0),"",SUMPRODUCT('Données drill'!$W$5:$W$64*(INDEX('Données drill'!$A$5:$E$64,0,$O$6)=$B19)*'Données drill'!$S$5:$S$64))</f>
        <v/>
      </c>
      <c r="F19" s="110">
        <f>IF(OR($C19="",$C19=0),"",E19/C19)</f>
        <v/>
      </c>
      <c r="G19" s="108">
        <f>IF(OR($C19="",$C19=0),"",SUMPRODUCT('Données drill'!$W$5:$W$64*(INDEX('Données drill'!$A$5:$E$64,0,$O$6)=$B19)*'Données drill'!$T$5:$T$64))</f>
        <v/>
      </c>
      <c r="H19" s="108">
        <f>IF(OR($C19="",$C19=0),"",SUMPRODUCT('Données drill'!$W$5:$W$64*(INDEX('Données drill'!$A$5:$E$64,0,$O$6)=$B19)*'Données drill'!$U$5:$U$64))</f>
        <v/>
      </c>
      <c r="I19" s="108">
        <f>IF(OR($C19="",$C19=0),"",SUMPRODUCT('Données drill'!$W$5:$W$64*(INDEX('Données drill'!$A$5:$E$64,0,$O$6)=$B19)*'Données drill'!$V$5:$V$64))</f>
        <v/>
      </c>
      <c r="J19" s="108">
        <f>IF(OR($C19="",$C19=0),"",SUMPRODUCT('Données drill'!$W$5:$W$64*(INDEX('Données drill'!$A$5:$E$64,0,$O$6)=$B19)*'Données drill'!$I$5:$I$64))</f>
        <v/>
      </c>
      <c r="K19" s="108">
        <f>IF(OR($C19="",$C19=0),"",SUMPRODUCT('Données drill'!$W$5:$W$64*(INDEX('Données drill'!$A$5:$E$64,0,$O$6)=$B19)*'Données drill'!$H$5:$H$64))</f>
        <v/>
      </c>
      <c r="L19" s="111">
        <f>IF(OR($C19="",$C19=0),"",J19/K19)</f>
        <v/>
      </c>
      <c r="M19" s="112">
        <f>IF(OR($C19="",$C19=0),"",IF(E19&lt;0,"DÉFICITAIRE",IF(I19&lt;0,"PIÈGE",IF(L19&lt;0.7,"SOUS-REMPLI",""))))</f>
        <v/>
      </c>
      <c r="N19" s="30" t="n"/>
      <c r="O19" s="30" t="n"/>
    </row>
    <row r="20" ht="16" customHeight="1">
      <c r="A20" s="30" t="n"/>
      <c r="B20" s="107">
        <f>IF($O$6&gt;5,"",IFERROR(INDEX('Données drill'!$Z$5:$AD$18,5,$O$6),""))</f>
        <v/>
      </c>
      <c r="C20" s="108">
        <f>IF($B20="","",SUMPRODUCT('Données drill'!$W$5:$W$64*(INDEX('Données drill'!$A$5:$E$64,0,$O$6)=$B20)*'Données drill'!$L$5:$L$64))</f>
        <v/>
      </c>
      <c r="D20" s="109">
        <f>IF(OR($C20="",$C20=0),"",C20/SUMPRODUCT('Données drill'!$W$5:$W$64*(INDEX('Données drill'!$A$5:$E$64,0,$O$6)=$B20)*'Données drill'!$K$5:$K$64)-1)</f>
        <v/>
      </c>
      <c r="E20" s="108">
        <f>IF(OR($C20="",$C20=0),"",SUMPRODUCT('Données drill'!$W$5:$W$64*(INDEX('Données drill'!$A$5:$E$64,0,$O$6)=$B20)*'Données drill'!$S$5:$S$64))</f>
        <v/>
      </c>
      <c r="F20" s="110">
        <f>IF(OR($C20="",$C20=0),"",E20/C20)</f>
        <v/>
      </c>
      <c r="G20" s="108">
        <f>IF(OR($C20="",$C20=0),"",SUMPRODUCT('Données drill'!$W$5:$W$64*(INDEX('Données drill'!$A$5:$E$64,0,$O$6)=$B20)*'Données drill'!$T$5:$T$64))</f>
        <v/>
      </c>
      <c r="H20" s="108">
        <f>IF(OR($C20="",$C20=0),"",SUMPRODUCT('Données drill'!$W$5:$W$64*(INDEX('Données drill'!$A$5:$E$64,0,$O$6)=$B20)*'Données drill'!$U$5:$U$64))</f>
        <v/>
      </c>
      <c r="I20" s="108">
        <f>IF(OR($C20="",$C20=0),"",SUMPRODUCT('Données drill'!$W$5:$W$64*(INDEX('Données drill'!$A$5:$E$64,0,$O$6)=$B20)*'Données drill'!$V$5:$V$64))</f>
        <v/>
      </c>
      <c r="J20" s="108">
        <f>IF(OR($C20="",$C20=0),"",SUMPRODUCT('Données drill'!$W$5:$W$64*(INDEX('Données drill'!$A$5:$E$64,0,$O$6)=$B20)*'Données drill'!$I$5:$I$64))</f>
        <v/>
      </c>
      <c r="K20" s="108">
        <f>IF(OR($C20="",$C20=0),"",SUMPRODUCT('Données drill'!$W$5:$W$64*(INDEX('Données drill'!$A$5:$E$64,0,$O$6)=$B20)*'Données drill'!$H$5:$H$64))</f>
        <v/>
      </c>
      <c r="L20" s="111">
        <f>IF(OR($C20="",$C20=0),"",J20/K20)</f>
        <v/>
      </c>
      <c r="M20" s="112">
        <f>IF(OR($C20="",$C20=0),"",IF(E20&lt;0,"DÉFICITAIRE",IF(I20&lt;0,"PIÈGE",IF(L20&lt;0.7,"SOUS-REMPLI",""))))</f>
        <v/>
      </c>
      <c r="N20" s="30" t="n"/>
      <c r="O20" s="30" t="n"/>
    </row>
    <row r="21" ht="16" customHeight="1">
      <c r="A21" s="30" t="n"/>
      <c r="B21" s="107">
        <f>IF($O$6&gt;5,"",IFERROR(INDEX('Données drill'!$Z$5:$AD$18,6,$O$6),""))</f>
        <v/>
      </c>
      <c r="C21" s="108">
        <f>IF($B21="","",SUMPRODUCT('Données drill'!$W$5:$W$64*(INDEX('Données drill'!$A$5:$E$64,0,$O$6)=$B21)*'Données drill'!$L$5:$L$64))</f>
        <v/>
      </c>
      <c r="D21" s="109">
        <f>IF(OR($C21="",$C21=0),"",C21/SUMPRODUCT('Données drill'!$W$5:$W$64*(INDEX('Données drill'!$A$5:$E$64,0,$O$6)=$B21)*'Données drill'!$K$5:$K$64)-1)</f>
        <v/>
      </c>
      <c r="E21" s="108">
        <f>IF(OR($C21="",$C21=0),"",SUMPRODUCT('Données drill'!$W$5:$W$64*(INDEX('Données drill'!$A$5:$E$64,0,$O$6)=$B21)*'Données drill'!$S$5:$S$64))</f>
        <v/>
      </c>
      <c r="F21" s="110">
        <f>IF(OR($C21="",$C21=0),"",E21/C21)</f>
        <v/>
      </c>
      <c r="G21" s="108">
        <f>IF(OR($C21="",$C21=0),"",SUMPRODUCT('Données drill'!$W$5:$W$64*(INDEX('Données drill'!$A$5:$E$64,0,$O$6)=$B21)*'Données drill'!$T$5:$T$64))</f>
        <v/>
      </c>
      <c r="H21" s="108">
        <f>IF(OR($C21="",$C21=0),"",SUMPRODUCT('Données drill'!$W$5:$W$64*(INDEX('Données drill'!$A$5:$E$64,0,$O$6)=$B21)*'Données drill'!$U$5:$U$64))</f>
        <v/>
      </c>
      <c r="I21" s="108">
        <f>IF(OR($C21="",$C21=0),"",SUMPRODUCT('Données drill'!$W$5:$W$64*(INDEX('Données drill'!$A$5:$E$64,0,$O$6)=$B21)*'Données drill'!$V$5:$V$64))</f>
        <v/>
      </c>
      <c r="J21" s="108">
        <f>IF(OR($C21="",$C21=0),"",SUMPRODUCT('Données drill'!$W$5:$W$64*(INDEX('Données drill'!$A$5:$E$64,0,$O$6)=$B21)*'Données drill'!$I$5:$I$64))</f>
        <v/>
      </c>
      <c r="K21" s="108">
        <f>IF(OR($C21="",$C21=0),"",SUMPRODUCT('Données drill'!$W$5:$W$64*(INDEX('Données drill'!$A$5:$E$64,0,$O$6)=$B21)*'Données drill'!$H$5:$H$64))</f>
        <v/>
      </c>
      <c r="L21" s="111">
        <f>IF(OR($C21="",$C21=0),"",J21/K21)</f>
        <v/>
      </c>
      <c r="M21" s="112">
        <f>IF(OR($C21="",$C21=0),"",IF(E21&lt;0,"DÉFICITAIRE",IF(I21&lt;0,"PIÈGE",IF(L21&lt;0.7,"SOUS-REMPLI",""))))</f>
        <v/>
      </c>
      <c r="N21" s="30" t="n"/>
      <c r="O21" s="30" t="n"/>
    </row>
    <row r="22" ht="16" customHeight="1">
      <c r="A22" s="30" t="n"/>
      <c r="B22" s="107">
        <f>IF($O$6&gt;5,"",IFERROR(INDEX('Données drill'!$Z$5:$AD$18,7,$O$6),""))</f>
        <v/>
      </c>
      <c r="C22" s="108">
        <f>IF($B22="","",SUMPRODUCT('Données drill'!$W$5:$W$64*(INDEX('Données drill'!$A$5:$E$64,0,$O$6)=$B22)*'Données drill'!$L$5:$L$64))</f>
        <v/>
      </c>
      <c r="D22" s="109">
        <f>IF(OR($C22="",$C22=0),"",C22/SUMPRODUCT('Données drill'!$W$5:$W$64*(INDEX('Données drill'!$A$5:$E$64,0,$O$6)=$B22)*'Données drill'!$K$5:$K$64)-1)</f>
        <v/>
      </c>
      <c r="E22" s="108">
        <f>IF(OR($C22="",$C22=0),"",SUMPRODUCT('Données drill'!$W$5:$W$64*(INDEX('Données drill'!$A$5:$E$64,0,$O$6)=$B22)*'Données drill'!$S$5:$S$64))</f>
        <v/>
      </c>
      <c r="F22" s="110">
        <f>IF(OR($C22="",$C22=0),"",E22/C22)</f>
        <v/>
      </c>
      <c r="G22" s="108">
        <f>IF(OR($C22="",$C22=0),"",SUMPRODUCT('Données drill'!$W$5:$W$64*(INDEX('Données drill'!$A$5:$E$64,0,$O$6)=$B22)*'Données drill'!$T$5:$T$64))</f>
        <v/>
      </c>
      <c r="H22" s="108">
        <f>IF(OR($C22="",$C22=0),"",SUMPRODUCT('Données drill'!$W$5:$W$64*(INDEX('Données drill'!$A$5:$E$64,0,$O$6)=$B22)*'Données drill'!$U$5:$U$64))</f>
        <v/>
      </c>
      <c r="I22" s="108">
        <f>IF(OR($C22="",$C22=0),"",SUMPRODUCT('Données drill'!$W$5:$W$64*(INDEX('Données drill'!$A$5:$E$64,0,$O$6)=$B22)*'Données drill'!$V$5:$V$64))</f>
        <v/>
      </c>
      <c r="J22" s="108">
        <f>IF(OR($C22="",$C22=0),"",SUMPRODUCT('Données drill'!$W$5:$W$64*(INDEX('Données drill'!$A$5:$E$64,0,$O$6)=$B22)*'Données drill'!$I$5:$I$64))</f>
        <v/>
      </c>
      <c r="K22" s="108">
        <f>IF(OR($C22="",$C22=0),"",SUMPRODUCT('Données drill'!$W$5:$W$64*(INDEX('Données drill'!$A$5:$E$64,0,$O$6)=$B22)*'Données drill'!$H$5:$H$64))</f>
        <v/>
      </c>
      <c r="L22" s="111">
        <f>IF(OR($C22="",$C22=0),"",J22/K22)</f>
        <v/>
      </c>
      <c r="M22" s="112">
        <f>IF(OR($C22="",$C22=0),"",IF(E22&lt;0,"DÉFICITAIRE",IF(I22&lt;0,"PIÈGE",IF(L22&lt;0.7,"SOUS-REMPLI",""))))</f>
        <v/>
      </c>
      <c r="N22" s="30" t="n"/>
      <c r="O22" s="30" t="n"/>
    </row>
    <row r="23" ht="16" customHeight="1">
      <c r="A23" s="30" t="n"/>
      <c r="B23" s="107">
        <f>IF($O$6&gt;5,"",IFERROR(INDEX('Données drill'!$Z$5:$AD$18,8,$O$6),""))</f>
        <v/>
      </c>
      <c r="C23" s="108">
        <f>IF($B23="","",SUMPRODUCT('Données drill'!$W$5:$W$64*(INDEX('Données drill'!$A$5:$E$64,0,$O$6)=$B23)*'Données drill'!$L$5:$L$64))</f>
        <v/>
      </c>
      <c r="D23" s="109">
        <f>IF(OR($C23="",$C23=0),"",C23/SUMPRODUCT('Données drill'!$W$5:$W$64*(INDEX('Données drill'!$A$5:$E$64,0,$O$6)=$B23)*'Données drill'!$K$5:$K$64)-1)</f>
        <v/>
      </c>
      <c r="E23" s="108">
        <f>IF(OR($C23="",$C23=0),"",SUMPRODUCT('Données drill'!$W$5:$W$64*(INDEX('Données drill'!$A$5:$E$64,0,$O$6)=$B23)*'Données drill'!$S$5:$S$64))</f>
        <v/>
      </c>
      <c r="F23" s="110">
        <f>IF(OR($C23="",$C23=0),"",E23/C23)</f>
        <v/>
      </c>
      <c r="G23" s="108">
        <f>IF(OR($C23="",$C23=0),"",SUMPRODUCT('Données drill'!$W$5:$W$64*(INDEX('Données drill'!$A$5:$E$64,0,$O$6)=$B23)*'Données drill'!$T$5:$T$64))</f>
        <v/>
      </c>
      <c r="H23" s="108">
        <f>IF(OR($C23="",$C23=0),"",SUMPRODUCT('Données drill'!$W$5:$W$64*(INDEX('Données drill'!$A$5:$E$64,0,$O$6)=$B23)*'Données drill'!$U$5:$U$64))</f>
        <v/>
      </c>
      <c r="I23" s="108">
        <f>IF(OR($C23="",$C23=0),"",SUMPRODUCT('Données drill'!$W$5:$W$64*(INDEX('Données drill'!$A$5:$E$64,0,$O$6)=$B23)*'Données drill'!$V$5:$V$64))</f>
        <v/>
      </c>
      <c r="J23" s="108">
        <f>IF(OR($C23="",$C23=0),"",SUMPRODUCT('Données drill'!$W$5:$W$64*(INDEX('Données drill'!$A$5:$E$64,0,$O$6)=$B23)*'Données drill'!$I$5:$I$64))</f>
        <v/>
      </c>
      <c r="K23" s="108">
        <f>IF(OR($C23="",$C23=0),"",SUMPRODUCT('Données drill'!$W$5:$W$64*(INDEX('Données drill'!$A$5:$E$64,0,$O$6)=$B23)*'Données drill'!$H$5:$H$64))</f>
        <v/>
      </c>
      <c r="L23" s="111">
        <f>IF(OR($C23="",$C23=0),"",J23/K23)</f>
        <v/>
      </c>
      <c r="M23" s="112">
        <f>IF(OR($C23="",$C23=0),"",IF(E23&lt;0,"DÉFICITAIRE",IF(I23&lt;0,"PIÈGE",IF(L23&lt;0.7,"SOUS-REMPLI",""))))</f>
        <v/>
      </c>
      <c r="N23" s="30" t="n"/>
      <c r="O23" s="30" t="n"/>
    </row>
    <row r="24" ht="16" customHeight="1">
      <c r="A24" s="30" t="n"/>
      <c r="B24" s="107">
        <f>IF($O$6&gt;5,"",IFERROR(INDEX('Données drill'!$Z$5:$AD$18,9,$O$6),""))</f>
        <v/>
      </c>
      <c r="C24" s="108">
        <f>IF($B24="","",SUMPRODUCT('Données drill'!$W$5:$W$64*(INDEX('Données drill'!$A$5:$E$64,0,$O$6)=$B24)*'Données drill'!$L$5:$L$64))</f>
        <v/>
      </c>
      <c r="D24" s="109">
        <f>IF(OR($C24="",$C24=0),"",C24/SUMPRODUCT('Données drill'!$W$5:$W$64*(INDEX('Données drill'!$A$5:$E$64,0,$O$6)=$B24)*'Données drill'!$K$5:$K$64)-1)</f>
        <v/>
      </c>
      <c r="E24" s="108">
        <f>IF(OR($C24="",$C24=0),"",SUMPRODUCT('Données drill'!$W$5:$W$64*(INDEX('Données drill'!$A$5:$E$64,0,$O$6)=$B24)*'Données drill'!$S$5:$S$64))</f>
        <v/>
      </c>
      <c r="F24" s="110">
        <f>IF(OR($C24="",$C24=0),"",E24/C24)</f>
        <v/>
      </c>
      <c r="G24" s="108">
        <f>IF(OR($C24="",$C24=0),"",SUMPRODUCT('Données drill'!$W$5:$W$64*(INDEX('Données drill'!$A$5:$E$64,0,$O$6)=$B24)*'Données drill'!$T$5:$T$64))</f>
        <v/>
      </c>
      <c r="H24" s="108">
        <f>IF(OR($C24="",$C24=0),"",SUMPRODUCT('Données drill'!$W$5:$W$64*(INDEX('Données drill'!$A$5:$E$64,0,$O$6)=$B24)*'Données drill'!$U$5:$U$64))</f>
        <v/>
      </c>
      <c r="I24" s="108">
        <f>IF(OR($C24="",$C24=0),"",SUMPRODUCT('Données drill'!$W$5:$W$64*(INDEX('Données drill'!$A$5:$E$64,0,$O$6)=$B24)*'Données drill'!$V$5:$V$64))</f>
        <v/>
      </c>
      <c r="J24" s="108">
        <f>IF(OR($C24="",$C24=0),"",SUMPRODUCT('Données drill'!$W$5:$W$64*(INDEX('Données drill'!$A$5:$E$64,0,$O$6)=$B24)*'Données drill'!$I$5:$I$64))</f>
        <v/>
      </c>
      <c r="K24" s="108">
        <f>IF(OR($C24="",$C24=0),"",SUMPRODUCT('Données drill'!$W$5:$W$64*(INDEX('Données drill'!$A$5:$E$64,0,$O$6)=$B24)*'Données drill'!$H$5:$H$64))</f>
        <v/>
      </c>
      <c r="L24" s="111">
        <f>IF(OR($C24="",$C24=0),"",J24/K24)</f>
        <v/>
      </c>
      <c r="M24" s="112">
        <f>IF(OR($C24="",$C24=0),"",IF(E24&lt;0,"DÉFICITAIRE",IF(I24&lt;0,"PIÈGE",IF(L24&lt;0.7,"SOUS-REMPLI",""))))</f>
        <v/>
      </c>
      <c r="N24" s="30" t="n"/>
      <c r="O24" s="30" t="n"/>
    </row>
    <row r="25" ht="16" customHeight="1">
      <c r="A25" s="30" t="n"/>
      <c r="B25" s="107">
        <f>IF($O$6&gt;5,"",IFERROR(INDEX('Données drill'!$Z$5:$AD$18,10,$O$6),""))</f>
        <v/>
      </c>
      <c r="C25" s="108">
        <f>IF($B25="","",SUMPRODUCT('Données drill'!$W$5:$W$64*(INDEX('Données drill'!$A$5:$E$64,0,$O$6)=$B25)*'Données drill'!$L$5:$L$64))</f>
        <v/>
      </c>
      <c r="D25" s="109">
        <f>IF(OR($C25="",$C25=0),"",C25/SUMPRODUCT('Données drill'!$W$5:$W$64*(INDEX('Données drill'!$A$5:$E$64,0,$O$6)=$B25)*'Données drill'!$K$5:$K$64)-1)</f>
        <v/>
      </c>
      <c r="E25" s="108">
        <f>IF(OR($C25="",$C25=0),"",SUMPRODUCT('Données drill'!$W$5:$W$64*(INDEX('Données drill'!$A$5:$E$64,0,$O$6)=$B25)*'Données drill'!$S$5:$S$64))</f>
        <v/>
      </c>
      <c r="F25" s="110">
        <f>IF(OR($C25="",$C25=0),"",E25/C25)</f>
        <v/>
      </c>
      <c r="G25" s="108">
        <f>IF(OR($C25="",$C25=0),"",SUMPRODUCT('Données drill'!$W$5:$W$64*(INDEX('Données drill'!$A$5:$E$64,0,$O$6)=$B25)*'Données drill'!$T$5:$T$64))</f>
        <v/>
      </c>
      <c r="H25" s="108">
        <f>IF(OR($C25="",$C25=0),"",SUMPRODUCT('Données drill'!$W$5:$W$64*(INDEX('Données drill'!$A$5:$E$64,0,$O$6)=$B25)*'Données drill'!$U$5:$U$64))</f>
        <v/>
      </c>
      <c r="I25" s="108">
        <f>IF(OR($C25="",$C25=0),"",SUMPRODUCT('Données drill'!$W$5:$W$64*(INDEX('Données drill'!$A$5:$E$64,0,$O$6)=$B25)*'Données drill'!$V$5:$V$64))</f>
        <v/>
      </c>
      <c r="J25" s="108">
        <f>IF(OR($C25="",$C25=0),"",SUMPRODUCT('Données drill'!$W$5:$W$64*(INDEX('Données drill'!$A$5:$E$64,0,$O$6)=$B25)*'Données drill'!$I$5:$I$64))</f>
        <v/>
      </c>
      <c r="K25" s="108">
        <f>IF(OR($C25="",$C25=0),"",SUMPRODUCT('Données drill'!$W$5:$W$64*(INDEX('Données drill'!$A$5:$E$64,0,$O$6)=$B25)*'Données drill'!$H$5:$H$64))</f>
        <v/>
      </c>
      <c r="L25" s="111">
        <f>IF(OR($C25="",$C25=0),"",J25/K25)</f>
        <v/>
      </c>
      <c r="M25" s="112">
        <f>IF(OR($C25="",$C25=0),"",IF(E25&lt;0,"DÉFICITAIRE",IF(I25&lt;0,"PIÈGE",IF(L25&lt;0.7,"SOUS-REMPLI",""))))</f>
        <v/>
      </c>
      <c r="N25" s="30" t="n"/>
      <c r="O25" s="30" t="n"/>
    </row>
    <row r="26" ht="16" customHeight="1">
      <c r="A26" s="30" t="n"/>
      <c r="B26" s="107">
        <f>IF($O$6&gt;5,"",IFERROR(INDEX('Données drill'!$Z$5:$AD$18,11,$O$6),""))</f>
        <v/>
      </c>
      <c r="C26" s="108">
        <f>IF($B26="","",SUMPRODUCT('Données drill'!$W$5:$W$64*(INDEX('Données drill'!$A$5:$E$64,0,$O$6)=$B26)*'Données drill'!$L$5:$L$64))</f>
        <v/>
      </c>
      <c r="D26" s="109">
        <f>IF(OR($C26="",$C26=0),"",C26/SUMPRODUCT('Données drill'!$W$5:$W$64*(INDEX('Données drill'!$A$5:$E$64,0,$O$6)=$B26)*'Données drill'!$K$5:$K$64)-1)</f>
        <v/>
      </c>
      <c r="E26" s="108">
        <f>IF(OR($C26="",$C26=0),"",SUMPRODUCT('Données drill'!$W$5:$W$64*(INDEX('Données drill'!$A$5:$E$64,0,$O$6)=$B26)*'Données drill'!$S$5:$S$64))</f>
        <v/>
      </c>
      <c r="F26" s="110">
        <f>IF(OR($C26="",$C26=0),"",E26/C26)</f>
        <v/>
      </c>
      <c r="G26" s="108">
        <f>IF(OR($C26="",$C26=0),"",SUMPRODUCT('Données drill'!$W$5:$W$64*(INDEX('Données drill'!$A$5:$E$64,0,$O$6)=$B26)*'Données drill'!$T$5:$T$64))</f>
        <v/>
      </c>
      <c r="H26" s="108">
        <f>IF(OR($C26="",$C26=0),"",SUMPRODUCT('Données drill'!$W$5:$W$64*(INDEX('Données drill'!$A$5:$E$64,0,$O$6)=$B26)*'Données drill'!$U$5:$U$64))</f>
        <v/>
      </c>
      <c r="I26" s="108">
        <f>IF(OR($C26="",$C26=0),"",SUMPRODUCT('Données drill'!$W$5:$W$64*(INDEX('Données drill'!$A$5:$E$64,0,$O$6)=$B26)*'Données drill'!$V$5:$V$64))</f>
        <v/>
      </c>
      <c r="J26" s="108">
        <f>IF(OR($C26="",$C26=0),"",SUMPRODUCT('Données drill'!$W$5:$W$64*(INDEX('Données drill'!$A$5:$E$64,0,$O$6)=$B26)*'Données drill'!$I$5:$I$64))</f>
        <v/>
      </c>
      <c r="K26" s="108">
        <f>IF(OR($C26="",$C26=0),"",SUMPRODUCT('Données drill'!$W$5:$W$64*(INDEX('Données drill'!$A$5:$E$64,0,$O$6)=$B26)*'Données drill'!$H$5:$H$64))</f>
        <v/>
      </c>
      <c r="L26" s="111">
        <f>IF(OR($C26="",$C26=0),"",J26/K26)</f>
        <v/>
      </c>
      <c r="M26" s="112">
        <f>IF(OR($C26="",$C26=0),"",IF(E26&lt;0,"DÉFICITAIRE",IF(I26&lt;0,"PIÈGE",IF(L26&lt;0.7,"SOUS-REMPLI",""))))</f>
        <v/>
      </c>
      <c r="N26" s="30" t="n"/>
      <c r="O26" s="30" t="n"/>
    </row>
    <row r="27" ht="16" customHeight="1">
      <c r="A27" s="30" t="n"/>
      <c r="B27" s="107">
        <f>IF($O$6&gt;5,"",IFERROR(INDEX('Données drill'!$Z$5:$AD$18,12,$O$6),""))</f>
        <v/>
      </c>
      <c r="C27" s="108">
        <f>IF($B27="","",SUMPRODUCT('Données drill'!$W$5:$W$64*(INDEX('Données drill'!$A$5:$E$64,0,$O$6)=$B27)*'Données drill'!$L$5:$L$64))</f>
        <v/>
      </c>
      <c r="D27" s="109">
        <f>IF(OR($C27="",$C27=0),"",C27/SUMPRODUCT('Données drill'!$W$5:$W$64*(INDEX('Données drill'!$A$5:$E$64,0,$O$6)=$B27)*'Données drill'!$K$5:$K$64)-1)</f>
        <v/>
      </c>
      <c r="E27" s="108">
        <f>IF(OR($C27="",$C27=0),"",SUMPRODUCT('Données drill'!$W$5:$W$64*(INDEX('Données drill'!$A$5:$E$64,0,$O$6)=$B27)*'Données drill'!$S$5:$S$64))</f>
        <v/>
      </c>
      <c r="F27" s="110">
        <f>IF(OR($C27="",$C27=0),"",E27/C27)</f>
        <v/>
      </c>
      <c r="G27" s="108">
        <f>IF(OR($C27="",$C27=0),"",SUMPRODUCT('Données drill'!$W$5:$W$64*(INDEX('Données drill'!$A$5:$E$64,0,$O$6)=$B27)*'Données drill'!$T$5:$T$64))</f>
        <v/>
      </c>
      <c r="H27" s="108">
        <f>IF(OR($C27="",$C27=0),"",SUMPRODUCT('Données drill'!$W$5:$W$64*(INDEX('Données drill'!$A$5:$E$64,0,$O$6)=$B27)*'Données drill'!$U$5:$U$64))</f>
        <v/>
      </c>
      <c r="I27" s="108">
        <f>IF(OR($C27="",$C27=0),"",SUMPRODUCT('Données drill'!$W$5:$W$64*(INDEX('Données drill'!$A$5:$E$64,0,$O$6)=$B27)*'Données drill'!$V$5:$V$64))</f>
        <v/>
      </c>
      <c r="J27" s="108">
        <f>IF(OR($C27="",$C27=0),"",SUMPRODUCT('Données drill'!$W$5:$W$64*(INDEX('Données drill'!$A$5:$E$64,0,$O$6)=$B27)*'Données drill'!$I$5:$I$64))</f>
        <v/>
      </c>
      <c r="K27" s="108">
        <f>IF(OR($C27="",$C27=0),"",SUMPRODUCT('Données drill'!$W$5:$W$64*(INDEX('Données drill'!$A$5:$E$64,0,$O$6)=$B27)*'Données drill'!$H$5:$H$64))</f>
        <v/>
      </c>
      <c r="L27" s="111">
        <f>IF(OR($C27="",$C27=0),"",J27/K27)</f>
        <v/>
      </c>
      <c r="M27" s="112">
        <f>IF(OR($C27="",$C27=0),"",IF(E27&lt;0,"DÉFICITAIRE",IF(I27&lt;0,"PIÈGE",IF(L27&lt;0.7,"SOUS-REMPLI",""))))</f>
        <v/>
      </c>
      <c r="N27" s="30" t="n"/>
      <c r="O27" s="30" t="n"/>
    </row>
    <row r="28" ht="16" customHeight="1">
      <c r="A28" s="30" t="n"/>
      <c r="B28" s="107">
        <f>IF($O$6&gt;5,"",IFERROR(INDEX('Données drill'!$Z$5:$AD$18,13,$O$6),""))</f>
        <v/>
      </c>
      <c r="C28" s="108">
        <f>IF($B28="","",SUMPRODUCT('Données drill'!$W$5:$W$64*(INDEX('Données drill'!$A$5:$E$64,0,$O$6)=$B28)*'Données drill'!$L$5:$L$64))</f>
        <v/>
      </c>
      <c r="D28" s="109">
        <f>IF(OR($C28="",$C28=0),"",C28/SUMPRODUCT('Données drill'!$W$5:$W$64*(INDEX('Données drill'!$A$5:$E$64,0,$O$6)=$B28)*'Données drill'!$K$5:$K$64)-1)</f>
        <v/>
      </c>
      <c r="E28" s="108">
        <f>IF(OR($C28="",$C28=0),"",SUMPRODUCT('Données drill'!$W$5:$W$64*(INDEX('Données drill'!$A$5:$E$64,0,$O$6)=$B28)*'Données drill'!$S$5:$S$64))</f>
        <v/>
      </c>
      <c r="F28" s="110">
        <f>IF(OR($C28="",$C28=0),"",E28/C28)</f>
        <v/>
      </c>
      <c r="G28" s="108">
        <f>IF(OR($C28="",$C28=0),"",SUMPRODUCT('Données drill'!$W$5:$W$64*(INDEX('Données drill'!$A$5:$E$64,0,$O$6)=$B28)*'Données drill'!$T$5:$T$64))</f>
        <v/>
      </c>
      <c r="H28" s="108">
        <f>IF(OR($C28="",$C28=0),"",SUMPRODUCT('Données drill'!$W$5:$W$64*(INDEX('Données drill'!$A$5:$E$64,0,$O$6)=$B28)*'Données drill'!$U$5:$U$64))</f>
        <v/>
      </c>
      <c r="I28" s="108">
        <f>IF(OR($C28="",$C28=0),"",SUMPRODUCT('Données drill'!$W$5:$W$64*(INDEX('Données drill'!$A$5:$E$64,0,$O$6)=$B28)*'Données drill'!$V$5:$V$64))</f>
        <v/>
      </c>
      <c r="J28" s="108">
        <f>IF(OR($C28="",$C28=0),"",SUMPRODUCT('Données drill'!$W$5:$W$64*(INDEX('Données drill'!$A$5:$E$64,0,$O$6)=$B28)*'Données drill'!$I$5:$I$64))</f>
        <v/>
      </c>
      <c r="K28" s="108">
        <f>IF(OR($C28="",$C28=0),"",SUMPRODUCT('Données drill'!$W$5:$W$64*(INDEX('Données drill'!$A$5:$E$64,0,$O$6)=$B28)*'Données drill'!$H$5:$H$64))</f>
        <v/>
      </c>
      <c r="L28" s="111">
        <f>IF(OR($C28="",$C28=0),"",J28/K28)</f>
        <v/>
      </c>
      <c r="M28" s="112">
        <f>IF(OR($C28="",$C28=0),"",IF(E28&lt;0,"DÉFICITAIRE",IF(I28&lt;0,"PIÈGE",IF(L28&lt;0.7,"SOUS-REMPLI",""))))</f>
        <v/>
      </c>
      <c r="N28" s="30" t="n"/>
      <c r="O28" s="30" t="n"/>
    </row>
    <row r="29" ht="10" customHeight="1">
      <c r="A29" s="30" t="n"/>
      <c r="B29" s="113">
        <f>IF($O$6&gt;5,"",IFERROR(INDEX('Données drill'!$Z$5:$AD$18,14,$O$6),""))</f>
        <v/>
      </c>
      <c r="C29" s="114">
        <f>IF($B29="","",SUMPRODUCT('Données drill'!$W$5:$W$64*(INDEX('Données drill'!$A$5:$E$64,0,$O$6)=$B29)*'Données drill'!$L$5:$L$64))</f>
        <v/>
      </c>
      <c r="D29" s="115">
        <f>IF(OR($C29="",$C29=0),"",C29/SUMPRODUCT('Données drill'!$W$5:$W$64*(INDEX('Données drill'!$A$5:$E$64,0,$O$6)=$B29)*'Données drill'!$K$5:$K$64)-1)</f>
        <v/>
      </c>
      <c r="E29" s="114">
        <f>IF(OR($C29="",$C29=0),"",SUMPRODUCT('Données drill'!$W$5:$W$64*(INDEX('Données drill'!$A$5:$E$64,0,$O$6)=$B29)*'Données drill'!$S$5:$S$64))</f>
        <v/>
      </c>
      <c r="F29" s="116">
        <f>IF(OR($C29="",$C29=0),"",E29/C29)</f>
        <v/>
      </c>
      <c r="G29" s="114">
        <f>IF(OR($C29="",$C29=0),"",SUMPRODUCT('Données drill'!$W$5:$W$64*(INDEX('Données drill'!$A$5:$E$64,0,$O$6)=$B29)*'Données drill'!$T$5:$T$64))</f>
        <v/>
      </c>
      <c r="H29" s="114">
        <f>IF(OR($C29="",$C29=0),"",SUMPRODUCT('Données drill'!$W$5:$W$64*(INDEX('Données drill'!$A$5:$E$64,0,$O$6)=$B29)*'Données drill'!$U$5:$U$64))</f>
        <v/>
      </c>
      <c r="I29" s="114">
        <f>IF(OR($C29="",$C29=0),"",SUMPRODUCT('Données drill'!$W$5:$W$64*(INDEX('Données drill'!$A$5:$E$64,0,$O$6)=$B29)*'Données drill'!$V$5:$V$64))</f>
        <v/>
      </c>
      <c r="J29" s="114">
        <f>IF(OR($C29="",$C29=0),"",SUMPRODUCT('Données drill'!$W$5:$W$64*(INDEX('Données drill'!$A$5:$E$64,0,$O$6)=$B29)*'Données drill'!$I$5:$I$64))</f>
        <v/>
      </c>
      <c r="K29" s="114">
        <f>IF(OR($C29="",$C29=0),"",SUMPRODUCT('Données drill'!$W$5:$W$64*(INDEX('Données drill'!$A$5:$E$64,0,$O$6)=$B29)*'Données drill'!$H$5:$H$64))</f>
        <v/>
      </c>
      <c r="L29" s="117">
        <f>IF(OR($C29="",$C29=0),"",J29/K29)</f>
        <v/>
      </c>
      <c r="M29" s="118">
        <f>IF(OR($C29="",$C29=0),"",IF(E29&lt;0,"DÉFICITAIRE",IF(I29&lt;0,"PIÈGE",IF(L29&lt;0.7,"SOUS-REMPLI",""))))</f>
        <v/>
      </c>
      <c r="N29" s="30" t="n"/>
      <c r="O29" s="30" t="n"/>
    </row>
    <row r="30" ht="20" customHeight="1">
      <c r="A30" s="30" t="n"/>
      <c r="B30" s="93" t="inlineStr">
        <is>
          <t xml:space="preserve">  ④ DÉTAIL AU GRAIN CLASSE — le fond du drill</t>
        </is>
      </c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42" t="n"/>
      <c r="N30" s="30" t="n"/>
      <c r="O30" s="30" t="n"/>
    </row>
    <row r="31" ht="18" customHeight="1">
      <c r="A31" s="30" t="n"/>
      <c r="B31" s="99" t="inlineStr">
        <is>
          <t>Campus · Programme · Année · Modalité</t>
        </is>
      </c>
      <c r="C31" s="100" t="inlineStr">
        <is>
          <t>CA 2026</t>
        </is>
      </c>
      <c r="D31" s="100" t="inlineStr">
        <is>
          <t>Δ CA</t>
        </is>
      </c>
      <c r="E31" s="100" t="inlineStr">
        <is>
          <t>EBITDA</t>
        </is>
      </c>
      <c r="F31" s="100" t="inlineStr">
        <is>
          <t>Marge EBITDA</t>
        </is>
      </c>
      <c r="G31" s="100" t="inlineStr">
        <is>
          <t>Contribution</t>
        </is>
      </c>
      <c r="H31" s="100" t="inlineStr">
        <is>
          <t>Coût complet</t>
        </is>
      </c>
      <c r="I31" s="100" t="inlineStr">
        <is>
          <t>Marge complète</t>
        </is>
      </c>
      <c r="J31" s="100" t="inlineStr">
        <is>
          <t>Effectifs</t>
        </is>
      </c>
      <c r="K31" s="100" t="inlineStr">
        <is>
          <t>Places</t>
        </is>
      </c>
      <c r="L31" s="100" t="inlineStr">
        <is>
          <t>Remplissage</t>
        </is>
      </c>
      <c r="M31" s="100" t="inlineStr">
        <is>
          <t>Statut</t>
        </is>
      </c>
      <c r="N31" s="30" t="n"/>
      <c r="O31" s="30" t="n"/>
    </row>
    <row r="32" ht="16" customHeight="1">
      <c r="A32" s="30" t="n"/>
      <c r="B32" s="119">
        <f>IF($N32="","",INDEX('Données drill'!$B$5:$B$64,$N32)&amp;" · "&amp;INDEX('Données drill'!$C$5:$C$64,$N32)&amp;" · "&amp;INDEX('Données drill'!$D$5:$D$64,$N32)&amp;" · "&amp;INDEX('Données drill'!$E$5:$E$64,$N32))</f>
        <v/>
      </c>
      <c r="C32" s="79">
        <f>IF($N32="","",INDEX('Données drill'!$L$5:$L$64,$N32))</f>
        <v/>
      </c>
      <c r="D32" s="80">
        <f>IF($N32="","",C32/INDEX('Données drill'!$K$5:$K$64,$N32)-1)</f>
        <v/>
      </c>
      <c r="E32" s="79">
        <f>IF($N32="","",INDEX('Données drill'!$S$5:$S$64,$N32))</f>
        <v/>
      </c>
      <c r="F32" s="120">
        <f>IF($N32="","",E32/C32)</f>
        <v/>
      </c>
      <c r="G32" s="79">
        <f>IF($N32="","",INDEX('Données drill'!$T$5:$T$64,$N32))</f>
        <v/>
      </c>
      <c r="H32" s="79">
        <f>IF($N32="","",INDEX('Données drill'!$U$5:$U$64,$N32))</f>
        <v/>
      </c>
      <c r="I32" s="79">
        <f>IF($N32="","",INDEX('Données drill'!$V$5:$V$64,$N32))</f>
        <v/>
      </c>
      <c r="J32" s="79">
        <f>IF($N32="","",INDEX('Données drill'!$I$5:$I$64,$N32))</f>
        <v/>
      </c>
      <c r="K32" s="79">
        <f>IF($N32="","",INDEX('Données drill'!$H$5:$H$64,$N32))</f>
        <v/>
      </c>
      <c r="L32" s="83">
        <f>IF($N32="","",J32/K32)</f>
        <v/>
      </c>
      <c r="M32" s="121">
        <f>IF($N32="","",IF(E32&lt;0,"DÉFICITAIRE",IF(I32&lt;0,"PIÈGE",IF(L32&lt;0.7,"SOUS-REMPLI",""))))</f>
        <v/>
      </c>
      <c r="N32" s="122">
        <f>IFERROR(MATCH(1,'Données drill'!$X$5:$X$64,0),"")</f>
        <v/>
      </c>
      <c r="O32" s="30" t="n"/>
    </row>
    <row r="33" ht="16" customHeight="1">
      <c r="A33" s="30" t="n"/>
      <c r="B33" s="119">
        <f>IF($N33="","",INDEX('Données drill'!$B$5:$B$64,$N33)&amp;" · "&amp;INDEX('Données drill'!$C$5:$C$64,$N33)&amp;" · "&amp;INDEX('Données drill'!$D$5:$D$64,$N33)&amp;" · "&amp;INDEX('Données drill'!$E$5:$E$64,$N33))</f>
        <v/>
      </c>
      <c r="C33" s="79">
        <f>IF($N33="","",INDEX('Données drill'!$L$5:$L$64,$N33))</f>
        <v/>
      </c>
      <c r="D33" s="80">
        <f>IF($N33="","",C33/INDEX('Données drill'!$K$5:$K$64,$N33)-1)</f>
        <v/>
      </c>
      <c r="E33" s="79">
        <f>IF($N33="","",INDEX('Données drill'!$S$5:$S$64,$N33))</f>
        <v/>
      </c>
      <c r="F33" s="120">
        <f>IF($N33="","",E33/C33)</f>
        <v/>
      </c>
      <c r="G33" s="79">
        <f>IF($N33="","",INDEX('Données drill'!$T$5:$T$64,$N33))</f>
        <v/>
      </c>
      <c r="H33" s="79">
        <f>IF($N33="","",INDEX('Données drill'!$U$5:$U$64,$N33))</f>
        <v/>
      </c>
      <c r="I33" s="79">
        <f>IF($N33="","",INDEX('Données drill'!$V$5:$V$64,$N33))</f>
        <v/>
      </c>
      <c r="J33" s="79">
        <f>IF($N33="","",INDEX('Données drill'!$I$5:$I$64,$N33))</f>
        <v/>
      </c>
      <c r="K33" s="79">
        <f>IF($N33="","",INDEX('Données drill'!$H$5:$H$64,$N33))</f>
        <v/>
      </c>
      <c r="L33" s="83">
        <f>IF($N33="","",J33/K33)</f>
        <v/>
      </c>
      <c r="M33" s="121">
        <f>IF($N33="","",IF(E33&lt;0,"DÉFICITAIRE",IF(I33&lt;0,"PIÈGE",IF(L33&lt;0.7,"SOUS-REMPLI",""))))</f>
        <v/>
      </c>
      <c r="N33" s="122">
        <f>IFERROR(MATCH(2,'Données drill'!$X$5:$X$64,0),"")</f>
        <v/>
      </c>
      <c r="O33" s="30" t="n"/>
    </row>
    <row r="34" ht="16" customHeight="1">
      <c r="A34" s="30" t="n"/>
      <c r="B34" s="119">
        <f>IF($N34="","",INDEX('Données drill'!$B$5:$B$64,$N34)&amp;" · "&amp;INDEX('Données drill'!$C$5:$C$64,$N34)&amp;" · "&amp;INDEX('Données drill'!$D$5:$D$64,$N34)&amp;" · "&amp;INDEX('Données drill'!$E$5:$E$64,$N34))</f>
        <v/>
      </c>
      <c r="C34" s="79">
        <f>IF($N34="","",INDEX('Données drill'!$L$5:$L$64,$N34))</f>
        <v/>
      </c>
      <c r="D34" s="80">
        <f>IF($N34="","",C34/INDEX('Données drill'!$K$5:$K$64,$N34)-1)</f>
        <v/>
      </c>
      <c r="E34" s="79">
        <f>IF($N34="","",INDEX('Données drill'!$S$5:$S$64,$N34))</f>
        <v/>
      </c>
      <c r="F34" s="120">
        <f>IF($N34="","",E34/C34)</f>
        <v/>
      </c>
      <c r="G34" s="79">
        <f>IF($N34="","",INDEX('Données drill'!$T$5:$T$64,$N34))</f>
        <v/>
      </c>
      <c r="H34" s="79">
        <f>IF($N34="","",INDEX('Données drill'!$U$5:$U$64,$N34))</f>
        <v/>
      </c>
      <c r="I34" s="79">
        <f>IF($N34="","",INDEX('Données drill'!$V$5:$V$64,$N34))</f>
        <v/>
      </c>
      <c r="J34" s="79">
        <f>IF($N34="","",INDEX('Données drill'!$I$5:$I$64,$N34))</f>
        <v/>
      </c>
      <c r="K34" s="79">
        <f>IF($N34="","",INDEX('Données drill'!$H$5:$H$64,$N34))</f>
        <v/>
      </c>
      <c r="L34" s="83">
        <f>IF($N34="","",J34/K34)</f>
        <v/>
      </c>
      <c r="M34" s="121">
        <f>IF($N34="","",IF(E34&lt;0,"DÉFICITAIRE",IF(I34&lt;0,"PIÈGE",IF(L34&lt;0.7,"SOUS-REMPLI",""))))</f>
        <v/>
      </c>
      <c r="N34" s="122">
        <f>IFERROR(MATCH(3,'Données drill'!$X$5:$X$64,0),"")</f>
        <v/>
      </c>
      <c r="O34" s="30" t="n"/>
    </row>
    <row r="35" ht="16" customHeight="1">
      <c r="A35" s="30" t="n"/>
      <c r="B35" s="119">
        <f>IF($N35="","",INDEX('Données drill'!$B$5:$B$64,$N35)&amp;" · "&amp;INDEX('Données drill'!$C$5:$C$64,$N35)&amp;" · "&amp;INDEX('Données drill'!$D$5:$D$64,$N35)&amp;" · "&amp;INDEX('Données drill'!$E$5:$E$64,$N35))</f>
        <v/>
      </c>
      <c r="C35" s="79">
        <f>IF($N35="","",INDEX('Données drill'!$L$5:$L$64,$N35))</f>
        <v/>
      </c>
      <c r="D35" s="80">
        <f>IF($N35="","",C35/INDEX('Données drill'!$K$5:$K$64,$N35)-1)</f>
        <v/>
      </c>
      <c r="E35" s="79">
        <f>IF($N35="","",INDEX('Données drill'!$S$5:$S$64,$N35))</f>
        <v/>
      </c>
      <c r="F35" s="120">
        <f>IF($N35="","",E35/C35)</f>
        <v/>
      </c>
      <c r="G35" s="79">
        <f>IF($N35="","",INDEX('Données drill'!$T$5:$T$64,$N35))</f>
        <v/>
      </c>
      <c r="H35" s="79">
        <f>IF($N35="","",INDEX('Données drill'!$U$5:$U$64,$N35))</f>
        <v/>
      </c>
      <c r="I35" s="79">
        <f>IF($N35="","",INDEX('Données drill'!$V$5:$V$64,$N35))</f>
        <v/>
      </c>
      <c r="J35" s="79">
        <f>IF($N35="","",INDEX('Données drill'!$I$5:$I$64,$N35))</f>
        <v/>
      </c>
      <c r="K35" s="79">
        <f>IF($N35="","",INDEX('Données drill'!$H$5:$H$64,$N35))</f>
        <v/>
      </c>
      <c r="L35" s="83">
        <f>IF($N35="","",J35/K35)</f>
        <v/>
      </c>
      <c r="M35" s="121">
        <f>IF($N35="","",IF(E35&lt;0,"DÉFICITAIRE",IF(I35&lt;0,"PIÈGE",IF(L35&lt;0.7,"SOUS-REMPLI",""))))</f>
        <v/>
      </c>
      <c r="N35" s="122">
        <f>IFERROR(MATCH(4,'Données drill'!$X$5:$X$64,0),"")</f>
        <v/>
      </c>
      <c r="O35" s="30" t="n"/>
    </row>
    <row r="36" ht="16" customHeight="1">
      <c r="A36" s="30" t="n"/>
      <c r="B36" s="119">
        <f>IF($N36="","",INDEX('Données drill'!$B$5:$B$64,$N36)&amp;" · "&amp;INDEX('Données drill'!$C$5:$C$64,$N36)&amp;" · "&amp;INDEX('Données drill'!$D$5:$D$64,$N36)&amp;" · "&amp;INDEX('Données drill'!$E$5:$E$64,$N36))</f>
        <v/>
      </c>
      <c r="C36" s="79">
        <f>IF($N36="","",INDEX('Données drill'!$L$5:$L$64,$N36))</f>
        <v/>
      </c>
      <c r="D36" s="80">
        <f>IF($N36="","",C36/INDEX('Données drill'!$K$5:$K$64,$N36)-1)</f>
        <v/>
      </c>
      <c r="E36" s="79">
        <f>IF($N36="","",INDEX('Données drill'!$S$5:$S$64,$N36))</f>
        <v/>
      </c>
      <c r="F36" s="120">
        <f>IF($N36="","",E36/C36)</f>
        <v/>
      </c>
      <c r="G36" s="79">
        <f>IF($N36="","",INDEX('Données drill'!$T$5:$T$64,$N36))</f>
        <v/>
      </c>
      <c r="H36" s="79">
        <f>IF($N36="","",INDEX('Données drill'!$U$5:$U$64,$N36))</f>
        <v/>
      </c>
      <c r="I36" s="79">
        <f>IF($N36="","",INDEX('Données drill'!$V$5:$V$64,$N36))</f>
        <v/>
      </c>
      <c r="J36" s="79">
        <f>IF($N36="","",INDEX('Données drill'!$I$5:$I$64,$N36))</f>
        <v/>
      </c>
      <c r="K36" s="79">
        <f>IF($N36="","",INDEX('Données drill'!$H$5:$H$64,$N36))</f>
        <v/>
      </c>
      <c r="L36" s="83">
        <f>IF($N36="","",J36/K36)</f>
        <v/>
      </c>
      <c r="M36" s="121">
        <f>IF($N36="","",IF(E36&lt;0,"DÉFICITAIRE",IF(I36&lt;0,"PIÈGE",IF(L36&lt;0.7,"SOUS-REMPLI",""))))</f>
        <v/>
      </c>
      <c r="N36" s="122">
        <f>IFERROR(MATCH(5,'Données drill'!$X$5:$X$64,0),"")</f>
        <v/>
      </c>
      <c r="O36" s="30" t="n"/>
    </row>
    <row r="37" ht="16" customHeight="1">
      <c r="A37" s="30" t="n"/>
      <c r="B37" s="119">
        <f>IF($N37="","",INDEX('Données drill'!$B$5:$B$64,$N37)&amp;" · "&amp;INDEX('Données drill'!$C$5:$C$64,$N37)&amp;" · "&amp;INDEX('Données drill'!$D$5:$D$64,$N37)&amp;" · "&amp;INDEX('Données drill'!$E$5:$E$64,$N37))</f>
        <v/>
      </c>
      <c r="C37" s="79">
        <f>IF($N37="","",INDEX('Données drill'!$L$5:$L$64,$N37))</f>
        <v/>
      </c>
      <c r="D37" s="80">
        <f>IF($N37="","",C37/INDEX('Données drill'!$K$5:$K$64,$N37)-1)</f>
        <v/>
      </c>
      <c r="E37" s="79">
        <f>IF($N37="","",INDEX('Données drill'!$S$5:$S$64,$N37))</f>
        <v/>
      </c>
      <c r="F37" s="120">
        <f>IF($N37="","",E37/C37)</f>
        <v/>
      </c>
      <c r="G37" s="79">
        <f>IF($N37="","",INDEX('Données drill'!$T$5:$T$64,$N37))</f>
        <v/>
      </c>
      <c r="H37" s="79">
        <f>IF($N37="","",INDEX('Données drill'!$U$5:$U$64,$N37))</f>
        <v/>
      </c>
      <c r="I37" s="79">
        <f>IF($N37="","",INDEX('Données drill'!$V$5:$V$64,$N37))</f>
        <v/>
      </c>
      <c r="J37" s="79">
        <f>IF($N37="","",INDEX('Données drill'!$I$5:$I$64,$N37))</f>
        <v/>
      </c>
      <c r="K37" s="79">
        <f>IF($N37="","",INDEX('Données drill'!$H$5:$H$64,$N37))</f>
        <v/>
      </c>
      <c r="L37" s="83">
        <f>IF($N37="","",J37/K37)</f>
        <v/>
      </c>
      <c r="M37" s="121">
        <f>IF($N37="","",IF(E37&lt;0,"DÉFICITAIRE",IF(I37&lt;0,"PIÈGE",IF(L37&lt;0.7,"SOUS-REMPLI",""))))</f>
        <v/>
      </c>
      <c r="N37" s="122">
        <f>IFERROR(MATCH(6,'Données drill'!$X$5:$X$64,0),"")</f>
        <v/>
      </c>
      <c r="O37" s="30" t="n"/>
    </row>
    <row r="38" ht="16" customHeight="1">
      <c r="A38" s="30" t="n"/>
      <c r="B38" s="119">
        <f>IF($N38="","",INDEX('Données drill'!$B$5:$B$64,$N38)&amp;" · "&amp;INDEX('Données drill'!$C$5:$C$64,$N38)&amp;" · "&amp;INDEX('Données drill'!$D$5:$D$64,$N38)&amp;" · "&amp;INDEX('Données drill'!$E$5:$E$64,$N38))</f>
        <v/>
      </c>
      <c r="C38" s="79">
        <f>IF($N38="","",INDEX('Données drill'!$L$5:$L$64,$N38))</f>
        <v/>
      </c>
      <c r="D38" s="80">
        <f>IF($N38="","",C38/INDEX('Données drill'!$K$5:$K$64,$N38)-1)</f>
        <v/>
      </c>
      <c r="E38" s="79">
        <f>IF($N38="","",INDEX('Données drill'!$S$5:$S$64,$N38))</f>
        <v/>
      </c>
      <c r="F38" s="120">
        <f>IF($N38="","",E38/C38)</f>
        <v/>
      </c>
      <c r="G38" s="79">
        <f>IF($N38="","",INDEX('Données drill'!$T$5:$T$64,$N38))</f>
        <v/>
      </c>
      <c r="H38" s="79">
        <f>IF($N38="","",INDEX('Données drill'!$U$5:$U$64,$N38))</f>
        <v/>
      </c>
      <c r="I38" s="79">
        <f>IF($N38="","",INDEX('Données drill'!$V$5:$V$64,$N38))</f>
        <v/>
      </c>
      <c r="J38" s="79">
        <f>IF($N38="","",INDEX('Données drill'!$I$5:$I$64,$N38))</f>
        <v/>
      </c>
      <c r="K38" s="79">
        <f>IF($N38="","",INDEX('Données drill'!$H$5:$H$64,$N38))</f>
        <v/>
      </c>
      <c r="L38" s="83">
        <f>IF($N38="","",J38/K38)</f>
        <v/>
      </c>
      <c r="M38" s="121">
        <f>IF($N38="","",IF(E38&lt;0,"DÉFICITAIRE",IF(I38&lt;0,"PIÈGE",IF(L38&lt;0.7,"SOUS-REMPLI",""))))</f>
        <v/>
      </c>
      <c r="N38" s="122">
        <f>IFERROR(MATCH(7,'Données drill'!$X$5:$X$64,0),"")</f>
        <v/>
      </c>
      <c r="O38" s="30" t="n"/>
    </row>
    <row r="39" ht="16" customHeight="1">
      <c r="A39" s="30" t="n"/>
      <c r="B39" s="119">
        <f>IF($N39="","",INDEX('Données drill'!$B$5:$B$64,$N39)&amp;" · "&amp;INDEX('Données drill'!$C$5:$C$64,$N39)&amp;" · "&amp;INDEX('Données drill'!$D$5:$D$64,$N39)&amp;" · "&amp;INDEX('Données drill'!$E$5:$E$64,$N39))</f>
        <v/>
      </c>
      <c r="C39" s="79">
        <f>IF($N39="","",INDEX('Données drill'!$L$5:$L$64,$N39))</f>
        <v/>
      </c>
      <c r="D39" s="80">
        <f>IF($N39="","",C39/INDEX('Données drill'!$K$5:$K$64,$N39)-1)</f>
        <v/>
      </c>
      <c r="E39" s="79">
        <f>IF($N39="","",INDEX('Données drill'!$S$5:$S$64,$N39))</f>
        <v/>
      </c>
      <c r="F39" s="120">
        <f>IF($N39="","",E39/C39)</f>
        <v/>
      </c>
      <c r="G39" s="79">
        <f>IF($N39="","",INDEX('Données drill'!$T$5:$T$64,$N39))</f>
        <v/>
      </c>
      <c r="H39" s="79">
        <f>IF($N39="","",INDEX('Données drill'!$U$5:$U$64,$N39))</f>
        <v/>
      </c>
      <c r="I39" s="79">
        <f>IF($N39="","",INDEX('Données drill'!$V$5:$V$64,$N39))</f>
        <v/>
      </c>
      <c r="J39" s="79">
        <f>IF($N39="","",INDEX('Données drill'!$I$5:$I$64,$N39))</f>
        <v/>
      </c>
      <c r="K39" s="79">
        <f>IF($N39="","",INDEX('Données drill'!$H$5:$H$64,$N39))</f>
        <v/>
      </c>
      <c r="L39" s="83">
        <f>IF($N39="","",J39/K39)</f>
        <v/>
      </c>
      <c r="M39" s="121">
        <f>IF($N39="","",IF(E39&lt;0,"DÉFICITAIRE",IF(I39&lt;0,"PIÈGE",IF(L39&lt;0.7,"SOUS-REMPLI",""))))</f>
        <v/>
      </c>
      <c r="N39" s="122">
        <f>IFERROR(MATCH(8,'Données drill'!$X$5:$X$64,0),"")</f>
        <v/>
      </c>
      <c r="O39" s="30" t="n"/>
    </row>
    <row r="40" ht="16" customHeight="1">
      <c r="A40" s="30" t="n"/>
      <c r="B40" s="119">
        <f>IF($N40="","",INDEX('Données drill'!$B$5:$B$64,$N40)&amp;" · "&amp;INDEX('Données drill'!$C$5:$C$64,$N40)&amp;" · "&amp;INDEX('Données drill'!$D$5:$D$64,$N40)&amp;" · "&amp;INDEX('Données drill'!$E$5:$E$64,$N40))</f>
        <v/>
      </c>
      <c r="C40" s="79">
        <f>IF($N40="","",INDEX('Données drill'!$L$5:$L$64,$N40))</f>
        <v/>
      </c>
      <c r="D40" s="80">
        <f>IF($N40="","",C40/INDEX('Données drill'!$K$5:$K$64,$N40)-1)</f>
        <v/>
      </c>
      <c r="E40" s="79">
        <f>IF($N40="","",INDEX('Données drill'!$S$5:$S$64,$N40))</f>
        <v/>
      </c>
      <c r="F40" s="120">
        <f>IF($N40="","",E40/C40)</f>
        <v/>
      </c>
      <c r="G40" s="79">
        <f>IF($N40="","",INDEX('Données drill'!$T$5:$T$64,$N40))</f>
        <v/>
      </c>
      <c r="H40" s="79">
        <f>IF($N40="","",INDEX('Données drill'!$U$5:$U$64,$N40))</f>
        <v/>
      </c>
      <c r="I40" s="79">
        <f>IF($N40="","",INDEX('Données drill'!$V$5:$V$64,$N40))</f>
        <v/>
      </c>
      <c r="J40" s="79">
        <f>IF($N40="","",INDEX('Données drill'!$I$5:$I$64,$N40))</f>
        <v/>
      </c>
      <c r="K40" s="79">
        <f>IF($N40="","",INDEX('Données drill'!$H$5:$H$64,$N40))</f>
        <v/>
      </c>
      <c r="L40" s="83">
        <f>IF($N40="","",J40/K40)</f>
        <v/>
      </c>
      <c r="M40" s="121">
        <f>IF($N40="","",IF(E40&lt;0,"DÉFICITAIRE",IF(I40&lt;0,"PIÈGE",IF(L40&lt;0.7,"SOUS-REMPLI",""))))</f>
        <v/>
      </c>
      <c r="N40" s="122">
        <f>IFERROR(MATCH(9,'Données drill'!$X$5:$X$64,0),"")</f>
        <v/>
      </c>
      <c r="O40" s="30" t="n"/>
    </row>
    <row r="41" ht="16" customHeight="1">
      <c r="A41" s="30" t="n"/>
      <c r="B41" s="119">
        <f>IF($N41="","",INDEX('Données drill'!$B$5:$B$64,$N41)&amp;" · "&amp;INDEX('Données drill'!$C$5:$C$64,$N41)&amp;" · "&amp;INDEX('Données drill'!$D$5:$D$64,$N41)&amp;" · "&amp;INDEX('Données drill'!$E$5:$E$64,$N41))</f>
        <v/>
      </c>
      <c r="C41" s="79">
        <f>IF($N41="","",INDEX('Données drill'!$L$5:$L$64,$N41))</f>
        <v/>
      </c>
      <c r="D41" s="80">
        <f>IF($N41="","",C41/INDEX('Données drill'!$K$5:$K$64,$N41)-1)</f>
        <v/>
      </c>
      <c r="E41" s="79">
        <f>IF($N41="","",INDEX('Données drill'!$S$5:$S$64,$N41))</f>
        <v/>
      </c>
      <c r="F41" s="120">
        <f>IF($N41="","",E41/C41)</f>
        <v/>
      </c>
      <c r="G41" s="79">
        <f>IF($N41="","",INDEX('Données drill'!$T$5:$T$64,$N41))</f>
        <v/>
      </c>
      <c r="H41" s="79">
        <f>IF($N41="","",INDEX('Données drill'!$U$5:$U$64,$N41))</f>
        <v/>
      </c>
      <c r="I41" s="79">
        <f>IF($N41="","",INDEX('Données drill'!$V$5:$V$64,$N41))</f>
        <v/>
      </c>
      <c r="J41" s="79">
        <f>IF($N41="","",INDEX('Données drill'!$I$5:$I$64,$N41))</f>
        <v/>
      </c>
      <c r="K41" s="79">
        <f>IF($N41="","",INDEX('Données drill'!$H$5:$H$64,$N41))</f>
        <v/>
      </c>
      <c r="L41" s="83">
        <f>IF($N41="","",J41/K41)</f>
        <v/>
      </c>
      <c r="M41" s="121">
        <f>IF($N41="","",IF(E41&lt;0,"DÉFICITAIRE",IF(I41&lt;0,"PIÈGE",IF(L41&lt;0.7,"SOUS-REMPLI",""))))</f>
        <v/>
      </c>
      <c r="N41" s="122">
        <f>IFERROR(MATCH(10,'Données drill'!$X$5:$X$64,0),"")</f>
        <v/>
      </c>
      <c r="O41" s="30" t="n"/>
    </row>
    <row r="42" ht="16" customHeight="1">
      <c r="A42" s="30" t="n"/>
      <c r="B42" s="119">
        <f>IF($N42="","",INDEX('Données drill'!$B$5:$B$64,$N42)&amp;" · "&amp;INDEX('Données drill'!$C$5:$C$64,$N42)&amp;" · "&amp;INDEX('Données drill'!$D$5:$D$64,$N42)&amp;" · "&amp;INDEX('Données drill'!$E$5:$E$64,$N42))</f>
        <v/>
      </c>
      <c r="C42" s="79">
        <f>IF($N42="","",INDEX('Données drill'!$L$5:$L$64,$N42))</f>
        <v/>
      </c>
      <c r="D42" s="80">
        <f>IF($N42="","",C42/INDEX('Données drill'!$K$5:$K$64,$N42)-1)</f>
        <v/>
      </c>
      <c r="E42" s="79">
        <f>IF($N42="","",INDEX('Données drill'!$S$5:$S$64,$N42))</f>
        <v/>
      </c>
      <c r="F42" s="120">
        <f>IF($N42="","",E42/C42)</f>
        <v/>
      </c>
      <c r="G42" s="79">
        <f>IF($N42="","",INDEX('Données drill'!$T$5:$T$64,$N42))</f>
        <v/>
      </c>
      <c r="H42" s="79">
        <f>IF($N42="","",INDEX('Données drill'!$U$5:$U$64,$N42))</f>
        <v/>
      </c>
      <c r="I42" s="79">
        <f>IF($N42="","",INDEX('Données drill'!$V$5:$V$64,$N42))</f>
        <v/>
      </c>
      <c r="J42" s="79">
        <f>IF($N42="","",INDEX('Données drill'!$I$5:$I$64,$N42))</f>
        <v/>
      </c>
      <c r="K42" s="79">
        <f>IF($N42="","",INDEX('Données drill'!$H$5:$H$64,$N42))</f>
        <v/>
      </c>
      <c r="L42" s="83">
        <f>IF($N42="","",J42/K42)</f>
        <v/>
      </c>
      <c r="M42" s="121">
        <f>IF($N42="","",IF(E42&lt;0,"DÉFICITAIRE",IF(I42&lt;0,"PIÈGE",IF(L42&lt;0.7,"SOUS-REMPLI",""))))</f>
        <v/>
      </c>
      <c r="N42" s="122">
        <f>IFERROR(MATCH(11,'Données drill'!$X$5:$X$64,0),"")</f>
        <v/>
      </c>
      <c r="O42" s="30" t="n"/>
    </row>
    <row r="43" ht="16" customHeight="1">
      <c r="A43" s="30" t="n"/>
      <c r="B43" s="119">
        <f>IF($N43="","",INDEX('Données drill'!$B$5:$B$64,$N43)&amp;" · "&amp;INDEX('Données drill'!$C$5:$C$64,$N43)&amp;" · "&amp;INDEX('Données drill'!$D$5:$D$64,$N43)&amp;" · "&amp;INDEX('Données drill'!$E$5:$E$64,$N43))</f>
        <v/>
      </c>
      <c r="C43" s="79">
        <f>IF($N43="","",INDEX('Données drill'!$L$5:$L$64,$N43))</f>
        <v/>
      </c>
      <c r="D43" s="80">
        <f>IF($N43="","",C43/INDEX('Données drill'!$K$5:$K$64,$N43)-1)</f>
        <v/>
      </c>
      <c r="E43" s="79">
        <f>IF($N43="","",INDEX('Données drill'!$S$5:$S$64,$N43))</f>
        <v/>
      </c>
      <c r="F43" s="120">
        <f>IF($N43="","",E43/C43)</f>
        <v/>
      </c>
      <c r="G43" s="79">
        <f>IF($N43="","",INDEX('Données drill'!$T$5:$T$64,$N43))</f>
        <v/>
      </c>
      <c r="H43" s="79">
        <f>IF($N43="","",INDEX('Données drill'!$U$5:$U$64,$N43))</f>
        <v/>
      </c>
      <c r="I43" s="79">
        <f>IF($N43="","",INDEX('Données drill'!$V$5:$V$64,$N43))</f>
        <v/>
      </c>
      <c r="J43" s="79">
        <f>IF($N43="","",INDEX('Données drill'!$I$5:$I$64,$N43))</f>
        <v/>
      </c>
      <c r="K43" s="79">
        <f>IF($N43="","",INDEX('Données drill'!$H$5:$H$64,$N43))</f>
        <v/>
      </c>
      <c r="L43" s="83">
        <f>IF($N43="","",J43/K43)</f>
        <v/>
      </c>
      <c r="M43" s="121">
        <f>IF($N43="","",IF(E43&lt;0,"DÉFICITAIRE",IF(I43&lt;0,"PIÈGE",IF(L43&lt;0.7,"SOUS-REMPLI",""))))</f>
        <v/>
      </c>
      <c r="N43" s="122">
        <f>IFERROR(MATCH(12,'Données drill'!$X$5:$X$64,0),"")</f>
        <v/>
      </c>
      <c r="O43" s="30" t="n"/>
    </row>
    <row r="44" ht="16" customHeight="1">
      <c r="A44" s="30" t="n"/>
      <c r="B44" s="119">
        <f>IF($N44="","",INDEX('Données drill'!$B$5:$B$64,$N44)&amp;" · "&amp;INDEX('Données drill'!$C$5:$C$64,$N44)&amp;" · "&amp;INDEX('Données drill'!$D$5:$D$64,$N44)&amp;" · "&amp;INDEX('Données drill'!$E$5:$E$64,$N44))</f>
        <v/>
      </c>
      <c r="C44" s="79">
        <f>IF($N44="","",INDEX('Données drill'!$L$5:$L$64,$N44))</f>
        <v/>
      </c>
      <c r="D44" s="80">
        <f>IF($N44="","",C44/INDEX('Données drill'!$K$5:$K$64,$N44)-1)</f>
        <v/>
      </c>
      <c r="E44" s="79">
        <f>IF($N44="","",INDEX('Données drill'!$S$5:$S$64,$N44))</f>
        <v/>
      </c>
      <c r="F44" s="120">
        <f>IF($N44="","",E44/C44)</f>
        <v/>
      </c>
      <c r="G44" s="79">
        <f>IF($N44="","",INDEX('Données drill'!$T$5:$T$64,$N44))</f>
        <v/>
      </c>
      <c r="H44" s="79">
        <f>IF($N44="","",INDEX('Données drill'!$U$5:$U$64,$N44))</f>
        <v/>
      </c>
      <c r="I44" s="79">
        <f>IF($N44="","",INDEX('Données drill'!$V$5:$V$64,$N44))</f>
        <v/>
      </c>
      <c r="J44" s="79">
        <f>IF($N44="","",INDEX('Données drill'!$I$5:$I$64,$N44))</f>
        <v/>
      </c>
      <c r="K44" s="79">
        <f>IF($N44="","",INDEX('Données drill'!$H$5:$H$64,$N44))</f>
        <v/>
      </c>
      <c r="L44" s="83">
        <f>IF($N44="","",J44/K44)</f>
        <v/>
      </c>
      <c r="M44" s="121">
        <f>IF($N44="","",IF(E44&lt;0,"DÉFICITAIRE",IF(I44&lt;0,"PIÈGE",IF(L44&lt;0.7,"SOUS-REMPLI",""))))</f>
        <v/>
      </c>
      <c r="N44" s="122">
        <f>IFERROR(MATCH(13,'Données drill'!$X$5:$X$64,0),"")</f>
        <v/>
      </c>
      <c r="O44" s="30" t="n"/>
    </row>
    <row r="45" ht="16" customHeight="1">
      <c r="A45" s="30" t="n"/>
      <c r="B45" s="119">
        <f>IF($N45="","",INDEX('Données drill'!$B$5:$B$64,$N45)&amp;" · "&amp;INDEX('Données drill'!$C$5:$C$64,$N45)&amp;" · "&amp;INDEX('Données drill'!$D$5:$D$64,$N45)&amp;" · "&amp;INDEX('Données drill'!$E$5:$E$64,$N45))</f>
        <v/>
      </c>
      <c r="C45" s="79">
        <f>IF($N45="","",INDEX('Données drill'!$L$5:$L$64,$N45))</f>
        <v/>
      </c>
      <c r="D45" s="80">
        <f>IF($N45="","",C45/INDEX('Données drill'!$K$5:$K$64,$N45)-1)</f>
        <v/>
      </c>
      <c r="E45" s="79">
        <f>IF($N45="","",INDEX('Données drill'!$S$5:$S$64,$N45))</f>
        <v/>
      </c>
      <c r="F45" s="120">
        <f>IF($N45="","",E45/C45)</f>
        <v/>
      </c>
      <c r="G45" s="79">
        <f>IF($N45="","",INDEX('Données drill'!$T$5:$T$64,$N45))</f>
        <v/>
      </c>
      <c r="H45" s="79">
        <f>IF($N45="","",INDEX('Données drill'!$U$5:$U$64,$N45))</f>
        <v/>
      </c>
      <c r="I45" s="79">
        <f>IF($N45="","",INDEX('Données drill'!$V$5:$V$64,$N45))</f>
        <v/>
      </c>
      <c r="J45" s="79">
        <f>IF($N45="","",INDEX('Données drill'!$I$5:$I$64,$N45))</f>
        <v/>
      </c>
      <c r="K45" s="79">
        <f>IF($N45="","",INDEX('Données drill'!$H$5:$H$64,$N45))</f>
        <v/>
      </c>
      <c r="L45" s="83">
        <f>IF($N45="","",J45/K45)</f>
        <v/>
      </c>
      <c r="M45" s="121">
        <f>IF($N45="","",IF(E45&lt;0,"DÉFICITAIRE",IF(I45&lt;0,"PIÈGE",IF(L45&lt;0.7,"SOUS-REMPLI",""))))</f>
        <v/>
      </c>
      <c r="N45" s="122">
        <f>IFERROR(MATCH(14,'Données drill'!$X$5:$X$64,0),"")</f>
        <v/>
      </c>
      <c r="O45" s="30" t="n"/>
    </row>
    <row r="46" ht="16" customHeight="1">
      <c r="A46" s="30" t="n"/>
      <c r="B46" s="119">
        <f>IF($N46="","",INDEX('Données drill'!$B$5:$B$64,$N46)&amp;" · "&amp;INDEX('Données drill'!$C$5:$C$64,$N46)&amp;" · "&amp;INDEX('Données drill'!$D$5:$D$64,$N46)&amp;" · "&amp;INDEX('Données drill'!$E$5:$E$64,$N46))</f>
        <v/>
      </c>
      <c r="C46" s="79">
        <f>IF($N46="","",INDEX('Données drill'!$L$5:$L$64,$N46))</f>
        <v/>
      </c>
      <c r="D46" s="80">
        <f>IF($N46="","",C46/INDEX('Données drill'!$K$5:$K$64,$N46)-1)</f>
        <v/>
      </c>
      <c r="E46" s="79">
        <f>IF($N46="","",INDEX('Données drill'!$S$5:$S$64,$N46))</f>
        <v/>
      </c>
      <c r="F46" s="120">
        <f>IF($N46="","",E46/C46)</f>
        <v/>
      </c>
      <c r="G46" s="79">
        <f>IF($N46="","",INDEX('Données drill'!$T$5:$T$64,$N46))</f>
        <v/>
      </c>
      <c r="H46" s="79">
        <f>IF($N46="","",INDEX('Données drill'!$U$5:$U$64,$N46))</f>
        <v/>
      </c>
      <c r="I46" s="79">
        <f>IF($N46="","",INDEX('Données drill'!$V$5:$V$64,$N46))</f>
        <v/>
      </c>
      <c r="J46" s="79">
        <f>IF($N46="","",INDEX('Données drill'!$I$5:$I$64,$N46))</f>
        <v/>
      </c>
      <c r="K46" s="79">
        <f>IF($N46="","",INDEX('Données drill'!$H$5:$H$64,$N46))</f>
        <v/>
      </c>
      <c r="L46" s="83">
        <f>IF($N46="","",J46/K46)</f>
        <v/>
      </c>
      <c r="M46" s="121">
        <f>IF($N46="","",IF(E46&lt;0,"DÉFICITAIRE",IF(I46&lt;0,"PIÈGE",IF(L46&lt;0.7,"SOUS-REMPLI",""))))</f>
        <v/>
      </c>
      <c r="N46" s="122">
        <f>IFERROR(MATCH(15,'Données drill'!$X$5:$X$64,0),"")</f>
        <v/>
      </c>
      <c r="O46" s="30" t="n"/>
    </row>
    <row r="47" ht="16" customHeight="1">
      <c r="A47" s="30" t="n"/>
      <c r="B47" s="119">
        <f>IF($N47="","",INDEX('Données drill'!$B$5:$B$64,$N47)&amp;" · "&amp;INDEX('Données drill'!$C$5:$C$64,$N47)&amp;" · "&amp;INDEX('Données drill'!$D$5:$D$64,$N47)&amp;" · "&amp;INDEX('Données drill'!$E$5:$E$64,$N47))</f>
        <v/>
      </c>
      <c r="C47" s="79">
        <f>IF($N47="","",INDEX('Données drill'!$L$5:$L$64,$N47))</f>
        <v/>
      </c>
      <c r="D47" s="80">
        <f>IF($N47="","",C47/INDEX('Données drill'!$K$5:$K$64,$N47)-1)</f>
        <v/>
      </c>
      <c r="E47" s="79">
        <f>IF($N47="","",INDEX('Données drill'!$S$5:$S$64,$N47))</f>
        <v/>
      </c>
      <c r="F47" s="120">
        <f>IF($N47="","",E47/C47)</f>
        <v/>
      </c>
      <c r="G47" s="79">
        <f>IF($N47="","",INDEX('Données drill'!$T$5:$T$64,$N47))</f>
        <v/>
      </c>
      <c r="H47" s="79">
        <f>IF($N47="","",INDEX('Données drill'!$U$5:$U$64,$N47))</f>
        <v/>
      </c>
      <c r="I47" s="79">
        <f>IF($N47="","",INDEX('Données drill'!$V$5:$V$64,$N47))</f>
        <v/>
      </c>
      <c r="J47" s="79">
        <f>IF($N47="","",INDEX('Données drill'!$I$5:$I$64,$N47))</f>
        <v/>
      </c>
      <c r="K47" s="79">
        <f>IF($N47="","",INDEX('Données drill'!$H$5:$H$64,$N47))</f>
        <v/>
      </c>
      <c r="L47" s="83">
        <f>IF($N47="","",J47/K47)</f>
        <v/>
      </c>
      <c r="M47" s="121">
        <f>IF($N47="","",IF(E47&lt;0,"DÉFICITAIRE",IF(I47&lt;0,"PIÈGE",IF(L47&lt;0.7,"SOUS-REMPLI",""))))</f>
        <v/>
      </c>
      <c r="N47" s="122">
        <f>IFERROR(MATCH(16,'Données drill'!$X$5:$X$64,0),"")</f>
        <v/>
      </c>
      <c r="O47" s="30" t="n"/>
    </row>
    <row r="48" ht="16" customHeight="1">
      <c r="A48" s="30" t="n"/>
      <c r="B48" s="119">
        <f>IF($N48="","",INDEX('Données drill'!$B$5:$B$64,$N48)&amp;" · "&amp;INDEX('Données drill'!$C$5:$C$64,$N48)&amp;" · "&amp;INDEX('Données drill'!$D$5:$D$64,$N48)&amp;" · "&amp;INDEX('Données drill'!$E$5:$E$64,$N48))</f>
        <v/>
      </c>
      <c r="C48" s="79">
        <f>IF($N48="","",INDEX('Données drill'!$L$5:$L$64,$N48))</f>
        <v/>
      </c>
      <c r="D48" s="80">
        <f>IF($N48="","",C48/INDEX('Données drill'!$K$5:$K$64,$N48)-1)</f>
        <v/>
      </c>
      <c r="E48" s="79">
        <f>IF($N48="","",INDEX('Données drill'!$S$5:$S$64,$N48))</f>
        <v/>
      </c>
      <c r="F48" s="120">
        <f>IF($N48="","",E48/C48)</f>
        <v/>
      </c>
      <c r="G48" s="79">
        <f>IF($N48="","",INDEX('Données drill'!$T$5:$T$64,$N48))</f>
        <v/>
      </c>
      <c r="H48" s="79">
        <f>IF($N48="","",INDEX('Données drill'!$U$5:$U$64,$N48))</f>
        <v/>
      </c>
      <c r="I48" s="79">
        <f>IF($N48="","",INDEX('Données drill'!$V$5:$V$64,$N48))</f>
        <v/>
      </c>
      <c r="J48" s="79">
        <f>IF($N48="","",INDEX('Données drill'!$I$5:$I$64,$N48))</f>
        <v/>
      </c>
      <c r="K48" s="79">
        <f>IF($N48="","",INDEX('Données drill'!$H$5:$H$64,$N48))</f>
        <v/>
      </c>
      <c r="L48" s="83">
        <f>IF($N48="","",J48/K48)</f>
        <v/>
      </c>
      <c r="M48" s="121">
        <f>IF($N48="","",IF(E48&lt;0,"DÉFICITAIRE",IF(I48&lt;0,"PIÈGE",IF(L48&lt;0.7,"SOUS-REMPLI",""))))</f>
        <v/>
      </c>
      <c r="N48" s="122">
        <f>IFERROR(MATCH(17,'Données drill'!$X$5:$X$64,0),"")</f>
        <v/>
      </c>
      <c r="O48" s="30" t="n"/>
    </row>
    <row r="49" ht="16" customHeight="1">
      <c r="A49" s="30" t="n"/>
      <c r="B49" s="119">
        <f>IF($N49="","",INDEX('Données drill'!$B$5:$B$64,$N49)&amp;" · "&amp;INDEX('Données drill'!$C$5:$C$64,$N49)&amp;" · "&amp;INDEX('Données drill'!$D$5:$D$64,$N49)&amp;" · "&amp;INDEX('Données drill'!$E$5:$E$64,$N49))</f>
        <v/>
      </c>
      <c r="C49" s="79">
        <f>IF($N49="","",INDEX('Données drill'!$L$5:$L$64,$N49))</f>
        <v/>
      </c>
      <c r="D49" s="80">
        <f>IF($N49="","",C49/INDEX('Données drill'!$K$5:$K$64,$N49)-1)</f>
        <v/>
      </c>
      <c r="E49" s="79">
        <f>IF($N49="","",INDEX('Données drill'!$S$5:$S$64,$N49))</f>
        <v/>
      </c>
      <c r="F49" s="120">
        <f>IF($N49="","",E49/C49)</f>
        <v/>
      </c>
      <c r="G49" s="79">
        <f>IF($N49="","",INDEX('Données drill'!$T$5:$T$64,$N49))</f>
        <v/>
      </c>
      <c r="H49" s="79">
        <f>IF($N49="","",INDEX('Données drill'!$U$5:$U$64,$N49))</f>
        <v/>
      </c>
      <c r="I49" s="79">
        <f>IF($N49="","",INDEX('Données drill'!$V$5:$V$64,$N49))</f>
        <v/>
      </c>
      <c r="J49" s="79">
        <f>IF($N49="","",INDEX('Données drill'!$I$5:$I$64,$N49))</f>
        <v/>
      </c>
      <c r="K49" s="79">
        <f>IF($N49="","",INDEX('Données drill'!$H$5:$H$64,$N49))</f>
        <v/>
      </c>
      <c r="L49" s="83">
        <f>IF($N49="","",J49/K49)</f>
        <v/>
      </c>
      <c r="M49" s="121">
        <f>IF($N49="","",IF(E49&lt;0,"DÉFICITAIRE",IF(I49&lt;0,"PIÈGE",IF(L49&lt;0.7,"SOUS-REMPLI",""))))</f>
        <v/>
      </c>
      <c r="N49" s="122">
        <f>IFERROR(MATCH(18,'Données drill'!$X$5:$X$64,0),"")</f>
        <v/>
      </c>
      <c r="O49" s="30" t="n"/>
    </row>
    <row r="50" ht="16" customHeight="1">
      <c r="A50" s="30" t="n"/>
      <c r="B50" s="119">
        <f>IF($N50="","",INDEX('Données drill'!$B$5:$B$64,$N50)&amp;" · "&amp;INDEX('Données drill'!$C$5:$C$64,$N50)&amp;" · "&amp;INDEX('Données drill'!$D$5:$D$64,$N50)&amp;" · "&amp;INDEX('Données drill'!$E$5:$E$64,$N50))</f>
        <v/>
      </c>
      <c r="C50" s="79">
        <f>IF($N50="","",INDEX('Données drill'!$L$5:$L$64,$N50))</f>
        <v/>
      </c>
      <c r="D50" s="80">
        <f>IF($N50="","",C50/INDEX('Données drill'!$K$5:$K$64,$N50)-1)</f>
        <v/>
      </c>
      <c r="E50" s="79">
        <f>IF($N50="","",INDEX('Données drill'!$S$5:$S$64,$N50))</f>
        <v/>
      </c>
      <c r="F50" s="120">
        <f>IF($N50="","",E50/C50)</f>
        <v/>
      </c>
      <c r="G50" s="79">
        <f>IF($N50="","",INDEX('Données drill'!$T$5:$T$64,$N50))</f>
        <v/>
      </c>
      <c r="H50" s="79">
        <f>IF($N50="","",INDEX('Données drill'!$U$5:$U$64,$N50))</f>
        <v/>
      </c>
      <c r="I50" s="79">
        <f>IF($N50="","",INDEX('Données drill'!$V$5:$V$64,$N50))</f>
        <v/>
      </c>
      <c r="J50" s="79">
        <f>IF($N50="","",INDEX('Données drill'!$I$5:$I$64,$N50))</f>
        <v/>
      </c>
      <c r="K50" s="79">
        <f>IF($N50="","",INDEX('Données drill'!$H$5:$H$64,$N50))</f>
        <v/>
      </c>
      <c r="L50" s="83">
        <f>IF($N50="","",J50/K50)</f>
        <v/>
      </c>
      <c r="M50" s="121">
        <f>IF($N50="","",IF(E50&lt;0,"DÉFICITAIRE",IF(I50&lt;0,"PIÈGE",IF(L50&lt;0.7,"SOUS-REMPLI",""))))</f>
        <v/>
      </c>
      <c r="N50" s="122">
        <f>IFERROR(MATCH(19,'Données drill'!$X$5:$X$64,0),"")</f>
        <v/>
      </c>
      <c r="O50" s="30" t="n"/>
    </row>
    <row r="51" ht="16" customHeight="1">
      <c r="A51" s="30" t="n"/>
      <c r="B51" s="119">
        <f>IF($N51="","",INDEX('Données drill'!$B$5:$B$64,$N51)&amp;" · "&amp;INDEX('Données drill'!$C$5:$C$64,$N51)&amp;" · "&amp;INDEX('Données drill'!$D$5:$D$64,$N51)&amp;" · "&amp;INDEX('Données drill'!$E$5:$E$64,$N51))</f>
        <v/>
      </c>
      <c r="C51" s="79">
        <f>IF($N51="","",INDEX('Données drill'!$L$5:$L$64,$N51))</f>
        <v/>
      </c>
      <c r="D51" s="80">
        <f>IF($N51="","",C51/INDEX('Données drill'!$K$5:$K$64,$N51)-1)</f>
        <v/>
      </c>
      <c r="E51" s="79">
        <f>IF($N51="","",INDEX('Données drill'!$S$5:$S$64,$N51))</f>
        <v/>
      </c>
      <c r="F51" s="120">
        <f>IF($N51="","",E51/C51)</f>
        <v/>
      </c>
      <c r="G51" s="79">
        <f>IF($N51="","",INDEX('Données drill'!$T$5:$T$64,$N51))</f>
        <v/>
      </c>
      <c r="H51" s="79">
        <f>IF($N51="","",INDEX('Données drill'!$U$5:$U$64,$N51))</f>
        <v/>
      </c>
      <c r="I51" s="79">
        <f>IF($N51="","",INDEX('Données drill'!$V$5:$V$64,$N51))</f>
        <v/>
      </c>
      <c r="J51" s="79">
        <f>IF($N51="","",INDEX('Données drill'!$I$5:$I$64,$N51))</f>
        <v/>
      </c>
      <c r="K51" s="79">
        <f>IF($N51="","",INDEX('Données drill'!$H$5:$H$64,$N51))</f>
        <v/>
      </c>
      <c r="L51" s="83">
        <f>IF($N51="","",J51/K51)</f>
        <v/>
      </c>
      <c r="M51" s="121">
        <f>IF($N51="","",IF(E51&lt;0,"DÉFICITAIRE",IF(I51&lt;0,"PIÈGE",IF(L51&lt;0.7,"SOUS-REMPLI",""))))</f>
        <v/>
      </c>
      <c r="N51" s="122">
        <f>IFERROR(MATCH(20,'Données drill'!$X$5:$X$64,0),"")</f>
        <v/>
      </c>
      <c r="O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</row>
    <row r="53">
      <c r="A53" s="30" t="n"/>
      <c r="B53" s="84" t="inlineStr">
        <is>
          <t xml:space="preserve">  Comment lire.  La CONTRIBUTION (CA − coûts évitables) répond à « que perd-on si on ferme ? ». La MARGE COMPLÈTE (après permanents, structure et siège) répond à « cette classe paie-t-elle sa part ? ». Aux niveaux hauts elles disent la même chose ; au grain classe elles se contredisent. « PIÈGE » = marge complète négative mais EBITDA positif : la fermer coûterait plus cher que la garder. « DÉFICITAIRE » = EBITDA négatif, elle ne couvre pas ses coûts directs — là seulement l'arbitrage se pose.</t>
        </is>
      </c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6" t="n"/>
      <c r="N53" s="30" t="n"/>
      <c r="O53" s="30" t="n"/>
    </row>
    <row r="54">
      <c r="A54" s="30" t="n"/>
      <c r="B54" s="87" t="n"/>
      <c r="M54" s="88" t="n"/>
      <c r="N54" s="30" t="n"/>
      <c r="O54" s="30" t="n"/>
    </row>
    <row r="55">
      <c r="A55" s="30" t="n"/>
      <c r="B55" s="87" t="n"/>
      <c r="M55" s="88" t="n"/>
      <c r="N55" s="30" t="n"/>
      <c r="O55" s="30" t="n"/>
    </row>
    <row r="56">
      <c r="A56" s="30" t="n"/>
      <c r="B56" s="87" t="n"/>
      <c r="C56" s="89" t="n"/>
      <c r="D56" s="89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90" t="n"/>
      <c r="N56" s="30" t="n"/>
      <c r="O56" s="30" t="n"/>
    </row>
    <row r="57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</row>
    <row r="6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</row>
    <row r="6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</row>
  </sheetData>
  <mergeCells count="1">
    <mergeCell ref="B53:M56"/>
  </mergeCells>
  <conditionalFormatting sqref="M12">
    <cfRule type="cellIs" priority="1" operator="equal" dxfId="5">
      <formula>"PIÈGE"</formula>
    </cfRule>
    <cfRule type="cellIs" priority="2" operator="equal" dxfId="6">
      <formula>"DÉFICITAIRE"</formula>
    </cfRule>
    <cfRule type="cellIs" priority="3" operator="equal" dxfId="7">
      <formula>"SOUS-REMPLI"</formula>
    </cfRule>
  </conditionalFormatting>
  <conditionalFormatting sqref="M16:M29">
    <cfRule type="cellIs" priority="4" operator="equal" dxfId="5">
      <formula>"PIÈGE"</formula>
    </cfRule>
    <cfRule type="cellIs" priority="5" operator="equal" dxfId="6">
      <formula>"DÉFICITAIRE"</formula>
    </cfRule>
    <cfRule type="cellIs" priority="6" operator="equal" dxfId="7">
      <formula>"SOUS-REMPLI"</formula>
    </cfRule>
  </conditionalFormatting>
  <conditionalFormatting sqref="M32:M51">
    <cfRule type="cellIs" priority="7" operator="equal" dxfId="5">
      <formula>"PIÈGE"</formula>
    </cfRule>
    <cfRule type="cellIs" priority="8" operator="equal" dxfId="6">
      <formula>"DÉFICITAIRE"</formula>
    </cfRule>
    <cfRule type="cellIs" priority="9" operator="equal" dxfId="7">
      <formula>"SOUS-REMPLI"</formula>
    </cfRule>
  </conditionalFormatting>
  <conditionalFormatting sqref="E12">
    <cfRule type="cellIs" priority="10" operator="lessThan" dxfId="8">
      <formula>0</formula>
    </cfRule>
  </conditionalFormatting>
  <conditionalFormatting sqref="E16:E29">
    <cfRule type="cellIs" priority="11" operator="lessThan" dxfId="8">
      <formula>0</formula>
    </cfRule>
  </conditionalFormatting>
  <conditionalFormatting sqref="E32:E51">
    <cfRule type="cellIs" priority="12" operator="lessThan" dxfId="8">
      <formula>0</formula>
    </cfRule>
  </conditionalFormatting>
  <conditionalFormatting sqref="I12">
    <cfRule type="cellIs" priority="13" operator="lessThan" dxfId="8">
      <formula>0</formula>
    </cfRule>
  </conditionalFormatting>
  <conditionalFormatting sqref="I16:I29">
    <cfRule type="cellIs" priority="14" operator="lessThan" dxfId="8">
      <formula>0</formula>
    </cfRule>
  </conditionalFormatting>
  <conditionalFormatting sqref="I32:I51">
    <cfRule type="cellIs" priority="15" operator="lessThan" dxfId="8">
      <formula>0</formula>
    </cfRule>
  </conditionalFormatting>
  <conditionalFormatting sqref="D12">
    <cfRule type="cellIs" priority="16" operator="greaterThan" dxfId="2">
      <formula>0</formula>
    </cfRule>
    <cfRule type="cellIs" priority="17" operator="lessThan" dxfId="3">
      <formula>0</formula>
    </cfRule>
  </conditionalFormatting>
  <conditionalFormatting sqref="D16:D29">
    <cfRule type="cellIs" priority="18" operator="greaterThan" dxfId="2">
      <formula>0</formula>
    </cfRule>
    <cfRule type="cellIs" priority="19" operator="lessThan" dxfId="3">
      <formula>0</formula>
    </cfRule>
  </conditionalFormatting>
  <conditionalFormatting sqref="D32:D51">
    <cfRule type="cellIs" priority="20" operator="greaterThan" dxfId="2">
      <formula>0</formula>
    </cfRule>
    <cfRule type="cellIs" priority="21" operator="lessThan" dxfId="3">
      <formula>0</formula>
    </cfRule>
  </conditionalFormatting>
  <conditionalFormatting sqref="L12">
    <cfRule type="cellIs" priority="22" operator="lessThan" dxfId="4">
      <formula>0.7</formula>
    </cfRule>
  </conditionalFormatting>
  <conditionalFormatting sqref="L16:L29">
    <cfRule type="cellIs" priority="23" operator="lessThan" dxfId="4">
      <formula>0.7</formula>
    </cfRule>
  </conditionalFormatting>
  <conditionalFormatting sqref="L32:L51">
    <cfRule type="cellIs" priority="24" operator="lessThan" dxfId="4">
      <formula>0.7</formula>
    </cfRule>
  </conditionalFormatting>
  <dataValidations count="5">
    <dataValidation sqref="C6" showDropDown="0" showInputMessage="0" showErrorMessage="0" allowBlank="0" type="list">
      <formula1>='Données drill'!$AH$5:$AH$10</formula1>
    </dataValidation>
    <dataValidation sqref="D6" showDropDown="0" showInputMessage="0" showErrorMessage="0" allowBlank="0" type="list">
      <formula1>='Données drill'!$AI$5:$AI$19</formula1>
    </dataValidation>
    <dataValidation sqref="E6" showDropDown="0" showInputMessage="0" showErrorMessage="0" allowBlank="0" type="list">
      <formula1>='Données drill'!$AJ$5:$AJ$13</formula1>
    </dataValidation>
    <dataValidation sqref="F6" showDropDown="0" showInputMessage="0" showErrorMessage="0" allowBlank="0" type="list">
      <formula1>='Données drill'!$AK$5:$AK$12</formula1>
    </dataValidation>
    <dataValidation sqref="G6" showDropDown="0" showInputMessage="0" showErrorMessage="0" allowBlank="0" type="list">
      <formula1>='Données drill'!$AL$5:$AL$7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24" customWidth="1" min="4" max="4"/>
    <col width="44" customWidth="1" min="5" max="5"/>
    <col width="14" customWidth="1" min="6" max="6"/>
    <col width="14" customWidth="1" min="7" max="7"/>
    <col width="14" customWidth="1" min="8" max="8"/>
    <col width="14" customWidth="1" min="9" max="9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 ht="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</row>
    <row r="2" ht="26" customHeight="1">
      <c r="A2" s="30" t="n"/>
      <c r="B2" s="123" t="inlineStr">
        <is>
          <t xml:space="preserve">  ⑤ Drill through  ›  Pourquoi l'EBITDA a-t-il varié ?</t>
        </is>
      </c>
      <c r="C2" s="124" t="n"/>
      <c r="D2" s="124" t="n"/>
      <c r="E2" s="124" t="n"/>
      <c r="F2" s="124" t="n"/>
      <c r="G2" s="124" t="n"/>
      <c r="H2" s="124" t="n"/>
      <c r="I2" s="125" t="n"/>
      <c r="J2" s="30" t="n"/>
      <c r="K2" s="30" t="n"/>
    </row>
    <row r="3" ht="16" customHeight="1">
      <c r="A3" s="30" t="n"/>
      <c r="B3" s="126" t="inlineStr">
        <is>
          <t xml:space="preserve">  requête exécutée sur la cellule EBITDA du cockpit — paramètres hérités de son contexte</t>
        </is>
      </c>
      <c r="C3" s="127" t="n"/>
      <c r="D3" s="127" t="n"/>
      <c r="E3" s="127" t="n"/>
      <c r="F3" s="127" t="n"/>
      <c r="G3" s="127" t="n"/>
      <c r="H3" s="127" t="n"/>
      <c r="I3" s="128" t="n"/>
      <c r="J3" s="30" t="n"/>
      <c r="K3" s="30" t="n"/>
    </row>
    <row r="4" ht="8" customHeight="1">
      <c r="A4" s="30" t="n"/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5" ht="16" customHeight="1">
      <c r="A5" s="30" t="n"/>
      <c r="B5" s="41" t="inlineStr">
        <is>
          <t xml:space="preserve">  CONTEXTE HÉRITÉ DE LA CELLULE</t>
        </is>
      </c>
      <c r="C5" s="129" t="inlineStr">
        <is>
          <t>:SCENARIO</t>
        </is>
      </c>
      <c r="D5" s="129" t="inlineStr">
        <is>
          <t>:VERSION</t>
        </is>
      </c>
      <c r="E5" s="129" t="inlineStr">
        <is>
          <t>:PERIODE</t>
        </is>
      </c>
      <c r="F5" s="129" t="inlineStr">
        <is>
          <t>:EXERCICE</t>
        </is>
      </c>
      <c r="G5" s="129" t="inlineStr">
        <is>
          <t>:ENTITY</t>
        </is>
      </c>
      <c r="H5" s="32" t="n"/>
      <c r="I5" s="42" t="n"/>
      <c r="J5" s="30" t="n"/>
      <c r="K5" s="30" t="n"/>
    </row>
    <row r="6" ht="20" customHeight="1">
      <c r="A6" s="30" t="n"/>
      <c r="B6" s="61" t="n"/>
      <c r="C6" s="130">
        <f>Données!B5</f>
        <v/>
      </c>
      <c r="D6" s="130">
        <f>Données!B6</f>
        <v/>
      </c>
      <c r="E6" s="130" t="inlineStr">
        <is>
          <t>12</t>
        </is>
      </c>
      <c r="F6" s="130">
        <f>Données!B7</f>
        <v/>
      </c>
      <c r="G6" s="130" t="inlineStr">
        <is>
          <t>TUNON_PAR</t>
        </is>
      </c>
      <c r="H6" s="35" t="n"/>
      <c r="I6" s="36" t="n"/>
      <c r="J6" s="30" t="n"/>
      <c r="K6" s="30" t="n"/>
    </row>
    <row r="7" ht="8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</row>
    <row r="8" ht="20" customHeight="1">
      <c r="A8" s="30" t="n"/>
      <c r="B8" s="131">
        <f>"Cellule d'origine :  Cockpit › Portefeuille › "&amp;$G$6&amp;" › EBITDA "&amp;Données!B7</f>
        <v/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</row>
    <row r="9" ht="8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</row>
    <row r="10" ht="18" customHeight="1">
      <c r="A10" s="30" t="n"/>
      <c r="B10" s="132" t="inlineStr">
        <is>
          <t>Étape</t>
        </is>
      </c>
      <c r="C10" s="133" t="inlineStr">
        <is>
          <t>Montant</t>
        </is>
      </c>
      <c r="D10" s="132" t="inlineStr">
        <is>
          <t>Détail</t>
        </is>
      </c>
      <c r="E10" s="132" t="inlineStr">
        <is>
          <t>Lecture</t>
        </is>
      </c>
      <c r="F10" s="30" t="n"/>
      <c r="G10" s="41" t="inlineStr">
        <is>
          <t xml:space="preserve">  Agrégats lus</t>
        </is>
      </c>
      <c r="H10" s="134" t="inlineStr">
        <is>
          <t>2025</t>
        </is>
      </c>
      <c r="I10" s="135" t="inlineStr">
        <is>
          <t>2026</t>
        </is>
      </c>
      <c r="J10" s="30" t="n"/>
      <c r="K10" s="122" t="inlineStr">
        <is>
          <t>Étape</t>
        </is>
      </c>
      <c r="L10" s="136" t="inlineStr">
        <is>
          <t>Socle</t>
        </is>
      </c>
      <c r="M10" s="136" t="inlineStr">
        <is>
          <t>Ancre</t>
        </is>
      </c>
      <c r="N10" s="136" t="inlineStr">
        <is>
          <t>Hausse</t>
        </is>
      </c>
      <c r="O10" s="136" t="inlineStr">
        <is>
          <t>Baisse</t>
        </is>
      </c>
    </row>
    <row r="11" ht="19" customHeight="1">
      <c r="A11" s="30" t="n"/>
      <c r="B11" s="64">
        <f>"EBITDA "&amp;(Données!B7-1)</f>
        <v/>
      </c>
      <c r="C11" s="137">
        <f>H12-H13-H14</f>
        <v/>
      </c>
      <c r="D11" s="138" t="n"/>
      <c r="E11" s="139" t="inlineStr">
        <is>
          <t xml:space="preserve">  point de départ</t>
        </is>
      </c>
      <c r="F11" s="30" t="n"/>
      <c r="G11" s="140" t="inlineStr">
        <is>
          <t>Effectifs</t>
        </is>
      </c>
      <c r="H11" s="141">
        <f>SUMIF('Données drill'!$B$5:$B$64,$G$6,'Données drill'!$J$5:$J$64)</f>
        <v/>
      </c>
      <c r="I11" s="141">
        <f>SUMIF('Données drill'!$B$5:$B$64,$G$6,'Données drill'!$I$5:$I$64)</f>
        <v/>
      </c>
      <c r="J11" s="30" t="n"/>
      <c r="K11" s="122" t="inlineStr">
        <is>
          <t>EBITDA N-1</t>
        </is>
      </c>
      <c r="L11" s="142" t="inlineStr">
        <is>
          <t>0</t>
        </is>
      </c>
      <c r="M11" s="142">
        <f>C11</f>
        <v/>
      </c>
      <c r="N11" s="142" t="inlineStr">
        <is>
          <t>0</t>
        </is>
      </c>
      <c r="O11" s="142" t="inlineStr">
        <is>
          <t>0</t>
        </is>
      </c>
    </row>
    <row r="12" ht="19" customHeight="1">
      <c r="A12" s="30" t="n"/>
      <c r="B12" s="143" t="inlineStr">
        <is>
          <t>+ Effet effectifs</t>
        </is>
      </c>
      <c r="C12" s="144">
        <f>(I11-H11)*(H15-H16)</f>
        <v/>
      </c>
      <c r="D12" s="145">
        <f>H11&amp;" → "&amp;I11&amp;" élèves"</f>
        <v/>
      </c>
      <c r="E12" s="146" t="inlineStr">
        <is>
          <t xml:space="preserve">  volume, valorisé à la marge variable de l'exercice précédent</t>
        </is>
      </c>
      <c r="F12" s="30" t="n"/>
      <c r="G12" s="140" t="inlineStr">
        <is>
          <t>CA</t>
        </is>
      </c>
      <c r="H12" s="141">
        <f>SUMIF('Données drill'!$B$5:$B$64,$G$6,'Données drill'!$K$5:$K$64)</f>
        <v/>
      </c>
      <c r="I12" s="141">
        <f>SUMIF('Données drill'!$B$5:$B$64,$G$6,'Données drill'!$L$5:$L$64)</f>
        <v/>
      </c>
      <c r="J12" s="30" t="n"/>
      <c r="K12" s="122" t="inlineStr">
        <is>
          <t>Effectifs</t>
        </is>
      </c>
      <c r="L12" s="142">
        <f>C11</f>
        <v/>
      </c>
      <c r="M12" s="142" t="inlineStr">
        <is>
          <t>0</t>
        </is>
      </c>
      <c r="N12" s="142">
        <f>C12</f>
        <v/>
      </c>
      <c r="O12" s="142" t="inlineStr">
        <is>
          <t>0</t>
        </is>
      </c>
    </row>
    <row r="13" ht="19" customHeight="1">
      <c r="A13" s="30" t="n"/>
      <c r="B13" s="143" t="inlineStr">
        <is>
          <t>+ Effet prix / mix</t>
        </is>
      </c>
      <c r="C13" s="144">
        <f>(I15-H15)*I11</f>
        <v/>
      </c>
      <c r="D13" s="145">
        <f>ROUND(H15,0)&amp;" → "&amp;ROUND(I15,0)&amp;" € / élève"</f>
        <v/>
      </c>
      <c r="E13" s="146" t="inlineStr">
        <is>
          <t xml:space="preserve">  tarif, mix initiale/alternance, mix programmes</t>
        </is>
      </c>
      <c r="F13" s="30" t="n"/>
      <c r="G13" s="140" t="inlineStr">
        <is>
          <t>Coût variable</t>
        </is>
      </c>
      <c r="H13" s="141">
        <f>SUMIF('Données drill'!$B$5:$B$64,$G$6,'Données drill'!$M$5:$M$64)</f>
        <v/>
      </c>
      <c r="I13" s="141">
        <f>SUMIF('Données drill'!$B$5:$B$64,$G$6,'Données drill'!$N$5:$N$64)</f>
        <v/>
      </c>
      <c r="J13" s="30" t="n"/>
      <c r="K13" s="122" t="inlineStr">
        <is>
          <t>Prix / mix</t>
        </is>
      </c>
      <c r="L13" s="142">
        <f>C11+C12</f>
        <v/>
      </c>
      <c r="M13" s="142" t="inlineStr">
        <is>
          <t>0</t>
        </is>
      </c>
      <c r="N13" s="142">
        <f>C13</f>
        <v/>
      </c>
      <c r="O13" s="142" t="inlineStr">
        <is>
          <t>0</t>
        </is>
      </c>
    </row>
    <row r="14" ht="19" customHeight="1">
      <c r="A14" s="30" t="n"/>
      <c r="B14" s="143" t="inlineStr">
        <is>
          <t>− Effet coût variable unitaire</t>
        </is>
      </c>
      <c r="C14" s="144">
        <f>-(I16-H16)*I11</f>
        <v/>
      </c>
      <c r="D14" s="145">
        <f>ROUND(H16,0)&amp;" → "&amp;ROUND(I16,0)&amp;" € / élève"</f>
        <v/>
      </c>
      <c r="E14" s="146" t="inlineStr">
        <is>
          <t xml:space="preserve">  vacataires et achats directs, par élève</t>
        </is>
      </c>
      <c r="F14" s="30" t="n"/>
      <c r="G14" s="140" t="inlineStr">
        <is>
          <t>Coûts directs</t>
        </is>
      </c>
      <c r="H14" s="141">
        <f>SUMIF('Données drill'!$B$5:$B$64,$G$6,'Données drill'!$O$5:$O$64)</f>
        <v/>
      </c>
      <c r="I14" s="141">
        <f>SUMIF('Données drill'!$B$5:$B$64,$G$6,'Données drill'!$P$5:$P$64)</f>
        <v/>
      </c>
      <c r="J14" s="30" t="n"/>
      <c r="K14" s="122" t="inlineStr">
        <is>
          <t>Coût var.</t>
        </is>
      </c>
      <c r="L14" s="142">
        <f>C11+C12+C13+C14</f>
        <v/>
      </c>
      <c r="M14" s="142" t="inlineStr">
        <is>
          <t>0</t>
        </is>
      </c>
      <c r="N14" s="142" t="inlineStr">
        <is>
          <t>0</t>
        </is>
      </c>
      <c r="O14" s="142">
        <f>-C14</f>
        <v/>
      </c>
    </row>
    <row r="15" ht="19" customHeight="1">
      <c r="A15" s="30" t="n"/>
      <c r="B15" s="143" t="inlineStr">
        <is>
          <t>− Effet coûts directs</t>
        </is>
      </c>
      <c r="C15" s="144">
        <f>-(I14-H14)</f>
        <v/>
      </c>
      <c r="D15" s="145">
        <f>ROUND(H14/1000,0)&amp;" → "&amp;ROUND(I14/1000,0)&amp;" k€"</f>
        <v/>
      </c>
      <c r="E15" s="146" t="inlineStr">
        <is>
          <t xml:space="preserve">  permanents et structure : ils ne suivent pas l'activité</t>
        </is>
      </c>
      <c r="F15" s="30" t="n"/>
      <c r="G15" s="140" t="inlineStr">
        <is>
          <t>CA / élève</t>
        </is>
      </c>
      <c r="H15" s="141">
        <f>H12/H11</f>
        <v/>
      </c>
      <c r="I15" s="141">
        <f>I12/I11</f>
        <v/>
      </c>
      <c r="J15" s="30" t="n"/>
      <c r="K15" s="122" t="inlineStr">
        <is>
          <t>Coûts directs</t>
        </is>
      </c>
      <c r="L15" s="142">
        <f>C16</f>
        <v/>
      </c>
      <c r="M15" s="142" t="inlineStr">
        <is>
          <t>0</t>
        </is>
      </c>
      <c r="N15" s="142" t="inlineStr">
        <is>
          <t>0</t>
        </is>
      </c>
      <c r="O15" s="142">
        <f>-C15</f>
        <v/>
      </c>
    </row>
    <row r="16" ht="19" customHeight="1">
      <c r="A16" s="30" t="n"/>
      <c r="B16" s="64">
        <f>"EBITDA "&amp;Données!B7</f>
        <v/>
      </c>
      <c r="C16" s="147">
        <f>I12-I13-I14</f>
        <v/>
      </c>
      <c r="D16" s="138">
        <f>"marge "&amp;ROUND((I12-I13-I14)/I12*100,1)&amp;" %"</f>
        <v/>
      </c>
      <c r="E16" s="139" t="inlineStr">
        <is>
          <t xml:space="preserve">  doit égaler la cellule cliquée</t>
        </is>
      </c>
      <c r="F16" s="30" t="n"/>
      <c r="G16" s="148" t="inlineStr">
        <is>
          <t>Coût var. / élève</t>
        </is>
      </c>
      <c r="H16" s="141">
        <f>H13/H11</f>
        <v/>
      </c>
      <c r="I16" s="141">
        <f>I13/I11</f>
        <v/>
      </c>
      <c r="J16" s="30" t="n"/>
      <c r="K16" s="122" t="inlineStr">
        <is>
          <t>EBITDA N</t>
        </is>
      </c>
      <c r="L16" s="142" t="inlineStr">
        <is>
          <t>0</t>
        </is>
      </c>
      <c r="M16" s="142">
        <f>C16</f>
        <v/>
      </c>
      <c r="N16" s="142" t="inlineStr">
        <is>
          <t>0</t>
        </is>
      </c>
      <c r="O16" s="142" t="inlineStr">
        <is>
          <t>0</t>
        </is>
      </c>
    </row>
    <row r="17" ht="8" customHeight="1">
      <c r="A17" s="30" t="n"/>
      <c r="B17" s="149" t="inlineStr">
        <is>
          <t xml:space="preserve">  Contrôle du pont</t>
        </is>
      </c>
      <c r="C17" s="150">
        <f>C11+C12+C13+C14+C15-C16</f>
        <v/>
      </c>
      <c r="D17" s="35" t="n"/>
      <c r="E17" s="151">
        <f>"   écart "&amp;ROUND(C17,2)&amp;" € — le pont retombe exactement sur la cellule cliquée"</f>
        <v/>
      </c>
      <c r="F17" s="30" t="n"/>
      <c r="G17" s="30" t="n"/>
      <c r="H17" s="30" t="n"/>
      <c r="I17" s="30" t="n"/>
      <c r="J17" s="30" t="n"/>
      <c r="K17" s="30" t="n"/>
    </row>
    <row r="18" ht="16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</row>
    <row r="38">
      <c r="A38" s="30" t="n"/>
      <c r="B38" s="84" t="inlineStr">
        <is>
          <t xml:space="preserve">  Ce que le drill fait dire au chiffre.  Le pont sépare ce qui vient de l'activité (effectifs, prix, mix) de ce qui vient des coûts. Quand l'effet coûts directs dépasse à lui seul la croissance, le campus n'a pas un problème de marché mais un problème de structure de coûts — et la discussion change de nature. Change le campus en G6 : tout le pont se recalcule, et l'écart de contrôle reste nul.</t>
        </is>
      </c>
      <c r="C38" s="85" t="n"/>
      <c r="D38" s="85" t="n"/>
      <c r="E38" s="85" t="n"/>
      <c r="F38" s="85" t="n"/>
      <c r="G38" s="85" t="n"/>
      <c r="H38" s="85" t="n"/>
      <c r="I38" s="86" t="n"/>
      <c r="J38" s="30" t="n"/>
      <c r="K38" s="30" t="n"/>
    </row>
    <row r="39">
      <c r="A39" s="30" t="n"/>
      <c r="B39" s="87" t="n"/>
      <c r="I39" s="88" t="n"/>
      <c r="J39" s="30" t="n"/>
      <c r="K39" s="30" t="n"/>
    </row>
    <row r="40">
      <c r="A40" s="30" t="n"/>
      <c r="B40" s="87" t="n"/>
      <c r="I40" s="88" t="n"/>
      <c r="J40" s="30" t="n"/>
      <c r="K40" s="30" t="n"/>
    </row>
    <row r="41">
      <c r="A41" s="30" t="n"/>
      <c r="B41" s="87" t="n"/>
      <c r="C41" s="89" t="n"/>
      <c r="D41" s="89" t="n"/>
      <c r="E41" s="89" t="n"/>
      <c r="F41" s="89" t="n"/>
      <c r="G41" s="89" t="n"/>
      <c r="H41" s="89" t="n"/>
      <c r="I41" s="90" t="n"/>
      <c r="J41" s="30" t="n"/>
      <c r="K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</row>
    <row r="57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</row>
  </sheetData>
  <mergeCells count="1">
    <mergeCell ref="B38:I41"/>
  </mergeCells>
  <conditionalFormatting sqref="C12:C15">
    <cfRule type="cellIs" priority="1" operator="greaterThan" dxfId="9">
      <formula>0</formula>
    </cfRule>
    <cfRule type="cellIs" priority="2" operator="lessThan" dxfId="10">
      <formula>0</formula>
    </cfRule>
  </conditionalFormatting>
  <dataValidations count="1">
    <dataValidation sqref="G6" showDropDown="0" showInputMessage="0" showErrorMessage="0" allowBlank="0" type="list">
      <formula1>='Données drill'!$AI$6:$AI$19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32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 ht="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</row>
    <row r="2" ht="26" customHeight="1">
      <c r="A2" s="30" t="n"/>
      <c r="B2" s="123" t="inlineStr">
        <is>
          <t xml:space="preserve">  ⑥ Drill through  ›  Et dans la compta, quels comptes ont bougé ?</t>
        </is>
      </c>
      <c r="C2" s="124" t="n"/>
      <c r="D2" s="124" t="n"/>
      <c r="E2" s="124" t="n"/>
      <c r="F2" s="124" t="n"/>
      <c r="G2" s="124" t="n"/>
      <c r="H2" s="125" t="n"/>
      <c r="I2" s="30" t="n"/>
    </row>
    <row r="3" ht="16" customHeight="1">
      <c r="A3" s="30" t="n"/>
      <c r="B3" s="126" t="inlineStr">
        <is>
          <t xml:space="preserve">  même cellule, même contexte · trié par variation absolue décroissante</t>
        </is>
      </c>
      <c r="C3" s="127" t="n"/>
      <c r="D3" s="127" t="n"/>
      <c r="E3" s="127" t="n"/>
      <c r="F3" s="127" t="n"/>
      <c r="G3" s="127" t="n"/>
      <c r="H3" s="128" t="n"/>
      <c r="I3" s="30" t="n"/>
    </row>
    <row r="4" ht="8" customHeight="1">
      <c r="A4" s="30" t="n"/>
      <c r="B4" s="30" t="n"/>
      <c r="C4" s="30" t="n"/>
      <c r="D4" s="30" t="n"/>
      <c r="E4" s="30" t="n"/>
      <c r="F4" s="30" t="n"/>
      <c r="G4" s="30" t="n"/>
      <c r="H4" s="30" t="n"/>
      <c r="I4" s="30" t="n"/>
    </row>
    <row r="5" ht="16" customHeight="1">
      <c r="A5" s="30" t="n"/>
      <c r="B5" s="41" t="inlineStr">
        <is>
          <t xml:space="preserve">  CONTEXTE HÉRITÉ</t>
        </is>
      </c>
      <c r="C5" s="32" t="n"/>
      <c r="D5" s="32" t="n"/>
      <c r="E5" s="32" t="n"/>
      <c r="F5" s="32" t="n"/>
      <c r="G5" s="32" t="n"/>
      <c r="H5" s="42" t="n"/>
      <c r="I5" s="30" t="n"/>
    </row>
    <row r="6" ht="20" customHeight="1">
      <c r="A6" s="30" t="n"/>
      <c r="B6" s="152">
        <f>Données!B5&amp;" · "&amp;Données!B6&amp;" · 12 · "&amp;Données!B7&amp;" · "&amp;'Drill — Pourquoi'!$G$6</f>
        <v/>
      </c>
      <c r="C6" s="35" t="n"/>
      <c r="D6" s="35" t="n"/>
      <c r="E6" s="35" t="n"/>
      <c r="F6" s="35" t="n"/>
      <c r="G6" s="35" t="n"/>
      <c r="H6" s="36" t="n"/>
      <c r="I6" s="30" t="n"/>
    </row>
    <row r="7" ht="8" customHeight="1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</row>
    <row r="8" ht="20" customHeight="1">
      <c r="A8" s="30" t="n"/>
      <c r="B8" s="131">
        <f>"Rapprochement :  Σ produits − Σ charges  =  EBITDA du campus  =  la cellule"</f>
        <v/>
      </c>
      <c r="C8" s="30" t="n"/>
      <c r="D8" s="30" t="n"/>
      <c r="E8" s="30" t="n"/>
      <c r="F8" s="30" t="n"/>
      <c r="G8" s="30" t="n"/>
      <c r="H8" s="30" t="n"/>
      <c r="I8" s="30" t="n"/>
    </row>
    <row r="9" ht="8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</row>
    <row r="10" ht="18" customHeight="1">
      <c r="A10" s="30" t="n"/>
      <c r="B10" s="62" t="inlineStr">
        <is>
          <t>Compte</t>
        </is>
      </c>
      <c r="C10" s="62" t="inlineStr">
        <is>
          <t>Libellé</t>
        </is>
      </c>
      <c r="D10" s="63" t="inlineStr">
        <is>
          <t>2025</t>
        </is>
      </c>
      <c r="E10" s="63" t="inlineStr">
        <is>
          <t>2026</t>
        </is>
      </c>
      <c r="F10" s="63" t="inlineStr">
        <is>
          <t>Variation</t>
        </is>
      </c>
      <c r="G10" s="63" t="inlineStr">
        <is>
          <t>Var. %</t>
        </is>
      </c>
      <c r="H10" s="62" t="inlineStr">
        <is>
          <t>Nature</t>
        </is>
      </c>
      <c r="I10" s="30" t="n"/>
    </row>
    <row r="11">
      <c r="A11" s="30" t="n"/>
      <c r="B11" s="153" t="inlineStr">
        <is>
          <t>706</t>
        </is>
      </c>
      <c r="C11" s="154" t="inlineStr">
        <is>
          <t>Scolarité initiale</t>
        </is>
      </c>
      <c r="D11" s="108">
        <f>'Drill — Pourquoi'!$H$12*0.97*(1-SUMIFS('Données drill'!$I$5:$I$64,'Données drill'!$B$5:$B$64,'Drill — Pourquoi'!$G$6,'Données drill'!$E$5:$E$64,"ALT")/SUMIF('Données drill'!$B$5:$B$64,'Drill — Pourquoi'!$G$6,'Données drill'!$I$5:$I$64))</f>
        <v/>
      </c>
      <c r="E11" s="108">
        <f>'Drill — Pourquoi'!$I$12*0.97*(1-SUMIFS('Données drill'!$I$5:$I$64,'Données drill'!$B$5:$B$64,'Drill — Pourquoi'!$G$6,'Données drill'!$E$5:$E$64,"ALT")/SUMIF('Données drill'!$B$5:$B$64,'Drill — Pourquoi'!$G$6,'Données drill'!$I$5:$I$64))</f>
        <v/>
      </c>
      <c r="F11" s="155">
        <f>E11-D11</f>
        <v/>
      </c>
      <c r="G11" s="156">
        <f>IFERROR(F11/ABS(D11),0)</f>
        <v/>
      </c>
      <c r="H11" s="157" t="inlineStr">
        <is>
          <t>produit</t>
        </is>
      </c>
      <c r="I11" s="30" t="n"/>
    </row>
    <row r="12">
      <c r="A12" s="30" t="n"/>
      <c r="B12" s="153" t="inlineStr">
        <is>
          <t>7062</t>
        </is>
      </c>
      <c r="C12" s="154" t="inlineStr">
        <is>
          <t>Scolarité alternance</t>
        </is>
      </c>
      <c r="D12" s="108">
        <f>'Drill — Pourquoi'!$H$12*0.97*(SUMIFS('Données drill'!$I$5:$I$64,'Données drill'!$B$5:$B$64,'Drill — Pourquoi'!$G$6,'Données drill'!$E$5:$E$64,"ALT")/SUMIF('Données drill'!$B$5:$B$64,'Drill — Pourquoi'!$G$6,'Données drill'!$I$5:$I$64))</f>
        <v/>
      </c>
      <c r="E12" s="108">
        <f>'Drill — Pourquoi'!$I$12*0.97*(SUMIFS('Données drill'!$I$5:$I$64,'Données drill'!$B$5:$B$64,'Drill — Pourquoi'!$G$6,'Données drill'!$E$5:$E$64,"ALT")/SUMIF('Données drill'!$B$5:$B$64,'Drill — Pourquoi'!$G$6,'Données drill'!$I$5:$I$64))</f>
        <v/>
      </c>
      <c r="F12" s="155">
        <f>E12-D12</f>
        <v/>
      </c>
      <c r="G12" s="156">
        <f>IFERROR(F12/ABS(D12),0)</f>
        <v/>
      </c>
      <c r="H12" s="157" t="inlineStr">
        <is>
          <t>produit</t>
        </is>
      </c>
      <c r="I12" s="30" t="n"/>
    </row>
    <row r="13">
      <c r="A13" s="30" t="n"/>
      <c r="B13" s="153" t="inlineStr">
        <is>
          <t>708</t>
        </is>
      </c>
      <c r="C13" s="154" t="inlineStr">
        <is>
          <t>Produits annexes</t>
        </is>
      </c>
      <c r="D13" s="108">
        <f>'Drill — Pourquoi'!$H$12*0.03</f>
        <v/>
      </c>
      <c r="E13" s="108">
        <f>'Drill — Pourquoi'!$I$12*0.03</f>
        <v/>
      </c>
      <c r="F13" s="155">
        <f>E13-D13</f>
        <v/>
      </c>
      <c r="G13" s="156">
        <f>IFERROR(F13/ABS(D13),0)</f>
        <v/>
      </c>
      <c r="H13" s="157" t="inlineStr">
        <is>
          <t>produit</t>
        </is>
      </c>
      <c r="I13" s="30" t="n"/>
    </row>
    <row r="14">
      <c r="A14" s="30" t="n"/>
      <c r="B14" s="153" t="inlineStr">
        <is>
          <t>621</t>
        </is>
      </c>
      <c r="C14" s="154" t="inlineStr">
        <is>
          <t>Vacataires</t>
        </is>
      </c>
      <c r="D14" s="108">
        <f>'Drill — Pourquoi'!$H$13*0.85</f>
        <v/>
      </c>
      <c r="E14" s="108">
        <f>'Drill — Pourquoi'!$I$13*0.85</f>
        <v/>
      </c>
      <c r="F14" s="155">
        <f>E14-D14</f>
        <v/>
      </c>
      <c r="G14" s="156">
        <f>IFERROR(F14/ABS(D14),0)</f>
        <v/>
      </c>
      <c r="H14" s="157" t="inlineStr">
        <is>
          <t>charge</t>
        </is>
      </c>
      <c r="I14" s="30" t="n"/>
    </row>
    <row r="15">
      <c r="A15" s="30" t="n"/>
      <c r="B15" s="153" t="inlineStr">
        <is>
          <t>604</t>
        </is>
      </c>
      <c r="C15" s="154" t="inlineStr">
        <is>
          <t>Achats de prestations</t>
        </is>
      </c>
      <c r="D15" s="108">
        <f>'Drill — Pourquoi'!$H$13*0.15</f>
        <v/>
      </c>
      <c r="E15" s="108">
        <f>'Drill — Pourquoi'!$I$13*0.15</f>
        <v/>
      </c>
      <c r="F15" s="155">
        <f>E15-D15</f>
        <v/>
      </c>
      <c r="G15" s="156">
        <f>IFERROR(F15/ABS(D15),0)</f>
        <v/>
      </c>
      <c r="H15" s="157" t="inlineStr">
        <is>
          <t>charge</t>
        </is>
      </c>
      <c r="I15" s="30" t="n"/>
    </row>
    <row r="16">
      <c r="A16" s="30" t="n"/>
      <c r="B16" s="153" t="inlineStr">
        <is>
          <t>641</t>
        </is>
      </c>
      <c r="C16" s="154" t="inlineStr">
        <is>
          <t>Masse salariale permanente</t>
        </is>
      </c>
      <c r="D16" s="108">
        <f>'Drill — Pourquoi'!$H$14*'Données drill'!$D$74</f>
        <v/>
      </c>
      <c r="E16" s="108">
        <f>'Drill — Pourquoi'!$I$14*'Données drill'!$E$74</f>
        <v/>
      </c>
      <c r="F16" s="155">
        <f>E16-D16</f>
        <v/>
      </c>
      <c r="G16" s="156">
        <f>IFERROR(F16/ABS(D16),0)</f>
        <v/>
      </c>
      <c r="H16" s="157" t="inlineStr">
        <is>
          <t>charge</t>
        </is>
      </c>
      <c r="I16" s="30" t="n"/>
    </row>
    <row r="17">
      <c r="A17" s="30" t="n"/>
      <c r="B17" s="153" t="inlineStr">
        <is>
          <t>613</t>
        </is>
      </c>
      <c r="C17" s="154" t="inlineStr">
        <is>
          <t>Loyers &amp; charges locatives</t>
        </is>
      </c>
      <c r="D17" s="108">
        <f>'Drill — Pourquoi'!$H$14*'Données drill'!$D$75</f>
        <v/>
      </c>
      <c r="E17" s="108">
        <f>'Drill — Pourquoi'!$I$14*'Données drill'!$E$75</f>
        <v/>
      </c>
      <c r="F17" s="155">
        <f>E17-D17</f>
        <v/>
      </c>
      <c r="G17" s="156">
        <f>IFERROR(F17/ABS(D17),0)</f>
        <v/>
      </c>
      <c r="H17" s="157" t="inlineStr">
        <is>
          <t>charge</t>
        </is>
      </c>
      <c r="I17" s="30" t="n"/>
    </row>
    <row r="18">
      <c r="A18" s="30" t="n"/>
      <c r="B18" s="153" t="inlineStr">
        <is>
          <t>6236</t>
        </is>
      </c>
      <c r="C18" s="154" t="inlineStr">
        <is>
          <t>Quote-part marque</t>
        </is>
      </c>
      <c r="D18" s="108">
        <f>'Drill — Pourquoi'!$H$14*'Données drill'!$D$76</f>
        <v/>
      </c>
      <c r="E18" s="108">
        <f>'Drill — Pourquoi'!$I$14*'Données drill'!$E$76</f>
        <v/>
      </c>
      <c r="F18" s="155">
        <f>E18-D18</f>
        <v/>
      </c>
      <c r="G18" s="156">
        <f>IFERROR(F18/ABS(D18),0)</f>
        <v/>
      </c>
      <c r="H18" s="157" t="inlineStr">
        <is>
          <t>charge</t>
        </is>
      </c>
      <c r="I18" s="30" t="n"/>
    </row>
    <row r="19">
      <c r="A19" s="30" t="n"/>
      <c r="B19" s="153" t="inlineStr">
        <is>
          <t>6063</t>
        </is>
      </c>
      <c r="C19" s="154" t="inlineStr">
        <is>
          <t>Fournitures &amp; petits équipements</t>
        </is>
      </c>
      <c r="D19" s="108">
        <f>'Drill — Pourquoi'!$H$14*'Données drill'!$D$77</f>
        <v/>
      </c>
      <c r="E19" s="108">
        <f>'Drill — Pourquoi'!$I$14*'Données drill'!$E$77</f>
        <v/>
      </c>
      <c r="F19" s="155">
        <f>E19-D19</f>
        <v/>
      </c>
      <c r="G19" s="156">
        <f>IFERROR(F19/ABS(D19),0)</f>
        <v/>
      </c>
      <c r="H19" s="157" t="inlineStr">
        <is>
          <t>charge</t>
        </is>
      </c>
      <c r="I19" s="30" t="n"/>
    </row>
    <row r="20">
      <c r="A20" s="30" t="n"/>
      <c r="B20" s="30" t="n"/>
      <c r="C20" s="158" t="inlineStr">
        <is>
          <t>EBITDA = Σ produits − Σ charges</t>
        </is>
      </c>
      <c r="D20" s="159">
        <f>SUMIF($H$11:$H$19,"produit",D11:D19)-SUMIF($H$11:$H$19,"charge",D11:D19)</f>
        <v/>
      </c>
      <c r="E20" s="159">
        <f>SUMIF($H$11:$H$19,"produit",E11:E19)-SUMIF($H$11:$H$19,"charge",E11:E19)</f>
        <v/>
      </c>
      <c r="F20" s="160">
        <f>E20-D20</f>
        <v/>
      </c>
      <c r="G20" s="30" t="n"/>
      <c r="H20" s="30" t="n"/>
      <c r="I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>
      <c r="A22" s="30" t="n"/>
      <c r="B22" s="84" t="inlineStr">
        <is>
          <t xml:space="preserve">  Les deux drills se répondent.  L'onglet ⑤ donne la cause économique — « effet coûts directs » ; celui-ci dit quelle ligne comptable la porte. Les postes du coût direct n'évoluent pas au même rythme : la masse salariale permanente suit la politique salariale, les loyers l'indexation, la quote-part marque les arbitrages du siège. Les clés de ventilation sont en bas de l'onglet ② et se modifient.</t>
        </is>
      </c>
      <c r="C22" s="85" t="n"/>
      <c r="D22" s="85" t="n"/>
      <c r="E22" s="85" t="n"/>
      <c r="F22" s="85" t="n"/>
      <c r="G22" s="85" t="n"/>
      <c r="H22" s="86" t="n"/>
      <c r="I22" s="30" t="n"/>
    </row>
    <row r="23">
      <c r="A23" s="30" t="n"/>
      <c r="B23" s="87" t="n"/>
      <c r="H23" s="88" t="n"/>
      <c r="I23" s="30" t="n"/>
    </row>
    <row r="24">
      <c r="A24" s="30" t="n"/>
      <c r="B24" s="87" t="n"/>
      <c r="H24" s="88" t="n"/>
      <c r="I24" s="30" t="n"/>
    </row>
    <row r="25">
      <c r="A25" s="30" t="n"/>
      <c r="B25" s="87" t="n"/>
      <c r="C25" s="89" t="n"/>
      <c r="D25" s="89" t="n"/>
      <c r="E25" s="89" t="n"/>
      <c r="F25" s="89" t="n"/>
      <c r="G25" s="89" t="n"/>
      <c r="H25" s="90" t="n"/>
      <c r="I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</row>
  </sheetData>
  <mergeCells count="1">
    <mergeCell ref="B22:H25"/>
  </mergeCells>
  <conditionalFormatting sqref="F11:F19">
    <cfRule type="dataBar" priority="1">
      <dataBar showValue="1">
        <cfvo type="min"/>
        <cfvo type="max"/>
        <color rgb="FF2A78D6"/>
      </dataBar>
    </cfRule>
    <cfRule type="cellIs" priority="2" operator="lessThan" dxfId="8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2026-09-04T23:36:09Z</dcterms:created>
  <dcterms:modified xsi:type="dcterms:W3CDTF">2026-09-04T23:36:10Z</dcterms:modified>
</cp:coreProperties>
</file>