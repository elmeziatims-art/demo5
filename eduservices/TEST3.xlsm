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B092D23B-90E9-481B-A106-444E817828C2}" xr6:coauthVersionLast="47" xr6:coauthVersionMax="47" xr10:uidLastSave="{00000000-0000-0000-0000-000000000000}"/>
  <bookViews>
    <workbookView xWindow="-120" yWindow="-120" windowWidth="29040" windowHeight="15720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R2" i="17"/>
  <c r="AC2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AN2" i="17"/>
  <c r="AA2" i="12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AB2" i="12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</calcChain>
</file>

<file path=xl/sharedStrings.xml><?xml version="1.0" encoding="utf-8"?>
<sst xmlns="http://schemas.openxmlformats.org/spreadsheetml/2006/main" count="12665" uniqueCount="298">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</sst>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</numFmts>
  <fonts count="4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</fonts>
  <fills count="2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6" sqref="C6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VOL_EFF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</row>
    <row r="6" spans="2:14" ht="14.65" thickBot="1" x14ac:dyDescent="0.5">
      <c r="B6" s="128" t="s">
        <v>292</v>
      </c>
      <c r="C6" s="129" t="s">
        <v>21</v>
      </c>
    </row>
    <row r="7" spans="2:14" ht="14.65" thickBot="1" x14ac:dyDescent="0.5">
      <c r="B7" s="128" t="s">
        <v>293</v>
      </c>
      <c r="C7" s="129" t="s">
        <v>23</v>
      </c>
    </row>
    <row r="8" spans="2:14" ht="14.65" thickBot="1" x14ac:dyDescent="0.5">
      <c r="B8" s="128" t="s">
        <v>294</v>
      </c>
      <c r="C8" s="129" t="s">
        <v>23</v>
      </c>
    </row>
    <row r="9" spans="2:14" ht="14.65" thickBot="1" x14ac:dyDescent="0.5">
      <c r="B9" s="128" t="s">
        <v>295</v>
      </c>
      <c r="C9" s="129" t="s">
        <v>296</v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SUMIFS(Allocation!$I$1:$I$175,Allocation!$C$1:$C$175,"2026",Allocation!$E$1:$E$175,"MBWAY")</f>
        <v>0</v>
      </c>
      <c r="D18" s="123">
        <f>SUMIFS(Allocation!$K$1:$K$175,Allocation!$C$1:$C$175,"2026",Allocation!$E$1:$E$175,"MBWAY")</f>
        <v>0</v>
      </c>
      <c r="E18" s="123">
        <f>SUMIFS(Allocation!$V$1:$V$175,Allocation!$C$1:$C$175,"2026",Allocation!$E$1:$E$175,"MBWAY")</f>
        <v>0</v>
      </c>
      <c r="F18" s="123">
        <f>SUMIFS(Allocation!$W$1:$W$175,Allocation!$C$1:$C$175,"2026",Allocation!$E$1:$E$175,"MBWAY")</f>
        <v>0</v>
      </c>
      <c r="G18" s="123">
        <f>SUMIFS(Allocation!$X$1:$X$175,Allocation!$C$1:$C$175,"2026",Allocation!$E$1:$E$175,"MBWAY")</f>
        <v>0</v>
      </c>
      <c r="H18" s="123">
        <f>SUMIFS(Allocation!$Y$1:$Y$175,Allocation!$C$1:$C$175,"2026",Allocation!$E$1:$E$175,"MBWAY")</f>
        <v>0</v>
      </c>
      <c r="I18" s="123">
        <f>SUMIFS(Allocation!$AC$1:$AC$175,Allocation!$C$1:$C$175,"2026",Allocation!$E$1:$E$175,"MBWAY")</f>
        <v>0</v>
      </c>
      <c r="J18" s="123">
        <f>SUMIFS(Allocation!$Z$1:$Z$175,Allocation!$C$1:$C$175,"2026",Allocation!$E$1:$E$175,"MBWAY")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SUMIFS(Allocation!$AA$1:$AA$175,Allocation!$C$1:$C$175,"2026",Allocation!$E$1:$E$175,"MBWAY")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SUMIFS(Allocation!$I$1:$I$175,Allocation!$C$1:$C$175,"2026",Allocation!$D$1:$D$175,"MBWAY_PAR")</f>
        <v>0</v>
      </c>
      <c r="D19" s="123">
        <f>SUMIFS(Allocation!$K$1:$K$175,Allocation!$C$1:$C$175,"2026",Allocation!$D$1:$D$175,"MBWAY_PAR")</f>
        <v>0</v>
      </c>
      <c r="E19" s="123">
        <f>SUMIFS(Allocation!$V$1:$V$175,Allocation!$C$1:$C$175,"2026",Allocation!$D$1:$D$175,"MBWAY_PAR")</f>
        <v>0</v>
      </c>
      <c r="F19" s="123">
        <f>SUMIFS(Allocation!$W$1:$W$175,Allocation!$C$1:$C$175,"2026",Allocation!$D$1:$D$175,"MBWAY_PAR")</f>
        <v>0</v>
      </c>
      <c r="G19" s="123">
        <f>SUMIFS(Allocation!$X$1:$X$175,Allocation!$C$1:$C$175,"2026",Allocation!$D$1:$D$175,"MBWAY_PAR")</f>
        <v>0</v>
      </c>
      <c r="H19" s="123">
        <f>SUMIFS(Allocation!$Y$1:$Y$175,Allocation!$C$1:$C$175,"2026",Allocation!$D$1:$D$175,"MBWAY_PAR")</f>
        <v>0</v>
      </c>
      <c r="I19" s="123">
        <f>SUMIFS(Allocation!$AC$1:$AC$175,Allocation!$C$1:$C$175,"2026",Allocation!$D$1:$D$175,"MBWAY_PAR")</f>
        <v>0</v>
      </c>
      <c r="J19" s="123">
        <f>SUMIFS(Allocation!$Z$1:$Z$175,Allocation!$C$1:$C$175,"2026",Allocation!$D$1:$D$175,"MBWAY_PAR")</f>
        <v>0</v>
      </c>
      <c r="K19" s="123">
        <f t="shared" si="0"/>
        <v>0</v>
      </c>
      <c r="L19" s="130">
        <f>SUMIFS(Allocation!$AA$1:$AA$175,Allocation!$C$1:$C$175,"2026",Allocation!$D$1:$D$175,"MBWAY_PAR")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SUMIFS(Allocation!$I$1:$I$175,Allocation!$C$1:$C$175,"2026",Allocation!$D$1:$D$175,"MBWAY_PAR",Allocation!$F$1:$F$175,"BAC_MGT",Allocation!$G$1:$G$175,"B1",Allocation!$H$1:$H$175,"INIT")</f>
        <v>0</v>
      </c>
      <c r="D20" s="84">
        <f>SUMIFS(Allocation!$K$1:$K$175,Allocation!$C$1:$C$175,"2026",Allocation!$D$1:$D$175,"MBWAY_PAR",Allocation!$F$1:$F$175,"BAC_MGT",Allocation!$G$1:$G$175,"B1",Allocation!$H$1:$H$175,"INIT")</f>
        <v>0</v>
      </c>
      <c r="E20" s="84">
        <f>SUMIFS(Allocation!$V$1:$V$175,Allocation!$C$1:$C$175,"2026",Allocation!$D$1:$D$175,"MBWAY_PAR",Allocation!$F$1:$F$175,"BAC_MGT",Allocation!$G$1:$G$175,"B1",Allocation!$H$1:$H$175,"INIT")</f>
        <v>0</v>
      </c>
      <c r="F20" s="84">
        <f>SUMIFS(Allocation!$W$1:$W$175,Allocation!$C$1:$C$175,"2026",Allocation!$D$1:$D$175,"MBWAY_PAR",Allocation!$F$1:$F$175,"BAC_MGT",Allocation!$G$1:$G$175,"B1",Allocation!$H$1:$H$175,"INIT")</f>
        <v>0</v>
      </c>
      <c r="G20" s="84">
        <f>SUMIFS(Allocation!$X$1:$X$175,Allocation!$C$1:$C$175,"2026",Allocation!$D$1:$D$175,"MBWAY_PAR",Allocation!$F$1:$F$175,"BAC_MGT",Allocation!$G$1:$G$175,"B1",Allocation!$H$1:$H$175,"INIT")</f>
        <v>0</v>
      </c>
      <c r="H20" s="84">
        <f>SUMIFS(Allocation!$Y$1:$Y$175,Allocation!$C$1:$C$175,"2026",Allocation!$D$1:$D$175,"MBWAY_PAR",Allocation!$F$1:$F$175,"BAC_MGT",Allocation!$G$1:$G$175,"B1",Allocation!$H$1:$H$175,"INIT")</f>
        <v>0</v>
      </c>
      <c r="I20" s="84">
        <f>SUMIFS(Allocation!$AC$1:$AC$175,Allocation!$C$1:$C$175,"2026",Allocation!$D$1:$D$175,"MBWAY_PAR",Allocation!$F$1:$F$175,"BAC_MGT",Allocation!$G$1:$G$175,"B1",Allocation!$H$1:$H$175,"INIT")</f>
        <v>0</v>
      </c>
      <c r="J20" s="84">
        <f>SUMIFS(Allocation!$Z$1:$Z$175,Allocation!$C$1:$C$175,"2026",Allocation!$D$1:$D$175,"MBWAY_PAR",Allocation!$F$1:$F$175,"BAC_MGT",Allocation!$G$1:$G$175,"B1",Allocation!$H$1:$H$175,"INIT")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SUMIFS(Allocation!$AA$1:$AA$175,Allocation!$C$1:$C$175,"2026",Allocation!$D$1:$D$175,"MBWAY_PAR",Allocation!$F$1:$F$175,"BAC_MGT",Allocation!$G$1:$G$175,"B1",Allocation!$H$1:$H$175,"INIT")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SUMIFS(Allocation!$I$1:$I$175,Allocation!$C$1:$C$175,"2026",Allocation!$D$1:$D$175,"MBWAY_PAR",Allocation!$F$1:$F$175,"BAC_MGT",Allocation!$G$1:$G$175,"B2",Allocation!$H$1:$H$175,"ALT")</f>
        <v>0</v>
      </c>
      <c r="D21" s="84">
        <f>SUMIFS(Allocation!$K$1:$K$175,Allocation!$C$1:$C$175,"2026",Allocation!$D$1:$D$175,"MBWAY_PAR",Allocation!$F$1:$F$175,"BAC_MGT",Allocation!$G$1:$G$175,"B2",Allocation!$H$1:$H$175,"ALT")</f>
        <v>0</v>
      </c>
      <c r="E21" s="84">
        <f>SUMIFS(Allocation!$V$1:$V$175,Allocation!$C$1:$C$175,"2026",Allocation!$D$1:$D$175,"MBWAY_PAR",Allocation!$F$1:$F$175,"BAC_MGT",Allocation!$G$1:$G$175,"B2",Allocation!$H$1:$H$175,"ALT")</f>
        <v>0</v>
      </c>
      <c r="F21" s="84">
        <f>SUMIFS(Allocation!$W$1:$W$175,Allocation!$C$1:$C$175,"2026",Allocation!$D$1:$D$175,"MBWAY_PAR",Allocation!$F$1:$F$175,"BAC_MGT",Allocation!$G$1:$G$175,"B2",Allocation!$H$1:$H$175,"ALT")</f>
        <v>0</v>
      </c>
      <c r="G21" s="84">
        <f>SUMIFS(Allocation!$X$1:$X$175,Allocation!$C$1:$C$175,"2026",Allocation!$D$1:$D$175,"MBWAY_PAR",Allocation!$F$1:$F$175,"BAC_MGT",Allocation!$G$1:$G$175,"B2",Allocation!$H$1:$H$175,"ALT")</f>
        <v>0</v>
      </c>
      <c r="H21" s="84">
        <f>SUMIFS(Allocation!$Y$1:$Y$175,Allocation!$C$1:$C$175,"2026",Allocation!$D$1:$D$175,"MBWAY_PAR",Allocation!$F$1:$F$175,"BAC_MGT",Allocation!$G$1:$G$175,"B2",Allocation!$H$1:$H$175,"ALT")</f>
        <v>0</v>
      </c>
      <c r="I21" s="84">
        <f>SUMIFS(Allocation!$AC$1:$AC$175,Allocation!$C$1:$C$175,"2026",Allocation!$D$1:$D$175,"MBWAY_PAR",Allocation!$F$1:$F$175,"BAC_MGT",Allocation!$G$1:$G$175,"B2",Allocation!$H$1:$H$175,"ALT")</f>
        <v>0</v>
      </c>
      <c r="J21" s="84">
        <f>SUMIFS(Allocation!$Z$1:$Z$175,Allocation!$C$1:$C$175,"2026",Allocation!$D$1:$D$175,"MBWAY_PAR",Allocation!$F$1:$F$175,"BAC_MGT",Allocation!$G$1:$G$175,"B2",Allocation!$H$1:$H$175,"ALT")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SUMIFS(Allocation!$AA$1:$AA$175,Allocation!$C$1:$C$175,"2026",Allocation!$D$1:$D$175,"MBWAY_PAR",Allocation!$F$1:$F$175,"BAC_MGT",Allocation!$G$1:$G$175,"B2",Allocation!$H$1:$H$175,"ALT")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SUMIFS(Allocation!$I$1:$I$175,Allocation!$C$1:$C$175,"2026",Allocation!$D$1:$D$175,"MBWAY_PAR",Allocation!$F$1:$F$175,"BAC_MGT",Allocation!$G$1:$G$175,"B3",Allocation!$H$1:$H$175,"ALT")</f>
        <v>0</v>
      </c>
      <c r="D22" s="84">
        <f>SUMIFS(Allocation!$K$1:$K$175,Allocation!$C$1:$C$175,"2026",Allocation!$D$1:$D$175,"MBWAY_PAR",Allocation!$F$1:$F$175,"BAC_MGT",Allocation!$G$1:$G$175,"B3",Allocation!$H$1:$H$175,"ALT")</f>
        <v>0</v>
      </c>
      <c r="E22" s="84">
        <f>SUMIFS(Allocation!$V$1:$V$175,Allocation!$C$1:$C$175,"2026",Allocation!$D$1:$D$175,"MBWAY_PAR",Allocation!$F$1:$F$175,"BAC_MGT",Allocation!$G$1:$G$175,"B3",Allocation!$H$1:$H$175,"ALT")</f>
        <v>0</v>
      </c>
      <c r="F22" s="84">
        <f>SUMIFS(Allocation!$W$1:$W$175,Allocation!$C$1:$C$175,"2026",Allocation!$D$1:$D$175,"MBWAY_PAR",Allocation!$F$1:$F$175,"BAC_MGT",Allocation!$G$1:$G$175,"B3",Allocation!$H$1:$H$175,"ALT")</f>
        <v>0</v>
      </c>
      <c r="G22" s="84">
        <f>SUMIFS(Allocation!$X$1:$X$175,Allocation!$C$1:$C$175,"2026",Allocation!$D$1:$D$175,"MBWAY_PAR",Allocation!$F$1:$F$175,"BAC_MGT",Allocation!$G$1:$G$175,"B3",Allocation!$H$1:$H$175,"ALT")</f>
        <v>0</v>
      </c>
      <c r="H22" s="84">
        <f>SUMIFS(Allocation!$Y$1:$Y$175,Allocation!$C$1:$C$175,"2026",Allocation!$D$1:$D$175,"MBWAY_PAR",Allocation!$F$1:$F$175,"BAC_MGT",Allocation!$G$1:$G$175,"B3",Allocation!$H$1:$H$175,"ALT")</f>
        <v>0</v>
      </c>
      <c r="I22" s="84">
        <f>SUMIFS(Allocation!$AC$1:$AC$175,Allocation!$C$1:$C$175,"2026",Allocation!$D$1:$D$175,"MBWAY_PAR",Allocation!$F$1:$F$175,"BAC_MGT",Allocation!$G$1:$G$175,"B3",Allocation!$H$1:$H$175,"ALT")</f>
        <v>0</v>
      </c>
      <c r="J22" s="84">
        <f>SUMIFS(Allocation!$Z$1:$Z$175,Allocation!$C$1:$C$175,"2026",Allocation!$D$1:$D$175,"MBWAY_PAR",Allocation!$F$1:$F$175,"BAC_MGT",Allocation!$G$1:$G$175,"B3",Allocation!$H$1:$H$175,"ALT")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SUMIFS(Allocation!$AA$1:$AA$175,Allocation!$C$1:$C$175,"2026",Allocation!$D$1:$D$175,"MBWAY_PAR",Allocation!$F$1:$F$175,"BAC_MGT",Allocation!$G$1:$G$175,"B3",Allocation!$H$1:$H$175,"ALT")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SUMIFS(Allocation!$I$1:$I$175,Allocation!$C$1:$C$175,"2026",Allocation!$D$1:$D$175,"MBWAY_PAR",Allocation!$F$1:$F$175,"MAS_MGT",Allocation!$G$1:$G$175,"M1",Allocation!$H$1:$H$175,"ALT")</f>
        <v>0</v>
      </c>
      <c r="D23" s="84">
        <f>SUMIFS(Allocation!$K$1:$K$175,Allocation!$C$1:$C$175,"2026",Allocation!$D$1:$D$175,"MBWAY_PAR",Allocation!$F$1:$F$175,"MAS_MGT",Allocation!$G$1:$G$175,"M1",Allocation!$H$1:$H$175,"ALT")</f>
        <v>0</v>
      </c>
      <c r="E23" s="84">
        <f>SUMIFS(Allocation!$V$1:$V$175,Allocation!$C$1:$C$175,"2026",Allocation!$D$1:$D$175,"MBWAY_PAR",Allocation!$F$1:$F$175,"MAS_MGT",Allocation!$G$1:$G$175,"M1",Allocation!$H$1:$H$175,"ALT")</f>
        <v>0</v>
      </c>
      <c r="F23" s="84">
        <f>SUMIFS(Allocation!$W$1:$W$175,Allocation!$C$1:$C$175,"2026",Allocation!$D$1:$D$175,"MBWAY_PAR",Allocation!$F$1:$F$175,"MAS_MGT",Allocation!$G$1:$G$175,"M1",Allocation!$H$1:$H$175,"ALT")</f>
        <v>0</v>
      </c>
      <c r="G23" s="84">
        <f>SUMIFS(Allocation!$X$1:$X$175,Allocation!$C$1:$C$175,"2026",Allocation!$D$1:$D$175,"MBWAY_PAR",Allocation!$F$1:$F$175,"MAS_MGT",Allocation!$G$1:$G$175,"M1",Allocation!$H$1:$H$175,"ALT")</f>
        <v>0</v>
      </c>
      <c r="H23" s="84">
        <f>SUMIFS(Allocation!$Y$1:$Y$175,Allocation!$C$1:$C$175,"2026",Allocation!$D$1:$D$175,"MBWAY_PAR",Allocation!$F$1:$F$175,"MAS_MGT",Allocation!$G$1:$G$175,"M1",Allocation!$H$1:$H$175,"ALT")</f>
        <v>0</v>
      </c>
      <c r="I23" s="84">
        <f>SUMIFS(Allocation!$AC$1:$AC$175,Allocation!$C$1:$C$175,"2026",Allocation!$D$1:$D$175,"MBWAY_PAR",Allocation!$F$1:$F$175,"MAS_MGT",Allocation!$G$1:$G$175,"M1",Allocation!$H$1:$H$175,"ALT")</f>
        <v>0</v>
      </c>
      <c r="J23" s="84">
        <f>SUMIFS(Allocation!$Z$1:$Z$175,Allocation!$C$1:$C$175,"2026",Allocation!$D$1:$D$175,"MBWAY_PAR",Allocation!$F$1:$F$175,"MAS_MGT",Allocation!$G$1:$G$175,"M1",Allocation!$H$1:$H$175,"ALT")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SUMIFS(Allocation!$AA$1:$AA$175,Allocation!$C$1:$C$175,"2026",Allocation!$D$1:$D$175,"MBWAY_PAR",Allocation!$F$1:$F$175,"MAS_MGT",Allocation!$G$1:$G$175,"M1",Allocation!$H$1:$H$175,"ALT")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SUMIFS(Allocation!$I$1:$I$175,Allocation!$C$1:$C$175,"2026",Allocation!$D$1:$D$175,"MBWAY_PAR",Allocation!$F$1:$F$175,"MAS_MGT",Allocation!$G$1:$G$175,"M2",Allocation!$H$1:$H$175,"ALT")</f>
        <v>0</v>
      </c>
      <c r="D24" s="84">
        <f>SUMIFS(Allocation!$K$1:$K$175,Allocation!$C$1:$C$175,"2026",Allocation!$D$1:$D$175,"MBWAY_PAR",Allocation!$F$1:$F$175,"MAS_MGT",Allocation!$G$1:$G$175,"M2",Allocation!$H$1:$H$175,"ALT")</f>
        <v>0</v>
      </c>
      <c r="E24" s="84">
        <f>SUMIFS(Allocation!$V$1:$V$175,Allocation!$C$1:$C$175,"2026",Allocation!$D$1:$D$175,"MBWAY_PAR",Allocation!$F$1:$F$175,"MAS_MGT",Allocation!$G$1:$G$175,"M2",Allocation!$H$1:$H$175,"ALT")</f>
        <v>0</v>
      </c>
      <c r="F24" s="84">
        <f>SUMIFS(Allocation!$W$1:$W$175,Allocation!$C$1:$C$175,"2026",Allocation!$D$1:$D$175,"MBWAY_PAR",Allocation!$F$1:$F$175,"MAS_MGT",Allocation!$G$1:$G$175,"M2",Allocation!$H$1:$H$175,"ALT")</f>
        <v>0</v>
      </c>
      <c r="G24" s="84">
        <f>SUMIFS(Allocation!$X$1:$X$175,Allocation!$C$1:$C$175,"2026",Allocation!$D$1:$D$175,"MBWAY_PAR",Allocation!$F$1:$F$175,"MAS_MGT",Allocation!$G$1:$G$175,"M2",Allocation!$H$1:$H$175,"ALT")</f>
        <v>0</v>
      </c>
      <c r="H24" s="84">
        <f>SUMIFS(Allocation!$Y$1:$Y$175,Allocation!$C$1:$C$175,"2026",Allocation!$D$1:$D$175,"MBWAY_PAR",Allocation!$F$1:$F$175,"MAS_MGT",Allocation!$G$1:$G$175,"M2",Allocation!$H$1:$H$175,"ALT")</f>
        <v>0</v>
      </c>
      <c r="I24" s="84">
        <f>SUMIFS(Allocation!$AC$1:$AC$175,Allocation!$C$1:$C$175,"2026",Allocation!$D$1:$D$175,"MBWAY_PAR",Allocation!$F$1:$F$175,"MAS_MGT",Allocation!$G$1:$G$175,"M2",Allocation!$H$1:$H$175,"ALT")</f>
        <v>0</v>
      </c>
      <c r="J24" s="84">
        <f>SUMIFS(Allocation!$Z$1:$Z$175,Allocation!$C$1:$C$175,"2026",Allocation!$D$1:$D$175,"MBWAY_PAR",Allocation!$F$1:$F$175,"MAS_MGT",Allocation!$G$1:$G$175,"M2",Allocation!$H$1:$H$175,"ALT")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SUMIFS(Allocation!$AA$1:$AA$175,Allocation!$C$1:$C$175,"2026",Allocation!$D$1:$D$175,"MBWAY_PAR",Allocation!$F$1:$F$175,"MAS_MGT",Allocation!$G$1:$G$175,"M2",Allocation!$H$1:$H$175,"ALT")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SUMIFS(Allocation!$I$1:$I$175,Allocation!$C$1:$C$175,"2026",Allocation!$D$1:$D$175,"MBWAY_LYO")</f>
        <v>0</v>
      </c>
      <c r="D25" s="123">
        <f>SUMIFS(Allocation!$K$1:$K$175,Allocation!$C$1:$C$175,"2026",Allocation!$D$1:$D$175,"MBWAY_LYO")</f>
        <v>0</v>
      </c>
      <c r="E25" s="123">
        <f>SUMIFS(Allocation!$V$1:$V$175,Allocation!$C$1:$C$175,"2026",Allocation!$D$1:$D$175,"MBWAY_LYO")</f>
        <v>0</v>
      </c>
      <c r="F25" s="123">
        <f>SUMIFS(Allocation!$W$1:$W$175,Allocation!$C$1:$C$175,"2026",Allocation!$D$1:$D$175,"MBWAY_LYO")</f>
        <v>0</v>
      </c>
      <c r="G25" s="123">
        <f>SUMIFS(Allocation!$X$1:$X$175,Allocation!$C$1:$C$175,"2026",Allocation!$D$1:$D$175,"MBWAY_LYO")</f>
        <v>0</v>
      </c>
      <c r="H25" s="123">
        <f>SUMIFS(Allocation!$Y$1:$Y$175,Allocation!$C$1:$C$175,"2026",Allocation!$D$1:$D$175,"MBWAY_LYO")</f>
        <v>0</v>
      </c>
      <c r="I25" s="123">
        <f>SUMIFS(Allocation!$AC$1:$AC$175,Allocation!$C$1:$C$175,"2026",Allocation!$D$1:$D$175,"MBWAY_LYO")</f>
        <v>0</v>
      </c>
      <c r="J25" s="123">
        <f>SUMIFS(Allocation!$Z$1:$Z$175,Allocation!$C$1:$C$175,"2026",Allocation!$D$1:$D$175,"MBWAY_LYO")</f>
        <v>0</v>
      </c>
      <c r="K25" s="123">
        <f t="shared" si="0"/>
        <v>0</v>
      </c>
      <c r="L25" s="130">
        <f>SUMIFS(Allocation!$AA$1:$AA$175,Allocation!$C$1:$C$175,"2026",Allocation!$D$1:$D$175,"MBWAY_LYO")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SUMIFS(Allocation!$I$1:$I$175,Allocation!$C$1:$C$175,"2026",Allocation!$D$1:$D$175,"MBWAY_LYO",Allocation!$F$1:$F$175,"BAC_MGT",Allocation!$G$1:$G$175,"B1",Allocation!$H$1:$H$175,"INIT")</f>
        <v>0</v>
      </c>
      <c r="D26" s="84">
        <f>SUMIFS(Allocation!$K$1:$K$175,Allocation!$C$1:$C$175,"2026",Allocation!$D$1:$D$175,"MBWAY_LYO",Allocation!$F$1:$F$175,"BAC_MGT",Allocation!$G$1:$G$175,"B1",Allocation!$H$1:$H$175,"INIT")</f>
        <v>0</v>
      </c>
      <c r="E26" s="84">
        <f>SUMIFS(Allocation!$V$1:$V$175,Allocation!$C$1:$C$175,"2026",Allocation!$D$1:$D$175,"MBWAY_LYO",Allocation!$F$1:$F$175,"BAC_MGT",Allocation!$G$1:$G$175,"B1",Allocation!$H$1:$H$175,"INIT")</f>
        <v>0</v>
      </c>
      <c r="F26" s="84">
        <f>SUMIFS(Allocation!$W$1:$W$175,Allocation!$C$1:$C$175,"2026",Allocation!$D$1:$D$175,"MBWAY_LYO",Allocation!$F$1:$F$175,"BAC_MGT",Allocation!$G$1:$G$175,"B1",Allocation!$H$1:$H$175,"INIT")</f>
        <v>0</v>
      </c>
      <c r="G26" s="84">
        <f>SUMIFS(Allocation!$X$1:$X$175,Allocation!$C$1:$C$175,"2026",Allocation!$D$1:$D$175,"MBWAY_LYO",Allocation!$F$1:$F$175,"BAC_MGT",Allocation!$G$1:$G$175,"B1",Allocation!$H$1:$H$175,"INIT")</f>
        <v>0</v>
      </c>
      <c r="H26" s="84">
        <f>SUMIFS(Allocation!$Y$1:$Y$175,Allocation!$C$1:$C$175,"2026",Allocation!$D$1:$D$175,"MBWAY_LYO",Allocation!$F$1:$F$175,"BAC_MGT",Allocation!$G$1:$G$175,"B1",Allocation!$H$1:$H$175,"INIT")</f>
        <v>0</v>
      </c>
      <c r="I26" s="84">
        <f>SUMIFS(Allocation!$AC$1:$AC$175,Allocation!$C$1:$C$175,"2026",Allocation!$D$1:$D$175,"MBWAY_LYO",Allocation!$F$1:$F$175,"BAC_MGT",Allocation!$G$1:$G$175,"B1",Allocation!$H$1:$H$175,"INIT")</f>
        <v>0</v>
      </c>
      <c r="J26" s="84">
        <f>SUMIFS(Allocation!$Z$1:$Z$175,Allocation!$C$1:$C$175,"2026",Allocation!$D$1:$D$175,"MBWAY_LYO",Allocation!$F$1:$F$175,"BAC_MGT",Allocation!$G$1:$G$175,"B1",Allocation!$H$1:$H$175,"INIT")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SUMIFS(Allocation!$AA$1:$AA$175,Allocation!$C$1:$C$175,"2026",Allocation!$D$1:$D$175,"MBWAY_LYO",Allocation!$F$1:$F$175,"BAC_MGT",Allocation!$G$1:$G$175,"B1",Allocation!$H$1:$H$175,"INIT")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SUMIFS(Allocation!$I$1:$I$175,Allocation!$C$1:$C$175,"2026",Allocation!$D$1:$D$175,"MBWAY_LYO",Allocation!$F$1:$F$175,"BAC_MGT",Allocation!$G$1:$G$175,"B2",Allocation!$H$1:$H$175,"ALT")</f>
        <v>0</v>
      </c>
      <c r="D27" s="84">
        <f>SUMIFS(Allocation!$K$1:$K$175,Allocation!$C$1:$C$175,"2026",Allocation!$D$1:$D$175,"MBWAY_LYO",Allocation!$F$1:$F$175,"BAC_MGT",Allocation!$G$1:$G$175,"B2",Allocation!$H$1:$H$175,"ALT")</f>
        <v>0</v>
      </c>
      <c r="E27" s="84">
        <f>SUMIFS(Allocation!$V$1:$V$175,Allocation!$C$1:$C$175,"2026",Allocation!$D$1:$D$175,"MBWAY_LYO",Allocation!$F$1:$F$175,"BAC_MGT",Allocation!$G$1:$G$175,"B2",Allocation!$H$1:$H$175,"ALT")</f>
        <v>0</v>
      </c>
      <c r="F27" s="84">
        <f>SUMIFS(Allocation!$W$1:$W$175,Allocation!$C$1:$C$175,"2026",Allocation!$D$1:$D$175,"MBWAY_LYO",Allocation!$F$1:$F$175,"BAC_MGT",Allocation!$G$1:$G$175,"B2",Allocation!$H$1:$H$175,"ALT")</f>
        <v>0</v>
      </c>
      <c r="G27" s="84">
        <f>SUMIFS(Allocation!$X$1:$X$175,Allocation!$C$1:$C$175,"2026",Allocation!$D$1:$D$175,"MBWAY_LYO",Allocation!$F$1:$F$175,"BAC_MGT",Allocation!$G$1:$G$175,"B2",Allocation!$H$1:$H$175,"ALT")</f>
        <v>0</v>
      </c>
      <c r="H27" s="84">
        <f>SUMIFS(Allocation!$Y$1:$Y$175,Allocation!$C$1:$C$175,"2026",Allocation!$D$1:$D$175,"MBWAY_LYO",Allocation!$F$1:$F$175,"BAC_MGT",Allocation!$G$1:$G$175,"B2",Allocation!$H$1:$H$175,"ALT")</f>
        <v>0</v>
      </c>
      <c r="I27" s="84">
        <f>SUMIFS(Allocation!$AC$1:$AC$175,Allocation!$C$1:$C$175,"2026",Allocation!$D$1:$D$175,"MBWAY_LYO",Allocation!$F$1:$F$175,"BAC_MGT",Allocation!$G$1:$G$175,"B2",Allocation!$H$1:$H$175,"ALT")</f>
        <v>0</v>
      </c>
      <c r="J27" s="84">
        <f>SUMIFS(Allocation!$Z$1:$Z$175,Allocation!$C$1:$C$175,"2026",Allocation!$D$1:$D$175,"MBWAY_LYO",Allocation!$F$1:$F$175,"BAC_MGT",Allocation!$G$1:$G$175,"B2",Allocation!$H$1:$H$175,"ALT")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SUMIFS(Allocation!$AA$1:$AA$175,Allocation!$C$1:$C$175,"2026",Allocation!$D$1:$D$175,"MBWAY_LYO",Allocation!$F$1:$F$175,"BAC_MGT",Allocation!$G$1:$G$175,"B2",Allocation!$H$1:$H$175,"ALT")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SUMIFS(Allocation!$I$1:$I$175,Allocation!$C$1:$C$175,"2026",Allocation!$D$1:$D$175,"MBWAY_LYO",Allocation!$F$1:$F$175,"BAC_MGT",Allocation!$G$1:$G$175,"B3",Allocation!$H$1:$H$175,"ALT")</f>
        <v>0</v>
      </c>
      <c r="D28" s="84">
        <f>SUMIFS(Allocation!$K$1:$K$175,Allocation!$C$1:$C$175,"2026",Allocation!$D$1:$D$175,"MBWAY_LYO",Allocation!$F$1:$F$175,"BAC_MGT",Allocation!$G$1:$G$175,"B3",Allocation!$H$1:$H$175,"ALT")</f>
        <v>0</v>
      </c>
      <c r="E28" s="84">
        <f>SUMIFS(Allocation!$V$1:$V$175,Allocation!$C$1:$C$175,"2026",Allocation!$D$1:$D$175,"MBWAY_LYO",Allocation!$F$1:$F$175,"BAC_MGT",Allocation!$G$1:$G$175,"B3",Allocation!$H$1:$H$175,"ALT")</f>
        <v>0</v>
      </c>
      <c r="F28" s="84">
        <f>SUMIFS(Allocation!$W$1:$W$175,Allocation!$C$1:$C$175,"2026",Allocation!$D$1:$D$175,"MBWAY_LYO",Allocation!$F$1:$F$175,"BAC_MGT",Allocation!$G$1:$G$175,"B3",Allocation!$H$1:$H$175,"ALT")</f>
        <v>0</v>
      </c>
      <c r="G28" s="84">
        <f>SUMIFS(Allocation!$X$1:$X$175,Allocation!$C$1:$C$175,"2026",Allocation!$D$1:$D$175,"MBWAY_LYO",Allocation!$F$1:$F$175,"BAC_MGT",Allocation!$G$1:$G$175,"B3",Allocation!$H$1:$H$175,"ALT")</f>
        <v>0</v>
      </c>
      <c r="H28" s="84">
        <f>SUMIFS(Allocation!$Y$1:$Y$175,Allocation!$C$1:$C$175,"2026",Allocation!$D$1:$D$175,"MBWAY_LYO",Allocation!$F$1:$F$175,"BAC_MGT",Allocation!$G$1:$G$175,"B3",Allocation!$H$1:$H$175,"ALT")</f>
        <v>0</v>
      </c>
      <c r="I28" s="84">
        <f>SUMIFS(Allocation!$AC$1:$AC$175,Allocation!$C$1:$C$175,"2026",Allocation!$D$1:$D$175,"MBWAY_LYO",Allocation!$F$1:$F$175,"BAC_MGT",Allocation!$G$1:$G$175,"B3",Allocation!$H$1:$H$175,"ALT")</f>
        <v>0</v>
      </c>
      <c r="J28" s="84">
        <f>SUMIFS(Allocation!$Z$1:$Z$175,Allocation!$C$1:$C$175,"2026",Allocation!$D$1:$D$175,"MBWAY_LYO",Allocation!$F$1:$F$175,"BAC_MGT",Allocation!$G$1:$G$175,"B3",Allocation!$H$1:$H$175,"ALT")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SUMIFS(Allocation!$AA$1:$AA$175,Allocation!$C$1:$C$175,"2026",Allocation!$D$1:$D$175,"MBWAY_LYO",Allocation!$F$1:$F$175,"BAC_MGT",Allocation!$G$1:$G$175,"B3",Allocation!$H$1:$H$175,"ALT")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SUMIFS(Allocation!$I$1:$I$175,Allocation!$C$1:$C$175,"2026",Allocation!$D$1:$D$175,"MBWAY_LYO",Allocation!$F$1:$F$175,"MAS_MGT",Allocation!$G$1:$G$175,"M1",Allocation!$H$1:$H$175,"ALT")</f>
        <v>0</v>
      </c>
      <c r="D29" s="84">
        <f>SUMIFS(Allocation!$K$1:$K$175,Allocation!$C$1:$C$175,"2026",Allocation!$D$1:$D$175,"MBWAY_LYO",Allocation!$F$1:$F$175,"MAS_MGT",Allocation!$G$1:$G$175,"M1",Allocation!$H$1:$H$175,"ALT")</f>
        <v>0</v>
      </c>
      <c r="E29" s="84">
        <f>SUMIFS(Allocation!$V$1:$V$175,Allocation!$C$1:$C$175,"2026",Allocation!$D$1:$D$175,"MBWAY_LYO",Allocation!$F$1:$F$175,"MAS_MGT",Allocation!$G$1:$G$175,"M1",Allocation!$H$1:$H$175,"ALT")</f>
        <v>0</v>
      </c>
      <c r="F29" s="84">
        <f>SUMIFS(Allocation!$W$1:$W$175,Allocation!$C$1:$C$175,"2026",Allocation!$D$1:$D$175,"MBWAY_LYO",Allocation!$F$1:$F$175,"MAS_MGT",Allocation!$G$1:$G$175,"M1",Allocation!$H$1:$H$175,"ALT")</f>
        <v>0</v>
      </c>
      <c r="G29" s="84">
        <f>SUMIFS(Allocation!$X$1:$X$175,Allocation!$C$1:$C$175,"2026",Allocation!$D$1:$D$175,"MBWAY_LYO",Allocation!$F$1:$F$175,"MAS_MGT",Allocation!$G$1:$G$175,"M1",Allocation!$H$1:$H$175,"ALT")</f>
        <v>0</v>
      </c>
      <c r="H29" s="84">
        <f>SUMIFS(Allocation!$Y$1:$Y$175,Allocation!$C$1:$C$175,"2026",Allocation!$D$1:$D$175,"MBWAY_LYO",Allocation!$F$1:$F$175,"MAS_MGT",Allocation!$G$1:$G$175,"M1",Allocation!$H$1:$H$175,"ALT")</f>
        <v>0</v>
      </c>
      <c r="I29" s="84">
        <f>SUMIFS(Allocation!$AC$1:$AC$175,Allocation!$C$1:$C$175,"2026",Allocation!$D$1:$D$175,"MBWAY_LYO",Allocation!$F$1:$F$175,"MAS_MGT",Allocation!$G$1:$G$175,"M1",Allocation!$H$1:$H$175,"ALT")</f>
        <v>0</v>
      </c>
      <c r="J29" s="84">
        <f>SUMIFS(Allocation!$Z$1:$Z$175,Allocation!$C$1:$C$175,"2026",Allocation!$D$1:$D$175,"MBWAY_LYO",Allocation!$F$1:$F$175,"MAS_MGT",Allocation!$G$1:$G$175,"M1",Allocation!$H$1:$H$175,"ALT")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SUMIFS(Allocation!$AA$1:$AA$175,Allocation!$C$1:$C$175,"2026",Allocation!$D$1:$D$175,"MBWAY_LYO",Allocation!$F$1:$F$175,"MAS_MGT",Allocation!$G$1:$G$175,"M1",Allocation!$H$1:$H$175,"ALT")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SUMIFS(Allocation!$I$1:$I$175,Allocation!$C$1:$C$175,"2026",Allocation!$D$1:$D$175,"MBWAY_LYO",Allocation!$F$1:$F$175,"MAS_MGT",Allocation!$G$1:$G$175,"M2",Allocation!$H$1:$H$175,"ALT")</f>
        <v>0</v>
      </c>
      <c r="D30" s="84">
        <f>SUMIFS(Allocation!$K$1:$K$175,Allocation!$C$1:$C$175,"2026",Allocation!$D$1:$D$175,"MBWAY_LYO",Allocation!$F$1:$F$175,"MAS_MGT",Allocation!$G$1:$G$175,"M2",Allocation!$H$1:$H$175,"ALT")</f>
        <v>0</v>
      </c>
      <c r="E30" s="84">
        <f>SUMIFS(Allocation!$V$1:$V$175,Allocation!$C$1:$C$175,"2026",Allocation!$D$1:$D$175,"MBWAY_LYO",Allocation!$F$1:$F$175,"MAS_MGT",Allocation!$G$1:$G$175,"M2",Allocation!$H$1:$H$175,"ALT")</f>
        <v>0</v>
      </c>
      <c r="F30" s="84">
        <f>SUMIFS(Allocation!$W$1:$W$175,Allocation!$C$1:$C$175,"2026",Allocation!$D$1:$D$175,"MBWAY_LYO",Allocation!$F$1:$F$175,"MAS_MGT",Allocation!$G$1:$G$175,"M2",Allocation!$H$1:$H$175,"ALT")</f>
        <v>0</v>
      </c>
      <c r="G30" s="84">
        <f>SUMIFS(Allocation!$X$1:$X$175,Allocation!$C$1:$C$175,"2026",Allocation!$D$1:$D$175,"MBWAY_LYO",Allocation!$F$1:$F$175,"MAS_MGT",Allocation!$G$1:$G$175,"M2",Allocation!$H$1:$H$175,"ALT")</f>
        <v>0</v>
      </c>
      <c r="H30" s="84">
        <f>SUMIFS(Allocation!$Y$1:$Y$175,Allocation!$C$1:$C$175,"2026",Allocation!$D$1:$D$175,"MBWAY_LYO",Allocation!$F$1:$F$175,"MAS_MGT",Allocation!$G$1:$G$175,"M2",Allocation!$H$1:$H$175,"ALT")</f>
        <v>0</v>
      </c>
      <c r="I30" s="84">
        <f>SUMIFS(Allocation!$AC$1:$AC$175,Allocation!$C$1:$C$175,"2026",Allocation!$D$1:$D$175,"MBWAY_LYO",Allocation!$F$1:$F$175,"MAS_MGT",Allocation!$G$1:$G$175,"M2",Allocation!$H$1:$H$175,"ALT")</f>
        <v>0</v>
      </c>
      <c r="J30" s="84">
        <f>SUMIFS(Allocation!$Z$1:$Z$175,Allocation!$C$1:$C$175,"2026",Allocation!$D$1:$D$175,"MBWAY_LYO",Allocation!$F$1:$F$175,"MAS_MGT",Allocation!$G$1:$G$175,"M2",Allocation!$H$1:$H$175,"ALT")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SUMIFS(Allocation!$AA$1:$AA$175,Allocation!$C$1:$C$175,"2026",Allocation!$D$1:$D$175,"MBWAY_LYO",Allocation!$F$1:$F$175,"MAS_MGT",Allocation!$G$1:$G$175,"M2",Allocation!$H$1:$H$175,"ALT")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SUMIFS(Allocation!$I$1:$I$175,Allocation!$C$1:$C$175,"2026",Allocation!$D$1:$D$175,"MBWAY_NAN")</f>
        <v>0</v>
      </c>
      <c r="D31" s="123">
        <f>SUMIFS(Allocation!$K$1:$K$175,Allocation!$C$1:$C$175,"2026",Allocation!$D$1:$D$175,"MBWAY_NAN")</f>
        <v>0</v>
      </c>
      <c r="E31" s="123">
        <f>SUMIFS(Allocation!$V$1:$V$175,Allocation!$C$1:$C$175,"2026",Allocation!$D$1:$D$175,"MBWAY_NAN")</f>
        <v>0</v>
      </c>
      <c r="F31" s="123">
        <f>SUMIFS(Allocation!$W$1:$W$175,Allocation!$C$1:$C$175,"2026",Allocation!$D$1:$D$175,"MBWAY_NAN")</f>
        <v>0</v>
      </c>
      <c r="G31" s="123">
        <f>SUMIFS(Allocation!$X$1:$X$175,Allocation!$C$1:$C$175,"2026",Allocation!$D$1:$D$175,"MBWAY_NAN")</f>
        <v>0</v>
      </c>
      <c r="H31" s="123">
        <f>SUMIFS(Allocation!$Y$1:$Y$175,Allocation!$C$1:$C$175,"2026",Allocation!$D$1:$D$175,"MBWAY_NAN")</f>
        <v>0</v>
      </c>
      <c r="I31" s="123">
        <f>SUMIFS(Allocation!$AC$1:$AC$175,Allocation!$C$1:$C$175,"2026",Allocation!$D$1:$D$175,"MBWAY_NAN")</f>
        <v>0</v>
      </c>
      <c r="J31" s="123">
        <f>SUMIFS(Allocation!$Z$1:$Z$175,Allocation!$C$1:$C$175,"2026",Allocation!$D$1:$D$175,"MBWAY_NAN")</f>
        <v>0</v>
      </c>
      <c r="K31" s="123">
        <f t="shared" si="0"/>
        <v>0</v>
      </c>
      <c r="L31" s="130">
        <f>SUMIFS(Allocation!$AA$1:$AA$175,Allocation!$C$1:$C$175,"2026",Allocation!$D$1:$D$175,"MBWAY_NAN")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SUMIFS(Allocation!$I$1:$I$175,Allocation!$C$1:$C$175,"2026",Allocation!$D$1:$D$175,"MBWAY_NAN",Allocation!$F$1:$F$175,"BAC_MGT",Allocation!$G$1:$G$175,"B1",Allocation!$H$1:$H$175,"INIT")</f>
        <v>0</v>
      </c>
      <c r="D32" s="84">
        <f>SUMIFS(Allocation!$K$1:$K$175,Allocation!$C$1:$C$175,"2026",Allocation!$D$1:$D$175,"MBWAY_NAN",Allocation!$F$1:$F$175,"BAC_MGT",Allocation!$G$1:$G$175,"B1",Allocation!$H$1:$H$175,"INIT")</f>
        <v>0</v>
      </c>
      <c r="E32" s="84">
        <f>SUMIFS(Allocation!$V$1:$V$175,Allocation!$C$1:$C$175,"2026",Allocation!$D$1:$D$175,"MBWAY_NAN",Allocation!$F$1:$F$175,"BAC_MGT",Allocation!$G$1:$G$175,"B1",Allocation!$H$1:$H$175,"INIT")</f>
        <v>0</v>
      </c>
      <c r="F32" s="84">
        <f>SUMIFS(Allocation!$W$1:$W$175,Allocation!$C$1:$C$175,"2026",Allocation!$D$1:$D$175,"MBWAY_NAN",Allocation!$F$1:$F$175,"BAC_MGT",Allocation!$G$1:$G$175,"B1",Allocation!$H$1:$H$175,"INIT")</f>
        <v>0</v>
      </c>
      <c r="G32" s="84">
        <f>SUMIFS(Allocation!$X$1:$X$175,Allocation!$C$1:$C$175,"2026",Allocation!$D$1:$D$175,"MBWAY_NAN",Allocation!$F$1:$F$175,"BAC_MGT",Allocation!$G$1:$G$175,"B1",Allocation!$H$1:$H$175,"INIT")</f>
        <v>0</v>
      </c>
      <c r="H32" s="84">
        <f>SUMIFS(Allocation!$Y$1:$Y$175,Allocation!$C$1:$C$175,"2026",Allocation!$D$1:$D$175,"MBWAY_NAN",Allocation!$F$1:$F$175,"BAC_MGT",Allocation!$G$1:$G$175,"B1",Allocation!$H$1:$H$175,"INIT")</f>
        <v>0</v>
      </c>
      <c r="I32" s="84">
        <f>SUMIFS(Allocation!$AC$1:$AC$175,Allocation!$C$1:$C$175,"2026",Allocation!$D$1:$D$175,"MBWAY_NAN",Allocation!$F$1:$F$175,"BAC_MGT",Allocation!$G$1:$G$175,"B1",Allocation!$H$1:$H$175,"INIT")</f>
        <v>0</v>
      </c>
      <c r="J32" s="84">
        <f>SUMIFS(Allocation!$Z$1:$Z$175,Allocation!$C$1:$C$175,"2026",Allocation!$D$1:$D$175,"MBWAY_NAN",Allocation!$F$1:$F$175,"BAC_MGT",Allocation!$G$1:$G$175,"B1",Allocation!$H$1:$H$175,"INIT")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SUMIFS(Allocation!$AA$1:$AA$175,Allocation!$C$1:$C$175,"2026",Allocation!$D$1:$D$175,"MBWAY_NAN",Allocation!$F$1:$F$175,"BAC_MGT",Allocation!$G$1:$G$175,"B1",Allocation!$H$1:$H$175,"INIT")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SUMIFS(Allocation!$I$1:$I$175,Allocation!$C$1:$C$175,"2026",Allocation!$D$1:$D$175,"MBWAY_NAN",Allocation!$F$1:$F$175,"BAC_MGT",Allocation!$G$1:$G$175,"B2",Allocation!$H$1:$H$175,"ALT")</f>
        <v>0</v>
      </c>
      <c r="D33" s="84">
        <f>SUMIFS(Allocation!$K$1:$K$175,Allocation!$C$1:$C$175,"2026",Allocation!$D$1:$D$175,"MBWAY_NAN",Allocation!$F$1:$F$175,"BAC_MGT",Allocation!$G$1:$G$175,"B2",Allocation!$H$1:$H$175,"ALT")</f>
        <v>0</v>
      </c>
      <c r="E33" s="84">
        <f>SUMIFS(Allocation!$V$1:$V$175,Allocation!$C$1:$C$175,"2026",Allocation!$D$1:$D$175,"MBWAY_NAN",Allocation!$F$1:$F$175,"BAC_MGT",Allocation!$G$1:$G$175,"B2",Allocation!$H$1:$H$175,"ALT")</f>
        <v>0</v>
      </c>
      <c r="F33" s="84">
        <f>SUMIFS(Allocation!$W$1:$W$175,Allocation!$C$1:$C$175,"2026",Allocation!$D$1:$D$175,"MBWAY_NAN",Allocation!$F$1:$F$175,"BAC_MGT",Allocation!$G$1:$G$175,"B2",Allocation!$H$1:$H$175,"ALT")</f>
        <v>0</v>
      </c>
      <c r="G33" s="84">
        <f>SUMIFS(Allocation!$X$1:$X$175,Allocation!$C$1:$C$175,"2026",Allocation!$D$1:$D$175,"MBWAY_NAN",Allocation!$F$1:$F$175,"BAC_MGT",Allocation!$G$1:$G$175,"B2",Allocation!$H$1:$H$175,"ALT")</f>
        <v>0</v>
      </c>
      <c r="H33" s="84">
        <f>SUMIFS(Allocation!$Y$1:$Y$175,Allocation!$C$1:$C$175,"2026",Allocation!$D$1:$D$175,"MBWAY_NAN",Allocation!$F$1:$F$175,"BAC_MGT",Allocation!$G$1:$G$175,"B2",Allocation!$H$1:$H$175,"ALT")</f>
        <v>0</v>
      </c>
      <c r="I33" s="84">
        <f>SUMIFS(Allocation!$AC$1:$AC$175,Allocation!$C$1:$C$175,"2026",Allocation!$D$1:$D$175,"MBWAY_NAN",Allocation!$F$1:$F$175,"BAC_MGT",Allocation!$G$1:$G$175,"B2",Allocation!$H$1:$H$175,"ALT")</f>
        <v>0</v>
      </c>
      <c r="J33" s="84">
        <f>SUMIFS(Allocation!$Z$1:$Z$175,Allocation!$C$1:$C$175,"2026",Allocation!$D$1:$D$175,"MBWAY_NAN",Allocation!$F$1:$F$175,"BAC_MGT",Allocation!$G$1:$G$175,"B2",Allocation!$H$1:$H$175,"ALT")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SUMIFS(Allocation!$AA$1:$AA$175,Allocation!$C$1:$C$175,"2026",Allocation!$D$1:$D$175,"MBWAY_NAN",Allocation!$F$1:$F$175,"BAC_MGT",Allocation!$G$1:$G$175,"B2",Allocation!$H$1:$H$175,"ALT")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SUMIFS(Allocation!$I$1:$I$175,Allocation!$C$1:$C$175,"2026",Allocation!$D$1:$D$175,"MBWAY_NAN",Allocation!$F$1:$F$175,"BAC_MGT",Allocation!$G$1:$G$175,"B3",Allocation!$H$1:$H$175,"ALT")</f>
        <v>0</v>
      </c>
      <c r="D34" s="84">
        <f>SUMIFS(Allocation!$K$1:$K$175,Allocation!$C$1:$C$175,"2026",Allocation!$D$1:$D$175,"MBWAY_NAN",Allocation!$F$1:$F$175,"BAC_MGT",Allocation!$G$1:$G$175,"B3",Allocation!$H$1:$H$175,"ALT")</f>
        <v>0</v>
      </c>
      <c r="E34" s="84">
        <f>SUMIFS(Allocation!$V$1:$V$175,Allocation!$C$1:$C$175,"2026",Allocation!$D$1:$D$175,"MBWAY_NAN",Allocation!$F$1:$F$175,"BAC_MGT",Allocation!$G$1:$G$175,"B3",Allocation!$H$1:$H$175,"ALT")</f>
        <v>0</v>
      </c>
      <c r="F34" s="84">
        <f>SUMIFS(Allocation!$W$1:$W$175,Allocation!$C$1:$C$175,"2026",Allocation!$D$1:$D$175,"MBWAY_NAN",Allocation!$F$1:$F$175,"BAC_MGT",Allocation!$G$1:$G$175,"B3",Allocation!$H$1:$H$175,"ALT")</f>
        <v>0</v>
      </c>
      <c r="G34" s="84">
        <f>SUMIFS(Allocation!$X$1:$X$175,Allocation!$C$1:$C$175,"2026",Allocation!$D$1:$D$175,"MBWAY_NAN",Allocation!$F$1:$F$175,"BAC_MGT",Allocation!$G$1:$G$175,"B3",Allocation!$H$1:$H$175,"ALT")</f>
        <v>0</v>
      </c>
      <c r="H34" s="84">
        <f>SUMIFS(Allocation!$Y$1:$Y$175,Allocation!$C$1:$C$175,"2026",Allocation!$D$1:$D$175,"MBWAY_NAN",Allocation!$F$1:$F$175,"BAC_MGT",Allocation!$G$1:$G$175,"B3",Allocation!$H$1:$H$175,"ALT")</f>
        <v>0</v>
      </c>
      <c r="I34" s="84">
        <f>SUMIFS(Allocation!$AC$1:$AC$175,Allocation!$C$1:$C$175,"2026",Allocation!$D$1:$D$175,"MBWAY_NAN",Allocation!$F$1:$F$175,"BAC_MGT",Allocation!$G$1:$G$175,"B3",Allocation!$H$1:$H$175,"ALT")</f>
        <v>0</v>
      </c>
      <c r="J34" s="84">
        <f>SUMIFS(Allocation!$Z$1:$Z$175,Allocation!$C$1:$C$175,"2026",Allocation!$D$1:$D$175,"MBWAY_NAN",Allocation!$F$1:$F$175,"BAC_MGT",Allocation!$G$1:$G$175,"B3",Allocation!$H$1:$H$175,"ALT")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SUMIFS(Allocation!$AA$1:$AA$175,Allocation!$C$1:$C$175,"2026",Allocation!$D$1:$D$175,"MBWAY_NAN",Allocation!$F$1:$F$175,"BAC_MGT",Allocation!$G$1:$G$175,"B3",Allocation!$H$1:$H$175,"ALT")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SUMIFS(Allocation!$I$1:$I$175,Allocation!$C$1:$C$175,"2026",Allocation!$D$1:$D$175,"MBWAY_NAN",Allocation!$F$1:$F$175,"MAS_MGT",Allocation!$G$1:$G$175,"M1",Allocation!$H$1:$H$175,"ALT")</f>
        <v>0</v>
      </c>
      <c r="D35" s="84">
        <f>SUMIFS(Allocation!$K$1:$K$175,Allocation!$C$1:$C$175,"2026",Allocation!$D$1:$D$175,"MBWAY_NAN",Allocation!$F$1:$F$175,"MAS_MGT",Allocation!$G$1:$G$175,"M1",Allocation!$H$1:$H$175,"ALT")</f>
        <v>0</v>
      </c>
      <c r="E35" s="84">
        <f>SUMIFS(Allocation!$V$1:$V$175,Allocation!$C$1:$C$175,"2026",Allocation!$D$1:$D$175,"MBWAY_NAN",Allocation!$F$1:$F$175,"MAS_MGT",Allocation!$G$1:$G$175,"M1",Allocation!$H$1:$H$175,"ALT")</f>
        <v>0</v>
      </c>
      <c r="F35" s="84">
        <f>SUMIFS(Allocation!$W$1:$W$175,Allocation!$C$1:$C$175,"2026",Allocation!$D$1:$D$175,"MBWAY_NAN",Allocation!$F$1:$F$175,"MAS_MGT",Allocation!$G$1:$G$175,"M1",Allocation!$H$1:$H$175,"ALT")</f>
        <v>0</v>
      </c>
      <c r="G35" s="84">
        <f>SUMIFS(Allocation!$X$1:$X$175,Allocation!$C$1:$C$175,"2026",Allocation!$D$1:$D$175,"MBWAY_NAN",Allocation!$F$1:$F$175,"MAS_MGT",Allocation!$G$1:$G$175,"M1",Allocation!$H$1:$H$175,"ALT")</f>
        <v>0</v>
      </c>
      <c r="H35" s="84">
        <f>SUMIFS(Allocation!$Y$1:$Y$175,Allocation!$C$1:$C$175,"2026",Allocation!$D$1:$D$175,"MBWAY_NAN",Allocation!$F$1:$F$175,"MAS_MGT",Allocation!$G$1:$G$175,"M1",Allocation!$H$1:$H$175,"ALT")</f>
        <v>0</v>
      </c>
      <c r="I35" s="84">
        <f>SUMIFS(Allocation!$AC$1:$AC$175,Allocation!$C$1:$C$175,"2026",Allocation!$D$1:$D$175,"MBWAY_NAN",Allocation!$F$1:$F$175,"MAS_MGT",Allocation!$G$1:$G$175,"M1",Allocation!$H$1:$H$175,"ALT")</f>
        <v>0</v>
      </c>
      <c r="J35" s="84">
        <f>SUMIFS(Allocation!$Z$1:$Z$175,Allocation!$C$1:$C$175,"2026",Allocation!$D$1:$D$175,"MBWAY_NAN",Allocation!$F$1:$F$175,"MAS_MGT",Allocation!$G$1:$G$175,"M1",Allocation!$H$1:$H$175,"ALT")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SUMIFS(Allocation!$AA$1:$AA$175,Allocation!$C$1:$C$175,"2026",Allocation!$D$1:$D$175,"MBWAY_NAN",Allocation!$F$1:$F$175,"MAS_MGT",Allocation!$G$1:$G$175,"M1",Allocation!$H$1:$H$175,"ALT")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SUMIFS(Allocation!$I$1:$I$175,Allocation!$C$1:$C$175,"2026",Allocation!$D$1:$D$175,"MBWAY_NAN",Allocation!$F$1:$F$175,"MAS_MGT",Allocation!$G$1:$G$175,"M2",Allocation!$H$1:$H$175,"ALT")</f>
        <v>0</v>
      </c>
      <c r="D36" s="84">
        <f>SUMIFS(Allocation!$K$1:$K$175,Allocation!$C$1:$C$175,"2026",Allocation!$D$1:$D$175,"MBWAY_NAN",Allocation!$F$1:$F$175,"MAS_MGT",Allocation!$G$1:$G$175,"M2",Allocation!$H$1:$H$175,"ALT")</f>
        <v>0</v>
      </c>
      <c r="E36" s="84">
        <f>SUMIFS(Allocation!$V$1:$V$175,Allocation!$C$1:$C$175,"2026",Allocation!$D$1:$D$175,"MBWAY_NAN",Allocation!$F$1:$F$175,"MAS_MGT",Allocation!$G$1:$G$175,"M2",Allocation!$H$1:$H$175,"ALT")</f>
        <v>0</v>
      </c>
      <c r="F36" s="84">
        <f>SUMIFS(Allocation!$W$1:$W$175,Allocation!$C$1:$C$175,"2026",Allocation!$D$1:$D$175,"MBWAY_NAN",Allocation!$F$1:$F$175,"MAS_MGT",Allocation!$G$1:$G$175,"M2",Allocation!$H$1:$H$175,"ALT")</f>
        <v>0</v>
      </c>
      <c r="G36" s="84">
        <f>SUMIFS(Allocation!$X$1:$X$175,Allocation!$C$1:$C$175,"2026",Allocation!$D$1:$D$175,"MBWAY_NAN",Allocation!$F$1:$F$175,"MAS_MGT",Allocation!$G$1:$G$175,"M2",Allocation!$H$1:$H$175,"ALT")</f>
        <v>0</v>
      </c>
      <c r="H36" s="84">
        <f>SUMIFS(Allocation!$Y$1:$Y$175,Allocation!$C$1:$C$175,"2026",Allocation!$D$1:$D$175,"MBWAY_NAN",Allocation!$F$1:$F$175,"MAS_MGT",Allocation!$G$1:$G$175,"M2",Allocation!$H$1:$H$175,"ALT")</f>
        <v>0</v>
      </c>
      <c r="I36" s="84">
        <f>SUMIFS(Allocation!$AC$1:$AC$175,Allocation!$C$1:$C$175,"2026",Allocation!$D$1:$D$175,"MBWAY_NAN",Allocation!$F$1:$F$175,"MAS_MGT",Allocation!$G$1:$G$175,"M2",Allocation!$H$1:$H$175,"ALT")</f>
        <v>0</v>
      </c>
      <c r="J36" s="84">
        <f>SUMIFS(Allocation!$Z$1:$Z$175,Allocation!$C$1:$C$175,"2026",Allocation!$D$1:$D$175,"MBWAY_NAN",Allocation!$F$1:$F$175,"MAS_MGT",Allocation!$G$1:$G$175,"M2",Allocation!$H$1:$H$175,"ALT")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SUMIFS(Allocation!$AA$1:$AA$175,Allocation!$C$1:$C$175,"2026",Allocation!$D$1:$D$175,"MBWAY_NAN",Allocation!$F$1:$F$175,"MAS_MGT",Allocation!$G$1:$G$175,"M2",Allocation!$H$1:$H$175,"ALT")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SUMIFS(Allocation!$I$1:$I$175,Allocation!$C$1:$C$175,"2026",Allocation!$D$1:$D$175,"MBWAY_BOR")</f>
        <v>0</v>
      </c>
      <c r="D37" s="123">
        <f>SUMIFS(Allocation!$K$1:$K$175,Allocation!$C$1:$C$175,"2026",Allocation!$D$1:$D$175,"MBWAY_BOR")</f>
        <v>0</v>
      </c>
      <c r="E37" s="123">
        <f>SUMIFS(Allocation!$V$1:$V$175,Allocation!$C$1:$C$175,"2026",Allocation!$D$1:$D$175,"MBWAY_BOR")</f>
        <v>0</v>
      </c>
      <c r="F37" s="123">
        <f>SUMIFS(Allocation!$W$1:$W$175,Allocation!$C$1:$C$175,"2026",Allocation!$D$1:$D$175,"MBWAY_BOR")</f>
        <v>0</v>
      </c>
      <c r="G37" s="123">
        <f>SUMIFS(Allocation!$X$1:$X$175,Allocation!$C$1:$C$175,"2026",Allocation!$D$1:$D$175,"MBWAY_BOR")</f>
        <v>0</v>
      </c>
      <c r="H37" s="123">
        <f>SUMIFS(Allocation!$Y$1:$Y$175,Allocation!$C$1:$C$175,"2026",Allocation!$D$1:$D$175,"MBWAY_BOR")</f>
        <v>0</v>
      </c>
      <c r="I37" s="123">
        <f>SUMIFS(Allocation!$AC$1:$AC$175,Allocation!$C$1:$C$175,"2026",Allocation!$D$1:$D$175,"MBWAY_BOR")</f>
        <v>0</v>
      </c>
      <c r="J37" s="123">
        <f>SUMIFS(Allocation!$Z$1:$Z$175,Allocation!$C$1:$C$175,"2026",Allocation!$D$1:$D$175,"MBWAY_BOR")</f>
        <v>0</v>
      </c>
      <c r="K37" s="123">
        <f t="shared" si="0"/>
        <v>0</v>
      </c>
      <c r="L37" s="130">
        <f>SUMIFS(Allocation!$AA$1:$AA$175,Allocation!$C$1:$C$175,"2026",Allocation!$D$1:$D$175,"MBWAY_BOR")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SUMIFS(Allocation!$I$1:$I$175,Allocation!$C$1:$C$175,"2026",Allocation!$D$1:$D$175,"MBWAY_BOR",Allocation!$F$1:$F$175,"BAC_MGT",Allocation!$G$1:$G$175,"B1",Allocation!$H$1:$H$175,"INIT")</f>
        <v>0</v>
      </c>
      <c r="D38" s="84">
        <f>SUMIFS(Allocation!$K$1:$K$175,Allocation!$C$1:$C$175,"2026",Allocation!$D$1:$D$175,"MBWAY_BOR",Allocation!$F$1:$F$175,"BAC_MGT",Allocation!$G$1:$G$175,"B1",Allocation!$H$1:$H$175,"INIT")</f>
        <v>0</v>
      </c>
      <c r="E38" s="84">
        <f>SUMIFS(Allocation!$V$1:$V$175,Allocation!$C$1:$C$175,"2026",Allocation!$D$1:$D$175,"MBWAY_BOR",Allocation!$F$1:$F$175,"BAC_MGT",Allocation!$G$1:$G$175,"B1",Allocation!$H$1:$H$175,"INIT")</f>
        <v>0</v>
      </c>
      <c r="F38" s="84">
        <f>SUMIFS(Allocation!$W$1:$W$175,Allocation!$C$1:$C$175,"2026",Allocation!$D$1:$D$175,"MBWAY_BOR",Allocation!$F$1:$F$175,"BAC_MGT",Allocation!$G$1:$G$175,"B1",Allocation!$H$1:$H$175,"INIT")</f>
        <v>0</v>
      </c>
      <c r="G38" s="84">
        <f>SUMIFS(Allocation!$X$1:$X$175,Allocation!$C$1:$C$175,"2026",Allocation!$D$1:$D$175,"MBWAY_BOR",Allocation!$F$1:$F$175,"BAC_MGT",Allocation!$G$1:$G$175,"B1",Allocation!$H$1:$H$175,"INIT")</f>
        <v>0</v>
      </c>
      <c r="H38" s="84">
        <f>SUMIFS(Allocation!$Y$1:$Y$175,Allocation!$C$1:$C$175,"2026",Allocation!$D$1:$D$175,"MBWAY_BOR",Allocation!$F$1:$F$175,"BAC_MGT",Allocation!$G$1:$G$175,"B1",Allocation!$H$1:$H$175,"INIT")</f>
        <v>0</v>
      </c>
      <c r="I38" s="84">
        <f>SUMIFS(Allocation!$AC$1:$AC$175,Allocation!$C$1:$C$175,"2026",Allocation!$D$1:$D$175,"MBWAY_BOR",Allocation!$F$1:$F$175,"BAC_MGT",Allocation!$G$1:$G$175,"B1",Allocation!$H$1:$H$175,"INIT")</f>
        <v>0</v>
      </c>
      <c r="J38" s="84">
        <f>SUMIFS(Allocation!$Z$1:$Z$175,Allocation!$C$1:$C$175,"2026",Allocation!$D$1:$D$175,"MBWAY_BOR",Allocation!$F$1:$F$175,"BAC_MGT",Allocation!$G$1:$G$175,"B1",Allocation!$H$1:$H$175,"INIT")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SUMIFS(Allocation!$AA$1:$AA$175,Allocation!$C$1:$C$175,"2026",Allocation!$D$1:$D$175,"MBWAY_BOR",Allocation!$F$1:$F$175,"BAC_MGT",Allocation!$G$1:$G$175,"B1",Allocation!$H$1:$H$175,"INIT")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SUMIFS(Allocation!$I$1:$I$175,Allocation!$C$1:$C$175,"2026",Allocation!$D$1:$D$175,"MBWAY_BOR",Allocation!$F$1:$F$175,"BAC_MGT",Allocation!$G$1:$G$175,"B2",Allocation!$H$1:$H$175,"ALT")</f>
        <v>0</v>
      </c>
      <c r="D39" s="84">
        <f>SUMIFS(Allocation!$K$1:$K$175,Allocation!$C$1:$C$175,"2026",Allocation!$D$1:$D$175,"MBWAY_BOR",Allocation!$F$1:$F$175,"BAC_MGT",Allocation!$G$1:$G$175,"B2",Allocation!$H$1:$H$175,"ALT")</f>
        <v>0</v>
      </c>
      <c r="E39" s="84">
        <f>SUMIFS(Allocation!$V$1:$V$175,Allocation!$C$1:$C$175,"2026",Allocation!$D$1:$D$175,"MBWAY_BOR",Allocation!$F$1:$F$175,"BAC_MGT",Allocation!$G$1:$G$175,"B2",Allocation!$H$1:$H$175,"ALT")</f>
        <v>0</v>
      </c>
      <c r="F39" s="84">
        <f>SUMIFS(Allocation!$W$1:$W$175,Allocation!$C$1:$C$175,"2026",Allocation!$D$1:$D$175,"MBWAY_BOR",Allocation!$F$1:$F$175,"BAC_MGT",Allocation!$G$1:$G$175,"B2",Allocation!$H$1:$H$175,"ALT")</f>
        <v>0</v>
      </c>
      <c r="G39" s="84">
        <f>SUMIFS(Allocation!$X$1:$X$175,Allocation!$C$1:$C$175,"2026",Allocation!$D$1:$D$175,"MBWAY_BOR",Allocation!$F$1:$F$175,"BAC_MGT",Allocation!$G$1:$G$175,"B2",Allocation!$H$1:$H$175,"ALT")</f>
        <v>0</v>
      </c>
      <c r="H39" s="84">
        <f>SUMIFS(Allocation!$Y$1:$Y$175,Allocation!$C$1:$C$175,"2026",Allocation!$D$1:$D$175,"MBWAY_BOR",Allocation!$F$1:$F$175,"BAC_MGT",Allocation!$G$1:$G$175,"B2",Allocation!$H$1:$H$175,"ALT")</f>
        <v>0</v>
      </c>
      <c r="I39" s="84">
        <f>SUMIFS(Allocation!$AC$1:$AC$175,Allocation!$C$1:$C$175,"2026",Allocation!$D$1:$D$175,"MBWAY_BOR",Allocation!$F$1:$F$175,"BAC_MGT",Allocation!$G$1:$G$175,"B2",Allocation!$H$1:$H$175,"ALT")</f>
        <v>0</v>
      </c>
      <c r="J39" s="84">
        <f>SUMIFS(Allocation!$Z$1:$Z$175,Allocation!$C$1:$C$175,"2026",Allocation!$D$1:$D$175,"MBWAY_BOR",Allocation!$F$1:$F$175,"BAC_MGT",Allocation!$G$1:$G$175,"B2",Allocation!$H$1:$H$175,"ALT")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SUMIFS(Allocation!$AA$1:$AA$175,Allocation!$C$1:$C$175,"2026",Allocation!$D$1:$D$175,"MBWAY_BOR",Allocation!$F$1:$F$175,"BAC_MGT",Allocation!$G$1:$G$175,"B2",Allocation!$H$1:$H$175,"ALT")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SUMIFS(Allocation!$I$1:$I$175,Allocation!$C$1:$C$175,"2026",Allocation!$D$1:$D$175,"MBWAY_BOR",Allocation!$F$1:$F$175,"BAC_MGT",Allocation!$G$1:$G$175,"B3",Allocation!$H$1:$H$175,"ALT")</f>
        <v>0</v>
      </c>
      <c r="D40" s="84">
        <f>SUMIFS(Allocation!$K$1:$K$175,Allocation!$C$1:$C$175,"2026",Allocation!$D$1:$D$175,"MBWAY_BOR",Allocation!$F$1:$F$175,"BAC_MGT",Allocation!$G$1:$G$175,"B3",Allocation!$H$1:$H$175,"ALT")</f>
        <v>0</v>
      </c>
      <c r="E40" s="84">
        <f>SUMIFS(Allocation!$V$1:$V$175,Allocation!$C$1:$C$175,"2026",Allocation!$D$1:$D$175,"MBWAY_BOR",Allocation!$F$1:$F$175,"BAC_MGT",Allocation!$G$1:$G$175,"B3",Allocation!$H$1:$H$175,"ALT")</f>
        <v>0</v>
      </c>
      <c r="F40" s="84">
        <f>SUMIFS(Allocation!$W$1:$W$175,Allocation!$C$1:$C$175,"2026",Allocation!$D$1:$D$175,"MBWAY_BOR",Allocation!$F$1:$F$175,"BAC_MGT",Allocation!$G$1:$G$175,"B3",Allocation!$H$1:$H$175,"ALT")</f>
        <v>0</v>
      </c>
      <c r="G40" s="84">
        <f>SUMIFS(Allocation!$X$1:$X$175,Allocation!$C$1:$C$175,"2026",Allocation!$D$1:$D$175,"MBWAY_BOR",Allocation!$F$1:$F$175,"BAC_MGT",Allocation!$G$1:$G$175,"B3",Allocation!$H$1:$H$175,"ALT")</f>
        <v>0</v>
      </c>
      <c r="H40" s="84">
        <f>SUMIFS(Allocation!$Y$1:$Y$175,Allocation!$C$1:$C$175,"2026",Allocation!$D$1:$D$175,"MBWAY_BOR",Allocation!$F$1:$F$175,"BAC_MGT",Allocation!$G$1:$G$175,"B3",Allocation!$H$1:$H$175,"ALT")</f>
        <v>0</v>
      </c>
      <c r="I40" s="84">
        <f>SUMIFS(Allocation!$AC$1:$AC$175,Allocation!$C$1:$C$175,"2026",Allocation!$D$1:$D$175,"MBWAY_BOR",Allocation!$F$1:$F$175,"BAC_MGT",Allocation!$G$1:$G$175,"B3",Allocation!$H$1:$H$175,"ALT")</f>
        <v>0</v>
      </c>
      <c r="J40" s="84">
        <f>SUMIFS(Allocation!$Z$1:$Z$175,Allocation!$C$1:$C$175,"2026",Allocation!$D$1:$D$175,"MBWAY_BOR",Allocation!$F$1:$F$175,"BAC_MGT",Allocation!$G$1:$G$175,"B3",Allocation!$H$1:$H$175,"ALT")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SUMIFS(Allocation!$AA$1:$AA$175,Allocation!$C$1:$C$175,"2026",Allocation!$D$1:$D$175,"MBWAY_BOR",Allocation!$F$1:$F$175,"BAC_MGT",Allocation!$G$1:$G$175,"B3",Allocation!$H$1:$H$175,"ALT")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SUMIFS(Allocation!$I$1:$I$175,Allocation!$C$1:$C$175,"2026",Allocation!$D$1:$D$175,"MBWAY_BOR",Allocation!$F$1:$F$175,"MAS_MGT",Allocation!$G$1:$G$175,"M1",Allocation!$H$1:$H$175,"ALT")</f>
        <v>0</v>
      </c>
      <c r="D41" s="84">
        <f>SUMIFS(Allocation!$K$1:$K$175,Allocation!$C$1:$C$175,"2026",Allocation!$D$1:$D$175,"MBWAY_BOR",Allocation!$F$1:$F$175,"MAS_MGT",Allocation!$G$1:$G$175,"M1",Allocation!$H$1:$H$175,"ALT")</f>
        <v>0</v>
      </c>
      <c r="E41" s="84">
        <f>SUMIFS(Allocation!$V$1:$V$175,Allocation!$C$1:$C$175,"2026",Allocation!$D$1:$D$175,"MBWAY_BOR",Allocation!$F$1:$F$175,"MAS_MGT",Allocation!$G$1:$G$175,"M1",Allocation!$H$1:$H$175,"ALT")</f>
        <v>0</v>
      </c>
      <c r="F41" s="84">
        <f>SUMIFS(Allocation!$W$1:$W$175,Allocation!$C$1:$C$175,"2026",Allocation!$D$1:$D$175,"MBWAY_BOR",Allocation!$F$1:$F$175,"MAS_MGT",Allocation!$G$1:$G$175,"M1",Allocation!$H$1:$H$175,"ALT")</f>
        <v>0</v>
      </c>
      <c r="G41" s="84">
        <f>SUMIFS(Allocation!$X$1:$X$175,Allocation!$C$1:$C$175,"2026",Allocation!$D$1:$D$175,"MBWAY_BOR",Allocation!$F$1:$F$175,"MAS_MGT",Allocation!$G$1:$G$175,"M1",Allocation!$H$1:$H$175,"ALT")</f>
        <v>0</v>
      </c>
      <c r="H41" s="84">
        <f>SUMIFS(Allocation!$Y$1:$Y$175,Allocation!$C$1:$C$175,"2026",Allocation!$D$1:$D$175,"MBWAY_BOR",Allocation!$F$1:$F$175,"MAS_MGT",Allocation!$G$1:$G$175,"M1",Allocation!$H$1:$H$175,"ALT")</f>
        <v>0</v>
      </c>
      <c r="I41" s="84">
        <f>SUMIFS(Allocation!$AC$1:$AC$175,Allocation!$C$1:$C$175,"2026",Allocation!$D$1:$D$175,"MBWAY_BOR",Allocation!$F$1:$F$175,"MAS_MGT",Allocation!$G$1:$G$175,"M1",Allocation!$H$1:$H$175,"ALT")</f>
        <v>0</v>
      </c>
      <c r="J41" s="84">
        <f>SUMIFS(Allocation!$Z$1:$Z$175,Allocation!$C$1:$C$175,"2026",Allocation!$D$1:$D$175,"MBWAY_BOR",Allocation!$F$1:$F$175,"MAS_MGT",Allocation!$G$1:$G$175,"M1",Allocation!$H$1:$H$175,"ALT")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SUMIFS(Allocation!$AA$1:$AA$175,Allocation!$C$1:$C$175,"2026",Allocation!$D$1:$D$175,"MBWAY_BOR",Allocation!$F$1:$F$175,"MAS_MGT",Allocation!$G$1:$G$175,"M1",Allocation!$H$1:$H$175,"ALT")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SUMIFS(Allocation!$I$1:$I$175,Allocation!$C$1:$C$175,"2026",Allocation!$D$1:$D$175,"MBWAY_BOR",Allocation!$F$1:$F$175,"MAS_MGT",Allocation!$G$1:$G$175,"M2",Allocation!$H$1:$H$175,"ALT")</f>
        <v>0</v>
      </c>
      <c r="D42" s="84">
        <f>SUMIFS(Allocation!$K$1:$K$175,Allocation!$C$1:$C$175,"2026",Allocation!$D$1:$D$175,"MBWAY_BOR",Allocation!$F$1:$F$175,"MAS_MGT",Allocation!$G$1:$G$175,"M2",Allocation!$H$1:$H$175,"ALT")</f>
        <v>0</v>
      </c>
      <c r="E42" s="84">
        <f>SUMIFS(Allocation!$V$1:$V$175,Allocation!$C$1:$C$175,"2026",Allocation!$D$1:$D$175,"MBWAY_BOR",Allocation!$F$1:$F$175,"MAS_MGT",Allocation!$G$1:$G$175,"M2",Allocation!$H$1:$H$175,"ALT")</f>
        <v>0</v>
      </c>
      <c r="F42" s="84">
        <f>SUMIFS(Allocation!$W$1:$W$175,Allocation!$C$1:$C$175,"2026",Allocation!$D$1:$D$175,"MBWAY_BOR",Allocation!$F$1:$F$175,"MAS_MGT",Allocation!$G$1:$G$175,"M2",Allocation!$H$1:$H$175,"ALT")</f>
        <v>0</v>
      </c>
      <c r="G42" s="84">
        <f>SUMIFS(Allocation!$X$1:$X$175,Allocation!$C$1:$C$175,"2026",Allocation!$D$1:$D$175,"MBWAY_BOR",Allocation!$F$1:$F$175,"MAS_MGT",Allocation!$G$1:$G$175,"M2",Allocation!$H$1:$H$175,"ALT")</f>
        <v>0</v>
      </c>
      <c r="H42" s="84">
        <f>SUMIFS(Allocation!$Y$1:$Y$175,Allocation!$C$1:$C$175,"2026",Allocation!$D$1:$D$175,"MBWAY_BOR",Allocation!$F$1:$F$175,"MAS_MGT",Allocation!$G$1:$G$175,"M2",Allocation!$H$1:$H$175,"ALT")</f>
        <v>0</v>
      </c>
      <c r="I42" s="84">
        <f>SUMIFS(Allocation!$AC$1:$AC$175,Allocation!$C$1:$C$175,"2026",Allocation!$D$1:$D$175,"MBWAY_BOR",Allocation!$F$1:$F$175,"MAS_MGT",Allocation!$G$1:$G$175,"M2",Allocation!$H$1:$H$175,"ALT")</f>
        <v>0</v>
      </c>
      <c r="J42" s="84">
        <f>SUMIFS(Allocation!$Z$1:$Z$175,Allocation!$C$1:$C$175,"2026",Allocation!$D$1:$D$175,"MBWAY_BOR",Allocation!$F$1:$F$175,"MAS_MGT",Allocation!$G$1:$G$175,"M2",Allocation!$H$1:$H$175,"ALT")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SUMIFS(Allocation!$AA$1:$AA$175,Allocation!$C$1:$C$175,"2026",Allocation!$D$1:$D$175,"MBWAY_BOR",Allocation!$F$1:$F$175,"MAS_MGT",Allocation!$G$1:$G$175,"M2",Allocation!$H$1:$H$175,"ALT")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SUMIFS(Allocation!$I$1:$I$175,Allocation!$C$1:$C$175,"2026",Allocation!$E$1:$E$175,"ISCOM")</f>
        <v>0</v>
      </c>
      <c r="D43" s="123">
        <f>SUMIFS(Allocation!$K$1:$K$175,Allocation!$C$1:$C$175,"2026",Allocation!$E$1:$E$175,"ISCOM")</f>
        <v>0</v>
      </c>
      <c r="E43" s="123">
        <f>SUMIFS(Allocation!$V$1:$V$175,Allocation!$C$1:$C$175,"2026",Allocation!$E$1:$E$175,"ISCOM")</f>
        <v>0</v>
      </c>
      <c r="F43" s="123">
        <f>SUMIFS(Allocation!$W$1:$W$175,Allocation!$C$1:$C$175,"2026",Allocation!$E$1:$E$175,"ISCOM")</f>
        <v>0</v>
      </c>
      <c r="G43" s="123">
        <f>SUMIFS(Allocation!$X$1:$X$175,Allocation!$C$1:$C$175,"2026",Allocation!$E$1:$E$175,"ISCOM")</f>
        <v>0</v>
      </c>
      <c r="H43" s="123">
        <f>SUMIFS(Allocation!$Y$1:$Y$175,Allocation!$C$1:$C$175,"2026",Allocation!$E$1:$E$175,"ISCOM")</f>
        <v>0</v>
      </c>
      <c r="I43" s="123">
        <f>SUMIFS(Allocation!$AC$1:$AC$175,Allocation!$C$1:$C$175,"2026",Allocation!$E$1:$E$175,"ISCOM")</f>
        <v>0</v>
      </c>
      <c r="J43" s="123">
        <f>SUMIFS(Allocation!$Z$1:$Z$175,Allocation!$C$1:$C$175,"2026",Allocation!$E$1:$E$175,"ISCOM")</f>
        <v>0</v>
      </c>
      <c r="K43" s="123">
        <f t="shared" si="0"/>
        <v>0</v>
      </c>
      <c r="L43" s="130">
        <f>SUMIFS(Allocation!$AA$1:$AA$175,Allocation!$C$1:$C$175,"2026",Allocation!$E$1:$E$175,"ISCOM")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SUMIFS(Allocation!$I$1:$I$175,Allocation!$C$1:$C$175,"2026",Allocation!$D$1:$D$175,"ISCOM_PAR")</f>
        <v>0</v>
      </c>
      <c r="D44" s="123">
        <f>SUMIFS(Allocation!$K$1:$K$175,Allocation!$C$1:$C$175,"2026",Allocation!$D$1:$D$175,"ISCOM_PAR")</f>
        <v>0</v>
      </c>
      <c r="E44" s="123">
        <f>SUMIFS(Allocation!$V$1:$V$175,Allocation!$C$1:$C$175,"2026",Allocation!$D$1:$D$175,"ISCOM_PAR")</f>
        <v>0</v>
      </c>
      <c r="F44" s="123">
        <f>SUMIFS(Allocation!$W$1:$W$175,Allocation!$C$1:$C$175,"2026",Allocation!$D$1:$D$175,"ISCOM_PAR")</f>
        <v>0</v>
      </c>
      <c r="G44" s="123">
        <f>SUMIFS(Allocation!$X$1:$X$175,Allocation!$C$1:$C$175,"2026",Allocation!$D$1:$D$175,"ISCOM_PAR")</f>
        <v>0</v>
      </c>
      <c r="H44" s="123">
        <f>SUMIFS(Allocation!$Y$1:$Y$175,Allocation!$C$1:$C$175,"2026",Allocation!$D$1:$D$175,"ISCOM_PAR")</f>
        <v>0</v>
      </c>
      <c r="I44" s="123">
        <f>SUMIFS(Allocation!$AC$1:$AC$175,Allocation!$C$1:$C$175,"2026",Allocation!$D$1:$D$175,"ISCOM_PAR")</f>
        <v>0</v>
      </c>
      <c r="J44" s="123">
        <f>SUMIFS(Allocation!$Z$1:$Z$175,Allocation!$C$1:$C$175,"2026",Allocation!$D$1:$D$175,"ISCOM_PAR")</f>
        <v>0</v>
      </c>
      <c r="K44" s="123">
        <f t="shared" si="0"/>
        <v>0</v>
      </c>
      <c r="L44" s="130">
        <f>SUMIFS(Allocation!$AA$1:$AA$175,Allocation!$C$1:$C$175,"2026",Allocation!$D$1:$D$175,"ISCOM_PAR")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SUMIFS(Allocation!$I$1:$I$175,Allocation!$C$1:$C$175,"2026",Allocation!$D$1:$D$175,"ISCOM_PAR",Allocation!$F$1:$F$175,"BAC_COM",Allocation!$G$1:$G$175,"B1",Allocation!$H$1:$H$175,"INIT")</f>
        <v>0</v>
      </c>
      <c r="D45" s="84">
        <f>SUMIFS(Allocation!$K$1:$K$175,Allocation!$C$1:$C$175,"2026",Allocation!$D$1:$D$175,"ISCOM_PAR",Allocation!$F$1:$F$175,"BAC_COM",Allocation!$G$1:$G$175,"B1",Allocation!$H$1:$H$175,"INIT")</f>
        <v>0</v>
      </c>
      <c r="E45" s="84">
        <f>SUMIFS(Allocation!$V$1:$V$175,Allocation!$C$1:$C$175,"2026",Allocation!$D$1:$D$175,"ISCOM_PAR",Allocation!$F$1:$F$175,"BAC_COM",Allocation!$G$1:$G$175,"B1",Allocation!$H$1:$H$175,"INIT")</f>
        <v>0</v>
      </c>
      <c r="F45" s="84">
        <f>SUMIFS(Allocation!$W$1:$W$175,Allocation!$C$1:$C$175,"2026",Allocation!$D$1:$D$175,"ISCOM_PAR",Allocation!$F$1:$F$175,"BAC_COM",Allocation!$G$1:$G$175,"B1",Allocation!$H$1:$H$175,"INIT")</f>
        <v>0</v>
      </c>
      <c r="G45" s="84">
        <f>SUMIFS(Allocation!$X$1:$X$175,Allocation!$C$1:$C$175,"2026",Allocation!$D$1:$D$175,"ISCOM_PAR",Allocation!$F$1:$F$175,"BAC_COM",Allocation!$G$1:$G$175,"B1",Allocation!$H$1:$H$175,"INIT")</f>
        <v>0</v>
      </c>
      <c r="H45" s="84">
        <f>SUMIFS(Allocation!$Y$1:$Y$175,Allocation!$C$1:$C$175,"2026",Allocation!$D$1:$D$175,"ISCOM_PAR",Allocation!$F$1:$F$175,"BAC_COM",Allocation!$G$1:$G$175,"B1",Allocation!$H$1:$H$175,"INIT")</f>
        <v>0</v>
      </c>
      <c r="I45" s="84">
        <f>SUMIFS(Allocation!$AC$1:$AC$175,Allocation!$C$1:$C$175,"2026",Allocation!$D$1:$D$175,"ISCOM_PAR",Allocation!$F$1:$F$175,"BAC_COM",Allocation!$G$1:$G$175,"B1",Allocation!$H$1:$H$175,"INIT")</f>
        <v>0</v>
      </c>
      <c r="J45" s="84">
        <f>SUMIFS(Allocation!$Z$1:$Z$175,Allocation!$C$1:$C$175,"2026",Allocation!$D$1:$D$175,"ISCOM_PAR",Allocation!$F$1:$F$175,"BAC_COM",Allocation!$G$1:$G$175,"B1",Allocation!$H$1:$H$175,"INIT")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SUMIFS(Allocation!$AA$1:$AA$175,Allocation!$C$1:$C$175,"2026",Allocation!$D$1:$D$175,"ISCOM_PAR",Allocation!$F$1:$F$175,"BAC_COM",Allocation!$G$1:$G$175,"B1",Allocation!$H$1:$H$175,"INIT")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SUMIFS(Allocation!$I$1:$I$175,Allocation!$C$1:$C$175,"2026",Allocation!$D$1:$D$175,"ISCOM_PAR",Allocation!$F$1:$F$175,"BAC_COM",Allocation!$G$1:$G$175,"B2",Allocation!$H$1:$H$175,"ALT")</f>
        <v>0</v>
      </c>
      <c r="D46" s="84">
        <f>SUMIFS(Allocation!$K$1:$K$175,Allocation!$C$1:$C$175,"2026",Allocation!$D$1:$D$175,"ISCOM_PAR",Allocation!$F$1:$F$175,"BAC_COM",Allocation!$G$1:$G$175,"B2",Allocation!$H$1:$H$175,"ALT")</f>
        <v>0</v>
      </c>
      <c r="E46" s="84">
        <f>SUMIFS(Allocation!$V$1:$V$175,Allocation!$C$1:$C$175,"2026",Allocation!$D$1:$D$175,"ISCOM_PAR",Allocation!$F$1:$F$175,"BAC_COM",Allocation!$G$1:$G$175,"B2",Allocation!$H$1:$H$175,"ALT")</f>
        <v>0</v>
      </c>
      <c r="F46" s="84">
        <f>SUMIFS(Allocation!$W$1:$W$175,Allocation!$C$1:$C$175,"2026",Allocation!$D$1:$D$175,"ISCOM_PAR",Allocation!$F$1:$F$175,"BAC_COM",Allocation!$G$1:$G$175,"B2",Allocation!$H$1:$H$175,"ALT")</f>
        <v>0</v>
      </c>
      <c r="G46" s="84">
        <f>SUMIFS(Allocation!$X$1:$X$175,Allocation!$C$1:$C$175,"2026",Allocation!$D$1:$D$175,"ISCOM_PAR",Allocation!$F$1:$F$175,"BAC_COM",Allocation!$G$1:$G$175,"B2",Allocation!$H$1:$H$175,"ALT")</f>
        <v>0</v>
      </c>
      <c r="H46" s="84">
        <f>SUMIFS(Allocation!$Y$1:$Y$175,Allocation!$C$1:$C$175,"2026",Allocation!$D$1:$D$175,"ISCOM_PAR",Allocation!$F$1:$F$175,"BAC_COM",Allocation!$G$1:$G$175,"B2",Allocation!$H$1:$H$175,"ALT")</f>
        <v>0</v>
      </c>
      <c r="I46" s="84">
        <f>SUMIFS(Allocation!$AC$1:$AC$175,Allocation!$C$1:$C$175,"2026",Allocation!$D$1:$D$175,"ISCOM_PAR",Allocation!$F$1:$F$175,"BAC_COM",Allocation!$G$1:$G$175,"B2",Allocation!$H$1:$H$175,"ALT")</f>
        <v>0</v>
      </c>
      <c r="J46" s="84">
        <f>SUMIFS(Allocation!$Z$1:$Z$175,Allocation!$C$1:$C$175,"2026",Allocation!$D$1:$D$175,"ISCOM_PAR",Allocation!$F$1:$F$175,"BAC_COM",Allocation!$G$1:$G$175,"B2",Allocation!$H$1:$H$175,"ALT")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SUMIFS(Allocation!$AA$1:$AA$175,Allocation!$C$1:$C$175,"2026",Allocation!$D$1:$D$175,"ISCOM_PAR",Allocation!$F$1:$F$175,"BAC_COM",Allocation!$G$1:$G$175,"B2",Allocation!$H$1:$H$175,"ALT")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SUMIFS(Allocation!$I$1:$I$175,Allocation!$C$1:$C$175,"2026",Allocation!$D$1:$D$175,"ISCOM_PAR",Allocation!$F$1:$F$175,"BAC_COM",Allocation!$G$1:$G$175,"B3",Allocation!$H$1:$H$175,"ALT")</f>
        <v>0</v>
      </c>
      <c r="D47" s="84">
        <f>SUMIFS(Allocation!$K$1:$K$175,Allocation!$C$1:$C$175,"2026",Allocation!$D$1:$D$175,"ISCOM_PAR",Allocation!$F$1:$F$175,"BAC_COM",Allocation!$G$1:$G$175,"B3",Allocation!$H$1:$H$175,"ALT")</f>
        <v>0</v>
      </c>
      <c r="E47" s="84">
        <f>SUMIFS(Allocation!$V$1:$V$175,Allocation!$C$1:$C$175,"2026",Allocation!$D$1:$D$175,"ISCOM_PAR",Allocation!$F$1:$F$175,"BAC_COM",Allocation!$G$1:$G$175,"B3",Allocation!$H$1:$H$175,"ALT")</f>
        <v>0</v>
      </c>
      <c r="F47" s="84">
        <f>SUMIFS(Allocation!$W$1:$W$175,Allocation!$C$1:$C$175,"2026",Allocation!$D$1:$D$175,"ISCOM_PAR",Allocation!$F$1:$F$175,"BAC_COM",Allocation!$G$1:$G$175,"B3",Allocation!$H$1:$H$175,"ALT")</f>
        <v>0</v>
      </c>
      <c r="G47" s="84">
        <f>SUMIFS(Allocation!$X$1:$X$175,Allocation!$C$1:$C$175,"2026",Allocation!$D$1:$D$175,"ISCOM_PAR",Allocation!$F$1:$F$175,"BAC_COM",Allocation!$G$1:$G$175,"B3",Allocation!$H$1:$H$175,"ALT")</f>
        <v>0</v>
      </c>
      <c r="H47" s="84">
        <f>SUMIFS(Allocation!$Y$1:$Y$175,Allocation!$C$1:$C$175,"2026",Allocation!$D$1:$D$175,"ISCOM_PAR",Allocation!$F$1:$F$175,"BAC_COM",Allocation!$G$1:$G$175,"B3",Allocation!$H$1:$H$175,"ALT")</f>
        <v>0</v>
      </c>
      <c r="I47" s="84">
        <f>SUMIFS(Allocation!$AC$1:$AC$175,Allocation!$C$1:$C$175,"2026",Allocation!$D$1:$D$175,"ISCOM_PAR",Allocation!$F$1:$F$175,"BAC_COM",Allocation!$G$1:$G$175,"B3",Allocation!$H$1:$H$175,"ALT")</f>
        <v>0</v>
      </c>
      <c r="J47" s="84">
        <f>SUMIFS(Allocation!$Z$1:$Z$175,Allocation!$C$1:$C$175,"2026",Allocation!$D$1:$D$175,"ISCOM_PAR",Allocation!$F$1:$F$175,"BAC_COM",Allocation!$G$1:$G$175,"B3",Allocation!$H$1:$H$175,"ALT")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SUMIFS(Allocation!$AA$1:$AA$175,Allocation!$C$1:$C$175,"2026",Allocation!$D$1:$D$175,"ISCOM_PAR",Allocation!$F$1:$F$175,"BAC_COM",Allocation!$G$1:$G$175,"B3",Allocation!$H$1:$H$175,"ALT")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SUMIFS(Allocation!$I$1:$I$175,Allocation!$C$1:$C$175,"2026",Allocation!$D$1:$D$175,"ISCOM_PAR",Allocation!$F$1:$F$175,"MAS_COM",Allocation!$G$1:$G$175,"M1",Allocation!$H$1:$H$175,"ALT")</f>
        <v>0</v>
      </c>
      <c r="D48" s="84">
        <f>SUMIFS(Allocation!$K$1:$K$175,Allocation!$C$1:$C$175,"2026",Allocation!$D$1:$D$175,"ISCOM_PAR",Allocation!$F$1:$F$175,"MAS_COM",Allocation!$G$1:$G$175,"M1",Allocation!$H$1:$H$175,"ALT")</f>
        <v>0</v>
      </c>
      <c r="E48" s="84">
        <f>SUMIFS(Allocation!$V$1:$V$175,Allocation!$C$1:$C$175,"2026",Allocation!$D$1:$D$175,"ISCOM_PAR",Allocation!$F$1:$F$175,"MAS_COM",Allocation!$G$1:$G$175,"M1",Allocation!$H$1:$H$175,"ALT")</f>
        <v>0</v>
      </c>
      <c r="F48" s="84">
        <f>SUMIFS(Allocation!$W$1:$W$175,Allocation!$C$1:$C$175,"2026",Allocation!$D$1:$D$175,"ISCOM_PAR",Allocation!$F$1:$F$175,"MAS_COM",Allocation!$G$1:$G$175,"M1",Allocation!$H$1:$H$175,"ALT")</f>
        <v>0</v>
      </c>
      <c r="G48" s="84">
        <f>SUMIFS(Allocation!$X$1:$X$175,Allocation!$C$1:$C$175,"2026",Allocation!$D$1:$D$175,"ISCOM_PAR",Allocation!$F$1:$F$175,"MAS_COM",Allocation!$G$1:$G$175,"M1",Allocation!$H$1:$H$175,"ALT")</f>
        <v>0</v>
      </c>
      <c r="H48" s="84">
        <f>SUMIFS(Allocation!$Y$1:$Y$175,Allocation!$C$1:$C$175,"2026",Allocation!$D$1:$D$175,"ISCOM_PAR",Allocation!$F$1:$F$175,"MAS_COM",Allocation!$G$1:$G$175,"M1",Allocation!$H$1:$H$175,"ALT")</f>
        <v>0</v>
      </c>
      <c r="I48" s="84">
        <f>SUMIFS(Allocation!$AC$1:$AC$175,Allocation!$C$1:$C$175,"2026",Allocation!$D$1:$D$175,"ISCOM_PAR",Allocation!$F$1:$F$175,"MAS_COM",Allocation!$G$1:$G$175,"M1",Allocation!$H$1:$H$175,"ALT")</f>
        <v>0</v>
      </c>
      <c r="J48" s="84">
        <f>SUMIFS(Allocation!$Z$1:$Z$175,Allocation!$C$1:$C$175,"2026",Allocation!$D$1:$D$175,"ISCOM_PAR",Allocation!$F$1:$F$175,"MAS_COM",Allocation!$G$1:$G$175,"M1",Allocation!$H$1:$H$175,"ALT")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SUMIFS(Allocation!$AA$1:$AA$175,Allocation!$C$1:$C$175,"2026",Allocation!$D$1:$D$175,"ISCOM_PAR",Allocation!$F$1:$F$175,"MAS_COM",Allocation!$G$1:$G$175,"M1",Allocation!$H$1:$H$175,"ALT")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SUMIFS(Allocation!$I$1:$I$175,Allocation!$C$1:$C$175,"2026",Allocation!$D$1:$D$175,"ISCOM_PAR",Allocation!$F$1:$F$175,"MAS_COM",Allocation!$G$1:$G$175,"M2",Allocation!$H$1:$H$175,"ALT")</f>
        <v>0</v>
      </c>
      <c r="D49" s="84">
        <f>SUMIFS(Allocation!$K$1:$K$175,Allocation!$C$1:$C$175,"2026",Allocation!$D$1:$D$175,"ISCOM_PAR",Allocation!$F$1:$F$175,"MAS_COM",Allocation!$G$1:$G$175,"M2",Allocation!$H$1:$H$175,"ALT")</f>
        <v>0</v>
      </c>
      <c r="E49" s="84">
        <f>SUMIFS(Allocation!$V$1:$V$175,Allocation!$C$1:$C$175,"2026",Allocation!$D$1:$D$175,"ISCOM_PAR",Allocation!$F$1:$F$175,"MAS_COM",Allocation!$G$1:$G$175,"M2",Allocation!$H$1:$H$175,"ALT")</f>
        <v>0</v>
      </c>
      <c r="F49" s="84">
        <f>SUMIFS(Allocation!$W$1:$W$175,Allocation!$C$1:$C$175,"2026",Allocation!$D$1:$D$175,"ISCOM_PAR",Allocation!$F$1:$F$175,"MAS_COM",Allocation!$G$1:$G$175,"M2",Allocation!$H$1:$H$175,"ALT")</f>
        <v>0</v>
      </c>
      <c r="G49" s="84">
        <f>SUMIFS(Allocation!$X$1:$X$175,Allocation!$C$1:$C$175,"2026",Allocation!$D$1:$D$175,"ISCOM_PAR",Allocation!$F$1:$F$175,"MAS_COM",Allocation!$G$1:$G$175,"M2",Allocation!$H$1:$H$175,"ALT")</f>
        <v>0</v>
      </c>
      <c r="H49" s="84">
        <f>SUMIFS(Allocation!$Y$1:$Y$175,Allocation!$C$1:$C$175,"2026",Allocation!$D$1:$D$175,"ISCOM_PAR",Allocation!$F$1:$F$175,"MAS_COM",Allocation!$G$1:$G$175,"M2",Allocation!$H$1:$H$175,"ALT")</f>
        <v>0</v>
      </c>
      <c r="I49" s="84">
        <f>SUMIFS(Allocation!$AC$1:$AC$175,Allocation!$C$1:$C$175,"2026",Allocation!$D$1:$D$175,"ISCOM_PAR",Allocation!$F$1:$F$175,"MAS_COM",Allocation!$G$1:$G$175,"M2",Allocation!$H$1:$H$175,"ALT")</f>
        <v>0</v>
      </c>
      <c r="J49" s="84">
        <f>SUMIFS(Allocation!$Z$1:$Z$175,Allocation!$C$1:$C$175,"2026",Allocation!$D$1:$D$175,"ISCOM_PAR",Allocation!$F$1:$F$175,"MAS_COM",Allocation!$G$1:$G$175,"M2",Allocation!$H$1:$H$175,"ALT")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SUMIFS(Allocation!$AA$1:$AA$175,Allocation!$C$1:$C$175,"2026",Allocation!$D$1:$D$175,"ISCOM_PAR",Allocation!$F$1:$F$175,"MAS_COM",Allocation!$G$1:$G$175,"M2",Allocation!$H$1:$H$175,"ALT")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SUMIFS(Allocation!$I$1:$I$175,Allocation!$C$1:$C$175,"2026",Allocation!$D$1:$D$175,"ISCOM_LIL")</f>
        <v>0</v>
      </c>
      <c r="D50" s="123">
        <f>SUMIFS(Allocation!$K$1:$K$175,Allocation!$C$1:$C$175,"2026",Allocation!$D$1:$D$175,"ISCOM_LIL")</f>
        <v>0</v>
      </c>
      <c r="E50" s="123">
        <f>SUMIFS(Allocation!$V$1:$V$175,Allocation!$C$1:$C$175,"2026",Allocation!$D$1:$D$175,"ISCOM_LIL")</f>
        <v>0</v>
      </c>
      <c r="F50" s="123">
        <f>SUMIFS(Allocation!$W$1:$W$175,Allocation!$C$1:$C$175,"2026",Allocation!$D$1:$D$175,"ISCOM_LIL")</f>
        <v>0</v>
      </c>
      <c r="G50" s="123">
        <f>SUMIFS(Allocation!$X$1:$X$175,Allocation!$C$1:$C$175,"2026",Allocation!$D$1:$D$175,"ISCOM_LIL")</f>
        <v>0</v>
      </c>
      <c r="H50" s="123">
        <f>SUMIFS(Allocation!$Y$1:$Y$175,Allocation!$C$1:$C$175,"2026",Allocation!$D$1:$D$175,"ISCOM_LIL")</f>
        <v>0</v>
      </c>
      <c r="I50" s="123">
        <f>SUMIFS(Allocation!$AC$1:$AC$175,Allocation!$C$1:$C$175,"2026",Allocation!$D$1:$D$175,"ISCOM_LIL")</f>
        <v>0</v>
      </c>
      <c r="J50" s="123">
        <f>SUMIFS(Allocation!$Z$1:$Z$175,Allocation!$C$1:$C$175,"2026",Allocation!$D$1:$D$175,"ISCOM_LIL")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SUMIFS(Allocation!$AA$1:$AA$175,Allocation!$C$1:$C$175,"2026",Allocation!$D$1:$D$175,"ISCOM_LIL")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SUMIFS(Allocation!$I$1:$I$175,Allocation!$C$1:$C$175,"2026",Allocation!$D$1:$D$175,"ISCOM_LIL",Allocation!$F$1:$F$175,"BAC_COM",Allocation!$G$1:$G$175,"B1",Allocation!$H$1:$H$175,"INIT")</f>
        <v>0</v>
      </c>
      <c r="D51" s="84">
        <f>SUMIFS(Allocation!$K$1:$K$175,Allocation!$C$1:$C$175,"2026",Allocation!$D$1:$D$175,"ISCOM_LIL",Allocation!$F$1:$F$175,"BAC_COM",Allocation!$G$1:$G$175,"B1",Allocation!$H$1:$H$175,"INIT")</f>
        <v>0</v>
      </c>
      <c r="E51" s="84">
        <f>SUMIFS(Allocation!$V$1:$V$175,Allocation!$C$1:$C$175,"2026",Allocation!$D$1:$D$175,"ISCOM_LIL",Allocation!$F$1:$F$175,"BAC_COM",Allocation!$G$1:$G$175,"B1",Allocation!$H$1:$H$175,"INIT")</f>
        <v>0</v>
      </c>
      <c r="F51" s="84">
        <f>SUMIFS(Allocation!$W$1:$W$175,Allocation!$C$1:$C$175,"2026",Allocation!$D$1:$D$175,"ISCOM_LIL",Allocation!$F$1:$F$175,"BAC_COM",Allocation!$G$1:$G$175,"B1",Allocation!$H$1:$H$175,"INIT")</f>
        <v>0</v>
      </c>
      <c r="G51" s="84">
        <f>SUMIFS(Allocation!$X$1:$X$175,Allocation!$C$1:$C$175,"2026",Allocation!$D$1:$D$175,"ISCOM_LIL",Allocation!$F$1:$F$175,"BAC_COM",Allocation!$G$1:$G$175,"B1",Allocation!$H$1:$H$175,"INIT")</f>
        <v>0</v>
      </c>
      <c r="H51" s="84">
        <f>SUMIFS(Allocation!$Y$1:$Y$175,Allocation!$C$1:$C$175,"2026",Allocation!$D$1:$D$175,"ISCOM_LIL",Allocation!$F$1:$F$175,"BAC_COM",Allocation!$G$1:$G$175,"B1",Allocation!$H$1:$H$175,"INIT")</f>
        <v>0</v>
      </c>
      <c r="I51" s="84">
        <f>SUMIFS(Allocation!$AC$1:$AC$175,Allocation!$C$1:$C$175,"2026",Allocation!$D$1:$D$175,"ISCOM_LIL",Allocation!$F$1:$F$175,"BAC_COM",Allocation!$G$1:$G$175,"B1",Allocation!$H$1:$H$175,"INIT")</f>
        <v>0</v>
      </c>
      <c r="J51" s="84">
        <f>SUMIFS(Allocation!$Z$1:$Z$175,Allocation!$C$1:$C$175,"2026",Allocation!$D$1:$D$175,"ISCOM_LIL",Allocation!$F$1:$F$175,"BAC_COM",Allocation!$G$1:$G$175,"B1",Allocation!$H$1:$H$175,"INIT")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SUMIFS(Allocation!$AA$1:$AA$175,Allocation!$C$1:$C$175,"2026",Allocation!$D$1:$D$175,"ISCOM_LIL",Allocation!$F$1:$F$175,"BAC_COM",Allocation!$G$1:$G$175,"B1",Allocation!$H$1:$H$175,"INIT")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SUMIFS(Allocation!$I$1:$I$175,Allocation!$C$1:$C$175,"2026",Allocation!$D$1:$D$175,"ISCOM_LIL",Allocation!$F$1:$F$175,"BAC_COM",Allocation!$G$1:$G$175,"B2",Allocation!$H$1:$H$175,"ALT")</f>
        <v>0</v>
      </c>
      <c r="D52" s="84">
        <f>SUMIFS(Allocation!$K$1:$K$175,Allocation!$C$1:$C$175,"2026",Allocation!$D$1:$D$175,"ISCOM_LIL",Allocation!$F$1:$F$175,"BAC_COM",Allocation!$G$1:$G$175,"B2",Allocation!$H$1:$H$175,"ALT")</f>
        <v>0</v>
      </c>
      <c r="E52" s="84">
        <f>SUMIFS(Allocation!$V$1:$V$175,Allocation!$C$1:$C$175,"2026",Allocation!$D$1:$D$175,"ISCOM_LIL",Allocation!$F$1:$F$175,"BAC_COM",Allocation!$G$1:$G$175,"B2",Allocation!$H$1:$H$175,"ALT")</f>
        <v>0</v>
      </c>
      <c r="F52" s="84">
        <f>SUMIFS(Allocation!$W$1:$W$175,Allocation!$C$1:$C$175,"2026",Allocation!$D$1:$D$175,"ISCOM_LIL",Allocation!$F$1:$F$175,"BAC_COM",Allocation!$G$1:$G$175,"B2",Allocation!$H$1:$H$175,"ALT")</f>
        <v>0</v>
      </c>
      <c r="G52" s="84">
        <f>SUMIFS(Allocation!$X$1:$X$175,Allocation!$C$1:$C$175,"2026",Allocation!$D$1:$D$175,"ISCOM_LIL",Allocation!$F$1:$F$175,"BAC_COM",Allocation!$G$1:$G$175,"B2",Allocation!$H$1:$H$175,"ALT")</f>
        <v>0</v>
      </c>
      <c r="H52" s="84">
        <f>SUMIFS(Allocation!$Y$1:$Y$175,Allocation!$C$1:$C$175,"2026",Allocation!$D$1:$D$175,"ISCOM_LIL",Allocation!$F$1:$F$175,"BAC_COM",Allocation!$G$1:$G$175,"B2",Allocation!$H$1:$H$175,"ALT")</f>
        <v>0</v>
      </c>
      <c r="I52" s="84">
        <f>SUMIFS(Allocation!$AC$1:$AC$175,Allocation!$C$1:$C$175,"2026",Allocation!$D$1:$D$175,"ISCOM_LIL",Allocation!$F$1:$F$175,"BAC_COM",Allocation!$G$1:$G$175,"B2",Allocation!$H$1:$H$175,"ALT")</f>
        <v>0</v>
      </c>
      <c r="J52" s="84">
        <f>SUMIFS(Allocation!$Z$1:$Z$175,Allocation!$C$1:$C$175,"2026",Allocation!$D$1:$D$175,"ISCOM_LIL",Allocation!$F$1:$F$175,"BAC_COM",Allocation!$G$1:$G$175,"B2",Allocation!$H$1:$H$175,"ALT")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SUMIFS(Allocation!$AA$1:$AA$175,Allocation!$C$1:$C$175,"2026",Allocation!$D$1:$D$175,"ISCOM_LIL",Allocation!$F$1:$F$175,"BAC_COM",Allocation!$G$1:$G$175,"B2",Allocation!$H$1:$H$175,"ALT")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SUMIFS(Allocation!$I$1:$I$175,Allocation!$C$1:$C$175,"2026",Allocation!$D$1:$D$175,"ISCOM_LIL",Allocation!$F$1:$F$175,"BAC_COM",Allocation!$G$1:$G$175,"B3",Allocation!$H$1:$H$175,"ALT")</f>
        <v>0</v>
      </c>
      <c r="D53" s="84">
        <f>SUMIFS(Allocation!$K$1:$K$175,Allocation!$C$1:$C$175,"2026",Allocation!$D$1:$D$175,"ISCOM_LIL",Allocation!$F$1:$F$175,"BAC_COM",Allocation!$G$1:$G$175,"B3",Allocation!$H$1:$H$175,"ALT")</f>
        <v>0</v>
      </c>
      <c r="E53" s="84">
        <f>SUMIFS(Allocation!$V$1:$V$175,Allocation!$C$1:$C$175,"2026",Allocation!$D$1:$D$175,"ISCOM_LIL",Allocation!$F$1:$F$175,"BAC_COM",Allocation!$G$1:$G$175,"B3",Allocation!$H$1:$H$175,"ALT")</f>
        <v>0</v>
      </c>
      <c r="F53" s="84">
        <f>SUMIFS(Allocation!$W$1:$W$175,Allocation!$C$1:$C$175,"2026",Allocation!$D$1:$D$175,"ISCOM_LIL",Allocation!$F$1:$F$175,"BAC_COM",Allocation!$G$1:$G$175,"B3",Allocation!$H$1:$H$175,"ALT")</f>
        <v>0</v>
      </c>
      <c r="G53" s="84">
        <f>SUMIFS(Allocation!$X$1:$X$175,Allocation!$C$1:$C$175,"2026",Allocation!$D$1:$D$175,"ISCOM_LIL",Allocation!$F$1:$F$175,"BAC_COM",Allocation!$G$1:$G$175,"B3",Allocation!$H$1:$H$175,"ALT")</f>
        <v>0</v>
      </c>
      <c r="H53" s="84">
        <f>SUMIFS(Allocation!$Y$1:$Y$175,Allocation!$C$1:$C$175,"2026",Allocation!$D$1:$D$175,"ISCOM_LIL",Allocation!$F$1:$F$175,"BAC_COM",Allocation!$G$1:$G$175,"B3",Allocation!$H$1:$H$175,"ALT")</f>
        <v>0</v>
      </c>
      <c r="I53" s="84">
        <f>SUMIFS(Allocation!$AC$1:$AC$175,Allocation!$C$1:$C$175,"2026",Allocation!$D$1:$D$175,"ISCOM_LIL",Allocation!$F$1:$F$175,"BAC_COM",Allocation!$G$1:$G$175,"B3",Allocation!$H$1:$H$175,"ALT")</f>
        <v>0</v>
      </c>
      <c r="J53" s="84">
        <f>SUMIFS(Allocation!$Z$1:$Z$175,Allocation!$C$1:$C$175,"2026",Allocation!$D$1:$D$175,"ISCOM_LIL",Allocation!$F$1:$F$175,"BAC_COM",Allocation!$G$1:$G$175,"B3",Allocation!$H$1:$H$175,"ALT")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SUMIFS(Allocation!$AA$1:$AA$175,Allocation!$C$1:$C$175,"2026",Allocation!$D$1:$D$175,"ISCOM_LIL",Allocation!$F$1:$F$175,"BAC_COM",Allocation!$G$1:$G$175,"B3",Allocation!$H$1:$H$175,"ALT")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SUMIFS(Allocation!$I$1:$I$175,Allocation!$C$1:$C$175,"2026",Allocation!$D$1:$D$175,"ISCOM_LIL",Allocation!$F$1:$F$175,"MAS_COM",Allocation!$G$1:$G$175,"M1",Allocation!$H$1:$H$175,"ALT")</f>
        <v>0</v>
      </c>
      <c r="D54" s="84">
        <f>SUMIFS(Allocation!$K$1:$K$175,Allocation!$C$1:$C$175,"2026",Allocation!$D$1:$D$175,"ISCOM_LIL",Allocation!$F$1:$F$175,"MAS_COM",Allocation!$G$1:$G$175,"M1",Allocation!$H$1:$H$175,"ALT")</f>
        <v>0</v>
      </c>
      <c r="E54" s="84">
        <f>SUMIFS(Allocation!$V$1:$V$175,Allocation!$C$1:$C$175,"2026",Allocation!$D$1:$D$175,"ISCOM_LIL",Allocation!$F$1:$F$175,"MAS_COM",Allocation!$G$1:$G$175,"M1",Allocation!$H$1:$H$175,"ALT")</f>
        <v>0</v>
      </c>
      <c r="F54" s="84">
        <f>SUMIFS(Allocation!$W$1:$W$175,Allocation!$C$1:$C$175,"2026",Allocation!$D$1:$D$175,"ISCOM_LIL",Allocation!$F$1:$F$175,"MAS_COM",Allocation!$G$1:$G$175,"M1",Allocation!$H$1:$H$175,"ALT")</f>
        <v>0</v>
      </c>
      <c r="G54" s="84">
        <f>SUMIFS(Allocation!$X$1:$X$175,Allocation!$C$1:$C$175,"2026",Allocation!$D$1:$D$175,"ISCOM_LIL",Allocation!$F$1:$F$175,"MAS_COM",Allocation!$G$1:$G$175,"M1",Allocation!$H$1:$H$175,"ALT")</f>
        <v>0</v>
      </c>
      <c r="H54" s="84">
        <f>SUMIFS(Allocation!$Y$1:$Y$175,Allocation!$C$1:$C$175,"2026",Allocation!$D$1:$D$175,"ISCOM_LIL",Allocation!$F$1:$F$175,"MAS_COM",Allocation!$G$1:$G$175,"M1",Allocation!$H$1:$H$175,"ALT")</f>
        <v>0</v>
      </c>
      <c r="I54" s="84">
        <f>SUMIFS(Allocation!$AC$1:$AC$175,Allocation!$C$1:$C$175,"2026",Allocation!$D$1:$D$175,"ISCOM_LIL",Allocation!$F$1:$F$175,"MAS_COM",Allocation!$G$1:$G$175,"M1",Allocation!$H$1:$H$175,"ALT")</f>
        <v>0</v>
      </c>
      <c r="J54" s="84">
        <f>SUMIFS(Allocation!$Z$1:$Z$175,Allocation!$C$1:$C$175,"2026",Allocation!$D$1:$D$175,"ISCOM_LIL",Allocation!$F$1:$F$175,"MAS_COM",Allocation!$G$1:$G$175,"M1",Allocation!$H$1:$H$175,"ALT")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SUMIFS(Allocation!$AA$1:$AA$175,Allocation!$C$1:$C$175,"2026",Allocation!$D$1:$D$175,"ISCOM_LIL",Allocation!$F$1:$F$175,"MAS_COM",Allocation!$G$1:$G$175,"M1",Allocation!$H$1:$H$175,"ALT")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SUMIFS(Allocation!$I$1:$I$175,Allocation!$C$1:$C$175,"2026",Allocation!$D$1:$D$175,"ISCOM_LIL",Allocation!$F$1:$F$175,"MAS_COM",Allocation!$G$1:$G$175,"M2",Allocation!$H$1:$H$175,"ALT")</f>
        <v>0</v>
      </c>
      <c r="D55" s="84">
        <f>SUMIFS(Allocation!$K$1:$K$175,Allocation!$C$1:$C$175,"2026",Allocation!$D$1:$D$175,"ISCOM_LIL",Allocation!$F$1:$F$175,"MAS_COM",Allocation!$G$1:$G$175,"M2",Allocation!$H$1:$H$175,"ALT")</f>
        <v>0</v>
      </c>
      <c r="E55" s="84">
        <f>SUMIFS(Allocation!$V$1:$V$175,Allocation!$C$1:$C$175,"2026",Allocation!$D$1:$D$175,"ISCOM_LIL",Allocation!$F$1:$F$175,"MAS_COM",Allocation!$G$1:$G$175,"M2",Allocation!$H$1:$H$175,"ALT")</f>
        <v>0</v>
      </c>
      <c r="F55" s="84">
        <f>SUMIFS(Allocation!$W$1:$W$175,Allocation!$C$1:$C$175,"2026",Allocation!$D$1:$D$175,"ISCOM_LIL",Allocation!$F$1:$F$175,"MAS_COM",Allocation!$G$1:$G$175,"M2",Allocation!$H$1:$H$175,"ALT")</f>
        <v>0</v>
      </c>
      <c r="G55" s="84">
        <f>SUMIFS(Allocation!$X$1:$X$175,Allocation!$C$1:$C$175,"2026",Allocation!$D$1:$D$175,"ISCOM_LIL",Allocation!$F$1:$F$175,"MAS_COM",Allocation!$G$1:$G$175,"M2",Allocation!$H$1:$H$175,"ALT")</f>
        <v>0</v>
      </c>
      <c r="H55" s="84">
        <f>SUMIFS(Allocation!$Y$1:$Y$175,Allocation!$C$1:$C$175,"2026",Allocation!$D$1:$D$175,"ISCOM_LIL",Allocation!$F$1:$F$175,"MAS_COM",Allocation!$G$1:$G$175,"M2",Allocation!$H$1:$H$175,"ALT")</f>
        <v>0</v>
      </c>
      <c r="I55" s="84">
        <f>SUMIFS(Allocation!$AC$1:$AC$175,Allocation!$C$1:$C$175,"2026",Allocation!$D$1:$D$175,"ISCOM_LIL",Allocation!$F$1:$F$175,"MAS_COM",Allocation!$G$1:$G$175,"M2",Allocation!$H$1:$H$175,"ALT")</f>
        <v>0</v>
      </c>
      <c r="J55" s="84">
        <f>SUMIFS(Allocation!$Z$1:$Z$175,Allocation!$C$1:$C$175,"2026",Allocation!$D$1:$D$175,"ISCOM_LIL",Allocation!$F$1:$F$175,"MAS_COM",Allocation!$G$1:$G$175,"M2",Allocation!$H$1:$H$175,"ALT")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SUMIFS(Allocation!$AA$1:$AA$175,Allocation!$C$1:$C$175,"2026",Allocation!$D$1:$D$175,"ISCOM_LIL",Allocation!$F$1:$F$175,"MAS_COM",Allocation!$G$1:$G$175,"M2",Allocation!$H$1:$H$175,"ALT")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SUMIFS(Allocation!$I$1:$I$175,Allocation!$C$1:$C$175,"2026",Allocation!$D$1:$D$175,"ISCOM_TLS")</f>
        <v>0</v>
      </c>
      <c r="D56" s="123">
        <f>SUMIFS(Allocation!$K$1:$K$175,Allocation!$C$1:$C$175,"2026",Allocation!$D$1:$D$175,"ISCOM_TLS")</f>
        <v>0</v>
      </c>
      <c r="E56" s="123">
        <f>SUMIFS(Allocation!$V$1:$V$175,Allocation!$C$1:$C$175,"2026",Allocation!$D$1:$D$175,"ISCOM_TLS")</f>
        <v>0</v>
      </c>
      <c r="F56" s="123">
        <f>SUMIFS(Allocation!$W$1:$W$175,Allocation!$C$1:$C$175,"2026",Allocation!$D$1:$D$175,"ISCOM_TLS")</f>
        <v>0</v>
      </c>
      <c r="G56" s="123">
        <f>SUMIFS(Allocation!$X$1:$X$175,Allocation!$C$1:$C$175,"2026",Allocation!$D$1:$D$175,"ISCOM_TLS")</f>
        <v>0</v>
      </c>
      <c r="H56" s="123">
        <f>SUMIFS(Allocation!$Y$1:$Y$175,Allocation!$C$1:$C$175,"2026",Allocation!$D$1:$D$175,"ISCOM_TLS")</f>
        <v>0</v>
      </c>
      <c r="I56" s="123">
        <f>SUMIFS(Allocation!$AC$1:$AC$175,Allocation!$C$1:$C$175,"2026",Allocation!$D$1:$D$175,"ISCOM_TLS")</f>
        <v>0</v>
      </c>
      <c r="J56" s="123">
        <f>SUMIFS(Allocation!$Z$1:$Z$175,Allocation!$C$1:$C$175,"2026",Allocation!$D$1:$D$175,"ISCOM_TLS")</f>
        <v>0</v>
      </c>
      <c r="K56" s="123">
        <f t="shared" si="2"/>
        <v>0</v>
      </c>
      <c r="L56" s="130">
        <f>SUMIFS(Allocation!$AA$1:$AA$175,Allocation!$C$1:$C$175,"2026",Allocation!$D$1:$D$175,"ISCOM_TLS")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SUMIFS(Allocation!$I$1:$I$175,Allocation!$C$1:$C$175,"2026",Allocation!$D$1:$D$175,"ISCOM_TLS",Allocation!$F$1:$F$175,"BAC_COM",Allocation!$G$1:$G$175,"B1",Allocation!$H$1:$H$175,"INIT")</f>
        <v>0</v>
      </c>
      <c r="D57" s="84">
        <f>SUMIFS(Allocation!$K$1:$K$175,Allocation!$C$1:$C$175,"2026",Allocation!$D$1:$D$175,"ISCOM_TLS",Allocation!$F$1:$F$175,"BAC_COM",Allocation!$G$1:$G$175,"B1",Allocation!$H$1:$H$175,"INIT")</f>
        <v>0</v>
      </c>
      <c r="E57" s="84">
        <f>SUMIFS(Allocation!$V$1:$V$175,Allocation!$C$1:$C$175,"2026",Allocation!$D$1:$D$175,"ISCOM_TLS",Allocation!$F$1:$F$175,"BAC_COM",Allocation!$G$1:$G$175,"B1",Allocation!$H$1:$H$175,"INIT")</f>
        <v>0</v>
      </c>
      <c r="F57" s="84">
        <f>SUMIFS(Allocation!$W$1:$W$175,Allocation!$C$1:$C$175,"2026",Allocation!$D$1:$D$175,"ISCOM_TLS",Allocation!$F$1:$F$175,"BAC_COM",Allocation!$G$1:$G$175,"B1",Allocation!$H$1:$H$175,"INIT")</f>
        <v>0</v>
      </c>
      <c r="G57" s="84">
        <f>SUMIFS(Allocation!$X$1:$X$175,Allocation!$C$1:$C$175,"2026",Allocation!$D$1:$D$175,"ISCOM_TLS",Allocation!$F$1:$F$175,"BAC_COM",Allocation!$G$1:$G$175,"B1",Allocation!$H$1:$H$175,"INIT")</f>
        <v>0</v>
      </c>
      <c r="H57" s="84">
        <f>SUMIFS(Allocation!$Y$1:$Y$175,Allocation!$C$1:$C$175,"2026",Allocation!$D$1:$D$175,"ISCOM_TLS",Allocation!$F$1:$F$175,"BAC_COM",Allocation!$G$1:$G$175,"B1",Allocation!$H$1:$H$175,"INIT")</f>
        <v>0</v>
      </c>
      <c r="I57" s="84">
        <f>SUMIFS(Allocation!$AC$1:$AC$175,Allocation!$C$1:$C$175,"2026",Allocation!$D$1:$D$175,"ISCOM_TLS",Allocation!$F$1:$F$175,"BAC_COM",Allocation!$G$1:$G$175,"B1",Allocation!$H$1:$H$175,"INIT")</f>
        <v>0</v>
      </c>
      <c r="J57" s="84">
        <f>SUMIFS(Allocation!$Z$1:$Z$175,Allocation!$C$1:$C$175,"2026",Allocation!$D$1:$D$175,"ISCOM_TLS",Allocation!$F$1:$F$175,"BAC_COM",Allocation!$G$1:$G$175,"B1",Allocation!$H$1:$H$175,"INIT")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SUMIFS(Allocation!$AA$1:$AA$175,Allocation!$C$1:$C$175,"2026",Allocation!$D$1:$D$175,"ISCOM_TLS",Allocation!$F$1:$F$175,"BAC_COM",Allocation!$G$1:$G$175,"B1",Allocation!$H$1:$H$175,"INIT")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SUMIFS(Allocation!$I$1:$I$175,Allocation!$C$1:$C$175,"2026",Allocation!$D$1:$D$175,"ISCOM_TLS",Allocation!$F$1:$F$175,"BAC_COM",Allocation!$G$1:$G$175,"B2",Allocation!$H$1:$H$175,"ALT")</f>
        <v>0</v>
      </c>
      <c r="D58" s="84">
        <f>SUMIFS(Allocation!$K$1:$K$175,Allocation!$C$1:$C$175,"2026",Allocation!$D$1:$D$175,"ISCOM_TLS",Allocation!$F$1:$F$175,"BAC_COM",Allocation!$G$1:$G$175,"B2",Allocation!$H$1:$H$175,"ALT")</f>
        <v>0</v>
      </c>
      <c r="E58" s="84">
        <f>SUMIFS(Allocation!$V$1:$V$175,Allocation!$C$1:$C$175,"2026",Allocation!$D$1:$D$175,"ISCOM_TLS",Allocation!$F$1:$F$175,"BAC_COM",Allocation!$G$1:$G$175,"B2",Allocation!$H$1:$H$175,"ALT")</f>
        <v>0</v>
      </c>
      <c r="F58" s="84">
        <f>SUMIFS(Allocation!$W$1:$W$175,Allocation!$C$1:$C$175,"2026",Allocation!$D$1:$D$175,"ISCOM_TLS",Allocation!$F$1:$F$175,"BAC_COM",Allocation!$G$1:$G$175,"B2",Allocation!$H$1:$H$175,"ALT")</f>
        <v>0</v>
      </c>
      <c r="G58" s="84">
        <f>SUMIFS(Allocation!$X$1:$X$175,Allocation!$C$1:$C$175,"2026",Allocation!$D$1:$D$175,"ISCOM_TLS",Allocation!$F$1:$F$175,"BAC_COM",Allocation!$G$1:$G$175,"B2",Allocation!$H$1:$H$175,"ALT")</f>
        <v>0</v>
      </c>
      <c r="H58" s="84">
        <f>SUMIFS(Allocation!$Y$1:$Y$175,Allocation!$C$1:$C$175,"2026",Allocation!$D$1:$D$175,"ISCOM_TLS",Allocation!$F$1:$F$175,"BAC_COM",Allocation!$G$1:$G$175,"B2",Allocation!$H$1:$H$175,"ALT")</f>
        <v>0</v>
      </c>
      <c r="I58" s="84">
        <f>SUMIFS(Allocation!$AC$1:$AC$175,Allocation!$C$1:$C$175,"2026",Allocation!$D$1:$D$175,"ISCOM_TLS",Allocation!$F$1:$F$175,"BAC_COM",Allocation!$G$1:$G$175,"B2",Allocation!$H$1:$H$175,"ALT")</f>
        <v>0</v>
      </c>
      <c r="J58" s="84">
        <f>SUMIFS(Allocation!$Z$1:$Z$175,Allocation!$C$1:$C$175,"2026",Allocation!$D$1:$D$175,"ISCOM_TLS",Allocation!$F$1:$F$175,"BAC_COM",Allocation!$G$1:$G$175,"B2",Allocation!$H$1:$H$175,"ALT")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SUMIFS(Allocation!$AA$1:$AA$175,Allocation!$C$1:$C$175,"2026",Allocation!$D$1:$D$175,"ISCOM_TLS",Allocation!$F$1:$F$175,"BAC_COM",Allocation!$G$1:$G$175,"B2",Allocation!$H$1:$H$175,"ALT")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SUMIFS(Allocation!$I$1:$I$175,Allocation!$C$1:$C$175,"2026",Allocation!$D$1:$D$175,"ISCOM_TLS",Allocation!$F$1:$F$175,"BAC_COM",Allocation!$G$1:$G$175,"B3",Allocation!$H$1:$H$175,"ALT")</f>
        <v>0</v>
      </c>
      <c r="D59" s="84">
        <f>SUMIFS(Allocation!$K$1:$K$175,Allocation!$C$1:$C$175,"2026",Allocation!$D$1:$D$175,"ISCOM_TLS",Allocation!$F$1:$F$175,"BAC_COM",Allocation!$G$1:$G$175,"B3",Allocation!$H$1:$H$175,"ALT")</f>
        <v>0</v>
      </c>
      <c r="E59" s="84">
        <f>SUMIFS(Allocation!$V$1:$V$175,Allocation!$C$1:$C$175,"2026",Allocation!$D$1:$D$175,"ISCOM_TLS",Allocation!$F$1:$F$175,"BAC_COM",Allocation!$G$1:$G$175,"B3",Allocation!$H$1:$H$175,"ALT")</f>
        <v>0</v>
      </c>
      <c r="F59" s="84">
        <f>SUMIFS(Allocation!$W$1:$W$175,Allocation!$C$1:$C$175,"2026",Allocation!$D$1:$D$175,"ISCOM_TLS",Allocation!$F$1:$F$175,"BAC_COM",Allocation!$G$1:$G$175,"B3",Allocation!$H$1:$H$175,"ALT")</f>
        <v>0</v>
      </c>
      <c r="G59" s="84">
        <f>SUMIFS(Allocation!$X$1:$X$175,Allocation!$C$1:$C$175,"2026",Allocation!$D$1:$D$175,"ISCOM_TLS",Allocation!$F$1:$F$175,"BAC_COM",Allocation!$G$1:$G$175,"B3",Allocation!$H$1:$H$175,"ALT")</f>
        <v>0</v>
      </c>
      <c r="H59" s="84">
        <f>SUMIFS(Allocation!$Y$1:$Y$175,Allocation!$C$1:$C$175,"2026",Allocation!$D$1:$D$175,"ISCOM_TLS",Allocation!$F$1:$F$175,"BAC_COM",Allocation!$G$1:$G$175,"B3",Allocation!$H$1:$H$175,"ALT")</f>
        <v>0</v>
      </c>
      <c r="I59" s="84">
        <f>SUMIFS(Allocation!$AC$1:$AC$175,Allocation!$C$1:$C$175,"2026",Allocation!$D$1:$D$175,"ISCOM_TLS",Allocation!$F$1:$F$175,"BAC_COM",Allocation!$G$1:$G$175,"B3",Allocation!$H$1:$H$175,"ALT")</f>
        <v>0</v>
      </c>
      <c r="J59" s="84">
        <f>SUMIFS(Allocation!$Z$1:$Z$175,Allocation!$C$1:$C$175,"2026",Allocation!$D$1:$D$175,"ISCOM_TLS",Allocation!$F$1:$F$175,"BAC_COM",Allocation!$G$1:$G$175,"B3",Allocation!$H$1:$H$175,"ALT")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SUMIFS(Allocation!$AA$1:$AA$175,Allocation!$C$1:$C$175,"2026",Allocation!$D$1:$D$175,"ISCOM_TLS",Allocation!$F$1:$F$175,"BAC_COM",Allocation!$G$1:$G$175,"B3",Allocation!$H$1:$H$175,"ALT")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SUMIFS(Allocation!$I$1:$I$175,Allocation!$C$1:$C$175,"2026",Allocation!$D$1:$D$175,"ISCOM_TLS",Allocation!$F$1:$F$175,"MAS_COM",Allocation!$G$1:$G$175,"M1",Allocation!$H$1:$H$175,"ALT")</f>
        <v>0</v>
      </c>
      <c r="D60" s="84">
        <f>SUMIFS(Allocation!$K$1:$K$175,Allocation!$C$1:$C$175,"2026",Allocation!$D$1:$D$175,"ISCOM_TLS",Allocation!$F$1:$F$175,"MAS_COM",Allocation!$G$1:$G$175,"M1",Allocation!$H$1:$H$175,"ALT")</f>
        <v>0</v>
      </c>
      <c r="E60" s="84">
        <f>SUMIFS(Allocation!$V$1:$V$175,Allocation!$C$1:$C$175,"2026",Allocation!$D$1:$D$175,"ISCOM_TLS",Allocation!$F$1:$F$175,"MAS_COM",Allocation!$G$1:$G$175,"M1",Allocation!$H$1:$H$175,"ALT")</f>
        <v>0</v>
      </c>
      <c r="F60" s="84">
        <f>SUMIFS(Allocation!$W$1:$W$175,Allocation!$C$1:$C$175,"2026",Allocation!$D$1:$D$175,"ISCOM_TLS",Allocation!$F$1:$F$175,"MAS_COM",Allocation!$G$1:$G$175,"M1",Allocation!$H$1:$H$175,"ALT")</f>
        <v>0</v>
      </c>
      <c r="G60" s="84">
        <f>SUMIFS(Allocation!$X$1:$X$175,Allocation!$C$1:$C$175,"2026",Allocation!$D$1:$D$175,"ISCOM_TLS",Allocation!$F$1:$F$175,"MAS_COM",Allocation!$G$1:$G$175,"M1",Allocation!$H$1:$H$175,"ALT")</f>
        <v>0</v>
      </c>
      <c r="H60" s="84">
        <f>SUMIFS(Allocation!$Y$1:$Y$175,Allocation!$C$1:$C$175,"2026",Allocation!$D$1:$D$175,"ISCOM_TLS",Allocation!$F$1:$F$175,"MAS_COM",Allocation!$G$1:$G$175,"M1",Allocation!$H$1:$H$175,"ALT")</f>
        <v>0</v>
      </c>
      <c r="I60" s="84">
        <f>SUMIFS(Allocation!$AC$1:$AC$175,Allocation!$C$1:$C$175,"2026",Allocation!$D$1:$D$175,"ISCOM_TLS",Allocation!$F$1:$F$175,"MAS_COM",Allocation!$G$1:$G$175,"M1",Allocation!$H$1:$H$175,"ALT")</f>
        <v>0</v>
      </c>
      <c r="J60" s="84">
        <f>SUMIFS(Allocation!$Z$1:$Z$175,Allocation!$C$1:$C$175,"2026",Allocation!$D$1:$D$175,"ISCOM_TLS",Allocation!$F$1:$F$175,"MAS_COM",Allocation!$G$1:$G$175,"M1",Allocation!$H$1:$H$175,"ALT")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SUMIFS(Allocation!$AA$1:$AA$175,Allocation!$C$1:$C$175,"2026",Allocation!$D$1:$D$175,"ISCOM_TLS",Allocation!$F$1:$F$175,"MAS_COM",Allocation!$G$1:$G$175,"M1",Allocation!$H$1:$H$175,"ALT")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SUMIFS(Allocation!$I$1:$I$175,Allocation!$C$1:$C$175,"2026",Allocation!$D$1:$D$175,"ISCOM_TLS",Allocation!$F$1:$F$175,"MAS_COM",Allocation!$G$1:$G$175,"M2",Allocation!$H$1:$H$175,"ALT")</f>
        <v>0</v>
      </c>
      <c r="D61" s="84">
        <f>SUMIFS(Allocation!$K$1:$K$175,Allocation!$C$1:$C$175,"2026",Allocation!$D$1:$D$175,"ISCOM_TLS",Allocation!$F$1:$F$175,"MAS_COM",Allocation!$G$1:$G$175,"M2",Allocation!$H$1:$H$175,"ALT")</f>
        <v>0</v>
      </c>
      <c r="E61" s="84">
        <f>SUMIFS(Allocation!$V$1:$V$175,Allocation!$C$1:$C$175,"2026",Allocation!$D$1:$D$175,"ISCOM_TLS",Allocation!$F$1:$F$175,"MAS_COM",Allocation!$G$1:$G$175,"M2",Allocation!$H$1:$H$175,"ALT")</f>
        <v>0</v>
      </c>
      <c r="F61" s="84">
        <f>SUMIFS(Allocation!$W$1:$W$175,Allocation!$C$1:$C$175,"2026",Allocation!$D$1:$D$175,"ISCOM_TLS",Allocation!$F$1:$F$175,"MAS_COM",Allocation!$G$1:$G$175,"M2",Allocation!$H$1:$H$175,"ALT")</f>
        <v>0</v>
      </c>
      <c r="G61" s="84">
        <f>SUMIFS(Allocation!$X$1:$X$175,Allocation!$C$1:$C$175,"2026",Allocation!$D$1:$D$175,"ISCOM_TLS",Allocation!$F$1:$F$175,"MAS_COM",Allocation!$G$1:$G$175,"M2",Allocation!$H$1:$H$175,"ALT")</f>
        <v>0</v>
      </c>
      <c r="H61" s="84">
        <f>SUMIFS(Allocation!$Y$1:$Y$175,Allocation!$C$1:$C$175,"2026",Allocation!$D$1:$D$175,"ISCOM_TLS",Allocation!$F$1:$F$175,"MAS_COM",Allocation!$G$1:$G$175,"M2",Allocation!$H$1:$H$175,"ALT")</f>
        <v>0</v>
      </c>
      <c r="I61" s="84">
        <f>SUMIFS(Allocation!$AC$1:$AC$175,Allocation!$C$1:$C$175,"2026",Allocation!$D$1:$D$175,"ISCOM_TLS",Allocation!$F$1:$F$175,"MAS_COM",Allocation!$G$1:$G$175,"M2",Allocation!$H$1:$H$175,"ALT")</f>
        <v>0</v>
      </c>
      <c r="J61" s="84">
        <f>SUMIFS(Allocation!$Z$1:$Z$175,Allocation!$C$1:$C$175,"2026",Allocation!$D$1:$D$175,"ISCOM_TLS",Allocation!$F$1:$F$175,"MAS_COM",Allocation!$G$1:$G$175,"M2",Allocation!$H$1:$H$175,"ALT")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SUMIFS(Allocation!$AA$1:$AA$175,Allocation!$C$1:$C$175,"2026",Allocation!$D$1:$D$175,"ISCOM_TLS",Allocation!$F$1:$F$175,"MAS_COM",Allocation!$G$1:$G$175,"M2",Allocation!$H$1:$H$175,"ALT")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SUMIFS(Allocation!$I$1:$I$175,Allocation!$C$1:$C$175,"2026",Allocation!$E$1:$E$175,"IPAC")</f>
        <v>0</v>
      </c>
      <c r="D62" s="123">
        <f>SUMIFS(Allocation!$K$1:$K$175,Allocation!$C$1:$C$175,"2026",Allocation!$E$1:$E$175,"IPAC")</f>
        <v>0</v>
      </c>
      <c r="E62" s="123">
        <f>SUMIFS(Allocation!$V$1:$V$175,Allocation!$C$1:$C$175,"2026",Allocation!$E$1:$E$175,"IPAC")</f>
        <v>0</v>
      </c>
      <c r="F62" s="123">
        <f>SUMIFS(Allocation!$W$1:$W$175,Allocation!$C$1:$C$175,"2026",Allocation!$E$1:$E$175,"IPAC")</f>
        <v>0</v>
      </c>
      <c r="G62" s="123">
        <f>SUMIFS(Allocation!$X$1:$X$175,Allocation!$C$1:$C$175,"2026",Allocation!$E$1:$E$175,"IPAC")</f>
        <v>0</v>
      </c>
      <c r="H62" s="123">
        <f>SUMIFS(Allocation!$Y$1:$Y$175,Allocation!$C$1:$C$175,"2026",Allocation!$E$1:$E$175,"IPAC")</f>
        <v>0</v>
      </c>
      <c r="I62" s="123">
        <f>SUMIFS(Allocation!$AC$1:$AC$175,Allocation!$C$1:$C$175,"2026",Allocation!$E$1:$E$175,"IPAC")</f>
        <v>0</v>
      </c>
      <c r="J62" s="123">
        <f>SUMIFS(Allocation!$Z$1:$Z$175,Allocation!$C$1:$C$175,"2026",Allocation!$E$1:$E$175,"IPAC")</f>
        <v>0</v>
      </c>
      <c r="K62" s="123">
        <f t="shared" si="2"/>
        <v>0</v>
      </c>
      <c r="L62" s="130">
        <f>SUMIFS(Allocation!$AA$1:$AA$175,Allocation!$C$1:$C$175,"2026",Allocation!$E$1:$E$175,"IPAC")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SUMIFS(Allocation!$I$1:$I$175,Allocation!$C$1:$C$175,"2026",Allocation!$D$1:$D$175,"IPAC_NAN")</f>
        <v>0</v>
      </c>
      <c r="D63" s="123">
        <f>SUMIFS(Allocation!$K$1:$K$175,Allocation!$C$1:$C$175,"2026",Allocation!$D$1:$D$175,"IPAC_NAN")</f>
        <v>0</v>
      </c>
      <c r="E63" s="123">
        <f>SUMIFS(Allocation!$V$1:$V$175,Allocation!$C$1:$C$175,"2026",Allocation!$D$1:$D$175,"IPAC_NAN")</f>
        <v>0</v>
      </c>
      <c r="F63" s="123">
        <f>SUMIFS(Allocation!$W$1:$W$175,Allocation!$C$1:$C$175,"2026",Allocation!$D$1:$D$175,"IPAC_NAN")</f>
        <v>0</v>
      </c>
      <c r="G63" s="123">
        <f>SUMIFS(Allocation!$X$1:$X$175,Allocation!$C$1:$C$175,"2026",Allocation!$D$1:$D$175,"IPAC_NAN")</f>
        <v>0</v>
      </c>
      <c r="H63" s="123">
        <f>SUMIFS(Allocation!$Y$1:$Y$175,Allocation!$C$1:$C$175,"2026",Allocation!$D$1:$D$175,"IPAC_NAN")</f>
        <v>0</v>
      </c>
      <c r="I63" s="123">
        <f>SUMIFS(Allocation!$AC$1:$AC$175,Allocation!$C$1:$C$175,"2026",Allocation!$D$1:$D$175,"IPAC_NAN")</f>
        <v>0</v>
      </c>
      <c r="J63" s="123">
        <f>SUMIFS(Allocation!$Z$1:$Z$175,Allocation!$C$1:$C$175,"2026",Allocation!$D$1:$D$175,"IPAC_NAN")</f>
        <v>0</v>
      </c>
      <c r="K63" s="123">
        <f t="shared" si="2"/>
        <v>0</v>
      </c>
      <c r="L63" s="130">
        <f>SUMIFS(Allocation!$AA$1:$AA$175,Allocation!$C$1:$C$175,"2026",Allocation!$D$1:$D$175,"IPAC_NAN")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SUMIFS(Allocation!$I$1:$I$175,Allocation!$C$1:$C$175,"2026",Allocation!$D$1:$D$175,"IPAC_NAN",Allocation!$F$1:$F$175,"BAC_CCE",Allocation!$G$1:$G$175,"B1",Allocation!$H$1:$H$175,"ALT")</f>
        <v>0</v>
      </c>
      <c r="D64" s="84">
        <f>SUMIFS(Allocation!$K$1:$K$175,Allocation!$C$1:$C$175,"2026",Allocation!$D$1:$D$175,"IPAC_NAN",Allocation!$F$1:$F$175,"BAC_CCE",Allocation!$G$1:$G$175,"B1",Allocation!$H$1:$H$175,"ALT")</f>
        <v>0</v>
      </c>
      <c r="E64" s="84">
        <f>SUMIFS(Allocation!$V$1:$V$175,Allocation!$C$1:$C$175,"2026",Allocation!$D$1:$D$175,"IPAC_NAN",Allocation!$F$1:$F$175,"BAC_CCE",Allocation!$G$1:$G$175,"B1",Allocation!$H$1:$H$175,"ALT")</f>
        <v>0</v>
      </c>
      <c r="F64" s="84">
        <f>SUMIFS(Allocation!$W$1:$W$175,Allocation!$C$1:$C$175,"2026",Allocation!$D$1:$D$175,"IPAC_NAN",Allocation!$F$1:$F$175,"BAC_CCE",Allocation!$G$1:$G$175,"B1",Allocation!$H$1:$H$175,"ALT")</f>
        <v>0</v>
      </c>
      <c r="G64" s="84">
        <f>SUMIFS(Allocation!$X$1:$X$175,Allocation!$C$1:$C$175,"2026",Allocation!$D$1:$D$175,"IPAC_NAN",Allocation!$F$1:$F$175,"BAC_CCE",Allocation!$G$1:$G$175,"B1",Allocation!$H$1:$H$175,"ALT")</f>
        <v>0</v>
      </c>
      <c r="H64" s="84">
        <f>SUMIFS(Allocation!$Y$1:$Y$175,Allocation!$C$1:$C$175,"2026",Allocation!$D$1:$D$175,"IPAC_NAN",Allocation!$F$1:$F$175,"BAC_CCE",Allocation!$G$1:$G$175,"B1",Allocation!$H$1:$H$175,"ALT")</f>
        <v>0</v>
      </c>
      <c r="I64" s="84">
        <f>SUMIFS(Allocation!$AC$1:$AC$175,Allocation!$C$1:$C$175,"2026",Allocation!$D$1:$D$175,"IPAC_NAN",Allocation!$F$1:$F$175,"BAC_CCE",Allocation!$G$1:$G$175,"B1",Allocation!$H$1:$H$175,"ALT")</f>
        <v>0</v>
      </c>
      <c r="J64" s="84">
        <f>SUMIFS(Allocation!$Z$1:$Z$175,Allocation!$C$1:$C$175,"2026",Allocation!$D$1:$D$175,"IPAC_NAN",Allocation!$F$1:$F$175,"BAC_CCE",Allocation!$G$1:$G$175,"B1",Allocation!$H$1:$H$175,"ALT")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SUMIFS(Allocation!$AA$1:$AA$175,Allocation!$C$1:$C$175,"2026",Allocation!$D$1:$D$175,"IPAC_NAN",Allocation!$F$1:$F$175,"BAC_CCE",Allocation!$G$1:$G$175,"B1",Allocation!$H$1:$H$175,"ALT")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SUMIFS(Allocation!$I$1:$I$175,Allocation!$C$1:$C$175,"2026",Allocation!$D$1:$D$175,"IPAC_NAN",Allocation!$F$1:$F$175,"BAC_CCE",Allocation!$G$1:$G$175,"B2",Allocation!$H$1:$H$175,"ALT")</f>
        <v>0</v>
      </c>
      <c r="D65" s="84">
        <f>SUMIFS(Allocation!$K$1:$K$175,Allocation!$C$1:$C$175,"2026",Allocation!$D$1:$D$175,"IPAC_NAN",Allocation!$F$1:$F$175,"BAC_CCE",Allocation!$G$1:$G$175,"B2",Allocation!$H$1:$H$175,"ALT")</f>
        <v>0</v>
      </c>
      <c r="E65" s="84">
        <f>SUMIFS(Allocation!$V$1:$V$175,Allocation!$C$1:$C$175,"2026",Allocation!$D$1:$D$175,"IPAC_NAN",Allocation!$F$1:$F$175,"BAC_CCE",Allocation!$G$1:$G$175,"B2",Allocation!$H$1:$H$175,"ALT")</f>
        <v>0</v>
      </c>
      <c r="F65" s="84">
        <f>SUMIFS(Allocation!$W$1:$W$175,Allocation!$C$1:$C$175,"2026",Allocation!$D$1:$D$175,"IPAC_NAN",Allocation!$F$1:$F$175,"BAC_CCE",Allocation!$G$1:$G$175,"B2",Allocation!$H$1:$H$175,"ALT")</f>
        <v>0</v>
      </c>
      <c r="G65" s="84">
        <f>SUMIFS(Allocation!$X$1:$X$175,Allocation!$C$1:$C$175,"2026",Allocation!$D$1:$D$175,"IPAC_NAN",Allocation!$F$1:$F$175,"BAC_CCE",Allocation!$G$1:$G$175,"B2",Allocation!$H$1:$H$175,"ALT")</f>
        <v>0</v>
      </c>
      <c r="H65" s="84">
        <f>SUMIFS(Allocation!$Y$1:$Y$175,Allocation!$C$1:$C$175,"2026",Allocation!$D$1:$D$175,"IPAC_NAN",Allocation!$F$1:$F$175,"BAC_CCE",Allocation!$G$1:$G$175,"B2",Allocation!$H$1:$H$175,"ALT")</f>
        <v>0</v>
      </c>
      <c r="I65" s="84">
        <f>SUMIFS(Allocation!$AC$1:$AC$175,Allocation!$C$1:$C$175,"2026",Allocation!$D$1:$D$175,"IPAC_NAN",Allocation!$F$1:$F$175,"BAC_CCE",Allocation!$G$1:$G$175,"B2",Allocation!$H$1:$H$175,"ALT")</f>
        <v>0</v>
      </c>
      <c r="J65" s="84">
        <f>SUMIFS(Allocation!$Z$1:$Z$175,Allocation!$C$1:$C$175,"2026",Allocation!$D$1:$D$175,"IPAC_NAN",Allocation!$F$1:$F$175,"BAC_CCE",Allocation!$G$1:$G$175,"B2",Allocation!$H$1:$H$175,"ALT")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SUMIFS(Allocation!$AA$1:$AA$175,Allocation!$C$1:$C$175,"2026",Allocation!$D$1:$D$175,"IPAC_NAN",Allocation!$F$1:$F$175,"BAC_CCE",Allocation!$G$1:$G$175,"B2",Allocation!$H$1:$H$175,"ALT")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SUMIFS(Allocation!$I$1:$I$175,Allocation!$C$1:$C$175,"2026",Allocation!$D$1:$D$175,"IPAC_NAN",Allocation!$F$1:$F$175,"BAC_CCE",Allocation!$G$1:$G$175,"B3",Allocation!$H$1:$H$175,"ALT")</f>
        <v>0</v>
      </c>
      <c r="D66" s="84">
        <f>SUMIFS(Allocation!$K$1:$K$175,Allocation!$C$1:$C$175,"2026",Allocation!$D$1:$D$175,"IPAC_NAN",Allocation!$F$1:$F$175,"BAC_CCE",Allocation!$G$1:$G$175,"B3",Allocation!$H$1:$H$175,"ALT")</f>
        <v>0</v>
      </c>
      <c r="E66" s="84">
        <f>SUMIFS(Allocation!$V$1:$V$175,Allocation!$C$1:$C$175,"2026",Allocation!$D$1:$D$175,"IPAC_NAN",Allocation!$F$1:$F$175,"BAC_CCE",Allocation!$G$1:$G$175,"B3",Allocation!$H$1:$H$175,"ALT")</f>
        <v>0</v>
      </c>
      <c r="F66" s="84">
        <f>SUMIFS(Allocation!$W$1:$W$175,Allocation!$C$1:$C$175,"2026",Allocation!$D$1:$D$175,"IPAC_NAN",Allocation!$F$1:$F$175,"BAC_CCE",Allocation!$G$1:$G$175,"B3",Allocation!$H$1:$H$175,"ALT")</f>
        <v>0</v>
      </c>
      <c r="G66" s="84">
        <f>SUMIFS(Allocation!$X$1:$X$175,Allocation!$C$1:$C$175,"2026",Allocation!$D$1:$D$175,"IPAC_NAN",Allocation!$F$1:$F$175,"BAC_CCE",Allocation!$G$1:$G$175,"B3",Allocation!$H$1:$H$175,"ALT")</f>
        <v>0</v>
      </c>
      <c r="H66" s="84">
        <f>SUMIFS(Allocation!$Y$1:$Y$175,Allocation!$C$1:$C$175,"2026",Allocation!$D$1:$D$175,"IPAC_NAN",Allocation!$F$1:$F$175,"BAC_CCE",Allocation!$G$1:$G$175,"B3",Allocation!$H$1:$H$175,"ALT")</f>
        <v>0</v>
      </c>
      <c r="I66" s="84">
        <f>SUMIFS(Allocation!$AC$1:$AC$175,Allocation!$C$1:$C$175,"2026",Allocation!$D$1:$D$175,"IPAC_NAN",Allocation!$F$1:$F$175,"BAC_CCE",Allocation!$G$1:$G$175,"B3",Allocation!$H$1:$H$175,"ALT")</f>
        <v>0</v>
      </c>
      <c r="J66" s="84">
        <f>SUMIFS(Allocation!$Z$1:$Z$175,Allocation!$C$1:$C$175,"2026",Allocation!$D$1:$D$175,"IPAC_NAN",Allocation!$F$1:$F$175,"BAC_CCE",Allocation!$G$1:$G$175,"B3",Allocation!$H$1:$H$175,"ALT")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SUMIFS(Allocation!$AA$1:$AA$175,Allocation!$C$1:$C$175,"2026",Allocation!$D$1:$D$175,"IPAC_NAN",Allocation!$F$1:$F$175,"BAC_CCE",Allocation!$G$1:$G$175,"B3",Allocation!$H$1:$H$175,"ALT")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collapsed="1" x14ac:dyDescent="0.45">
      <c r="B67" s="36" t="s">
        <v>170</v>
      </c>
      <c r="C67" s="122">
        <f>SUMIFS(Allocation!$I$1:$I$175,Allocation!$C$1:$C$175,"2026",Allocation!$D$1:$D$175,"IPAC_REN")</f>
        <v>0</v>
      </c>
      <c r="D67" s="123">
        <f>SUMIFS(Allocation!$K$1:$K$175,Allocation!$C$1:$C$175,"2026",Allocation!$D$1:$D$175,"IPAC_REN")</f>
        <v>0</v>
      </c>
      <c r="E67" s="123">
        <f>SUMIFS(Allocation!$V$1:$V$175,Allocation!$C$1:$C$175,"2026",Allocation!$D$1:$D$175,"IPAC_REN")</f>
        <v>0</v>
      </c>
      <c r="F67" s="123">
        <f>SUMIFS(Allocation!$W$1:$W$175,Allocation!$C$1:$C$175,"2026",Allocation!$D$1:$D$175,"IPAC_REN")</f>
        <v>0</v>
      </c>
      <c r="G67" s="123">
        <f>SUMIFS(Allocation!$X$1:$X$175,Allocation!$C$1:$C$175,"2026",Allocation!$D$1:$D$175,"IPAC_REN")</f>
        <v>0</v>
      </c>
      <c r="H67" s="123">
        <f>SUMIFS(Allocation!$Y$1:$Y$175,Allocation!$C$1:$C$175,"2026",Allocation!$D$1:$D$175,"IPAC_REN")</f>
        <v>0</v>
      </c>
      <c r="I67" s="123">
        <f>SUMIFS(Allocation!$AC$1:$AC$175,Allocation!$C$1:$C$175,"2026",Allocation!$D$1:$D$175,"IPAC_REN")</f>
        <v>0</v>
      </c>
      <c r="J67" s="123">
        <f>SUMIFS(Allocation!$Z$1:$Z$175,Allocation!$C$1:$C$175,"2026",Allocation!$D$1:$D$175,"IPAC_REN")</f>
        <v>0</v>
      </c>
      <c r="K67" s="123">
        <f t="shared" si="2"/>
        <v>0</v>
      </c>
      <c r="L67" s="130">
        <f>SUMIFS(Allocation!$AA$1:$AA$175,Allocation!$C$1:$C$175,"2026",Allocation!$D$1:$D$175,"IPAC_REN")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SUMIFS(Allocation!$I$1:$I$175,Allocation!$C$1:$C$175,"2026",Allocation!$D$1:$D$175,"IPAC_REN",Allocation!$F$1:$F$175,"BAC_CCE",Allocation!$G$1:$G$175,"B1",Allocation!$H$1:$H$175,"ALT")</f>
        <v>0</v>
      </c>
      <c r="D68" s="84">
        <f>SUMIFS(Allocation!$K$1:$K$175,Allocation!$C$1:$C$175,"2026",Allocation!$D$1:$D$175,"IPAC_REN",Allocation!$F$1:$F$175,"BAC_CCE",Allocation!$G$1:$G$175,"B1",Allocation!$H$1:$H$175,"ALT")</f>
        <v>0</v>
      </c>
      <c r="E68" s="84">
        <f>SUMIFS(Allocation!$V$1:$V$175,Allocation!$C$1:$C$175,"2026",Allocation!$D$1:$D$175,"IPAC_REN",Allocation!$F$1:$F$175,"BAC_CCE",Allocation!$G$1:$G$175,"B1",Allocation!$H$1:$H$175,"ALT")</f>
        <v>0</v>
      </c>
      <c r="F68" s="84">
        <f>SUMIFS(Allocation!$W$1:$W$175,Allocation!$C$1:$C$175,"2026",Allocation!$D$1:$D$175,"IPAC_REN",Allocation!$F$1:$F$175,"BAC_CCE",Allocation!$G$1:$G$175,"B1",Allocation!$H$1:$H$175,"ALT")</f>
        <v>0</v>
      </c>
      <c r="G68" s="84">
        <f>SUMIFS(Allocation!$X$1:$X$175,Allocation!$C$1:$C$175,"2026",Allocation!$D$1:$D$175,"IPAC_REN",Allocation!$F$1:$F$175,"BAC_CCE",Allocation!$G$1:$G$175,"B1",Allocation!$H$1:$H$175,"ALT")</f>
        <v>0</v>
      </c>
      <c r="H68" s="84">
        <f>SUMIFS(Allocation!$Y$1:$Y$175,Allocation!$C$1:$C$175,"2026",Allocation!$D$1:$D$175,"IPAC_REN",Allocation!$F$1:$F$175,"BAC_CCE",Allocation!$G$1:$G$175,"B1",Allocation!$H$1:$H$175,"ALT")</f>
        <v>0</v>
      </c>
      <c r="I68" s="84">
        <f>SUMIFS(Allocation!$AC$1:$AC$175,Allocation!$C$1:$C$175,"2026",Allocation!$D$1:$D$175,"IPAC_REN",Allocation!$F$1:$F$175,"BAC_CCE",Allocation!$G$1:$G$175,"B1",Allocation!$H$1:$H$175,"ALT")</f>
        <v>0</v>
      </c>
      <c r="J68" s="84">
        <f>SUMIFS(Allocation!$Z$1:$Z$175,Allocation!$C$1:$C$175,"2026",Allocation!$D$1:$D$175,"IPAC_REN",Allocation!$F$1:$F$175,"BAC_CCE",Allocation!$G$1:$G$175,"B1",Allocation!$H$1:$H$175,"ALT")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SUMIFS(Allocation!$AA$1:$AA$175,Allocation!$C$1:$C$175,"2026",Allocation!$D$1:$D$175,"IPAC_REN",Allocation!$F$1:$F$175,"BAC_CCE",Allocation!$G$1:$G$175,"B1",Allocation!$H$1:$H$175,"ALT")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SUMIFS(Allocation!$I$1:$I$175,Allocation!$C$1:$C$175,"2026",Allocation!$D$1:$D$175,"IPAC_REN",Allocation!$F$1:$F$175,"BAC_CCE",Allocation!$G$1:$G$175,"B2",Allocation!$H$1:$H$175,"ALT")</f>
        <v>0</v>
      </c>
      <c r="D69" s="84">
        <f>SUMIFS(Allocation!$K$1:$K$175,Allocation!$C$1:$C$175,"2026",Allocation!$D$1:$D$175,"IPAC_REN",Allocation!$F$1:$F$175,"BAC_CCE",Allocation!$G$1:$G$175,"B2",Allocation!$H$1:$H$175,"ALT")</f>
        <v>0</v>
      </c>
      <c r="E69" s="84">
        <f>SUMIFS(Allocation!$V$1:$V$175,Allocation!$C$1:$C$175,"2026",Allocation!$D$1:$D$175,"IPAC_REN",Allocation!$F$1:$F$175,"BAC_CCE",Allocation!$G$1:$G$175,"B2",Allocation!$H$1:$H$175,"ALT")</f>
        <v>0</v>
      </c>
      <c r="F69" s="84">
        <f>SUMIFS(Allocation!$W$1:$W$175,Allocation!$C$1:$C$175,"2026",Allocation!$D$1:$D$175,"IPAC_REN",Allocation!$F$1:$F$175,"BAC_CCE",Allocation!$G$1:$G$175,"B2",Allocation!$H$1:$H$175,"ALT")</f>
        <v>0</v>
      </c>
      <c r="G69" s="84">
        <f>SUMIFS(Allocation!$X$1:$X$175,Allocation!$C$1:$C$175,"2026",Allocation!$D$1:$D$175,"IPAC_REN",Allocation!$F$1:$F$175,"BAC_CCE",Allocation!$G$1:$G$175,"B2",Allocation!$H$1:$H$175,"ALT")</f>
        <v>0</v>
      </c>
      <c r="H69" s="84">
        <f>SUMIFS(Allocation!$Y$1:$Y$175,Allocation!$C$1:$C$175,"2026",Allocation!$D$1:$D$175,"IPAC_REN",Allocation!$F$1:$F$175,"BAC_CCE",Allocation!$G$1:$G$175,"B2",Allocation!$H$1:$H$175,"ALT")</f>
        <v>0</v>
      </c>
      <c r="I69" s="84">
        <f>SUMIFS(Allocation!$AC$1:$AC$175,Allocation!$C$1:$C$175,"2026",Allocation!$D$1:$D$175,"IPAC_REN",Allocation!$F$1:$F$175,"BAC_CCE",Allocation!$G$1:$G$175,"B2",Allocation!$H$1:$H$175,"ALT")</f>
        <v>0</v>
      </c>
      <c r="J69" s="84">
        <f>SUMIFS(Allocation!$Z$1:$Z$175,Allocation!$C$1:$C$175,"2026",Allocation!$D$1:$D$175,"IPAC_REN",Allocation!$F$1:$F$175,"BAC_CCE",Allocation!$G$1:$G$175,"B2",Allocation!$H$1:$H$175,"ALT")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SUMIFS(Allocation!$AA$1:$AA$175,Allocation!$C$1:$C$175,"2026",Allocation!$D$1:$D$175,"IPAC_REN",Allocation!$F$1:$F$175,"BAC_CCE",Allocation!$G$1:$G$175,"B2",Allocation!$H$1:$H$175,"ALT")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SUMIFS(Allocation!$I$1:$I$175,Allocation!$C$1:$C$175,"2026",Allocation!$D$1:$D$175,"IPAC_REN",Allocation!$F$1:$F$175,"BAC_CCE",Allocation!$G$1:$G$175,"B3",Allocation!$H$1:$H$175,"ALT")</f>
        <v>0</v>
      </c>
      <c r="D70" s="84">
        <f>SUMIFS(Allocation!$K$1:$K$175,Allocation!$C$1:$C$175,"2026",Allocation!$D$1:$D$175,"IPAC_REN",Allocation!$F$1:$F$175,"BAC_CCE",Allocation!$G$1:$G$175,"B3",Allocation!$H$1:$H$175,"ALT")</f>
        <v>0</v>
      </c>
      <c r="E70" s="84">
        <f>SUMIFS(Allocation!$V$1:$V$175,Allocation!$C$1:$C$175,"2026",Allocation!$D$1:$D$175,"IPAC_REN",Allocation!$F$1:$F$175,"BAC_CCE",Allocation!$G$1:$G$175,"B3",Allocation!$H$1:$H$175,"ALT")</f>
        <v>0</v>
      </c>
      <c r="F70" s="84">
        <f>SUMIFS(Allocation!$W$1:$W$175,Allocation!$C$1:$C$175,"2026",Allocation!$D$1:$D$175,"IPAC_REN",Allocation!$F$1:$F$175,"BAC_CCE",Allocation!$G$1:$G$175,"B3",Allocation!$H$1:$H$175,"ALT")</f>
        <v>0</v>
      </c>
      <c r="G70" s="84">
        <f>SUMIFS(Allocation!$X$1:$X$175,Allocation!$C$1:$C$175,"2026",Allocation!$D$1:$D$175,"IPAC_REN",Allocation!$F$1:$F$175,"BAC_CCE",Allocation!$G$1:$G$175,"B3",Allocation!$H$1:$H$175,"ALT")</f>
        <v>0</v>
      </c>
      <c r="H70" s="84">
        <f>SUMIFS(Allocation!$Y$1:$Y$175,Allocation!$C$1:$C$175,"2026",Allocation!$D$1:$D$175,"IPAC_REN",Allocation!$F$1:$F$175,"BAC_CCE",Allocation!$G$1:$G$175,"B3",Allocation!$H$1:$H$175,"ALT")</f>
        <v>0</v>
      </c>
      <c r="I70" s="84">
        <f>SUMIFS(Allocation!$AC$1:$AC$175,Allocation!$C$1:$C$175,"2026",Allocation!$D$1:$D$175,"IPAC_REN",Allocation!$F$1:$F$175,"BAC_CCE",Allocation!$G$1:$G$175,"B3",Allocation!$H$1:$H$175,"ALT")</f>
        <v>0</v>
      </c>
      <c r="J70" s="84">
        <f>SUMIFS(Allocation!$Z$1:$Z$175,Allocation!$C$1:$C$175,"2026",Allocation!$D$1:$D$175,"IPAC_REN",Allocation!$F$1:$F$175,"BAC_CCE",Allocation!$G$1:$G$175,"B3",Allocation!$H$1:$H$175,"ALT")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SUMIFS(Allocation!$AA$1:$AA$175,Allocation!$C$1:$C$175,"2026",Allocation!$D$1:$D$175,"IPAC_REN",Allocation!$F$1:$F$175,"BAC_CCE",Allocation!$G$1:$G$175,"B3",Allocation!$H$1:$H$175,"ALT")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collapsed="1" x14ac:dyDescent="0.45">
      <c r="B71" s="36" t="s">
        <v>171</v>
      </c>
      <c r="C71" s="122">
        <f>SUMIFS(Allocation!$I$1:$I$175,Allocation!$C$1:$C$175,"2026",Allocation!$D$1:$D$175,"IPAC_MTP")</f>
        <v>0</v>
      </c>
      <c r="D71" s="123">
        <f>SUMIFS(Allocation!$K$1:$K$175,Allocation!$C$1:$C$175,"2026",Allocation!$D$1:$D$175,"IPAC_MTP")</f>
        <v>0</v>
      </c>
      <c r="E71" s="123">
        <f>SUMIFS(Allocation!$V$1:$V$175,Allocation!$C$1:$C$175,"2026",Allocation!$D$1:$D$175,"IPAC_MTP")</f>
        <v>0</v>
      </c>
      <c r="F71" s="123">
        <f>SUMIFS(Allocation!$W$1:$W$175,Allocation!$C$1:$C$175,"2026",Allocation!$D$1:$D$175,"IPAC_MTP")</f>
        <v>0</v>
      </c>
      <c r="G71" s="123">
        <f>SUMIFS(Allocation!$X$1:$X$175,Allocation!$C$1:$C$175,"2026",Allocation!$D$1:$D$175,"IPAC_MTP")</f>
        <v>0</v>
      </c>
      <c r="H71" s="123">
        <f>SUMIFS(Allocation!$Y$1:$Y$175,Allocation!$C$1:$C$175,"2026",Allocation!$D$1:$D$175,"IPAC_MTP")</f>
        <v>0</v>
      </c>
      <c r="I71" s="123">
        <f>SUMIFS(Allocation!$AC$1:$AC$175,Allocation!$C$1:$C$175,"2026",Allocation!$D$1:$D$175,"IPAC_MTP")</f>
        <v>0</v>
      </c>
      <c r="J71" s="123">
        <f>SUMIFS(Allocation!$Z$1:$Z$175,Allocation!$C$1:$C$175,"2026",Allocation!$D$1:$D$175,"IPAC_MTP")</f>
        <v>0</v>
      </c>
      <c r="K71" s="123">
        <f t="shared" si="2"/>
        <v>0</v>
      </c>
      <c r="L71" s="130">
        <f>SUMIFS(Allocation!$AA$1:$AA$175,Allocation!$C$1:$C$175,"2026",Allocation!$D$1:$D$175,"IPAC_MTP")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SUMIFS(Allocation!$I$1:$I$175,Allocation!$C$1:$C$175,"2026",Allocation!$D$1:$D$175,"IPAC_MTP",Allocation!$F$1:$F$175,"BAC_CCE",Allocation!$G$1:$G$175,"B1",Allocation!$H$1:$H$175,"ALT")</f>
        <v>0</v>
      </c>
      <c r="D72" s="84">
        <f>SUMIFS(Allocation!$K$1:$K$175,Allocation!$C$1:$C$175,"2026",Allocation!$D$1:$D$175,"IPAC_MTP",Allocation!$F$1:$F$175,"BAC_CCE",Allocation!$G$1:$G$175,"B1",Allocation!$H$1:$H$175,"ALT")</f>
        <v>0</v>
      </c>
      <c r="E72" s="84">
        <f>SUMIFS(Allocation!$V$1:$V$175,Allocation!$C$1:$C$175,"2026",Allocation!$D$1:$D$175,"IPAC_MTP",Allocation!$F$1:$F$175,"BAC_CCE",Allocation!$G$1:$G$175,"B1",Allocation!$H$1:$H$175,"ALT")</f>
        <v>0</v>
      </c>
      <c r="F72" s="84">
        <f>SUMIFS(Allocation!$W$1:$W$175,Allocation!$C$1:$C$175,"2026",Allocation!$D$1:$D$175,"IPAC_MTP",Allocation!$F$1:$F$175,"BAC_CCE",Allocation!$G$1:$G$175,"B1",Allocation!$H$1:$H$175,"ALT")</f>
        <v>0</v>
      </c>
      <c r="G72" s="84">
        <f>SUMIFS(Allocation!$X$1:$X$175,Allocation!$C$1:$C$175,"2026",Allocation!$D$1:$D$175,"IPAC_MTP",Allocation!$F$1:$F$175,"BAC_CCE",Allocation!$G$1:$G$175,"B1",Allocation!$H$1:$H$175,"ALT")</f>
        <v>0</v>
      </c>
      <c r="H72" s="84">
        <f>SUMIFS(Allocation!$Y$1:$Y$175,Allocation!$C$1:$C$175,"2026",Allocation!$D$1:$D$175,"IPAC_MTP",Allocation!$F$1:$F$175,"BAC_CCE",Allocation!$G$1:$G$175,"B1",Allocation!$H$1:$H$175,"ALT")</f>
        <v>0</v>
      </c>
      <c r="I72" s="84">
        <f>SUMIFS(Allocation!$AC$1:$AC$175,Allocation!$C$1:$C$175,"2026",Allocation!$D$1:$D$175,"IPAC_MTP",Allocation!$F$1:$F$175,"BAC_CCE",Allocation!$G$1:$G$175,"B1",Allocation!$H$1:$H$175,"ALT")</f>
        <v>0</v>
      </c>
      <c r="J72" s="84">
        <f>SUMIFS(Allocation!$Z$1:$Z$175,Allocation!$C$1:$C$175,"2026",Allocation!$D$1:$D$175,"IPAC_MTP",Allocation!$F$1:$F$175,"BAC_CCE",Allocation!$G$1:$G$175,"B1",Allocation!$H$1:$H$175,"ALT")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SUMIFS(Allocation!$AA$1:$AA$175,Allocation!$C$1:$C$175,"2026",Allocation!$D$1:$D$175,"IPAC_MTP",Allocation!$F$1:$F$175,"BAC_CCE",Allocation!$G$1:$G$175,"B1",Allocation!$H$1:$H$175,"ALT")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SUMIFS(Allocation!$I$1:$I$175,Allocation!$C$1:$C$175,"2026",Allocation!$D$1:$D$175,"IPAC_MTP",Allocation!$F$1:$F$175,"BAC_CCE",Allocation!$G$1:$G$175,"B2",Allocation!$H$1:$H$175,"ALT")</f>
        <v>0</v>
      </c>
      <c r="D73" s="84">
        <f>SUMIFS(Allocation!$K$1:$K$175,Allocation!$C$1:$C$175,"2026",Allocation!$D$1:$D$175,"IPAC_MTP",Allocation!$F$1:$F$175,"BAC_CCE",Allocation!$G$1:$G$175,"B2",Allocation!$H$1:$H$175,"ALT")</f>
        <v>0</v>
      </c>
      <c r="E73" s="84">
        <f>SUMIFS(Allocation!$V$1:$V$175,Allocation!$C$1:$C$175,"2026",Allocation!$D$1:$D$175,"IPAC_MTP",Allocation!$F$1:$F$175,"BAC_CCE",Allocation!$G$1:$G$175,"B2",Allocation!$H$1:$H$175,"ALT")</f>
        <v>0</v>
      </c>
      <c r="F73" s="84">
        <f>SUMIFS(Allocation!$W$1:$W$175,Allocation!$C$1:$C$175,"2026",Allocation!$D$1:$D$175,"IPAC_MTP",Allocation!$F$1:$F$175,"BAC_CCE",Allocation!$G$1:$G$175,"B2",Allocation!$H$1:$H$175,"ALT")</f>
        <v>0</v>
      </c>
      <c r="G73" s="84">
        <f>SUMIFS(Allocation!$X$1:$X$175,Allocation!$C$1:$C$175,"2026",Allocation!$D$1:$D$175,"IPAC_MTP",Allocation!$F$1:$F$175,"BAC_CCE",Allocation!$G$1:$G$175,"B2",Allocation!$H$1:$H$175,"ALT")</f>
        <v>0</v>
      </c>
      <c r="H73" s="84">
        <f>SUMIFS(Allocation!$Y$1:$Y$175,Allocation!$C$1:$C$175,"2026",Allocation!$D$1:$D$175,"IPAC_MTP",Allocation!$F$1:$F$175,"BAC_CCE",Allocation!$G$1:$G$175,"B2",Allocation!$H$1:$H$175,"ALT")</f>
        <v>0</v>
      </c>
      <c r="I73" s="84">
        <f>SUMIFS(Allocation!$AC$1:$AC$175,Allocation!$C$1:$C$175,"2026",Allocation!$D$1:$D$175,"IPAC_MTP",Allocation!$F$1:$F$175,"BAC_CCE",Allocation!$G$1:$G$175,"B2",Allocation!$H$1:$H$175,"ALT")</f>
        <v>0</v>
      </c>
      <c r="J73" s="84">
        <f>SUMIFS(Allocation!$Z$1:$Z$175,Allocation!$C$1:$C$175,"2026",Allocation!$D$1:$D$175,"IPAC_MTP",Allocation!$F$1:$F$175,"BAC_CCE",Allocation!$G$1:$G$175,"B2",Allocation!$H$1:$H$175,"ALT")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SUMIFS(Allocation!$AA$1:$AA$175,Allocation!$C$1:$C$175,"2026",Allocation!$D$1:$D$175,"IPAC_MTP",Allocation!$F$1:$F$175,"BAC_CCE",Allocation!$G$1:$G$175,"B2",Allocation!$H$1:$H$175,"ALT")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SUMIFS(Allocation!$I$1:$I$175,Allocation!$C$1:$C$175,"2026",Allocation!$D$1:$D$175,"IPAC_MTP",Allocation!$F$1:$F$175,"BAC_CCE",Allocation!$G$1:$G$175,"B3",Allocation!$H$1:$H$175,"ALT")</f>
        <v>0</v>
      </c>
      <c r="D74" s="84">
        <f>SUMIFS(Allocation!$K$1:$K$175,Allocation!$C$1:$C$175,"2026",Allocation!$D$1:$D$175,"IPAC_MTP",Allocation!$F$1:$F$175,"BAC_CCE",Allocation!$G$1:$G$175,"B3",Allocation!$H$1:$H$175,"ALT")</f>
        <v>0</v>
      </c>
      <c r="E74" s="84">
        <f>SUMIFS(Allocation!$V$1:$V$175,Allocation!$C$1:$C$175,"2026",Allocation!$D$1:$D$175,"IPAC_MTP",Allocation!$F$1:$F$175,"BAC_CCE",Allocation!$G$1:$G$175,"B3",Allocation!$H$1:$H$175,"ALT")</f>
        <v>0</v>
      </c>
      <c r="F74" s="84">
        <f>SUMIFS(Allocation!$W$1:$W$175,Allocation!$C$1:$C$175,"2026",Allocation!$D$1:$D$175,"IPAC_MTP",Allocation!$F$1:$F$175,"BAC_CCE",Allocation!$G$1:$G$175,"B3",Allocation!$H$1:$H$175,"ALT")</f>
        <v>0</v>
      </c>
      <c r="G74" s="84">
        <f>SUMIFS(Allocation!$X$1:$X$175,Allocation!$C$1:$C$175,"2026",Allocation!$D$1:$D$175,"IPAC_MTP",Allocation!$F$1:$F$175,"BAC_CCE",Allocation!$G$1:$G$175,"B3",Allocation!$H$1:$H$175,"ALT")</f>
        <v>0</v>
      </c>
      <c r="H74" s="84">
        <f>SUMIFS(Allocation!$Y$1:$Y$175,Allocation!$C$1:$C$175,"2026",Allocation!$D$1:$D$175,"IPAC_MTP",Allocation!$F$1:$F$175,"BAC_CCE",Allocation!$G$1:$G$175,"B3",Allocation!$H$1:$H$175,"ALT")</f>
        <v>0</v>
      </c>
      <c r="I74" s="84">
        <f>SUMIFS(Allocation!$AC$1:$AC$175,Allocation!$C$1:$C$175,"2026",Allocation!$D$1:$D$175,"IPAC_MTP",Allocation!$F$1:$F$175,"BAC_CCE",Allocation!$G$1:$G$175,"B3",Allocation!$H$1:$H$175,"ALT")</f>
        <v>0</v>
      </c>
      <c r="J74" s="84">
        <f>SUMIFS(Allocation!$Z$1:$Z$175,Allocation!$C$1:$C$175,"2026",Allocation!$D$1:$D$175,"IPAC_MTP",Allocation!$F$1:$F$175,"BAC_CCE",Allocation!$G$1:$G$175,"B3",Allocation!$H$1:$H$175,"ALT")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SUMIFS(Allocation!$AA$1:$AA$175,Allocation!$C$1:$C$175,"2026",Allocation!$D$1:$D$175,"IPAC_MTP",Allocation!$F$1:$F$175,"BAC_CCE",Allocation!$G$1:$G$175,"B3",Allocation!$H$1:$H$175,"ALT")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SUMIFS(Allocation!$I$1:$I$175,Allocation!$C$1:$C$175,"2026",Allocation!$E$1:$E$175,"PIGIER")</f>
        <v>0</v>
      </c>
      <c r="D75" s="123">
        <f>SUMIFS(Allocation!$K$1:$K$175,Allocation!$C$1:$C$175,"2026",Allocation!$E$1:$E$175,"PIGIER")</f>
        <v>0</v>
      </c>
      <c r="E75" s="123">
        <f>SUMIFS(Allocation!$V$1:$V$175,Allocation!$C$1:$C$175,"2026",Allocation!$E$1:$E$175,"PIGIER")</f>
        <v>0</v>
      </c>
      <c r="F75" s="123">
        <f>SUMIFS(Allocation!$W$1:$W$175,Allocation!$C$1:$C$175,"2026",Allocation!$E$1:$E$175,"PIGIER")</f>
        <v>0</v>
      </c>
      <c r="G75" s="123">
        <f>SUMIFS(Allocation!$X$1:$X$175,Allocation!$C$1:$C$175,"2026",Allocation!$E$1:$E$175,"PIGIER")</f>
        <v>0</v>
      </c>
      <c r="H75" s="123">
        <f>SUMIFS(Allocation!$Y$1:$Y$175,Allocation!$C$1:$C$175,"2026",Allocation!$E$1:$E$175,"PIGIER")</f>
        <v>0</v>
      </c>
      <c r="I75" s="123">
        <f>SUMIFS(Allocation!$AC$1:$AC$175,Allocation!$C$1:$C$175,"2026",Allocation!$E$1:$E$175,"PIGIER")</f>
        <v>0</v>
      </c>
      <c r="J75" s="123">
        <f>SUMIFS(Allocation!$Z$1:$Z$175,Allocation!$C$1:$C$175,"2026",Allocation!$E$1:$E$175,"PIGIER")</f>
        <v>0</v>
      </c>
      <c r="K75" s="123">
        <f t="shared" si="2"/>
        <v>0</v>
      </c>
      <c r="L75" s="130">
        <f>SUMIFS(Allocation!$AA$1:$AA$175,Allocation!$C$1:$C$175,"2026",Allocation!$E$1:$E$175,"PIGIER")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SUMIFS(Allocation!$I$1:$I$175,Allocation!$C$1:$C$175,"2026",Allocation!$D$1:$D$175,"PIGIER_LYO")</f>
        <v>0</v>
      </c>
      <c r="D76" s="123">
        <f>SUMIFS(Allocation!$K$1:$K$175,Allocation!$C$1:$C$175,"2026",Allocation!$D$1:$D$175,"PIGIER_LYO")</f>
        <v>0</v>
      </c>
      <c r="E76" s="123">
        <f>SUMIFS(Allocation!$V$1:$V$175,Allocation!$C$1:$C$175,"2026",Allocation!$D$1:$D$175,"PIGIER_LYO")</f>
        <v>0</v>
      </c>
      <c r="F76" s="123">
        <f>SUMIFS(Allocation!$W$1:$W$175,Allocation!$C$1:$C$175,"2026",Allocation!$D$1:$D$175,"PIGIER_LYO")</f>
        <v>0</v>
      </c>
      <c r="G76" s="123">
        <f>SUMIFS(Allocation!$X$1:$X$175,Allocation!$C$1:$C$175,"2026",Allocation!$D$1:$D$175,"PIGIER_LYO")</f>
        <v>0</v>
      </c>
      <c r="H76" s="123">
        <f>SUMIFS(Allocation!$Y$1:$Y$175,Allocation!$C$1:$C$175,"2026",Allocation!$D$1:$D$175,"PIGIER_LYO")</f>
        <v>0</v>
      </c>
      <c r="I76" s="123">
        <f>SUMIFS(Allocation!$AC$1:$AC$175,Allocation!$C$1:$C$175,"2026",Allocation!$D$1:$D$175,"PIGIER_LYO")</f>
        <v>0</v>
      </c>
      <c r="J76" s="123">
        <f>SUMIFS(Allocation!$Z$1:$Z$175,Allocation!$C$1:$C$175,"2026",Allocation!$D$1:$D$175,"PIGIER_LYO")</f>
        <v>0</v>
      </c>
      <c r="K76" s="123">
        <f t="shared" si="2"/>
        <v>0</v>
      </c>
      <c r="L76" s="130">
        <f>SUMIFS(Allocation!$AA$1:$AA$175,Allocation!$C$1:$C$175,"2026",Allocation!$D$1:$D$175,"PIGIER_LYO")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SUMIFS(Allocation!$I$1:$I$175,Allocation!$C$1:$C$175,"2026",Allocation!$D$1:$D$175,"PIGIER_LYO",Allocation!$F$1:$F$175,"BTS_GES",Allocation!$G$1:$G$175,"BTS1",Allocation!$H$1:$H$175,"ALT")</f>
        <v>0</v>
      </c>
      <c r="D77" s="84">
        <f>SUMIFS(Allocation!$K$1:$K$175,Allocation!$C$1:$C$175,"2026",Allocation!$D$1:$D$175,"PIGIER_LYO",Allocation!$F$1:$F$175,"BTS_GES",Allocation!$G$1:$G$175,"BTS1",Allocation!$H$1:$H$175,"ALT")</f>
        <v>0</v>
      </c>
      <c r="E77" s="84">
        <f>SUMIFS(Allocation!$V$1:$V$175,Allocation!$C$1:$C$175,"2026",Allocation!$D$1:$D$175,"PIGIER_LYO",Allocation!$F$1:$F$175,"BTS_GES",Allocation!$G$1:$G$175,"BTS1",Allocation!$H$1:$H$175,"ALT")</f>
        <v>0</v>
      </c>
      <c r="F77" s="84">
        <f>SUMIFS(Allocation!$W$1:$W$175,Allocation!$C$1:$C$175,"2026",Allocation!$D$1:$D$175,"PIGIER_LYO",Allocation!$F$1:$F$175,"BTS_GES",Allocation!$G$1:$G$175,"BTS1",Allocation!$H$1:$H$175,"ALT")</f>
        <v>0</v>
      </c>
      <c r="G77" s="84">
        <f>SUMIFS(Allocation!$X$1:$X$175,Allocation!$C$1:$C$175,"2026",Allocation!$D$1:$D$175,"PIGIER_LYO",Allocation!$F$1:$F$175,"BTS_GES",Allocation!$G$1:$G$175,"BTS1",Allocation!$H$1:$H$175,"ALT")</f>
        <v>0</v>
      </c>
      <c r="H77" s="84">
        <f>SUMIFS(Allocation!$Y$1:$Y$175,Allocation!$C$1:$C$175,"2026",Allocation!$D$1:$D$175,"PIGIER_LYO",Allocation!$F$1:$F$175,"BTS_GES",Allocation!$G$1:$G$175,"BTS1",Allocation!$H$1:$H$175,"ALT")</f>
        <v>0</v>
      </c>
      <c r="I77" s="84">
        <f>SUMIFS(Allocation!$AC$1:$AC$175,Allocation!$C$1:$C$175,"2026",Allocation!$D$1:$D$175,"PIGIER_LYO",Allocation!$F$1:$F$175,"BTS_GES",Allocation!$G$1:$G$175,"BTS1",Allocation!$H$1:$H$175,"ALT")</f>
        <v>0</v>
      </c>
      <c r="J77" s="84">
        <f>SUMIFS(Allocation!$Z$1:$Z$175,Allocation!$C$1:$C$175,"2026",Allocation!$D$1:$D$175,"PIGIER_LYO",Allocation!$F$1:$F$175,"BTS_GES",Allocation!$G$1:$G$175,"BTS1",Allocation!$H$1:$H$175,"ALT")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SUMIFS(Allocation!$AA$1:$AA$175,Allocation!$C$1:$C$175,"2026",Allocation!$D$1:$D$175,"PIGIER_LYO",Allocation!$F$1:$F$175,"BTS_GES",Allocation!$G$1:$G$175,"BTS1",Allocation!$H$1:$H$175,"ALT")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SUMIFS(Allocation!$I$1:$I$175,Allocation!$C$1:$C$175,"2026",Allocation!$D$1:$D$175,"PIGIER_LYO",Allocation!$F$1:$F$175,"BTS_GES",Allocation!$G$1:$G$175,"BTS2",Allocation!$H$1:$H$175,"ALT")</f>
        <v>0</v>
      </c>
      <c r="D78" s="84">
        <f>SUMIFS(Allocation!$K$1:$K$175,Allocation!$C$1:$C$175,"2026",Allocation!$D$1:$D$175,"PIGIER_LYO",Allocation!$F$1:$F$175,"BTS_GES",Allocation!$G$1:$G$175,"BTS2",Allocation!$H$1:$H$175,"ALT")</f>
        <v>0</v>
      </c>
      <c r="E78" s="84">
        <f>SUMIFS(Allocation!$V$1:$V$175,Allocation!$C$1:$C$175,"2026",Allocation!$D$1:$D$175,"PIGIER_LYO",Allocation!$F$1:$F$175,"BTS_GES",Allocation!$G$1:$G$175,"BTS2",Allocation!$H$1:$H$175,"ALT")</f>
        <v>0</v>
      </c>
      <c r="F78" s="84">
        <f>SUMIFS(Allocation!$W$1:$W$175,Allocation!$C$1:$C$175,"2026",Allocation!$D$1:$D$175,"PIGIER_LYO",Allocation!$F$1:$F$175,"BTS_GES",Allocation!$G$1:$G$175,"BTS2",Allocation!$H$1:$H$175,"ALT")</f>
        <v>0</v>
      </c>
      <c r="G78" s="84">
        <f>SUMIFS(Allocation!$X$1:$X$175,Allocation!$C$1:$C$175,"2026",Allocation!$D$1:$D$175,"PIGIER_LYO",Allocation!$F$1:$F$175,"BTS_GES",Allocation!$G$1:$G$175,"BTS2",Allocation!$H$1:$H$175,"ALT")</f>
        <v>0</v>
      </c>
      <c r="H78" s="84">
        <f>SUMIFS(Allocation!$Y$1:$Y$175,Allocation!$C$1:$C$175,"2026",Allocation!$D$1:$D$175,"PIGIER_LYO",Allocation!$F$1:$F$175,"BTS_GES",Allocation!$G$1:$G$175,"BTS2",Allocation!$H$1:$H$175,"ALT")</f>
        <v>0</v>
      </c>
      <c r="I78" s="84">
        <f>SUMIFS(Allocation!$AC$1:$AC$175,Allocation!$C$1:$C$175,"2026",Allocation!$D$1:$D$175,"PIGIER_LYO",Allocation!$F$1:$F$175,"BTS_GES",Allocation!$G$1:$G$175,"BTS2",Allocation!$H$1:$H$175,"ALT")</f>
        <v>0</v>
      </c>
      <c r="J78" s="84">
        <f>SUMIFS(Allocation!$Z$1:$Z$175,Allocation!$C$1:$C$175,"2026",Allocation!$D$1:$D$175,"PIGIER_LYO",Allocation!$F$1:$F$175,"BTS_GES",Allocation!$G$1:$G$175,"BTS2",Allocation!$H$1:$H$175,"ALT")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SUMIFS(Allocation!$AA$1:$AA$175,Allocation!$C$1:$C$175,"2026",Allocation!$D$1:$D$175,"PIGIER_LYO",Allocation!$F$1:$F$175,"BTS_GES",Allocation!$G$1:$G$175,"BTS2",Allocation!$H$1:$H$175,"ALT")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SUMIFS(Allocation!$I$1:$I$175,Allocation!$C$1:$C$175,"2026",Allocation!$D$1:$D$175,"PIGIER_LYO",Allocation!$F$1:$F$175,"BAC_RH",Allocation!$G$1:$G$175,"B1",Allocation!$H$1:$H$175,"ALT")</f>
        <v>0</v>
      </c>
      <c r="D79" s="84">
        <f>SUMIFS(Allocation!$K$1:$K$175,Allocation!$C$1:$C$175,"2026",Allocation!$D$1:$D$175,"PIGIER_LYO",Allocation!$F$1:$F$175,"BAC_RH",Allocation!$G$1:$G$175,"B1",Allocation!$H$1:$H$175,"ALT")</f>
        <v>0</v>
      </c>
      <c r="E79" s="84">
        <f>SUMIFS(Allocation!$V$1:$V$175,Allocation!$C$1:$C$175,"2026",Allocation!$D$1:$D$175,"PIGIER_LYO",Allocation!$F$1:$F$175,"BAC_RH",Allocation!$G$1:$G$175,"B1",Allocation!$H$1:$H$175,"ALT")</f>
        <v>0</v>
      </c>
      <c r="F79" s="84">
        <f>SUMIFS(Allocation!$W$1:$W$175,Allocation!$C$1:$C$175,"2026",Allocation!$D$1:$D$175,"PIGIER_LYO",Allocation!$F$1:$F$175,"BAC_RH",Allocation!$G$1:$G$175,"B1",Allocation!$H$1:$H$175,"ALT")</f>
        <v>0</v>
      </c>
      <c r="G79" s="84">
        <f>SUMIFS(Allocation!$X$1:$X$175,Allocation!$C$1:$C$175,"2026",Allocation!$D$1:$D$175,"PIGIER_LYO",Allocation!$F$1:$F$175,"BAC_RH",Allocation!$G$1:$G$175,"B1",Allocation!$H$1:$H$175,"ALT")</f>
        <v>0</v>
      </c>
      <c r="H79" s="84">
        <f>SUMIFS(Allocation!$Y$1:$Y$175,Allocation!$C$1:$C$175,"2026",Allocation!$D$1:$D$175,"PIGIER_LYO",Allocation!$F$1:$F$175,"BAC_RH",Allocation!$G$1:$G$175,"B1",Allocation!$H$1:$H$175,"ALT")</f>
        <v>0</v>
      </c>
      <c r="I79" s="84">
        <f>SUMIFS(Allocation!$AC$1:$AC$175,Allocation!$C$1:$C$175,"2026",Allocation!$D$1:$D$175,"PIGIER_LYO",Allocation!$F$1:$F$175,"BAC_RH",Allocation!$G$1:$G$175,"B1",Allocation!$H$1:$H$175,"ALT")</f>
        <v>0</v>
      </c>
      <c r="J79" s="84">
        <f>SUMIFS(Allocation!$Z$1:$Z$175,Allocation!$C$1:$C$175,"2026",Allocation!$D$1:$D$175,"PIGIER_LYO",Allocation!$F$1:$F$175,"BAC_RH",Allocation!$G$1:$G$175,"B1",Allocation!$H$1:$H$175,"ALT")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SUMIFS(Allocation!$AA$1:$AA$175,Allocation!$C$1:$C$175,"2026",Allocation!$D$1:$D$175,"PIGIER_LYO",Allocation!$F$1:$F$175,"BAC_RH",Allocation!$G$1:$G$175,"B1",Allocation!$H$1:$H$175,"ALT")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SUMIFS(Allocation!$I$1:$I$175,Allocation!$C$1:$C$175,"2026",Allocation!$D$1:$D$175,"PIGIER_LYO",Allocation!$F$1:$F$175,"BAC_RH",Allocation!$G$1:$G$175,"B3",Allocation!$H$1:$H$175,"ALT")</f>
        <v>0</v>
      </c>
      <c r="D80" s="84">
        <f>SUMIFS(Allocation!$K$1:$K$175,Allocation!$C$1:$C$175,"2026",Allocation!$D$1:$D$175,"PIGIER_LYO",Allocation!$F$1:$F$175,"BAC_RH",Allocation!$G$1:$G$175,"B3",Allocation!$H$1:$H$175,"ALT")</f>
        <v>0</v>
      </c>
      <c r="E80" s="84">
        <f>SUMIFS(Allocation!$V$1:$V$175,Allocation!$C$1:$C$175,"2026",Allocation!$D$1:$D$175,"PIGIER_LYO",Allocation!$F$1:$F$175,"BAC_RH",Allocation!$G$1:$G$175,"B3",Allocation!$H$1:$H$175,"ALT")</f>
        <v>0</v>
      </c>
      <c r="F80" s="84">
        <f>SUMIFS(Allocation!$W$1:$W$175,Allocation!$C$1:$C$175,"2026",Allocation!$D$1:$D$175,"PIGIER_LYO",Allocation!$F$1:$F$175,"BAC_RH",Allocation!$G$1:$G$175,"B3",Allocation!$H$1:$H$175,"ALT")</f>
        <v>0</v>
      </c>
      <c r="G80" s="84">
        <f>SUMIFS(Allocation!$X$1:$X$175,Allocation!$C$1:$C$175,"2026",Allocation!$D$1:$D$175,"PIGIER_LYO",Allocation!$F$1:$F$175,"BAC_RH",Allocation!$G$1:$G$175,"B3",Allocation!$H$1:$H$175,"ALT")</f>
        <v>0</v>
      </c>
      <c r="H80" s="84">
        <f>SUMIFS(Allocation!$Y$1:$Y$175,Allocation!$C$1:$C$175,"2026",Allocation!$D$1:$D$175,"PIGIER_LYO",Allocation!$F$1:$F$175,"BAC_RH",Allocation!$G$1:$G$175,"B3",Allocation!$H$1:$H$175,"ALT")</f>
        <v>0</v>
      </c>
      <c r="I80" s="84">
        <f>SUMIFS(Allocation!$AC$1:$AC$175,Allocation!$C$1:$C$175,"2026",Allocation!$D$1:$D$175,"PIGIER_LYO",Allocation!$F$1:$F$175,"BAC_RH",Allocation!$G$1:$G$175,"B3",Allocation!$H$1:$H$175,"ALT")</f>
        <v>0</v>
      </c>
      <c r="J80" s="84">
        <f>SUMIFS(Allocation!$Z$1:$Z$175,Allocation!$C$1:$C$175,"2026",Allocation!$D$1:$D$175,"PIGIER_LYO",Allocation!$F$1:$F$175,"BAC_RH",Allocation!$G$1:$G$175,"B3",Allocation!$H$1:$H$175,"ALT")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SUMIFS(Allocation!$AA$1:$AA$175,Allocation!$C$1:$C$175,"2026",Allocation!$D$1:$D$175,"PIGIER_LYO",Allocation!$F$1:$F$175,"BAC_RH",Allocation!$G$1:$G$175,"B3",Allocation!$H$1:$H$175,"ALT")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collapsed="1" x14ac:dyDescent="0.45">
      <c r="B81" s="36" t="s">
        <v>177</v>
      </c>
      <c r="C81" s="122">
        <f>SUMIFS(Allocation!$I$1:$I$175,Allocation!$C$1:$C$175,"2026",Allocation!$D$1:$D$175,"PIGIER_BOR")</f>
        <v>0</v>
      </c>
      <c r="D81" s="123">
        <f>SUMIFS(Allocation!$K$1:$K$175,Allocation!$C$1:$C$175,"2026",Allocation!$D$1:$D$175,"PIGIER_BOR")</f>
        <v>0</v>
      </c>
      <c r="E81" s="123">
        <f>SUMIFS(Allocation!$V$1:$V$175,Allocation!$C$1:$C$175,"2026",Allocation!$D$1:$D$175,"PIGIER_BOR")</f>
        <v>0</v>
      </c>
      <c r="F81" s="123">
        <f>SUMIFS(Allocation!$W$1:$W$175,Allocation!$C$1:$C$175,"2026",Allocation!$D$1:$D$175,"PIGIER_BOR")</f>
        <v>0</v>
      </c>
      <c r="G81" s="123">
        <f>SUMIFS(Allocation!$X$1:$X$175,Allocation!$C$1:$C$175,"2026",Allocation!$D$1:$D$175,"PIGIER_BOR")</f>
        <v>0</v>
      </c>
      <c r="H81" s="123">
        <f>SUMIFS(Allocation!$Y$1:$Y$175,Allocation!$C$1:$C$175,"2026",Allocation!$D$1:$D$175,"PIGIER_BOR")</f>
        <v>0</v>
      </c>
      <c r="I81" s="123">
        <f>SUMIFS(Allocation!$AC$1:$AC$175,Allocation!$C$1:$C$175,"2026",Allocation!$D$1:$D$175,"PIGIER_BOR")</f>
        <v>0</v>
      </c>
      <c r="J81" s="123">
        <f>SUMIFS(Allocation!$Z$1:$Z$175,Allocation!$C$1:$C$175,"2026",Allocation!$D$1:$D$175,"PIGIER_BOR")</f>
        <v>0</v>
      </c>
      <c r="K81" s="123">
        <f t="shared" si="2"/>
        <v>0</v>
      </c>
      <c r="L81" s="130">
        <f>SUMIFS(Allocation!$AA$1:$AA$175,Allocation!$C$1:$C$175,"2026",Allocation!$D$1:$D$175,"PIGIER_BOR")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SUMIFS(Allocation!$I$1:$I$175,Allocation!$C$1:$C$175,"2026",Allocation!$D$1:$D$175,"PIGIER_BOR",Allocation!$F$1:$F$175,"BTS_GES",Allocation!$G$1:$G$175,"BTS1",Allocation!$H$1:$H$175,"ALT")</f>
        <v>0</v>
      </c>
      <c r="D82" s="84">
        <f>SUMIFS(Allocation!$K$1:$K$175,Allocation!$C$1:$C$175,"2026",Allocation!$D$1:$D$175,"PIGIER_BOR",Allocation!$F$1:$F$175,"BTS_GES",Allocation!$G$1:$G$175,"BTS1",Allocation!$H$1:$H$175,"ALT")</f>
        <v>0</v>
      </c>
      <c r="E82" s="84">
        <f>SUMIFS(Allocation!$V$1:$V$175,Allocation!$C$1:$C$175,"2026",Allocation!$D$1:$D$175,"PIGIER_BOR",Allocation!$F$1:$F$175,"BTS_GES",Allocation!$G$1:$G$175,"BTS1",Allocation!$H$1:$H$175,"ALT")</f>
        <v>0</v>
      </c>
      <c r="F82" s="84">
        <f>SUMIFS(Allocation!$W$1:$W$175,Allocation!$C$1:$C$175,"2026",Allocation!$D$1:$D$175,"PIGIER_BOR",Allocation!$F$1:$F$175,"BTS_GES",Allocation!$G$1:$G$175,"BTS1",Allocation!$H$1:$H$175,"ALT")</f>
        <v>0</v>
      </c>
      <c r="G82" s="84">
        <f>SUMIFS(Allocation!$X$1:$X$175,Allocation!$C$1:$C$175,"2026",Allocation!$D$1:$D$175,"PIGIER_BOR",Allocation!$F$1:$F$175,"BTS_GES",Allocation!$G$1:$G$175,"BTS1",Allocation!$H$1:$H$175,"ALT")</f>
        <v>0</v>
      </c>
      <c r="H82" s="84">
        <f>SUMIFS(Allocation!$Y$1:$Y$175,Allocation!$C$1:$C$175,"2026",Allocation!$D$1:$D$175,"PIGIER_BOR",Allocation!$F$1:$F$175,"BTS_GES",Allocation!$G$1:$G$175,"BTS1",Allocation!$H$1:$H$175,"ALT")</f>
        <v>0</v>
      </c>
      <c r="I82" s="84">
        <f>SUMIFS(Allocation!$AC$1:$AC$175,Allocation!$C$1:$C$175,"2026",Allocation!$D$1:$D$175,"PIGIER_BOR",Allocation!$F$1:$F$175,"BTS_GES",Allocation!$G$1:$G$175,"BTS1",Allocation!$H$1:$H$175,"ALT")</f>
        <v>0</v>
      </c>
      <c r="J82" s="84">
        <f>SUMIFS(Allocation!$Z$1:$Z$175,Allocation!$C$1:$C$175,"2026",Allocation!$D$1:$D$175,"PIGIER_BOR",Allocation!$F$1:$F$175,"BTS_GES",Allocation!$G$1:$G$175,"BTS1",Allocation!$H$1:$H$175,"ALT")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SUMIFS(Allocation!$AA$1:$AA$175,Allocation!$C$1:$C$175,"2026",Allocation!$D$1:$D$175,"PIGIER_BOR",Allocation!$F$1:$F$175,"BTS_GES",Allocation!$G$1:$G$175,"BTS1",Allocation!$H$1:$H$175,"ALT")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SUMIFS(Allocation!$I$1:$I$175,Allocation!$C$1:$C$175,"2026",Allocation!$D$1:$D$175,"PIGIER_BOR",Allocation!$F$1:$F$175,"BTS_GES",Allocation!$G$1:$G$175,"BTS2",Allocation!$H$1:$H$175,"ALT")</f>
        <v>0</v>
      </c>
      <c r="D83" s="84">
        <f>SUMIFS(Allocation!$K$1:$K$175,Allocation!$C$1:$C$175,"2026",Allocation!$D$1:$D$175,"PIGIER_BOR",Allocation!$F$1:$F$175,"BTS_GES",Allocation!$G$1:$G$175,"BTS2",Allocation!$H$1:$H$175,"ALT")</f>
        <v>0</v>
      </c>
      <c r="E83" s="84">
        <f>SUMIFS(Allocation!$V$1:$V$175,Allocation!$C$1:$C$175,"2026",Allocation!$D$1:$D$175,"PIGIER_BOR",Allocation!$F$1:$F$175,"BTS_GES",Allocation!$G$1:$G$175,"BTS2",Allocation!$H$1:$H$175,"ALT")</f>
        <v>0</v>
      </c>
      <c r="F83" s="84">
        <f>SUMIFS(Allocation!$W$1:$W$175,Allocation!$C$1:$C$175,"2026",Allocation!$D$1:$D$175,"PIGIER_BOR",Allocation!$F$1:$F$175,"BTS_GES",Allocation!$G$1:$G$175,"BTS2",Allocation!$H$1:$H$175,"ALT")</f>
        <v>0</v>
      </c>
      <c r="G83" s="84">
        <f>SUMIFS(Allocation!$X$1:$X$175,Allocation!$C$1:$C$175,"2026",Allocation!$D$1:$D$175,"PIGIER_BOR",Allocation!$F$1:$F$175,"BTS_GES",Allocation!$G$1:$G$175,"BTS2",Allocation!$H$1:$H$175,"ALT")</f>
        <v>0</v>
      </c>
      <c r="H83" s="84">
        <f>SUMIFS(Allocation!$Y$1:$Y$175,Allocation!$C$1:$C$175,"2026",Allocation!$D$1:$D$175,"PIGIER_BOR",Allocation!$F$1:$F$175,"BTS_GES",Allocation!$G$1:$G$175,"BTS2",Allocation!$H$1:$H$175,"ALT")</f>
        <v>0</v>
      </c>
      <c r="I83" s="84">
        <f>SUMIFS(Allocation!$AC$1:$AC$175,Allocation!$C$1:$C$175,"2026",Allocation!$D$1:$D$175,"PIGIER_BOR",Allocation!$F$1:$F$175,"BTS_GES",Allocation!$G$1:$G$175,"BTS2",Allocation!$H$1:$H$175,"ALT")</f>
        <v>0</v>
      </c>
      <c r="J83" s="84">
        <f>SUMIFS(Allocation!$Z$1:$Z$175,Allocation!$C$1:$C$175,"2026",Allocation!$D$1:$D$175,"PIGIER_BOR",Allocation!$F$1:$F$175,"BTS_GES",Allocation!$G$1:$G$175,"BTS2",Allocation!$H$1:$H$175,"ALT")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SUMIFS(Allocation!$AA$1:$AA$175,Allocation!$C$1:$C$175,"2026",Allocation!$D$1:$D$175,"PIGIER_BOR",Allocation!$F$1:$F$175,"BTS_GES",Allocation!$G$1:$G$175,"BTS2",Allocation!$H$1:$H$175,"ALT")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SUMIFS(Allocation!$I$1:$I$175,Allocation!$C$1:$C$175,"2026",Allocation!$D$1:$D$175,"PIGIER_BOR",Allocation!$F$1:$F$175,"BAC_RH",Allocation!$G$1:$G$175,"B1",Allocation!$H$1:$H$175,"ALT")</f>
        <v>0</v>
      </c>
      <c r="D84" s="84">
        <f>SUMIFS(Allocation!$K$1:$K$175,Allocation!$C$1:$C$175,"2026",Allocation!$D$1:$D$175,"PIGIER_BOR",Allocation!$F$1:$F$175,"BAC_RH",Allocation!$G$1:$G$175,"B1",Allocation!$H$1:$H$175,"ALT")</f>
        <v>0</v>
      </c>
      <c r="E84" s="84">
        <f>SUMIFS(Allocation!$V$1:$V$175,Allocation!$C$1:$C$175,"2026",Allocation!$D$1:$D$175,"PIGIER_BOR",Allocation!$F$1:$F$175,"BAC_RH",Allocation!$G$1:$G$175,"B1",Allocation!$H$1:$H$175,"ALT")</f>
        <v>0</v>
      </c>
      <c r="F84" s="84">
        <f>SUMIFS(Allocation!$W$1:$W$175,Allocation!$C$1:$C$175,"2026",Allocation!$D$1:$D$175,"PIGIER_BOR",Allocation!$F$1:$F$175,"BAC_RH",Allocation!$G$1:$G$175,"B1",Allocation!$H$1:$H$175,"ALT")</f>
        <v>0</v>
      </c>
      <c r="G84" s="84">
        <f>SUMIFS(Allocation!$X$1:$X$175,Allocation!$C$1:$C$175,"2026",Allocation!$D$1:$D$175,"PIGIER_BOR",Allocation!$F$1:$F$175,"BAC_RH",Allocation!$G$1:$G$175,"B1",Allocation!$H$1:$H$175,"ALT")</f>
        <v>0</v>
      </c>
      <c r="H84" s="84">
        <f>SUMIFS(Allocation!$Y$1:$Y$175,Allocation!$C$1:$C$175,"2026",Allocation!$D$1:$D$175,"PIGIER_BOR",Allocation!$F$1:$F$175,"BAC_RH",Allocation!$G$1:$G$175,"B1",Allocation!$H$1:$H$175,"ALT")</f>
        <v>0</v>
      </c>
      <c r="I84" s="84">
        <f>SUMIFS(Allocation!$AC$1:$AC$175,Allocation!$C$1:$C$175,"2026",Allocation!$D$1:$D$175,"PIGIER_BOR",Allocation!$F$1:$F$175,"BAC_RH",Allocation!$G$1:$G$175,"B1",Allocation!$H$1:$H$175,"ALT")</f>
        <v>0</v>
      </c>
      <c r="J84" s="84">
        <f>SUMIFS(Allocation!$Z$1:$Z$175,Allocation!$C$1:$C$175,"2026",Allocation!$D$1:$D$175,"PIGIER_BOR",Allocation!$F$1:$F$175,"BAC_RH",Allocation!$G$1:$G$175,"B1",Allocation!$H$1:$H$175,"ALT")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SUMIFS(Allocation!$AA$1:$AA$175,Allocation!$C$1:$C$175,"2026",Allocation!$D$1:$D$175,"PIGIER_BOR",Allocation!$F$1:$F$175,"BAC_RH",Allocation!$G$1:$G$175,"B1",Allocation!$H$1:$H$175,"ALT")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SUMIFS(Allocation!$I$1:$I$175,Allocation!$C$1:$C$175,"2026",Allocation!$D$1:$D$175,"PIGIER_BOR",Allocation!$F$1:$F$175,"BAC_RH",Allocation!$G$1:$G$175,"B3",Allocation!$H$1:$H$175,"ALT")</f>
        <v>0</v>
      </c>
      <c r="D85" s="84">
        <f>SUMIFS(Allocation!$K$1:$K$175,Allocation!$C$1:$C$175,"2026",Allocation!$D$1:$D$175,"PIGIER_BOR",Allocation!$F$1:$F$175,"BAC_RH",Allocation!$G$1:$G$175,"B3",Allocation!$H$1:$H$175,"ALT")</f>
        <v>0</v>
      </c>
      <c r="E85" s="84">
        <f>SUMIFS(Allocation!$V$1:$V$175,Allocation!$C$1:$C$175,"2026",Allocation!$D$1:$D$175,"PIGIER_BOR",Allocation!$F$1:$F$175,"BAC_RH",Allocation!$G$1:$G$175,"B3",Allocation!$H$1:$H$175,"ALT")</f>
        <v>0</v>
      </c>
      <c r="F85" s="84">
        <f>SUMIFS(Allocation!$W$1:$W$175,Allocation!$C$1:$C$175,"2026",Allocation!$D$1:$D$175,"PIGIER_BOR",Allocation!$F$1:$F$175,"BAC_RH",Allocation!$G$1:$G$175,"B3",Allocation!$H$1:$H$175,"ALT")</f>
        <v>0</v>
      </c>
      <c r="G85" s="84">
        <f>SUMIFS(Allocation!$X$1:$X$175,Allocation!$C$1:$C$175,"2026",Allocation!$D$1:$D$175,"PIGIER_BOR",Allocation!$F$1:$F$175,"BAC_RH",Allocation!$G$1:$G$175,"B3",Allocation!$H$1:$H$175,"ALT")</f>
        <v>0</v>
      </c>
      <c r="H85" s="84">
        <f>SUMIFS(Allocation!$Y$1:$Y$175,Allocation!$C$1:$C$175,"2026",Allocation!$D$1:$D$175,"PIGIER_BOR",Allocation!$F$1:$F$175,"BAC_RH",Allocation!$G$1:$G$175,"B3",Allocation!$H$1:$H$175,"ALT")</f>
        <v>0</v>
      </c>
      <c r="I85" s="84">
        <f>SUMIFS(Allocation!$AC$1:$AC$175,Allocation!$C$1:$C$175,"2026",Allocation!$D$1:$D$175,"PIGIER_BOR",Allocation!$F$1:$F$175,"BAC_RH",Allocation!$G$1:$G$175,"B3",Allocation!$H$1:$H$175,"ALT")</f>
        <v>0</v>
      </c>
      <c r="J85" s="84">
        <f>SUMIFS(Allocation!$Z$1:$Z$175,Allocation!$C$1:$C$175,"2026",Allocation!$D$1:$D$175,"PIGIER_BOR",Allocation!$F$1:$F$175,"BAC_RH",Allocation!$G$1:$G$175,"B3",Allocation!$H$1:$H$175,"ALT")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SUMIFS(Allocation!$AA$1:$AA$175,Allocation!$C$1:$C$175,"2026",Allocation!$D$1:$D$175,"PIGIER_BOR",Allocation!$F$1:$F$175,"BAC_RH",Allocation!$G$1:$G$175,"B3",Allocation!$H$1:$H$175,"ALT")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SUMIFS(Allocation!$I$1:$I$175,Allocation!$C$1:$C$175,"2026",Allocation!$E$1:$E$175,"TUNON")</f>
        <v>0</v>
      </c>
      <c r="D86" s="123">
        <f>SUMIFS(Allocation!$K$1:$K$175,Allocation!$C$1:$C$175,"2026",Allocation!$E$1:$E$175,"TUNON")</f>
        <v>0</v>
      </c>
      <c r="E86" s="123">
        <f>SUMIFS(Allocation!$V$1:$V$175,Allocation!$C$1:$C$175,"2026",Allocation!$E$1:$E$175,"TUNON")</f>
        <v>0</v>
      </c>
      <c r="F86" s="123">
        <f>SUMIFS(Allocation!$W$1:$W$175,Allocation!$C$1:$C$175,"2026",Allocation!$E$1:$E$175,"TUNON")</f>
        <v>0</v>
      </c>
      <c r="G86" s="123">
        <f>SUMIFS(Allocation!$X$1:$X$175,Allocation!$C$1:$C$175,"2026",Allocation!$E$1:$E$175,"TUNON")</f>
        <v>0</v>
      </c>
      <c r="H86" s="123">
        <f>SUMIFS(Allocation!$Y$1:$Y$175,Allocation!$C$1:$C$175,"2026",Allocation!$E$1:$E$175,"TUNON")</f>
        <v>0</v>
      </c>
      <c r="I86" s="123">
        <f>SUMIFS(Allocation!$AC$1:$AC$175,Allocation!$C$1:$C$175,"2026",Allocation!$E$1:$E$175,"TUNON")</f>
        <v>0</v>
      </c>
      <c r="J86" s="123">
        <f>SUMIFS(Allocation!$Z$1:$Z$175,Allocation!$C$1:$C$175,"2026",Allocation!$E$1:$E$175,"TUNON")</f>
        <v>0</v>
      </c>
      <c r="K86" s="123">
        <f t="shared" si="4"/>
        <v>0</v>
      </c>
      <c r="L86" s="130">
        <f>SUMIFS(Allocation!$AA$1:$AA$175,Allocation!$C$1:$C$175,"2026",Allocation!$E$1:$E$175,"TUNON")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SUMIFS(Allocation!$I$1:$I$175,Allocation!$C$1:$C$175,"2026",Allocation!$D$1:$D$175,"TUNON_PAR")</f>
        <v>0</v>
      </c>
      <c r="D87" s="123">
        <f>SUMIFS(Allocation!$K$1:$K$175,Allocation!$C$1:$C$175,"2026",Allocation!$D$1:$D$175,"TUNON_PAR")</f>
        <v>0</v>
      </c>
      <c r="E87" s="123">
        <f>SUMIFS(Allocation!$V$1:$V$175,Allocation!$C$1:$C$175,"2026",Allocation!$D$1:$D$175,"TUNON_PAR")</f>
        <v>0</v>
      </c>
      <c r="F87" s="123">
        <f>SUMIFS(Allocation!$W$1:$W$175,Allocation!$C$1:$C$175,"2026",Allocation!$D$1:$D$175,"TUNON_PAR")</f>
        <v>0</v>
      </c>
      <c r="G87" s="123">
        <f>SUMIFS(Allocation!$X$1:$X$175,Allocation!$C$1:$C$175,"2026",Allocation!$D$1:$D$175,"TUNON_PAR")</f>
        <v>0</v>
      </c>
      <c r="H87" s="123">
        <f>SUMIFS(Allocation!$Y$1:$Y$175,Allocation!$C$1:$C$175,"2026",Allocation!$D$1:$D$175,"TUNON_PAR")</f>
        <v>0</v>
      </c>
      <c r="I87" s="123">
        <f>SUMIFS(Allocation!$AC$1:$AC$175,Allocation!$C$1:$C$175,"2026",Allocation!$D$1:$D$175,"TUNON_PAR")</f>
        <v>0</v>
      </c>
      <c r="J87" s="123">
        <f>SUMIFS(Allocation!$Z$1:$Z$175,Allocation!$C$1:$C$175,"2026",Allocation!$D$1:$D$175,"TUNON_PAR")</f>
        <v>0</v>
      </c>
      <c r="K87" s="123">
        <f t="shared" si="4"/>
        <v>0</v>
      </c>
      <c r="L87" s="130">
        <f>SUMIFS(Allocation!$AA$1:$AA$175,Allocation!$C$1:$C$175,"2026",Allocation!$D$1:$D$175,"TUNON_PAR")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SUMIFS(Allocation!$I$1:$I$175,Allocation!$C$1:$C$175,"2026",Allocation!$D$1:$D$175,"TUNON_PAR",Allocation!$F$1:$F$175,"BAC_TOU",Allocation!$G$1:$G$175,"B1",Allocation!$H$1:$H$175,"ALT")</f>
        <v>0</v>
      </c>
      <c r="D88" s="84">
        <f>SUMIFS(Allocation!$K$1:$K$175,Allocation!$C$1:$C$175,"2026",Allocation!$D$1:$D$175,"TUNON_PAR",Allocation!$F$1:$F$175,"BAC_TOU",Allocation!$G$1:$G$175,"B1",Allocation!$H$1:$H$175,"ALT")</f>
        <v>0</v>
      </c>
      <c r="E88" s="84">
        <f>SUMIFS(Allocation!$V$1:$V$175,Allocation!$C$1:$C$175,"2026",Allocation!$D$1:$D$175,"TUNON_PAR",Allocation!$F$1:$F$175,"BAC_TOU",Allocation!$G$1:$G$175,"B1",Allocation!$H$1:$H$175,"ALT")</f>
        <v>0</v>
      </c>
      <c r="F88" s="84">
        <f>SUMIFS(Allocation!$W$1:$W$175,Allocation!$C$1:$C$175,"2026",Allocation!$D$1:$D$175,"TUNON_PAR",Allocation!$F$1:$F$175,"BAC_TOU",Allocation!$G$1:$G$175,"B1",Allocation!$H$1:$H$175,"ALT")</f>
        <v>0</v>
      </c>
      <c r="G88" s="84">
        <f>SUMIFS(Allocation!$X$1:$X$175,Allocation!$C$1:$C$175,"2026",Allocation!$D$1:$D$175,"TUNON_PAR",Allocation!$F$1:$F$175,"BAC_TOU",Allocation!$G$1:$G$175,"B1",Allocation!$H$1:$H$175,"ALT")</f>
        <v>0</v>
      </c>
      <c r="H88" s="84">
        <f>SUMIFS(Allocation!$Y$1:$Y$175,Allocation!$C$1:$C$175,"2026",Allocation!$D$1:$D$175,"TUNON_PAR",Allocation!$F$1:$F$175,"BAC_TOU",Allocation!$G$1:$G$175,"B1",Allocation!$H$1:$H$175,"ALT")</f>
        <v>0</v>
      </c>
      <c r="I88" s="84">
        <f>SUMIFS(Allocation!$AC$1:$AC$175,Allocation!$C$1:$C$175,"2026",Allocation!$D$1:$D$175,"TUNON_PAR",Allocation!$F$1:$F$175,"BAC_TOU",Allocation!$G$1:$G$175,"B1",Allocation!$H$1:$H$175,"ALT")</f>
        <v>0</v>
      </c>
      <c r="J88" s="84">
        <f>SUMIFS(Allocation!$Z$1:$Z$175,Allocation!$C$1:$C$175,"2026",Allocation!$D$1:$D$175,"TUNON_PAR",Allocation!$F$1:$F$175,"BAC_TOU",Allocation!$G$1:$G$175,"B1",Allocation!$H$1:$H$175,"ALT")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SUMIFS(Allocation!$AA$1:$AA$175,Allocation!$C$1:$C$175,"2026",Allocation!$D$1:$D$175,"TUNON_PAR",Allocation!$F$1:$F$175,"BAC_TOU",Allocation!$G$1:$G$175,"B1",Allocation!$H$1:$H$175,"ALT")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SUMIFS(Allocation!$I$1:$I$175,Allocation!$C$1:$C$175,"2026",Allocation!$D$1:$D$175,"TUNON_PAR",Allocation!$F$1:$F$175,"BAC_TOU",Allocation!$G$1:$G$175,"B2",Allocation!$H$1:$H$175,"ALT")</f>
        <v>0</v>
      </c>
      <c r="D89" s="84">
        <f>SUMIFS(Allocation!$K$1:$K$175,Allocation!$C$1:$C$175,"2026",Allocation!$D$1:$D$175,"TUNON_PAR",Allocation!$F$1:$F$175,"BAC_TOU",Allocation!$G$1:$G$175,"B2",Allocation!$H$1:$H$175,"ALT")</f>
        <v>0</v>
      </c>
      <c r="E89" s="84">
        <f>SUMIFS(Allocation!$V$1:$V$175,Allocation!$C$1:$C$175,"2026",Allocation!$D$1:$D$175,"TUNON_PAR",Allocation!$F$1:$F$175,"BAC_TOU",Allocation!$G$1:$G$175,"B2",Allocation!$H$1:$H$175,"ALT")</f>
        <v>0</v>
      </c>
      <c r="F89" s="84">
        <f>SUMIFS(Allocation!$W$1:$W$175,Allocation!$C$1:$C$175,"2026",Allocation!$D$1:$D$175,"TUNON_PAR",Allocation!$F$1:$F$175,"BAC_TOU",Allocation!$G$1:$G$175,"B2",Allocation!$H$1:$H$175,"ALT")</f>
        <v>0</v>
      </c>
      <c r="G89" s="84">
        <f>SUMIFS(Allocation!$X$1:$X$175,Allocation!$C$1:$C$175,"2026",Allocation!$D$1:$D$175,"TUNON_PAR",Allocation!$F$1:$F$175,"BAC_TOU",Allocation!$G$1:$G$175,"B2",Allocation!$H$1:$H$175,"ALT")</f>
        <v>0</v>
      </c>
      <c r="H89" s="84">
        <f>SUMIFS(Allocation!$Y$1:$Y$175,Allocation!$C$1:$C$175,"2026",Allocation!$D$1:$D$175,"TUNON_PAR",Allocation!$F$1:$F$175,"BAC_TOU",Allocation!$G$1:$G$175,"B2",Allocation!$H$1:$H$175,"ALT")</f>
        <v>0</v>
      </c>
      <c r="I89" s="84">
        <f>SUMIFS(Allocation!$AC$1:$AC$175,Allocation!$C$1:$C$175,"2026",Allocation!$D$1:$D$175,"TUNON_PAR",Allocation!$F$1:$F$175,"BAC_TOU",Allocation!$G$1:$G$175,"B2",Allocation!$H$1:$H$175,"ALT")</f>
        <v>0</v>
      </c>
      <c r="J89" s="84">
        <f>SUMIFS(Allocation!$Z$1:$Z$175,Allocation!$C$1:$C$175,"2026",Allocation!$D$1:$D$175,"TUNON_PAR",Allocation!$F$1:$F$175,"BAC_TOU",Allocation!$G$1:$G$175,"B2",Allocation!$H$1:$H$175,"ALT")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SUMIFS(Allocation!$AA$1:$AA$175,Allocation!$C$1:$C$175,"2026",Allocation!$D$1:$D$175,"TUNON_PAR",Allocation!$F$1:$F$175,"BAC_TOU",Allocation!$G$1:$G$175,"B2",Allocation!$H$1:$H$175,"ALT")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SUMIFS(Allocation!$I$1:$I$175,Allocation!$C$1:$C$175,"2026",Allocation!$D$1:$D$175,"TUNON_PAR",Allocation!$F$1:$F$175,"BAC_TOU",Allocation!$G$1:$G$175,"B3",Allocation!$H$1:$H$175,"ALT")</f>
        <v>0</v>
      </c>
      <c r="D90" s="84">
        <f>SUMIFS(Allocation!$K$1:$K$175,Allocation!$C$1:$C$175,"2026",Allocation!$D$1:$D$175,"TUNON_PAR",Allocation!$F$1:$F$175,"BAC_TOU",Allocation!$G$1:$G$175,"B3",Allocation!$H$1:$H$175,"ALT")</f>
        <v>0</v>
      </c>
      <c r="E90" s="84">
        <f>SUMIFS(Allocation!$V$1:$V$175,Allocation!$C$1:$C$175,"2026",Allocation!$D$1:$D$175,"TUNON_PAR",Allocation!$F$1:$F$175,"BAC_TOU",Allocation!$G$1:$G$175,"B3",Allocation!$H$1:$H$175,"ALT")</f>
        <v>0</v>
      </c>
      <c r="F90" s="84">
        <f>SUMIFS(Allocation!$W$1:$W$175,Allocation!$C$1:$C$175,"2026",Allocation!$D$1:$D$175,"TUNON_PAR",Allocation!$F$1:$F$175,"BAC_TOU",Allocation!$G$1:$G$175,"B3",Allocation!$H$1:$H$175,"ALT")</f>
        <v>0</v>
      </c>
      <c r="G90" s="84">
        <f>SUMIFS(Allocation!$X$1:$X$175,Allocation!$C$1:$C$175,"2026",Allocation!$D$1:$D$175,"TUNON_PAR",Allocation!$F$1:$F$175,"BAC_TOU",Allocation!$G$1:$G$175,"B3",Allocation!$H$1:$H$175,"ALT")</f>
        <v>0</v>
      </c>
      <c r="H90" s="84">
        <f>SUMIFS(Allocation!$Y$1:$Y$175,Allocation!$C$1:$C$175,"2026",Allocation!$D$1:$D$175,"TUNON_PAR",Allocation!$F$1:$F$175,"BAC_TOU",Allocation!$G$1:$G$175,"B3",Allocation!$H$1:$H$175,"ALT")</f>
        <v>0</v>
      </c>
      <c r="I90" s="84">
        <f>SUMIFS(Allocation!$AC$1:$AC$175,Allocation!$C$1:$C$175,"2026",Allocation!$D$1:$D$175,"TUNON_PAR",Allocation!$F$1:$F$175,"BAC_TOU",Allocation!$G$1:$G$175,"B3",Allocation!$H$1:$H$175,"ALT")</f>
        <v>0</v>
      </c>
      <c r="J90" s="84">
        <f>SUMIFS(Allocation!$Z$1:$Z$175,Allocation!$C$1:$C$175,"2026",Allocation!$D$1:$D$175,"TUNON_PAR",Allocation!$F$1:$F$175,"BAC_TOU",Allocation!$G$1:$G$175,"B3",Allocation!$H$1:$H$175,"ALT")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SUMIFS(Allocation!$AA$1:$AA$175,Allocation!$C$1:$C$175,"2026",Allocation!$D$1:$D$175,"TUNON_PAR",Allocation!$F$1:$F$175,"BAC_TOU",Allocation!$G$1:$G$175,"B3",Allocation!$H$1:$H$175,"ALT")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collapsed="1" x14ac:dyDescent="0.45">
      <c r="B91" s="36" t="s">
        <v>182</v>
      </c>
      <c r="C91" s="122">
        <f>SUMIFS(Allocation!$I$1:$I$175,Allocation!$C$1:$C$175,"2026",Allocation!$D$1:$D$175,"TUNON_LYO")</f>
        <v>0</v>
      </c>
      <c r="D91" s="123">
        <f>SUMIFS(Allocation!$K$1:$K$175,Allocation!$C$1:$C$175,"2026",Allocation!$D$1:$D$175,"TUNON_LYO")</f>
        <v>0</v>
      </c>
      <c r="E91" s="123">
        <f>SUMIFS(Allocation!$V$1:$V$175,Allocation!$C$1:$C$175,"2026",Allocation!$D$1:$D$175,"TUNON_LYO")</f>
        <v>0</v>
      </c>
      <c r="F91" s="123">
        <f>SUMIFS(Allocation!$W$1:$W$175,Allocation!$C$1:$C$175,"2026",Allocation!$D$1:$D$175,"TUNON_LYO")</f>
        <v>0</v>
      </c>
      <c r="G91" s="123">
        <f>SUMIFS(Allocation!$X$1:$X$175,Allocation!$C$1:$C$175,"2026",Allocation!$D$1:$D$175,"TUNON_LYO")</f>
        <v>0</v>
      </c>
      <c r="H91" s="123">
        <f>SUMIFS(Allocation!$Y$1:$Y$175,Allocation!$C$1:$C$175,"2026",Allocation!$D$1:$D$175,"TUNON_LYO")</f>
        <v>0</v>
      </c>
      <c r="I91" s="123">
        <f>SUMIFS(Allocation!$AC$1:$AC$175,Allocation!$C$1:$C$175,"2026",Allocation!$D$1:$D$175,"TUNON_LYO")</f>
        <v>0</v>
      </c>
      <c r="J91" s="123">
        <f>SUMIFS(Allocation!$Z$1:$Z$175,Allocation!$C$1:$C$175,"2026",Allocation!$D$1:$D$175,"TUNON_LYO")</f>
        <v>0</v>
      </c>
      <c r="K91" s="123">
        <f t="shared" si="4"/>
        <v>0</v>
      </c>
      <c r="L91" s="130">
        <f>SUMIFS(Allocation!$AA$1:$AA$175,Allocation!$C$1:$C$175,"2026",Allocation!$D$1:$D$175,"TUNON_LYO")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SUMIFS(Allocation!$I$1:$I$175,Allocation!$C$1:$C$175,"2026",Allocation!$D$1:$D$175,"TUNON_LYO",Allocation!$F$1:$F$175,"BAC_TOU",Allocation!$G$1:$G$175,"B1",Allocation!$H$1:$H$175,"ALT")</f>
        <v>0</v>
      </c>
      <c r="D92" s="84">
        <f>SUMIFS(Allocation!$K$1:$K$175,Allocation!$C$1:$C$175,"2026",Allocation!$D$1:$D$175,"TUNON_LYO",Allocation!$F$1:$F$175,"BAC_TOU",Allocation!$G$1:$G$175,"B1",Allocation!$H$1:$H$175,"ALT")</f>
        <v>0</v>
      </c>
      <c r="E92" s="84">
        <f>SUMIFS(Allocation!$V$1:$V$175,Allocation!$C$1:$C$175,"2026",Allocation!$D$1:$D$175,"TUNON_LYO",Allocation!$F$1:$F$175,"BAC_TOU",Allocation!$G$1:$G$175,"B1",Allocation!$H$1:$H$175,"ALT")</f>
        <v>0</v>
      </c>
      <c r="F92" s="84">
        <f>SUMIFS(Allocation!$W$1:$W$175,Allocation!$C$1:$C$175,"2026",Allocation!$D$1:$D$175,"TUNON_LYO",Allocation!$F$1:$F$175,"BAC_TOU",Allocation!$G$1:$G$175,"B1",Allocation!$H$1:$H$175,"ALT")</f>
        <v>0</v>
      </c>
      <c r="G92" s="84">
        <f>SUMIFS(Allocation!$X$1:$X$175,Allocation!$C$1:$C$175,"2026",Allocation!$D$1:$D$175,"TUNON_LYO",Allocation!$F$1:$F$175,"BAC_TOU",Allocation!$G$1:$G$175,"B1",Allocation!$H$1:$H$175,"ALT")</f>
        <v>0</v>
      </c>
      <c r="H92" s="84">
        <f>SUMIFS(Allocation!$Y$1:$Y$175,Allocation!$C$1:$C$175,"2026",Allocation!$D$1:$D$175,"TUNON_LYO",Allocation!$F$1:$F$175,"BAC_TOU",Allocation!$G$1:$G$175,"B1",Allocation!$H$1:$H$175,"ALT")</f>
        <v>0</v>
      </c>
      <c r="I92" s="84">
        <f>SUMIFS(Allocation!$AC$1:$AC$175,Allocation!$C$1:$C$175,"2026",Allocation!$D$1:$D$175,"TUNON_LYO",Allocation!$F$1:$F$175,"BAC_TOU",Allocation!$G$1:$G$175,"B1",Allocation!$H$1:$H$175,"ALT")</f>
        <v>0</v>
      </c>
      <c r="J92" s="84">
        <f>SUMIFS(Allocation!$Z$1:$Z$175,Allocation!$C$1:$C$175,"2026",Allocation!$D$1:$D$175,"TUNON_LYO",Allocation!$F$1:$F$175,"BAC_TOU",Allocation!$G$1:$G$175,"B1",Allocation!$H$1:$H$175,"ALT")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SUMIFS(Allocation!$AA$1:$AA$175,Allocation!$C$1:$C$175,"2026",Allocation!$D$1:$D$175,"TUNON_LYO",Allocation!$F$1:$F$175,"BAC_TOU",Allocation!$G$1:$G$175,"B1",Allocation!$H$1:$H$175,"ALT")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SUMIFS(Allocation!$I$1:$I$175,Allocation!$C$1:$C$175,"2026",Allocation!$D$1:$D$175,"TUNON_LYO",Allocation!$F$1:$F$175,"BAC_TOU",Allocation!$G$1:$G$175,"B2",Allocation!$H$1:$H$175,"ALT")</f>
        <v>0</v>
      </c>
      <c r="D93" s="84">
        <f>SUMIFS(Allocation!$K$1:$K$175,Allocation!$C$1:$C$175,"2026",Allocation!$D$1:$D$175,"TUNON_LYO",Allocation!$F$1:$F$175,"BAC_TOU",Allocation!$G$1:$G$175,"B2",Allocation!$H$1:$H$175,"ALT")</f>
        <v>0</v>
      </c>
      <c r="E93" s="84">
        <f>SUMIFS(Allocation!$V$1:$V$175,Allocation!$C$1:$C$175,"2026",Allocation!$D$1:$D$175,"TUNON_LYO",Allocation!$F$1:$F$175,"BAC_TOU",Allocation!$G$1:$G$175,"B2",Allocation!$H$1:$H$175,"ALT")</f>
        <v>0</v>
      </c>
      <c r="F93" s="84">
        <f>SUMIFS(Allocation!$W$1:$W$175,Allocation!$C$1:$C$175,"2026",Allocation!$D$1:$D$175,"TUNON_LYO",Allocation!$F$1:$F$175,"BAC_TOU",Allocation!$G$1:$G$175,"B2",Allocation!$H$1:$H$175,"ALT")</f>
        <v>0</v>
      </c>
      <c r="G93" s="84">
        <f>SUMIFS(Allocation!$X$1:$X$175,Allocation!$C$1:$C$175,"2026",Allocation!$D$1:$D$175,"TUNON_LYO",Allocation!$F$1:$F$175,"BAC_TOU",Allocation!$G$1:$G$175,"B2",Allocation!$H$1:$H$175,"ALT")</f>
        <v>0</v>
      </c>
      <c r="H93" s="84">
        <f>SUMIFS(Allocation!$Y$1:$Y$175,Allocation!$C$1:$C$175,"2026",Allocation!$D$1:$D$175,"TUNON_LYO",Allocation!$F$1:$F$175,"BAC_TOU",Allocation!$G$1:$G$175,"B2",Allocation!$H$1:$H$175,"ALT")</f>
        <v>0</v>
      </c>
      <c r="I93" s="84">
        <f>SUMIFS(Allocation!$AC$1:$AC$175,Allocation!$C$1:$C$175,"2026",Allocation!$D$1:$D$175,"TUNON_LYO",Allocation!$F$1:$F$175,"BAC_TOU",Allocation!$G$1:$G$175,"B2",Allocation!$H$1:$H$175,"ALT")</f>
        <v>0</v>
      </c>
      <c r="J93" s="84">
        <f>SUMIFS(Allocation!$Z$1:$Z$175,Allocation!$C$1:$C$175,"2026",Allocation!$D$1:$D$175,"TUNON_LYO",Allocation!$F$1:$F$175,"BAC_TOU",Allocation!$G$1:$G$175,"B2",Allocation!$H$1:$H$175,"ALT")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SUMIFS(Allocation!$AA$1:$AA$175,Allocation!$C$1:$C$175,"2026",Allocation!$D$1:$D$175,"TUNON_LYO",Allocation!$F$1:$F$175,"BAC_TOU",Allocation!$G$1:$G$175,"B2",Allocation!$H$1:$H$175,"ALT")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SUMIFS(Allocation!$I$1:$I$175,Allocation!$C$1:$C$175,"2026",Allocation!$D$1:$D$175,"TUNON_LYO",Allocation!$F$1:$F$175,"BAC_TOU",Allocation!$G$1:$G$175,"B3",Allocation!$H$1:$H$175,"ALT")</f>
        <v>0</v>
      </c>
      <c r="D94" s="84">
        <f>SUMIFS(Allocation!$K$1:$K$175,Allocation!$C$1:$C$175,"2026",Allocation!$D$1:$D$175,"TUNON_LYO",Allocation!$F$1:$F$175,"BAC_TOU",Allocation!$G$1:$G$175,"B3",Allocation!$H$1:$H$175,"ALT")</f>
        <v>0</v>
      </c>
      <c r="E94" s="84">
        <f>SUMIFS(Allocation!$V$1:$V$175,Allocation!$C$1:$C$175,"2026",Allocation!$D$1:$D$175,"TUNON_LYO",Allocation!$F$1:$F$175,"BAC_TOU",Allocation!$G$1:$G$175,"B3",Allocation!$H$1:$H$175,"ALT")</f>
        <v>0</v>
      </c>
      <c r="F94" s="84">
        <f>SUMIFS(Allocation!$W$1:$W$175,Allocation!$C$1:$C$175,"2026",Allocation!$D$1:$D$175,"TUNON_LYO",Allocation!$F$1:$F$175,"BAC_TOU",Allocation!$G$1:$G$175,"B3",Allocation!$H$1:$H$175,"ALT")</f>
        <v>0</v>
      </c>
      <c r="G94" s="84">
        <f>SUMIFS(Allocation!$X$1:$X$175,Allocation!$C$1:$C$175,"2026",Allocation!$D$1:$D$175,"TUNON_LYO",Allocation!$F$1:$F$175,"BAC_TOU",Allocation!$G$1:$G$175,"B3",Allocation!$H$1:$H$175,"ALT")</f>
        <v>0</v>
      </c>
      <c r="H94" s="84">
        <f>SUMIFS(Allocation!$Y$1:$Y$175,Allocation!$C$1:$C$175,"2026",Allocation!$D$1:$D$175,"TUNON_LYO",Allocation!$F$1:$F$175,"BAC_TOU",Allocation!$G$1:$G$175,"B3",Allocation!$H$1:$H$175,"ALT")</f>
        <v>0</v>
      </c>
      <c r="I94" s="84">
        <f>SUMIFS(Allocation!$AC$1:$AC$175,Allocation!$C$1:$C$175,"2026",Allocation!$D$1:$D$175,"TUNON_LYO",Allocation!$F$1:$F$175,"BAC_TOU",Allocation!$G$1:$G$175,"B3",Allocation!$H$1:$H$175,"ALT")</f>
        <v>0</v>
      </c>
      <c r="J94" s="84">
        <f>SUMIFS(Allocation!$Z$1:$Z$175,Allocation!$C$1:$C$175,"2026",Allocation!$D$1:$D$175,"TUNON_LYO",Allocation!$F$1:$F$175,"BAC_TOU",Allocation!$G$1:$G$175,"B3",Allocation!$H$1:$H$175,"ALT")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SUMIFS(Allocation!$AA$1:$AA$175,Allocation!$C$1:$C$175,"2026",Allocation!$D$1:$D$175,"TUNON_LYO",Allocation!$F$1:$F$175,"BAC_TOU",Allocation!$G$1:$G$175,"B3",Allocation!$H$1:$H$175,"ALT")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SUMIFS(Allocation!$I$1:$I$175,Allocation!$C$1:$C$175,"2026")</f>
        <v>0</v>
      </c>
      <c r="D95" s="123">
        <f>SUMIFS(Allocation!$K$1:$K$175,Allocation!$C$1:$C$175,"2026")</f>
        <v>0</v>
      </c>
      <c r="E95" s="123">
        <f>SUMIFS(Allocation!$V$1:$V$175,Allocation!$C$1:$C$175,"2026")</f>
        <v>0</v>
      </c>
      <c r="F95" s="123">
        <f>SUMIFS(Allocation!$W$1:$W$175,Allocation!$C$1:$C$175,"2026")</f>
        <v>0</v>
      </c>
      <c r="G95" s="123">
        <f>SUMIFS(Allocation!$X$1:$X$175,Allocation!$C$1:$C$175,"2026")</f>
        <v>0</v>
      </c>
      <c r="H95" s="123">
        <f>SUMIFS(Allocation!$Y$1:$Y$175,Allocation!$C$1:$C$175,"2026")</f>
        <v>0</v>
      </c>
      <c r="I95" s="123">
        <f>SUMIFS(Allocation!$AC$1:$AC$175,Allocation!$C$1:$C$175,"2026")</f>
        <v>0</v>
      </c>
      <c r="J95" s="123">
        <f>SUMIFS(Allocation!$Z$1:$Z$175,Allocation!$C$1:$C$175,"2026")</f>
        <v>0</v>
      </c>
      <c r="K95" s="123">
        <f t="shared" si="4"/>
        <v>0</v>
      </c>
      <c r="L95" s="123">
        <f>SUMIFS(Allocation!$AA$1:$AA$175,Allocation!$C$1:$C$175,"2026")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90</v>
      </c>
      <c r="AC2">
        <v>1000</v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 t="s">
        <v>297</v>
      </c>
      <c r="W3" t="s">
        <v>297</v>
      </c>
      <c r="X3" t="s">
        <v>297</v>
      </c>
      <c r="Y3" t="s">
        <v>297</v>
      </c>
      <c r="Z3" t="s">
        <v>297</v>
      </c>
      <c r="AA3" t="s">
        <v>297</v>
      </c>
      <c r="AB3" t="s">
        <v>297</v>
      </c>
      <c r="AC3" t="s">
        <v>297</v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 t="s">
        <v>297</v>
      </c>
      <c r="W4" t="s">
        <v>297</v>
      </c>
      <c r="X4" t="s">
        <v>297</v>
      </c>
      <c r="Y4" t="s">
        <v>297</v>
      </c>
      <c r="Z4" t="s">
        <v>297</v>
      </c>
      <c r="AA4" t="s">
        <v>297</v>
      </c>
      <c r="AB4" t="s">
        <v>297</v>
      </c>
      <c r="AC4" t="s">
        <v>297</v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 t="s">
        <v>297</v>
      </c>
      <c r="W5" t="s">
        <v>297</v>
      </c>
      <c r="X5" t="s">
        <v>297</v>
      </c>
      <c r="Y5" t="s">
        <v>297</v>
      </c>
      <c r="Z5" t="s">
        <v>297</v>
      </c>
      <c r="AA5" t="s">
        <v>297</v>
      </c>
      <c r="AB5" t="s">
        <v>297</v>
      </c>
      <c r="AC5" t="s">
        <v>297</v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 t="s">
        <v>297</v>
      </c>
      <c r="W6" t="s">
        <v>297</v>
      </c>
      <c r="X6" t="s">
        <v>297</v>
      </c>
      <c r="Y6" t="s">
        <v>297</v>
      </c>
      <c r="Z6" t="s">
        <v>297</v>
      </c>
      <c r="AA6" t="s">
        <v>297</v>
      </c>
      <c r="AB6" t="s">
        <v>297</v>
      </c>
      <c r="AC6" t="s">
        <v>297</v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 t="s">
        <v>297</v>
      </c>
      <c r="W7" t="s">
        <v>297</v>
      </c>
      <c r="X7" t="s">
        <v>297</v>
      </c>
      <c r="Y7" t="s">
        <v>297</v>
      </c>
      <c r="Z7" t="s">
        <v>297</v>
      </c>
      <c r="AA7" t="s">
        <v>297</v>
      </c>
      <c r="AB7" t="s">
        <v>297</v>
      </c>
      <c r="AC7" t="s">
        <v>297</v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 t="s">
        <v>297</v>
      </c>
      <c r="W8" t="s">
        <v>297</v>
      </c>
      <c r="X8" t="s">
        <v>297</v>
      </c>
      <c r="Y8" t="s">
        <v>297</v>
      </c>
      <c r="Z8" t="s">
        <v>297</v>
      </c>
      <c r="AA8" t="s">
        <v>297</v>
      </c>
      <c r="AB8" t="s">
        <v>297</v>
      </c>
      <c r="AC8" t="s">
        <v>297</v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 t="s">
        <v>297</v>
      </c>
      <c r="W9" t="s">
        <v>297</v>
      </c>
      <c r="X9" t="s">
        <v>297</v>
      </c>
      <c r="Y9" t="s">
        <v>297</v>
      </c>
      <c r="Z9" t="s">
        <v>297</v>
      </c>
      <c r="AA9" t="s">
        <v>297</v>
      </c>
      <c r="AB9" t="s">
        <v>297</v>
      </c>
      <c r="AC9" t="s">
        <v>297</v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 t="s">
        <v>297</v>
      </c>
      <c r="W10" t="s">
        <v>297</v>
      </c>
      <c r="X10" t="s">
        <v>297</v>
      </c>
      <c r="Y10" t="s">
        <v>297</v>
      </c>
      <c r="Z10" t="s">
        <v>297</v>
      </c>
      <c r="AA10" t="s">
        <v>297</v>
      </c>
      <c r="AB10" t="s">
        <v>297</v>
      </c>
      <c r="AC10" t="s">
        <v>297</v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 t="s">
        <v>297</v>
      </c>
      <c r="W11" t="s">
        <v>297</v>
      </c>
      <c r="X11" t="s">
        <v>297</v>
      </c>
      <c r="Y11" t="s">
        <v>297</v>
      </c>
      <c r="Z11" t="s">
        <v>297</v>
      </c>
      <c r="AA11" t="s">
        <v>297</v>
      </c>
      <c r="AB11" t="s">
        <v>297</v>
      </c>
      <c r="AC11" t="s">
        <v>297</v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 t="s">
        <v>297</v>
      </c>
      <c r="W12" t="s">
        <v>297</v>
      </c>
      <c r="X12" t="s">
        <v>297</v>
      </c>
      <c r="Y12" t="s">
        <v>297</v>
      </c>
      <c r="Z12" t="s">
        <v>297</v>
      </c>
      <c r="AA12" t="s">
        <v>297</v>
      </c>
      <c r="AB12" t="s">
        <v>297</v>
      </c>
      <c r="AC12" t="s">
        <v>297</v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 t="s">
        <v>297</v>
      </c>
      <c r="W13" t="s">
        <v>297</v>
      </c>
      <c r="X13" t="s">
        <v>297</v>
      </c>
      <c r="Y13" t="s">
        <v>297</v>
      </c>
      <c r="Z13" t="s">
        <v>297</v>
      </c>
      <c r="AA13" t="s">
        <v>297</v>
      </c>
      <c r="AB13" t="s">
        <v>297</v>
      </c>
      <c r="AC13" t="s">
        <v>297</v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 t="s">
        <v>297</v>
      </c>
      <c r="W14" t="s">
        <v>297</v>
      </c>
      <c r="X14" t="s">
        <v>297</v>
      </c>
      <c r="Y14" t="s">
        <v>297</v>
      </c>
      <c r="Z14" t="s">
        <v>297</v>
      </c>
      <c r="AA14" t="s">
        <v>297</v>
      </c>
      <c r="AB14" t="s">
        <v>297</v>
      </c>
      <c r="AC14" t="s">
        <v>297</v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 t="s">
        <v>297</v>
      </c>
      <c r="W15" t="s">
        <v>297</v>
      </c>
      <c r="X15" t="s">
        <v>297</v>
      </c>
      <c r="Y15" t="s">
        <v>297</v>
      </c>
      <c r="Z15" t="s">
        <v>297</v>
      </c>
      <c r="AA15" t="s">
        <v>297</v>
      </c>
      <c r="AB15" t="s">
        <v>297</v>
      </c>
      <c r="AC15" t="s">
        <v>297</v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 t="s">
        <v>297</v>
      </c>
      <c r="W16" t="s">
        <v>297</v>
      </c>
      <c r="X16" t="s">
        <v>297</v>
      </c>
      <c r="Y16" t="s">
        <v>297</v>
      </c>
      <c r="Z16" t="s">
        <v>297</v>
      </c>
      <c r="AA16" t="s">
        <v>297</v>
      </c>
      <c r="AB16" t="s">
        <v>297</v>
      </c>
      <c r="AC16" t="s">
        <v>297</v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 t="s">
        <v>297</v>
      </c>
      <c r="W17" t="s">
        <v>297</v>
      </c>
      <c r="X17" t="s">
        <v>297</v>
      </c>
      <c r="Y17" t="s">
        <v>297</v>
      </c>
      <c r="Z17" t="s">
        <v>297</v>
      </c>
      <c r="AA17" t="s">
        <v>297</v>
      </c>
      <c r="AB17" t="s">
        <v>297</v>
      </c>
      <c r="AC17" t="s">
        <v>297</v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 t="s">
        <v>297</v>
      </c>
      <c r="W18" t="s">
        <v>297</v>
      </c>
      <c r="X18" t="s">
        <v>297</v>
      </c>
      <c r="Y18" t="s">
        <v>297</v>
      </c>
      <c r="Z18" t="s">
        <v>297</v>
      </c>
      <c r="AA18" t="s">
        <v>297</v>
      </c>
      <c r="AB18" t="s">
        <v>297</v>
      </c>
      <c r="AC18" t="s">
        <v>297</v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 t="s">
        <v>297</v>
      </c>
      <c r="W19" t="s">
        <v>297</v>
      </c>
      <c r="X19" t="s">
        <v>297</v>
      </c>
      <c r="Y19" t="s">
        <v>297</v>
      </c>
      <c r="Z19" t="s">
        <v>297</v>
      </c>
      <c r="AA19" t="s">
        <v>297</v>
      </c>
      <c r="AB19" t="s">
        <v>297</v>
      </c>
      <c r="AC19" t="s">
        <v>297</v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 t="s">
        <v>297</v>
      </c>
      <c r="W20" t="s">
        <v>297</v>
      </c>
      <c r="X20" t="s">
        <v>297</v>
      </c>
      <c r="Y20" t="s">
        <v>297</v>
      </c>
      <c r="Z20" t="s">
        <v>297</v>
      </c>
      <c r="AA20" t="s">
        <v>297</v>
      </c>
      <c r="AB20" t="s">
        <v>297</v>
      </c>
      <c r="AC20" t="s">
        <v>297</v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 t="s">
        <v>297</v>
      </c>
      <c r="W21" t="s">
        <v>297</v>
      </c>
      <c r="X21" t="s">
        <v>297</v>
      </c>
      <c r="Y21" t="s">
        <v>297</v>
      </c>
      <c r="Z21" t="s">
        <v>297</v>
      </c>
      <c r="AA21" t="s">
        <v>297</v>
      </c>
      <c r="AB21" t="s">
        <v>297</v>
      </c>
      <c r="AC21" t="s">
        <v>297</v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 t="s">
        <v>297</v>
      </c>
      <c r="W22" t="s">
        <v>297</v>
      </c>
      <c r="X22" t="s">
        <v>297</v>
      </c>
      <c r="Y22" t="s">
        <v>297</v>
      </c>
      <c r="Z22" t="s">
        <v>297</v>
      </c>
      <c r="AA22" t="s">
        <v>297</v>
      </c>
      <c r="AB22" t="s">
        <v>297</v>
      </c>
      <c r="AC22" t="s">
        <v>297</v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 t="s">
        <v>297</v>
      </c>
      <c r="W23" t="s">
        <v>297</v>
      </c>
      <c r="X23" t="s">
        <v>297</v>
      </c>
      <c r="Y23" t="s">
        <v>297</v>
      </c>
      <c r="Z23" t="s">
        <v>297</v>
      </c>
      <c r="AA23" t="s">
        <v>297</v>
      </c>
      <c r="AB23" t="s">
        <v>297</v>
      </c>
      <c r="AC23" t="s">
        <v>297</v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 t="s">
        <v>297</v>
      </c>
      <c r="W24" t="s">
        <v>297</v>
      </c>
      <c r="X24" t="s">
        <v>297</v>
      </c>
      <c r="Y24" t="s">
        <v>297</v>
      </c>
      <c r="Z24" t="s">
        <v>297</v>
      </c>
      <c r="AA24" t="s">
        <v>297</v>
      </c>
      <c r="AB24" t="s">
        <v>297</v>
      </c>
      <c r="AC24" t="s">
        <v>297</v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 t="s">
        <v>297</v>
      </c>
      <c r="W25" t="s">
        <v>297</v>
      </c>
      <c r="X25" t="s">
        <v>297</v>
      </c>
      <c r="Y25" t="s">
        <v>297</v>
      </c>
      <c r="Z25" t="s">
        <v>297</v>
      </c>
      <c r="AA25" t="s">
        <v>297</v>
      </c>
      <c r="AB25" t="s">
        <v>297</v>
      </c>
      <c r="AC25" t="s">
        <v>297</v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 t="s">
        <v>297</v>
      </c>
      <c r="W26" t="s">
        <v>297</v>
      </c>
      <c r="X26" t="s">
        <v>297</v>
      </c>
      <c r="Y26" t="s">
        <v>297</v>
      </c>
      <c r="Z26" t="s">
        <v>297</v>
      </c>
      <c r="AA26" t="s">
        <v>297</v>
      </c>
      <c r="AB26" t="s">
        <v>297</v>
      </c>
      <c r="AC26" t="s">
        <v>297</v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 t="s">
        <v>297</v>
      </c>
      <c r="W27" t="s">
        <v>297</v>
      </c>
      <c r="X27" t="s">
        <v>297</v>
      </c>
      <c r="Y27" t="s">
        <v>297</v>
      </c>
      <c r="Z27" t="s">
        <v>297</v>
      </c>
      <c r="AA27" t="s">
        <v>297</v>
      </c>
      <c r="AB27" t="s">
        <v>297</v>
      </c>
      <c r="AC27" t="s">
        <v>297</v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 t="s">
        <v>297</v>
      </c>
      <c r="W28" t="s">
        <v>297</v>
      </c>
      <c r="X28" t="s">
        <v>297</v>
      </c>
      <c r="Y28" t="s">
        <v>297</v>
      </c>
      <c r="Z28" t="s">
        <v>297</v>
      </c>
      <c r="AA28" t="s">
        <v>297</v>
      </c>
      <c r="AB28" t="s">
        <v>297</v>
      </c>
      <c r="AC28" t="s">
        <v>297</v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 t="s">
        <v>297</v>
      </c>
      <c r="W29" t="s">
        <v>297</v>
      </c>
      <c r="X29" t="s">
        <v>297</v>
      </c>
      <c r="Y29" t="s">
        <v>297</v>
      </c>
      <c r="Z29" t="s">
        <v>297</v>
      </c>
      <c r="AA29" t="s">
        <v>297</v>
      </c>
      <c r="AB29" t="s">
        <v>297</v>
      </c>
      <c r="AC29" t="s">
        <v>297</v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 t="s">
        <v>297</v>
      </c>
      <c r="W30" t="s">
        <v>297</v>
      </c>
      <c r="X30" t="s">
        <v>297</v>
      </c>
      <c r="Y30" t="s">
        <v>297</v>
      </c>
      <c r="Z30" t="s">
        <v>297</v>
      </c>
      <c r="AA30" t="s">
        <v>297</v>
      </c>
      <c r="AB30" t="s">
        <v>297</v>
      </c>
      <c r="AC30" t="s">
        <v>297</v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 t="s">
        <v>297</v>
      </c>
      <c r="W31" t="s">
        <v>297</v>
      </c>
      <c r="X31" t="s">
        <v>297</v>
      </c>
      <c r="Y31" t="s">
        <v>297</v>
      </c>
      <c r="Z31" t="s">
        <v>297</v>
      </c>
      <c r="AA31" t="s">
        <v>297</v>
      </c>
      <c r="AB31" t="s">
        <v>297</v>
      </c>
      <c r="AC31" t="s">
        <v>297</v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 t="s">
        <v>297</v>
      </c>
      <c r="W32" t="s">
        <v>297</v>
      </c>
      <c r="X32" t="s">
        <v>297</v>
      </c>
      <c r="Y32" t="s">
        <v>297</v>
      </c>
      <c r="Z32" t="s">
        <v>297</v>
      </c>
      <c r="AA32" t="s">
        <v>297</v>
      </c>
      <c r="AB32" t="s">
        <v>297</v>
      </c>
      <c r="AC32" t="s">
        <v>297</v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 t="s">
        <v>297</v>
      </c>
      <c r="W33" t="s">
        <v>297</v>
      </c>
      <c r="X33" t="s">
        <v>297</v>
      </c>
      <c r="Y33" t="s">
        <v>297</v>
      </c>
      <c r="Z33" t="s">
        <v>297</v>
      </c>
      <c r="AA33" t="s">
        <v>297</v>
      </c>
      <c r="AB33" t="s">
        <v>297</v>
      </c>
      <c r="AC33" t="s">
        <v>297</v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 t="s">
        <v>297</v>
      </c>
      <c r="W34" t="s">
        <v>297</v>
      </c>
      <c r="X34" t="s">
        <v>297</v>
      </c>
      <c r="Y34" t="s">
        <v>297</v>
      </c>
      <c r="Z34" t="s">
        <v>297</v>
      </c>
      <c r="AA34" t="s">
        <v>297</v>
      </c>
      <c r="AB34" t="s">
        <v>297</v>
      </c>
      <c r="AC34" t="s">
        <v>297</v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 t="s">
        <v>297</v>
      </c>
      <c r="W35" t="s">
        <v>297</v>
      </c>
      <c r="X35" t="s">
        <v>297</v>
      </c>
      <c r="Y35" t="s">
        <v>297</v>
      </c>
      <c r="Z35" t="s">
        <v>297</v>
      </c>
      <c r="AA35" t="s">
        <v>297</v>
      </c>
      <c r="AB35" t="s">
        <v>297</v>
      </c>
      <c r="AC35" t="s">
        <v>297</v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 t="s">
        <v>297</v>
      </c>
      <c r="W36" t="s">
        <v>297</v>
      </c>
      <c r="X36" t="s">
        <v>297</v>
      </c>
      <c r="Y36" t="s">
        <v>297</v>
      </c>
      <c r="Z36" t="s">
        <v>297</v>
      </c>
      <c r="AA36" t="s">
        <v>297</v>
      </c>
      <c r="AB36" t="s">
        <v>297</v>
      </c>
      <c r="AC36" t="s">
        <v>297</v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 t="s">
        <v>297</v>
      </c>
      <c r="W37" t="s">
        <v>297</v>
      </c>
      <c r="X37" t="s">
        <v>297</v>
      </c>
      <c r="Y37" t="s">
        <v>297</v>
      </c>
      <c r="Z37" t="s">
        <v>297</v>
      </c>
      <c r="AA37" t="s">
        <v>297</v>
      </c>
      <c r="AB37" t="s">
        <v>297</v>
      </c>
      <c r="AC37" t="s">
        <v>297</v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 t="s">
        <v>297</v>
      </c>
      <c r="W38" t="s">
        <v>297</v>
      </c>
      <c r="X38" t="s">
        <v>297</v>
      </c>
      <c r="Y38" t="s">
        <v>297</v>
      </c>
      <c r="Z38" t="s">
        <v>297</v>
      </c>
      <c r="AA38" t="s">
        <v>297</v>
      </c>
      <c r="AB38" t="s">
        <v>297</v>
      </c>
      <c r="AC38" t="s">
        <v>297</v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 t="s">
        <v>297</v>
      </c>
      <c r="W39" t="s">
        <v>297</v>
      </c>
      <c r="X39" t="s">
        <v>297</v>
      </c>
      <c r="Y39" t="s">
        <v>297</v>
      </c>
      <c r="Z39" t="s">
        <v>297</v>
      </c>
      <c r="AA39" t="s">
        <v>297</v>
      </c>
      <c r="AB39" t="s">
        <v>297</v>
      </c>
      <c r="AC39" t="s">
        <v>297</v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 t="s">
        <v>297</v>
      </c>
      <c r="W40" t="s">
        <v>297</v>
      </c>
      <c r="X40" t="s">
        <v>297</v>
      </c>
      <c r="Y40" t="s">
        <v>297</v>
      </c>
      <c r="Z40" t="s">
        <v>297</v>
      </c>
      <c r="AA40" t="s">
        <v>297</v>
      </c>
      <c r="AB40" t="s">
        <v>297</v>
      </c>
      <c r="AC40" t="s">
        <v>297</v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 t="s">
        <v>297</v>
      </c>
      <c r="W41" t="s">
        <v>297</v>
      </c>
      <c r="X41" t="s">
        <v>297</v>
      </c>
      <c r="Y41" t="s">
        <v>297</v>
      </c>
      <c r="Z41" t="s">
        <v>297</v>
      </c>
      <c r="AA41" t="s">
        <v>297</v>
      </c>
      <c r="AB41" t="s">
        <v>297</v>
      </c>
      <c r="AC41" t="s">
        <v>297</v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 t="s">
        <v>297</v>
      </c>
      <c r="W42" t="s">
        <v>297</v>
      </c>
      <c r="X42" t="s">
        <v>297</v>
      </c>
      <c r="Y42" t="s">
        <v>297</v>
      </c>
      <c r="Z42" t="s">
        <v>297</v>
      </c>
      <c r="AA42" t="s">
        <v>297</v>
      </c>
      <c r="AB42" t="s">
        <v>297</v>
      </c>
      <c r="AC42" t="s">
        <v>297</v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 t="s">
        <v>297</v>
      </c>
      <c r="W43" t="s">
        <v>297</v>
      </c>
      <c r="X43" t="s">
        <v>297</v>
      </c>
      <c r="Y43" t="s">
        <v>297</v>
      </c>
      <c r="Z43" t="s">
        <v>297</v>
      </c>
      <c r="AA43" t="s">
        <v>297</v>
      </c>
      <c r="AB43" t="s">
        <v>297</v>
      </c>
      <c r="AC43" t="s">
        <v>297</v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 t="s">
        <v>297</v>
      </c>
      <c r="W44" t="s">
        <v>297</v>
      </c>
      <c r="X44" t="s">
        <v>297</v>
      </c>
      <c r="Y44" t="s">
        <v>297</v>
      </c>
      <c r="Z44" t="s">
        <v>297</v>
      </c>
      <c r="AA44" t="s">
        <v>297</v>
      </c>
      <c r="AB44" t="s">
        <v>297</v>
      </c>
      <c r="AC44" t="s">
        <v>297</v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 t="s">
        <v>297</v>
      </c>
      <c r="W45" t="s">
        <v>297</v>
      </c>
      <c r="X45" t="s">
        <v>297</v>
      </c>
      <c r="Y45" t="s">
        <v>297</v>
      </c>
      <c r="Z45" t="s">
        <v>297</v>
      </c>
      <c r="AA45" t="s">
        <v>297</v>
      </c>
      <c r="AB45" t="s">
        <v>297</v>
      </c>
      <c r="AC45" t="s">
        <v>297</v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 t="s">
        <v>297</v>
      </c>
      <c r="W46" t="s">
        <v>297</v>
      </c>
      <c r="X46" t="s">
        <v>297</v>
      </c>
      <c r="Y46" t="s">
        <v>297</v>
      </c>
      <c r="Z46" t="s">
        <v>297</v>
      </c>
      <c r="AA46" t="s">
        <v>297</v>
      </c>
      <c r="AB46" t="s">
        <v>297</v>
      </c>
      <c r="AC46" t="s">
        <v>297</v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 t="s">
        <v>297</v>
      </c>
      <c r="W47" t="s">
        <v>297</v>
      </c>
      <c r="X47" t="s">
        <v>297</v>
      </c>
      <c r="Y47" t="s">
        <v>297</v>
      </c>
      <c r="Z47" t="s">
        <v>297</v>
      </c>
      <c r="AA47" t="s">
        <v>297</v>
      </c>
      <c r="AB47" t="s">
        <v>297</v>
      </c>
      <c r="AC47" t="s">
        <v>297</v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 t="s">
        <v>297</v>
      </c>
      <c r="W48" t="s">
        <v>297</v>
      </c>
      <c r="X48" t="s">
        <v>297</v>
      </c>
      <c r="Y48" t="s">
        <v>297</v>
      </c>
      <c r="Z48" t="s">
        <v>297</v>
      </c>
      <c r="AA48" t="s">
        <v>297</v>
      </c>
      <c r="AB48" t="s">
        <v>297</v>
      </c>
      <c r="AC48" t="s">
        <v>297</v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 t="s">
        <v>297</v>
      </c>
      <c r="W49" t="s">
        <v>297</v>
      </c>
      <c r="X49" t="s">
        <v>297</v>
      </c>
      <c r="Y49" t="s">
        <v>297</v>
      </c>
      <c r="Z49" t="s">
        <v>297</v>
      </c>
      <c r="AA49" t="s">
        <v>297</v>
      </c>
      <c r="AB49" t="s">
        <v>297</v>
      </c>
      <c r="AC49" t="s">
        <v>297</v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 t="s">
        <v>297</v>
      </c>
      <c r="W50" t="s">
        <v>297</v>
      </c>
      <c r="X50" t="s">
        <v>297</v>
      </c>
      <c r="Y50" t="s">
        <v>297</v>
      </c>
      <c r="Z50" t="s">
        <v>297</v>
      </c>
      <c r="AA50" t="s">
        <v>297</v>
      </c>
      <c r="AB50" t="s">
        <v>297</v>
      </c>
      <c r="AC50" t="s">
        <v>297</v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 t="s">
        <v>297</v>
      </c>
      <c r="W51" t="s">
        <v>297</v>
      </c>
      <c r="X51" t="s">
        <v>297</v>
      </c>
      <c r="Y51" t="s">
        <v>297</v>
      </c>
      <c r="Z51" t="s">
        <v>297</v>
      </c>
      <c r="AA51" t="s">
        <v>297</v>
      </c>
      <c r="AB51" t="s">
        <v>297</v>
      </c>
      <c r="AC51" t="s">
        <v>297</v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 t="s">
        <v>297</v>
      </c>
      <c r="W52" t="s">
        <v>297</v>
      </c>
      <c r="X52" t="s">
        <v>297</v>
      </c>
      <c r="Y52" t="s">
        <v>297</v>
      </c>
      <c r="Z52" t="s">
        <v>297</v>
      </c>
      <c r="AA52" t="s">
        <v>297</v>
      </c>
      <c r="AB52" t="s">
        <v>297</v>
      </c>
      <c r="AC52" t="s">
        <v>297</v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 t="s">
        <v>297</v>
      </c>
      <c r="W53" t="s">
        <v>297</v>
      </c>
      <c r="X53" t="s">
        <v>297</v>
      </c>
      <c r="Y53" t="s">
        <v>297</v>
      </c>
      <c r="Z53" t="s">
        <v>297</v>
      </c>
      <c r="AA53" t="s">
        <v>297</v>
      </c>
      <c r="AB53" t="s">
        <v>297</v>
      </c>
      <c r="AC53" t="s">
        <v>297</v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 t="s">
        <v>297</v>
      </c>
      <c r="W54" t="s">
        <v>297</v>
      </c>
      <c r="X54" t="s">
        <v>297</v>
      </c>
      <c r="Y54" t="s">
        <v>297</v>
      </c>
      <c r="Z54" t="s">
        <v>297</v>
      </c>
      <c r="AA54" t="s">
        <v>297</v>
      </c>
      <c r="AB54" t="s">
        <v>297</v>
      </c>
      <c r="AC54" t="s">
        <v>297</v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 t="s">
        <v>297</v>
      </c>
      <c r="W55" t="s">
        <v>297</v>
      </c>
      <c r="X55" t="s">
        <v>297</v>
      </c>
      <c r="Y55" t="s">
        <v>297</v>
      </c>
      <c r="Z55" t="s">
        <v>297</v>
      </c>
      <c r="AA55" t="s">
        <v>297</v>
      </c>
      <c r="AB55" t="s">
        <v>297</v>
      </c>
      <c r="AC55" t="s">
        <v>297</v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 t="s">
        <v>297</v>
      </c>
      <c r="W56" t="s">
        <v>297</v>
      </c>
      <c r="X56" t="s">
        <v>297</v>
      </c>
      <c r="Y56" t="s">
        <v>297</v>
      </c>
      <c r="Z56" t="s">
        <v>297</v>
      </c>
      <c r="AA56" t="s">
        <v>297</v>
      </c>
      <c r="AB56" t="s">
        <v>297</v>
      </c>
      <c r="AC56" t="s">
        <v>297</v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 t="s">
        <v>297</v>
      </c>
      <c r="W57" t="s">
        <v>297</v>
      </c>
      <c r="X57" t="s">
        <v>297</v>
      </c>
      <c r="Y57" t="s">
        <v>297</v>
      </c>
      <c r="Z57" t="s">
        <v>297</v>
      </c>
      <c r="AA57" t="s">
        <v>297</v>
      </c>
      <c r="AB57" t="s">
        <v>297</v>
      </c>
      <c r="AC57" t="s">
        <v>297</v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 t="s">
        <v>297</v>
      </c>
      <c r="W58" t="s">
        <v>297</v>
      </c>
      <c r="X58" t="s">
        <v>297</v>
      </c>
      <c r="Y58" t="s">
        <v>297</v>
      </c>
      <c r="Z58" t="s">
        <v>297</v>
      </c>
      <c r="AA58" t="s">
        <v>297</v>
      </c>
      <c r="AB58" t="s">
        <v>297</v>
      </c>
      <c r="AC58" t="s">
        <v>297</v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 t="s">
        <v>297</v>
      </c>
      <c r="W59" t="s">
        <v>297</v>
      </c>
      <c r="X59" t="s">
        <v>297</v>
      </c>
      <c r="Y59" t="s">
        <v>297</v>
      </c>
      <c r="Z59" t="s">
        <v>297</v>
      </c>
      <c r="AA59" t="s">
        <v>297</v>
      </c>
      <c r="AB59" t="s">
        <v>297</v>
      </c>
      <c r="AC59" t="s">
        <v>297</v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 t="s">
        <v>297</v>
      </c>
      <c r="W60" t="s">
        <v>297</v>
      </c>
      <c r="X60" t="s">
        <v>297</v>
      </c>
      <c r="Y60" t="s">
        <v>297</v>
      </c>
      <c r="Z60" t="s">
        <v>297</v>
      </c>
      <c r="AA60" t="s">
        <v>297</v>
      </c>
      <c r="AB60" t="s">
        <v>297</v>
      </c>
      <c r="AC60" t="s">
        <v>297</v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 t="s">
        <v>297</v>
      </c>
      <c r="W61" t="s">
        <v>297</v>
      </c>
      <c r="X61" t="s">
        <v>297</v>
      </c>
      <c r="Y61" t="s">
        <v>297</v>
      </c>
      <c r="Z61" t="s">
        <v>297</v>
      </c>
      <c r="AA61" t="s">
        <v>297</v>
      </c>
      <c r="AB61" t="s">
        <v>297</v>
      </c>
      <c r="AC61" t="s">
        <v>297</v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 t="s">
        <v>297</v>
      </c>
      <c r="W62" t="s">
        <v>297</v>
      </c>
      <c r="X62" t="s">
        <v>297</v>
      </c>
      <c r="Y62" t="s">
        <v>297</v>
      </c>
      <c r="Z62" t="s">
        <v>297</v>
      </c>
      <c r="AA62" t="s">
        <v>297</v>
      </c>
      <c r="AB62" t="s">
        <v>297</v>
      </c>
      <c r="AC62" t="s">
        <v>297</v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 t="s">
        <v>297</v>
      </c>
      <c r="W63" t="s">
        <v>297</v>
      </c>
      <c r="X63" t="s">
        <v>297</v>
      </c>
      <c r="Y63" t="s">
        <v>297</v>
      </c>
      <c r="Z63" t="s">
        <v>297</v>
      </c>
      <c r="AA63" t="s">
        <v>297</v>
      </c>
      <c r="AB63" t="s">
        <v>297</v>
      </c>
      <c r="AC63" t="s">
        <v>297</v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 t="s">
        <v>297</v>
      </c>
      <c r="W64" t="s">
        <v>297</v>
      </c>
      <c r="X64" t="s">
        <v>297</v>
      </c>
      <c r="Y64" t="s">
        <v>297</v>
      </c>
      <c r="Z64" t="s">
        <v>297</v>
      </c>
      <c r="AA64" t="s">
        <v>297</v>
      </c>
      <c r="AB64" t="s">
        <v>297</v>
      </c>
      <c r="AC64" t="s">
        <v>297</v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 t="s">
        <v>297</v>
      </c>
      <c r="W65" t="s">
        <v>297</v>
      </c>
      <c r="X65" t="s">
        <v>297</v>
      </c>
      <c r="Y65" t="s">
        <v>297</v>
      </c>
      <c r="Z65" t="s">
        <v>297</v>
      </c>
      <c r="AA65" t="s">
        <v>297</v>
      </c>
      <c r="AB65" t="s">
        <v>297</v>
      </c>
      <c r="AC65" t="s">
        <v>297</v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 t="s">
        <v>297</v>
      </c>
      <c r="W66" t="s">
        <v>297</v>
      </c>
      <c r="X66" t="s">
        <v>297</v>
      </c>
      <c r="Y66" t="s">
        <v>297</v>
      </c>
      <c r="Z66" t="s">
        <v>297</v>
      </c>
      <c r="AA66" t="s">
        <v>297</v>
      </c>
      <c r="AB66" t="s">
        <v>297</v>
      </c>
      <c r="AC66" t="s">
        <v>297</v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 t="s">
        <v>297</v>
      </c>
      <c r="W67" t="s">
        <v>297</v>
      </c>
      <c r="X67" t="s">
        <v>297</v>
      </c>
      <c r="Y67" t="s">
        <v>297</v>
      </c>
      <c r="Z67" t="s">
        <v>297</v>
      </c>
      <c r="AA67" t="s">
        <v>297</v>
      </c>
      <c r="AB67" t="s">
        <v>297</v>
      </c>
      <c r="AC67" t="s">
        <v>297</v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 t="s">
        <v>297</v>
      </c>
      <c r="W68" t="s">
        <v>297</v>
      </c>
      <c r="X68" t="s">
        <v>297</v>
      </c>
      <c r="Y68" t="s">
        <v>297</v>
      </c>
      <c r="Z68" t="s">
        <v>297</v>
      </c>
      <c r="AA68" t="s">
        <v>297</v>
      </c>
      <c r="AB68" t="s">
        <v>297</v>
      </c>
      <c r="AC68" t="s">
        <v>297</v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 t="s">
        <v>297</v>
      </c>
      <c r="W69" t="s">
        <v>297</v>
      </c>
      <c r="X69" t="s">
        <v>297</v>
      </c>
      <c r="Y69" t="s">
        <v>297</v>
      </c>
      <c r="Z69" t="s">
        <v>297</v>
      </c>
      <c r="AA69" t="s">
        <v>297</v>
      </c>
      <c r="AB69" t="s">
        <v>297</v>
      </c>
      <c r="AC69" t="s">
        <v>297</v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 t="s">
        <v>297</v>
      </c>
      <c r="W70" t="s">
        <v>297</v>
      </c>
      <c r="X70" t="s">
        <v>297</v>
      </c>
      <c r="Y70" t="s">
        <v>297</v>
      </c>
      <c r="Z70" t="s">
        <v>297</v>
      </c>
      <c r="AA70" t="s">
        <v>297</v>
      </c>
      <c r="AB70" t="s">
        <v>297</v>
      </c>
      <c r="AC70" t="s">
        <v>297</v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 t="s">
        <v>297</v>
      </c>
      <c r="W71" t="s">
        <v>297</v>
      </c>
      <c r="X71" t="s">
        <v>297</v>
      </c>
      <c r="Y71" t="s">
        <v>297</v>
      </c>
      <c r="Z71" t="s">
        <v>297</v>
      </c>
      <c r="AA71" t="s">
        <v>297</v>
      </c>
      <c r="AB71" t="s">
        <v>297</v>
      </c>
      <c r="AC71" t="s">
        <v>297</v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 t="s">
        <v>297</v>
      </c>
      <c r="W72" t="s">
        <v>297</v>
      </c>
      <c r="X72" t="s">
        <v>297</v>
      </c>
      <c r="Y72" t="s">
        <v>297</v>
      </c>
      <c r="Z72" t="s">
        <v>297</v>
      </c>
      <c r="AA72" t="s">
        <v>297</v>
      </c>
      <c r="AB72" t="s">
        <v>297</v>
      </c>
      <c r="AC72" t="s">
        <v>297</v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 t="s">
        <v>297</v>
      </c>
      <c r="W73" t="s">
        <v>297</v>
      </c>
      <c r="X73" t="s">
        <v>297</v>
      </c>
      <c r="Y73" t="s">
        <v>297</v>
      </c>
      <c r="Z73" t="s">
        <v>297</v>
      </c>
      <c r="AA73" t="s">
        <v>297</v>
      </c>
      <c r="AB73" t="s">
        <v>297</v>
      </c>
      <c r="AC73" t="s">
        <v>297</v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 t="s">
        <v>297</v>
      </c>
      <c r="W74" t="s">
        <v>297</v>
      </c>
      <c r="X74" t="s">
        <v>297</v>
      </c>
      <c r="Y74" t="s">
        <v>297</v>
      </c>
      <c r="Z74" t="s">
        <v>297</v>
      </c>
      <c r="AA74" t="s">
        <v>297</v>
      </c>
      <c r="AB74" t="s">
        <v>297</v>
      </c>
      <c r="AC74" t="s">
        <v>297</v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 t="s">
        <v>297</v>
      </c>
      <c r="W75" t="s">
        <v>297</v>
      </c>
      <c r="X75" t="s">
        <v>297</v>
      </c>
      <c r="Y75" t="s">
        <v>297</v>
      </c>
      <c r="Z75" t="s">
        <v>297</v>
      </c>
      <c r="AA75" t="s">
        <v>297</v>
      </c>
      <c r="AB75" t="s">
        <v>297</v>
      </c>
      <c r="AC75" t="s">
        <v>297</v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 t="s">
        <v>297</v>
      </c>
      <c r="W76" t="s">
        <v>297</v>
      </c>
      <c r="X76" t="s">
        <v>297</v>
      </c>
      <c r="Y76" t="s">
        <v>297</v>
      </c>
      <c r="Z76" t="s">
        <v>297</v>
      </c>
      <c r="AA76" t="s">
        <v>297</v>
      </c>
      <c r="AB76" t="s">
        <v>297</v>
      </c>
      <c r="AC76" t="s">
        <v>297</v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 t="s">
        <v>297</v>
      </c>
      <c r="W77" t="s">
        <v>297</v>
      </c>
      <c r="X77" t="s">
        <v>297</v>
      </c>
      <c r="Y77" t="s">
        <v>297</v>
      </c>
      <c r="Z77" t="s">
        <v>297</v>
      </c>
      <c r="AA77" t="s">
        <v>297</v>
      </c>
      <c r="AB77" t="s">
        <v>297</v>
      </c>
      <c r="AC77" t="s">
        <v>297</v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 t="s">
        <v>297</v>
      </c>
      <c r="W78" t="s">
        <v>297</v>
      </c>
      <c r="X78" t="s">
        <v>297</v>
      </c>
      <c r="Y78" t="s">
        <v>297</v>
      </c>
      <c r="Z78" t="s">
        <v>297</v>
      </c>
      <c r="AA78" t="s">
        <v>297</v>
      </c>
      <c r="AB78" t="s">
        <v>297</v>
      </c>
      <c r="AC78" t="s">
        <v>297</v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 t="s">
        <v>297</v>
      </c>
      <c r="W79" t="s">
        <v>297</v>
      </c>
      <c r="X79" t="s">
        <v>297</v>
      </c>
      <c r="Y79" t="s">
        <v>297</v>
      </c>
      <c r="Z79" t="s">
        <v>297</v>
      </c>
      <c r="AA79" t="s">
        <v>297</v>
      </c>
      <c r="AB79" t="s">
        <v>297</v>
      </c>
      <c r="AC79" t="s">
        <v>297</v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 t="s">
        <v>297</v>
      </c>
      <c r="W80" t="s">
        <v>297</v>
      </c>
      <c r="X80" t="s">
        <v>297</v>
      </c>
      <c r="Y80" t="s">
        <v>297</v>
      </c>
      <c r="Z80" t="s">
        <v>297</v>
      </c>
      <c r="AA80" t="s">
        <v>297</v>
      </c>
      <c r="AB80" t="s">
        <v>297</v>
      </c>
      <c r="AC80" t="s">
        <v>297</v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 t="s">
        <v>297</v>
      </c>
      <c r="W81" t="s">
        <v>297</v>
      </c>
      <c r="X81" t="s">
        <v>297</v>
      </c>
      <c r="Y81" t="s">
        <v>297</v>
      </c>
      <c r="Z81" t="s">
        <v>297</v>
      </c>
      <c r="AA81" t="s">
        <v>297</v>
      </c>
      <c r="AB81" t="s">
        <v>297</v>
      </c>
      <c r="AC81" t="s">
        <v>297</v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 t="s">
        <v>297</v>
      </c>
      <c r="W82" t="s">
        <v>297</v>
      </c>
      <c r="X82" t="s">
        <v>297</v>
      </c>
      <c r="Y82" t="s">
        <v>297</v>
      </c>
      <c r="Z82" t="s">
        <v>297</v>
      </c>
      <c r="AA82" t="s">
        <v>297</v>
      </c>
      <c r="AB82" t="s">
        <v>297</v>
      </c>
      <c r="AC82" t="s">
        <v>297</v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 t="s">
        <v>297</v>
      </c>
      <c r="W83" t="s">
        <v>297</v>
      </c>
      <c r="X83" t="s">
        <v>297</v>
      </c>
      <c r="Y83" t="s">
        <v>297</v>
      </c>
      <c r="Z83" t="s">
        <v>297</v>
      </c>
      <c r="AA83" t="s">
        <v>297</v>
      </c>
      <c r="AB83" t="s">
        <v>297</v>
      </c>
      <c r="AC83" t="s">
        <v>297</v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 t="s">
        <v>297</v>
      </c>
      <c r="W84" t="s">
        <v>297</v>
      </c>
      <c r="X84" t="s">
        <v>297</v>
      </c>
      <c r="Y84" t="s">
        <v>297</v>
      </c>
      <c r="Z84" t="s">
        <v>297</v>
      </c>
      <c r="AA84" t="s">
        <v>297</v>
      </c>
      <c r="AB84" t="s">
        <v>297</v>
      </c>
      <c r="AC84" t="s">
        <v>297</v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 t="s">
        <v>297</v>
      </c>
      <c r="W85" t="s">
        <v>297</v>
      </c>
      <c r="X85" t="s">
        <v>297</v>
      </c>
      <c r="Y85" t="s">
        <v>297</v>
      </c>
      <c r="Z85" t="s">
        <v>297</v>
      </c>
      <c r="AA85" t="s">
        <v>297</v>
      </c>
      <c r="AB85" t="s">
        <v>297</v>
      </c>
      <c r="AC85" t="s">
        <v>297</v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 t="s">
        <v>297</v>
      </c>
      <c r="W86" t="s">
        <v>297</v>
      </c>
      <c r="X86" t="s">
        <v>297</v>
      </c>
      <c r="Y86" t="s">
        <v>297</v>
      </c>
      <c r="Z86" t="s">
        <v>297</v>
      </c>
      <c r="AA86" t="s">
        <v>297</v>
      </c>
      <c r="AB86" t="s">
        <v>297</v>
      </c>
      <c r="AC86" t="s">
        <v>297</v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 t="s">
        <v>297</v>
      </c>
      <c r="W87" t="s">
        <v>297</v>
      </c>
      <c r="X87" t="s">
        <v>297</v>
      </c>
      <c r="Y87" t="s">
        <v>297</v>
      </c>
      <c r="Z87" t="s">
        <v>297</v>
      </c>
      <c r="AA87" t="s">
        <v>297</v>
      </c>
      <c r="AB87" t="s">
        <v>297</v>
      </c>
      <c r="AC87" t="s">
        <v>297</v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 t="s">
        <v>297</v>
      </c>
      <c r="W88" t="s">
        <v>297</v>
      </c>
      <c r="X88" t="s">
        <v>297</v>
      </c>
      <c r="Y88" t="s">
        <v>297</v>
      </c>
      <c r="Z88" t="s">
        <v>297</v>
      </c>
      <c r="AA88" t="s">
        <v>297</v>
      </c>
      <c r="AB88" t="s">
        <v>297</v>
      </c>
      <c r="AC88" t="s">
        <v>297</v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 t="s">
        <v>297</v>
      </c>
      <c r="W89" t="s">
        <v>297</v>
      </c>
      <c r="X89" t="s">
        <v>297</v>
      </c>
      <c r="Y89" t="s">
        <v>297</v>
      </c>
      <c r="Z89" t="s">
        <v>297</v>
      </c>
      <c r="AA89" t="s">
        <v>297</v>
      </c>
      <c r="AB89" t="s">
        <v>297</v>
      </c>
      <c r="AC89" t="s">
        <v>297</v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 t="s">
        <v>297</v>
      </c>
      <c r="W90" t="s">
        <v>297</v>
      </c>
      <c r="X90" t="s">
        <v>297</v>
      </c>
      <c r="Y90" t="s">
        <v>297</v>
      </c>
      <c r="Z90" t="s">
        <v>297</v>
      </c>
      <c r="AA90" t="s">
        <v>297</v>
      </c>
      <c r="AB90" t="s">
        <v>297</v>
      </c>
      <c r="AC90" t="s">
        <v>297</v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 t="s">
        <v>297</v>
      </c>
      <c r="W91" t="s">
        <v>297</v>
      </c>
      <c r="X91" t="s">
        <v>297</v>
      </c>
      <c r="Y91" t="s">
        <v>297</v>
      </c>
      <c r="Z91" t="s">
        <v>297</v>
      </c>
      <c r="AA91" t="s">
        <v>297</v>
      </c>
      <c r="AB91" t="s">
        <v>297</v>
      </c>
      <c r="AC91" t="s">
        <v>297</v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 t="s">
        <v>297</v>
      </c>
      <c r="W92" t="s">
        <v>297</v>
      </c>
      <c r="X92" t="s">
        <v>297</v>
      </c>
      <c r="Y92" t="s">
        <v>297</v>
      </c>
      <c r="Z92" t="s">
        <v>297</v>
      </c>
      <c r="AA92" t="s">
        <v>297</v>
      </c>
      <c r="AB92" t="s">
        <v>297</v>
      </c>
      <c r="AC92" t="s">
        <v>297</v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 t="s">
        <v>297</v>
      </c>
      <c r="W93" t="s">
        <v>297</v>
      </c>
      <c r="X93" t="s">
        <v>297</v>
      </c>
      <c r="Y93" t="s">
        <v>297</v>
      </c>
      <c r="Z93" t="s">
        <v>297</v>
      </c>
      <c r="AA93" t="s">
        <v>297</v>
      </c>
      <c r="AB93" t="s">
        <v>297</v>
      </c>
      <c r="AC93" t="s">
        <v>297</v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 t="s">
        <v>297</v>
      </c>
      <c r="W94" t="s">
        <v>297</v>
      </c>
      <c r="X94" t="s">
        <v>297</v>
      </c>
      <c r="Y94" t="s">
        <v>297</v>
      </c>
      <c r="Z94" t="s">
        <v>297</v>
      </c>
      <c r="AA94" t="s">
        <v>297</v>
      </c>
      <c r="AB94" t="s">
        <v>297</v>
      </c>
      <c r="AC94" t="s">
        <v>297</v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 t="s">
        <v>297</v>
      </c>
      <c r="W95" t="s">
        <v>297</v>
      </c>
      <c r="X95" t="s">
        <v>297</v>
      </c>
      <c r="Y95" t="s">
        <v>297</v>
      </c>
      <c r="Z95" t="s">
        <v>297</v>
      </c>
      <c r="AA95" t="s">
        <v>297</v>
      </c>
      <c r="AB95" t="s">
        <v>297</v>
      </c>
      <c r="AC95" t="s">
        <v>297</v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 t="s">
        <v>297</v>
      </c>
      <c r="W96" t="s">
        <v>297</v>
      </c>
      <c r="X96" t="s">
        <v>297</v>
      </c>
      <c r="Y96" t="s">
        <v>297</v>
      </c>
      <c r="Z96" t="s">
        <v>297</v>
      </c>
      <c r="AA96" t="s">
        <v>297</v>
      </c>
      <c r="AB96" t="s">
        <v>297</v>
      </c>
      <c r="AC96" t="s">
        <v>297</v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 t="s">
        <v>297</v>
      </c>
      <c r="W97" t="s">
        <v>297</v>
      </c>
      <c r="X97" t="s">
        <v>297</v>
      </c>
      <c r="Y97" t="s">
        <v>297</v>
      </c>
      <c r="Z97" t="s">
        <v>297</v>
      </c>
      <c r="AA97" t="s">
        <v>297</v>
      </c>
      <c r="AB97" t="s">
        <v>297</v>
      </c>
      <c r="AC97" t="s">
        <v>297</v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 t="s">
        <v>297</v>
      </c>
      <c r="W98" t="s">
        <v>297</v>
      </c>
      <c r="X98" t="s">
        <v>297</v>
      </c>
      <c r="Y98" t="s">
        <v>297</v>
      </c>
      <c r="Z98" t="s">
        <v>297</v>
      </c>
      <c r="AA98" t="s">
        <v>297</v>
      </c>
      <c r="AB98" t="s">
        <v>297</v>
      </c>
      <c r="AC98" t="s">
        <v>297</v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 t="s">
        <v>297</v>
      </c>
      <c r="W99" t="s">
        <v>297</v>
      </c>
      <c r="X99" t="s">
        <v>297</v>
      </c>
      <c r="Y99" t="s">
        <v>297</v>
      </c>
      <c r="Z99" t="s">
        <v>297</v>
      </c>
      <c r="AA99" t="s">
        <v>297</v>
      </c>
      <c r="AB99" t="s">
        <v>297</v>
      </c>
      <c r="AC99" t="s">
        <v>297</v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 t="s">
        <v>297</v>
      </c>
      <c r="W100" t="s">
        <v>297</v>
      </c>
      <c r="X100" t="s">
        <v>297</v>
      </c>
      <c r="Y100" t="s">
        <v>297</v>
      </c>
      <c r="Z100" t="s">
        <v>297</v>
      </c>
      <c r="AA100" t="s">
        <v>297</v>
      </c>
      <c r="AB100" t="s">
        <v>297</v>
      </c>
      <c r="AC100" t="s">
        <v>297</v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 t="s">
        <v>297</v>
      </c>
      <c r="W101" t="s">
        <v>297</v>
      </c>
      <c r="X101" t="s">
        <v>297</v>
      </c>
      <c r="Y101" t="s">
        <v>297</v>
      </c>
      <c r="Z101" t="s">
        <v>297</v>
      </c>
      <c r="AA101" t="s">
        <v>297</v>
      </c>
      <c r="AB101" t="s">
        <v>297</v>
      </c>
      <c r="AC101" t="s">
        <v>297</v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 t="s">
        <v>297</v>
      </c>
      <c r="W102" t="s">
        <v>297</v>
      </c>
      <c r="X102" t="s">
        <v>297</v>
      </c>
      <c r="Y102" t="s">
        <v>297</v>
      </c>
      <c r="Z102" t="s">
        <v>297</v>
      </c>
      <c r="AA102" t="s">
        <v>297</v>
      </c>
      <c r="AB102" t="s">
        <v>297</v>
      </c>
      <c r="AC102" t="s">
        <v>297</v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 t="s">
        <v>297</v>
      </c>
      <c r="W103" t="s">
        <v>297</v>
      </c>
      <c r="X103" t="s">
        <v>297</v>
      </c>
      <c r="Y103" t="s">
        <v>297</v>
      </c>
      <c r="Z103" t="s">
        <v>297</v>
      </c>
      <c r="AA103" t="s">
        <v>297</v>
      </c>
      <c r="AB103" t="s">
        <v>297</v>
      </c>
      <c r="AC103" t="s">
        <v>297</v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 t="s">
        <v>297</v>
      </c>
      <c r="W104" t="s">
        <v>297</v>
      </c>
      <c r="X104" t="s">
        <v>297</v>
      </c>
      <c r="Y104" t="s">
        <v>297</v>
      </c>
      <c r="Z104" t="s">
        <v>297</v>
      </c>
      <c r="AA104" t="s">
        <v>297</v>
      </c>
      <c r="AB104" t="s">
        <v>297</v>
      </c>
      <c r="AC104" t="s">
        <v>297</v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 t="s">
        <v>297</v>
      </c>
      <c r="W105" t="s">
        <v>297</v>
      </c>
      <c r="X105" t="s">
        <v>297</v>
      </c>
      <c r="Y105" t="s">
        <v>297</v>
      </c>
      <c r="Z105" t="s">
        <v>297</v>
      </c>
      <c r="AA105" t="s">
        <v>297</v>
      </c>
      <c r="AB105" t="s">
        <v>297</v>
      </c>
      <c r="AC105" t="s">
        <v>297</v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 t="s">
        <v>297</v>
      </c>
      <c r="W106" t="s">
        <v>297</v>
      </c>
      <c r="X106" t="s">
        <v>297</v>
      </c>
      <c r="Y106" t="s">
        <v>297</v>
      </c>
      <c r="Z106" t="s">
        <v>297</v>
      </c>
      <c r="AA106" t="s">
        <v>297</v>
      </c>
      <c r="AB106" t="s">
        <v>297</v>
      </c>
      <c r="AC106" t="s">
        <v>297</v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 t="s">
        <v>297</v>
      </c>
      <c r="W107" t="s">
        <v>297</v>
      </c>
      <c r="X107" t="s">
        <v>297</v>
      </c>
      <c r="Y107" t="s">
        <v>297</v>
      </c>
      <c r="Z107" t="s">
        <v>297</v>
      </c>
      <c r="AA107" t="s">
        <v>297</v>
      </c>
      <c r="AB107" t="s">
        <v>297</v>
      </c>
      <c r="AC107" t="s">
        <v>297</v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 t="s">
        <v>297</v>
      </c>
      <c r="W108" t="s">
        <v>297</v>
      </c>
      <c r="X108" t="s">
        <v>297</v>
      </c>
      <c r="Y108" t="s">
        <v>297</v>
      </c>
      <c r="Z108" t="s">
        <v>297</v>
      </c>
      <c r="AA108" t="s">
        <v>297</v>
      </c>
      <c r="AB108" t="s">
        <v>297</v>
      </c>
      <c r="AC108" t="s">
        <v>297</v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 t="s">
        <v>297</v>
      </c>
      <c r="W109" t="s">
        <v>297</v>
      </c>
      <c r="X109" t="s">
        <v>297</v>
      </c>
      <c r="Y109" t="s">
        <v>297</v>
      </c>
      <c r="Z109" t="s">
        <v>297</v>
      </c>
      <c r="AA109" t="s">
        <v>297</v>
      </c>
      <c r="AB109" t="s">
        <v>297</v>
      </c>
      <c r="AC109" t="s">
        <v>297</v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 t="s">
        <v>297</v>
      </c>
      <c r="W110" t="s">
        <v>297</v>
      </c>
      <c r="X110" t="s">
        <v>297</v>
      </c>
      <c r="Y110" t="s">
        <v>297</v>
      </c>
      <c r="Z110" t="s">
        <v>297</v>
      </c>
      <c r="AA110" t="s">
        <v>297</v>
      </c>
      <c r="AB110" t="s">
        <v>297</v>
      </c>
      <c r="AC110" t="s">
        <v>297</v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 t="s">
        <v>297</v>
      </c>
      <c r="W111" t="s">
        <v>297</v>
      </c>
      <c r="X111" t="s">
        <v>297</v>
      </c>
      <c r="Y111" t="s">
        <v>297</v>
      </c>
      <c r="Z111" t="s">
        <v>297</v>
      </c>
      <c r="AA111" t="s">
        <v>297</v>
      </c>
      <c r="AB111" t="s">
        <v>297</v>
      </c>
      <c r="AC111" t="s">
        <v>297</v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 t="s">
        <v>297</v>
      </c>
      <c r="W112" t="s">
        <v>297</v>
      </c>
      <c r="X112" t="s">
        <v>297</v>
      </c>
      <c r="Y112" t="s">
        <v>297</v>
      </c>
      <c r="Z112" t="s">
        <v>297</v>
      </c>
      <c r="AA112" t="s">
        <v>297</v>
      </c>
      <c r="AB112" t="s">
        <v>297</v>
      </c>
      <c r="AC112" t="s">
        <v>297</v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 t="s">
        <v>297</v>
      </c>
      <c r="W113" t="s">
        <v>297</v>
      </c>
      <c r="X113" t="s">
        <v>297</v>
      </c>
      <c r="Y113" t="s">
        <v>297</v>
      </c>
      <c r="Z113" t="s">
        <v>297</v>
      </c>
      <c r="AA113" t="s">
        <v>297</v>
      </c>
      <c r="AB113" t="s">
        <v>297</v>
      </c>
      <c r="AC113" t="s">
        <v>297</v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 t="s">
        <v>297</v>
      </c>
      <c r="W114" t="s">
        <v>297</v>
      </c>
      <c r="X114" t="s">
        <v>297</v>
      </c>
      <c r="Y114" t="s">
        <v>297</v>
      </c>
      <c r="Z114" t="s">
        <v>297</v>
      </c>
      <c r="AA114" t="s">
        <v>297</v>
      </c>
      <c r="AB114" t="s">
        <v>297</v>
      </c>
      <c r="AC114" t="s">
        <v>297</v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 t="s">
        <v>297</v>
      </c>
      <c r="W115" t="s">
        <v>297</v>
      </c>
      <c r="X115" t="s">
        <v>297</v>
      </c>
      <c r="Y115" t="s">
        <v>297</v>
      </c>
      <c r="Z115" t="s">
        <v>297</v>
      </c>
      <c r="AA115" t="s">
        <v>297</v>
      </c>
      <c r="AB115" t="s">
        <v>297</v>
      </c>
      <c r="AC115" t="s">
        <v>297</v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 t="s">
        <v>297</v>
      </c>
      <c r="W116" t="s">
        <v>297</v>
      </c>
      <c r="X116" t="s">
        <v>297</v>
      </c>
      <c r="Y116" t="s">
        <v>297</v>
      </c>
      <c r="Z116" t="s">
        <v>297</v>
      </c>
      <c r="AA116" t="s">
        <v>297</v>
      </c>
      <c r="AB116" t="s">
        <v>297</v>
      </c>
      <c r="AC116" t="s">
        <v>297</v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 t="s">
        <v>297</v>
      </c>
      <c r="W117" t="s">
        <v>297</v>
      </c>
      <c r="X117" t="s">
        <v>297</v>
      </c>
      <c r="Y117" t="s">
        <v>297</v>
      </c>
      <c r="Z117" t="s">
        <v>297</v>
      </c>
      <c r="AA117" t="s">
        <v>297</v>
      </c>
      <c r="AB117" t="s">
        <v>297</v>
      </c>
      <c r="AC117" t="s">
        <v>297</v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 t="s">
        <v>297</v>
      </c>
      <c r="W118" t="s">
        <v>297</v>
      </c>
      <c r="X118" t="s">
        <v>297</v>
      </c>
      <c r="Y118" t="s">
        <v>297</v>
      </c>
      <c r="Z118" t="s">
        <v>297</v>
      </c>
      <c r="AA118" t="s">
        <v>297</v>
      </c>
      <c r="AB118" t="s">
        <v>297</v>
      </c>
      <c r="AC118" t="s">
        <v>297</v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 t="s">
        <v>297</v>
      </c>
      <c r="W119" t="s">
        <v>297</v>
      </c>
      <c r="X119" t="s">
        <v>297</v>
      </c>
      <c r="Y119" t="s">
        <v>297</v>
      </c>
      <c r="Z119" t="s">
        <v>297</v>
      </c>
      <c r="AA119" t="s">
        <v>297</v>
      </c>
      <c r="AB119" t="s">
        <v>297</v>
      </c>
      <c r="AC119" t="s">
        <v>297</v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 t="s">
        <v>297</v>
      </c>
      <c r="W120" t="s">
        <v>297</v>
      </c>
      <c r="X120" t="s">
        <v>297</v>
      </c>
      <c r="Y120" t="s">
        <v>297</v>
      </c>
      <c r="Z120" t="s">
        <v>297</v>
      </c>
      <c r="AA120" t="s">
        <v>297</v>
      </c>
      <c r="AB120" t="s">
        <v>297</v>
      </c>
      <c r="AC120" t="s">
        <v>297</v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 t="s">
        <v>297</v>
      </c>
      <c r="W121" t="s">
        <v>297</v>
      </c>
      <c r="X121" t="s">
        <v>297</v>
      </c>
      <c r="Y121" t="s">
        <v>297</v>
      </c>
      <c r="Z121" t="s">
        <v>297</v>
      </c>
      <c r="AA121" t="s">
        <v>297</v>
      </c>
      <c r="AB121" t="s">
        <v>297</v>
      </c>
      <c r="AC121" t="s">
        <v>297</v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 t="s">
        <v>297</v>
      </c>
      <c r="W122" t="s">
        <v>297</v>
      </c>
      <c r="X122" t="s">
        <v>297</v>
      </c>
      <c r="Y122" t="s">
        <v>297</v>
      </c>
      <c r="Z122" t="s">
        <v>297</v>
      </c>
      <c r="AA122" t="s">
        <v>297</v>
      </c>
      <c r="AB122" t="s">
        <v>297</v>
      </c>
      <c r="AC122" t="s">
        <v>297</v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 t="s">
        <v>297</v>
      </c>
      <c r="W123" t="s">
        <v>297</v>
      </c>
      <c r="X123" t="s">
        <v>297</v>
      </c>
      <c r="Y123" t="s">
        <v>297</v>
      </c>
      <c r="Z123" t="s">
        <v>297</v>
      </c>
      <c r="AA123" t="s">
        <v>297</v>
      </c>
      <c r="AB123" t="s">
        <v>297</v>
      </c>
      <c r="AC123" t="s">
        <v>297</v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 t="s">
        <v>297</v>
      </c>
      <c r="W124" t="s">
        <v>297</v>
      </c>
      <c r="X124" t="s">
        <v>297</v>
      </c>
      <c r="Y124" t="s">
        <v>297</v>
      </c>
      <c r="Z124" t="s">
        <v>297</v>
      </c>
      <c r="AA124" t="s">
        <v>297</v>
      </c>
      <c r="AB124" t="s">
        <v>297</v>
      </c>
      <c r="AC124" t="s">
        <v>297</v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 t="s">
        <v>297</v>
      </c>
      <c r="W125" t="s">
        <v>297</v>
      </c>
      <c r="X125" t="s">
        <v>297</v>
      </c>
      <c r="Y125" t="s">
        <v>297</v>
      </c>
      <c r="Z125" t="s">
        <v>297</v>
      </c>
      <c r="AA125" t="s">
        <v>297</v>
      </c>
      <c r="AB125" t="s">
        <v>297</v>
      </c>
      <c r="AC125" t="s">
        <v>297</v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 t="s">
        <v>297</v>
      </c>
      <c r="W126" t="s">
        <v>297</v>
      </c>
      <c r="X126" t="s">
        <v>297</v>
      </c>
      <c r="Y126" t="s">
        <v>297</v>
      </c>
      <c r="Z126" t="s">
        <v>297</v>
      </c>
      <c r="AA126" t="s">
        <v>297</v>
      </c>
      <c r="AB126" t="s">
        <v>297</v>
      </c>
      <c r="AC126" t="s">
        <v>297</v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 t="s">
        <v>297</v>
      </c>
      <c r="W127" t="s">
        <v>297</v>
      </c>
      <c r="X127" t="s">
        <v>297</v>
      </c>
      <c r="Y127" t="s">
        <v>297</v>
      </c>
      <c r="Z127" t="s">
        <v>297</v>
      </c>
      <c r="AA127" t="s">
        <v>297</v>
      </c>
      <c r="AB127" t="s">
        <v>297</v>
      </c>
      <c r="AC127" t="s">
        <v>297</v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 t="s">
        <v>297</v>
      </c>
      <c r="W128" t="s">
        <v>297</v>
      </c>
      <c r="X128" t="s">
        <v>297</v>
      </c>
      <c r="Y128" t="s">
        <v>297</v>
      </c>
      <c r="Z128" t="s">
        <v>297</v>
      </c>
      <c r="AA128" t="s">
        <v>297</v>
      </c>
      <c r="AB128" t="s">
        <v>297</v>
      </c>
      <c r="AC128" t="s">
        <v>297</v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 t="s">
        <v>297</v>
      </c>
      <c r="W129" t="s">
        <v>297</v>
      </c>
      <c r="X129" t="s">
        <v>297</v>
      </c>
      <c r="Y129" t="s">
        <v>297</v>
      </c>
      <c r="Z129" t="s">
        <v>297</v>
      </c>
      <c r="AA129" t="s">
        <v>297</v>
      </c>
      <c r="AB129" t="s">
        <v>297</v>
      </c>
      <c r="AC129" t="s">
        <v>297</v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 t="s">
        <v>297</v>
      </c>
      <c r="W130" t="s">
        <v>297</v>
      </c>
      <c r="X130" t="s">
        <v>297</v>
      </c>
      <c r="Y130" t="s">
        <v>297</v>
      </c>
      <c r="Z130" t="s">
        <v>297</v>
      </c>
      <c r="AA130" t="s">
        <v>297</v>
      </c>
      <c r="AB130" t="s">
        <v>297</v>
      </c>
      <c r="AC130" t="s">
        <v>297</v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 t="s">
        <v>297</v>
      </c>
      <c r="W131" t="s">
        <v>297</v>
      </c>
      <c r="X131" t="s">
        <v>297</v>
      </c>
      <c r="Y131" t="s">
        <v>297</v>
      </c>
      <c r="Z131" t="s">
        <v>297</v>
      </c>
      <c r="AA131" t="s">
        <v>297</v>
      </c>
      <c r="AB131" t="s">
        <v>297</v>
      </c>
      <c r="AC131" t="s">
        <v>297</v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 t="s">
        <v>297</v>
      </c>
      <c r="W132" t="s">
        <v>297</v>
      </c>
      <c r="X132" t="s">
        <v>297</v>
      </c>
      <c r="Y132" t="s">
        <v>297</v>
      </c>
      <c r="Z132" t="s">
        <v>297</v>
      </c>
      <c r="AA132" t="s">
        <v>297</v>
      </c>
      <c r="AB132" t="s">
        <v>297</v>
      </c>
      <c r="AC132" t="s">
        <v>297</v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 t="s">
        <v>297</v>
      </c>
      <c r="W133" t="s">
        <v>297</v>
      </c>
      <c r="X133" t="s">
        <v>297</v>
      </c>
      <c r="Y133" t="s">
        <v>297</v>
      </c>
      <c r="Z133" t="s">
        <v>297</v>
      </c>
      <c r="AA133" t="s">
        <v>297</v>
      </c>
      <c r="AB133" t="s">
        <v>297</v>
      </c>
      <c r="AC133" t="s">
        <v>297</v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 t="s">
        <v>297</v>
      </c>
      <c r="W134" t="s">
        <v>297</v>
      </c>
      <c r="X134" t="s">
        <v>297</v>
      </c>
      <c r="Y134" t="s">
        <v>297</v>
      </c>
      <c r="Z134" t="s">
        <v>297</v>
      </c>
      <c r="AA134" t="s">
        <v>297</v>
      </c>
      <c r="AB134" t="s">
        <v>297</v>
      </c>
      <c r="AC134" t="s">
        <v>297</v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 t="s">
        <v>297</v>
      </c>
      <c r="W135" t="s">
        <v>297</v>
      </c>
      <c r="X135" t="s">
        <v>297</v>
      </c>
      <c r="Y135" t="s">
        <v>297</v>
      </c>
      <c r="Z135" t="s">
        <v>297</v>
      </c>
      <c r="AA135" t="s">
        <v>297</v>
      </c>
      <c r="AB135" t="s">
        <v>297</v>
      </c>
      <c r="AC135" t="s">
        <v>297</v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 t="s">
        <v>297</v>
      </c>
      <c r="W136" t="s">
        <v>297</v>
      </c>
      <c r="X136" t="s">
        <v>297</v>
      </c>
      <c r="Y136" t="s">
        <v>297</v>
      </c>
      <c r="Z136" t="s">
        <v>297</v>
      </c>
      <c r="AA136" t="s">
        <v>297</v>
      </c>
      <c r="AB136" t="s">
        <v>297</v>
      </c>
      <c r="AC136" t="s">
        <v>297</v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 t="s">
        <v>297</v>
      </c>
      <c r="W137" t="s">
        <v>297</v>
      </c>
      <c r="X137" t="s">
        <v>297</v>
      </c>
      <c r="Y137" t="s">
        <v>297</v>
      </c>
      <c r="Z137" t="s">
        <v>297</v>
      </c>
      <c r="AA137" t="s">
        <v>297</v>
      </c>
      <c r="AB137" t="s">
        <v>297</v>
      </c>
      <c r="AC137" t="s">
        <v>297</v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 t="s">
        <v>297</v>
      </c>
      <c r="W138" t="s">
        <v>297</v>
      </c>
      <c r="X138" t="s">
        <v>297</v>
      </c>
      <c r="Y138" t="s">
        <v>297</v>
      </c>
      <c r="Z138" t="s">
        <v>297</v>
      </c>
      <c r="AA138" t="s">
        <v>297</v>
      </c>
      <c r="AB138" t="s">
        <v>297</v>
      </c>
      <c r="AC138" t="s">
        <v>297</v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 t="s">
        <v>297</v>
      </c>
      <c r="W139" t="s">
        <v>297</v>
      </c>
      <c r="X139" t="s">
        <v>297</v>
      </c>
      <c r="Y139" t="s">
        <v>297</v>
      </c>
      <c r="Z139" t="s">
        <v>297</v>
      </c>
      <c r="AA139" t="s">
        <v>297</v>
      </c>
      <c r="AB139" t="s">
        <v>297</v>
      </c>
      <c r="AC139" t="s">
        <v>297</v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 t="s">
        <v>297</v>
      </c>
      <c r="W140" t="s">
        <v>297</v>
      </c>
      <c r="X140" t="s">
        <v>297</v>
      </c>
      <c r="Y140" t="s">
        <v>297</v>
      </c>
      <c r="Z140" t="s">
        <v>297</v>
      </c>
      <c r="AA140" t="s">
        <v>297</v>
      </c>
      <c r="AB140" t="s">
        <v>297</v>
      </c>
      <c r="AC140" t="s">
        <v>297</v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 t="s">
        <v>297</v>
      </c>
      <c r="W141" t="s">
        <v>297</v>
      </c>
      <c r="X141" t="s">
        <v>297</v>
      </c>
      <c r="Y141" t="s">
        <v>297</v>
      </c>
      <c r="Z141" t="s">
        <v>297</v>
      </c>
      <c r="AA141" t="s">
        <v>297</v>
      </c>
      <c r="AB141" t="s">
        <v>297</v>
      </c>
      <c r="AC141" t="s">
        <v>297</v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 t="s">
        <v>297</v>
      </c>
      <c r="W142" t="s">
        <v>297</v>
      </c>
      <c r="X142" t="s">
        <v>297</v>
      </c>
      <c r="Y142" t="s">
        <v>297</v>
      </c>
      <c r="Z142" t="s">
        <v>297</v>
      </c>
      <c r="AA142" t="s">
        <v>297</v>
      </c>
      <c r="AB142" t="s">
        <v>297</v>
      </c>
      <c r="AC142" t="s">
        <v>297</v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 t="s">
        <v>297</v>
      </c>
      <c r="W143" t="s">
        <v>297</v>
      </c>
      <c r="X143" t="s">
        <v>297</v>
      </c>
      <c r="Y143" t="s">
        <v>297</v>
      </c>
      <c r="Z143" t="s">
        <v>297</v>
      </c>
      <c r="AA143" t="s">
        <v>297</v>
      </c>
      <c r="AB143" t="s">
        <v>297</v>
      </c>
      <c r="AC143" t="s">
        <v>297</v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 t="s">
        <v>297</v>
      </c>
      <c r="W144" t="s">
        <v>297</v>
      </c>
      <c r="X144" t="s">
        <v>297</v>
      </c>
      <c r="Y144" t="s">
        <v>297</v>
      </c>
      <c r="Z144" t="s">
        <v>297</v>
      </c>
      <c r="AA144" t="s">
        <v>297</v>
      </c>
      <c r="AB144" t="s">
        <v>297</v>
      </c>
      <c r="AC144" t="s">
        <v>297</v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 t="s">
        <v>297</v>
      </c>
      <c r="W145" t="s">
        <v>297</v>
      </c>
      <c r="X145" t="s">
        <v>297</v>
      </c>
      <c r="Y145" t="s">
        <v>297</v>
      </c>
      <c r="Z145" t="s">
        <v>297</v>
      </c>
      <c r="AA145" t="s">
        <v>297</v>
      </c>
      <c r="AB145" t="s">
        <v>297</v>
      </c>
      <c r="AC145" t="s">
        <v>297</v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 t="s">
        <v>297</v>
      </c>
      <c r="W146" t="s">
        <v>297</v>
      </c>
      <c r="X146" t="s">
        <v>297</v>
      </c>
      <c r="Y146" t="s">
        <v>297</v>
      </c>
      <c r="Z146" t="s">
        <v>297</v>
      </c>
      <c r="AA146" t="s">
        <v>297</v>
      </c>
      <c r="AB146" t="s">
        <v>297</v>
      </c>
      <c r="AC146" t="s">
        <v>297</v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 t="s">
        <v>297</v>
      </c>
      <c r="W147" t="s">
        <v>297</v>
      </c>
      <c r="X147" t="s">
        <v>297</v>
      </c>
      <c r="Y147" t="s">
        <v>297</v>
      </c>
      <c r="Z147" t="s">
        <v>297</v>
      </c>
      <c r="AA147" t="s">
        <v>297</v>
      </c>
      <c r="AB147" t="s">
        <v>297</v>
      </c>
      <c r="AC147" t="s">
        <v>297</v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 t="s">
        <v>297</v>
      </c>
      <c r="W148" t="s">
        <v>297</v>
      </c>
      <c r="X148" t="s">
        <v>297</v>
      </c>
      <c r="Y148" t="s">
        <v>297</v>
      </c>
      <c r="Z148" t="s">
        <v>297</v>
      </c>
      <c r="AA148" t="s">
        <v>297</v>
      </c>
      <c r="AB148" t="s">
        <v>297</v>
      </c>
      <c r="AC148" t="s">
        <v>297</v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 t="s">
        <v>297</v>
      </c>
      <c r="W149" t="s">
        <v>297</v>
      </c>
      <c r="X149" t="s">
        <v>297</v>
      </c>
      <c r="Y149" t="s">
        <v>297</v>
      </c>
      <c r="Z149" t="s">
        <v>297</v>
      </c>
      <c r="AA149" t="s">
        <v>297</v>
      </c>
      <c r="AB149" t="s">
        <v>297</v>
      </c>
      <c r="AC149" t="s">
        <v>297</v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 t="s">
        <v>297</v>
      </c>
      <c r="W150" t="s">
        <v>297</v>
      </c>
      <c r="X150" t="s">
        <v>297</v>
      </c>
      <c r="Y150" t="s">
        <v>297</v>
      </c>
      <c r="Z150" t="s">
        <v>297</v>
      </c>
      <c r="AA150" t="s">
        <v>297</v>
      </c>
      <c r="AB150" t="s">
        <v>297</v>
      </c>
      <c r="AC150" t="s">
        <v>297</v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 t="s">
        <v>297</v>
      </c>
      <c r="W151" t="s">
        <v>297</v>
      </c>
      <c r="X151" t="s">
        <v>297</v>
      </c>
      <c r="Y151" t="s">
        <v>297</v>
      </c>
      <c r="Z151" t="s">
        <v>297</v>
      </c>
      <c r="AA151" t="s">
        <v>297</v>
      </c>
      <c r="AB151" t="s">
        <v>297</v>
      </c>
      <c r="AC151" t="s">
        <v>297</v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 t="s">
        <v>297</v>
      </c>
      <c r="W152" t="s">
        <v>297</v>
      </c>
      <c r="X152" t="s">
        <v>297</v>
      </c>
      <c r="Y152" t="s">
        <v>297</v>
      </c>
      <c r="Z152" t="s">
        <v>297</v>
      </c>
      <c r="AA152" t="s">
        <v>297</v>
      </c>
      <c r="AB152" t="s">
        <v>297</v>
      </c>
      <c r="AC152" t="s">
        <v>297</v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 t="s">
        <v>297</v>
      </c>
      <c r="W153" t="s">
        <v>297</v>
      </c>
      <c r="X153" t="s">
        <v>297</v>
      </c>
      <c r="Y153" t="s">
        <v>297</v>
      </c>
      <c r="Z153" t="s">
        <v>297</v>
      </c>
      <c r="AA153" t="s">
        <v>297</v>
      </c>
      <c r="AB153" t="s">
        <v>297</v>
      </c>
      <c r="AC153" t="s">
        <v>297</v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 t="s">
        <v>297</v>
      </c>
      <c r="W154" t="s">
        <v>297</v>
      </c>
      <c r="X154" t="s">
        <v>297</v>
      </c>
      <c r="Y154" t="s">
        <v>297</v>
      </c>
      <c r="Z154" t="s">
        <v>297</v>
      </c>
      <c r="AA154" t="s">
        <v>297</v>
      </c>
      <c r="AB154" t="s">
        <v>297</v>
      </c>
      <c r="AC154" t="s">
        <v>297</v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 t="s">
        <v>297</v>
      </c>
      <c r="W155" t="s">
        <v>297</v>
      </c>
      <c r="X155" t="s">
        <v>297</v>
      </c>
      <c r="Y155" t="s">
        <v>297</v>
      </c>
      <c r="Z155" t="s">
        <v>297</v>
      </c>
      <c r="AA155" t="s">
        <v>297</v>
      </c>
      <c r="AB155" t="s">
        <v>297</v>
      </c>
      <c r="AC155" t="s">
        <v>297</v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 t="s">
        <v>297</v>
      </c>
      <c r="W156" t="s">
        <v>297</v>
      </c>
      <c r="X156" t="s">
        <v>297</v>
      </c>
      <c r="Y156" t="s">
        <v>297</v>
      </c>
      <c r="Z156" t="s">
        <v>297</v>
      </c>
      <c r="AA156" t="s">
        <v>297</v>
      </c>
      <c r="AB156" t="s">
        <v>297</v>
      </c>
      <c r="AC156" t="s">
        <v>297</v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 t="s">
        <v>297</v>
      </c>
      <c r="W157" t="s">
        <v>297</v>
      </c>
      <c r="X157" t="s">
        <v>297</v>
      </c>
      <c r="Y157" t="s">
        <v>297</v>
      </c>
      <c r="Z157" t="s">
        <v>297</v>
      </c>
      <c r="AA157" t="s">
        <v>297</v>
      </c>
      <c r="AB157" t="s">
        <v>297</v>
      </c>
      <c r="AC157" t="s">
        <v>297</v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 t="s">
        <v>297</v>
      </c>
      <c r="W158" t="s">
        <v>297</v>
      </c>
      <c r="X158" t="s">
        <v>297</v>
      </c>
      <c r="Y158" t="s">
        <v>297</v>
      </c>
      <c r="Z158" t="s">
        <v>297</v>
      </c>
      <c r="AA158" t="s">
        <v>297</v>
      </c>
      <c r="AB158" t="s">
        <v>297</v>
      </c>
      <c r="AC158" t="s">
        <v>297</v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 t="s">
        <v>297</v>
      </c>
      <c r="W159" t="s">
        <v>297</v>
      </c>
      <c r="X159" t="s">
        <v>297</v>
      </c>
      <c r="Y159" t="s">
        <v>297</v>
      </c>
      <c r="Z159" t="s">
        <v>297</v>
      </c>
      <c r="AA159" t="s">
        <v>297</v>
      </c>
      <c r="AB159" t="s">
        <v>297</v>
      </c>
      <c r="AC159" t="s">
        <v>297</v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 t="s">
        <v>297</v>
      </c>
      <c r="W160" t="s">
        <v>297</v>
      </c>
      <c r="X160" t="s">
        <v>297</v>
      </c>
      <c r="Y160" t="s">
        <v>297</v>
      </c>
      <c r="Z160" t="s">
        <v>297</v>
      </c>
      <c r="AA160" t="s">
        <v>297</v>
      </c>
      <c r="AB160" t="s">
        <v>297</v>
      </c>
      <c r="AC160" t="s">
        <v>297</v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 t="s">
        <v>297</v>
      </c>
      <c r="W161" t="s">
        <v>297</v>
      </c>
      <c r="X161" t="s">
        <v>297</v>
      </c>
      <c r="Y161" t="s">
        <v>297</v>
      </c>
      <c r="Z161" t="s">
        <v>297</v>
      </c>
      <c r="AA161" t="s">
        <v>297</v>
      </c>
      <c r="AB161" t="s">
        <v>297</v>
      </c>
      <c r="AC161" t="s">
        <v>297</v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 t="s">
        <v>297</v>
      </c>
      <c r="W162" t="s">
        <v>297</v>
      </c>
      <c r="X162" t="s">
        <v>297</v>
      </c>
      <c r="Y162" t="s">
        <v>297</v>
      </c>
      <c r="Z162" t="s">
        <v>297</v>
      </c>
      <c r="AA162" t="s">
        <v>297</v>
      </c>
      <c r="AB162" t="s">
        <v>297</v>
      </c>
      <c r="AC162" t="s">
        <v>297</v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 t="s">
        <v>297</v>
      </c>
      <c r="W163" t="s">
        <v>297</v>
      </c>
      <c r="X163" t="s">
        <v>297</v>
      </c>
      <c r="Y163" t="s">
        <v>297</v>
      </c>
      <c r="Z163" t="s">
        <v>297</v>
      </c>
      <c r="AA163" t="s">
        <v>297</v>
      </c>
      <c r="AB163" t="s">
        <v>297</v>
      </c>
      <c r="AC163" t="s">
        <v>297</v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 t="s">
        <v>297</v>
      </c>
      <c r="W164" t="s">
        <v>297</v>
      </c>
      <c r="X164" t="s">
        <v>297</v>
      </c>
      <c r="Y164" t="s">
        <v>297</v>
      </c>
      <c r="Z164" t="s">
        <v>297</v>
      </c>
      <c r="AA164" t="s">
        <v>297</v>
      </c>
      <c r="AB164" t="s">
        <v>297</v>
      </c>
      <c r="AC164" t="s">
        <v>297</v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 t="s">
        <v>297</v>
      </c>
      <c r="W165" t="s">
        <v>297</v>
      </c>
      <c r="X165" t="s">
        <v>297</v>
      </c>
      <c r="Y165" t="s">
        <v>297</v>
      </c>
      <c r="Z165" t="s">
        <v>297</v>
      </c>
      <c r="AA165" t="s">
        <v>297</v>
      </c>
      <c r="AB165" t="s">
        <v>297</v>
      </c>
      <c r="AC165" t="s">
        <v>297</v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 t="s">
        <v>297</v>
      </c>
      <c r="W166" t="s">
        <v>297</v>
      </c>
      <c r="X166" t="s">
        <v>297</v>
      </c>
      <c r="Y166" t="s">
        <v>297</v>
      </c>
      <c r="Z166" t="s">
        <v>297</v>
      </c>
      <c r="AA166" t="s">
        <v>297</v>
      </c>
      <c r="AB166" t="s">
        <v>297</v>
      </c>
      <c r="AC166" t="s">
        <v>297</v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 t="s">
        <v>297</v>
      </c>
      <c r="W167" t="s">
        <v>297</v>
      </c>
      <c r="X167" t="s">
        <v>297</v>
      </c>
      <c r="Y167" t="s">
        <v>297</v>
      </c>
      <c r="Z167" t="s">
        <v>297</v>
      </c>
      <c r="AA167" t="s">
        <v>297</v>
      </c>
      <c r="AB167" t="s">
        <v>297</v>
      </c>
      <c r="AC167" t="s">
        <v>297</v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 t="s">
        <v>297</v>
      </c>
      <c r="W168" t="s">
        <v>297</v>
      </c>
      <c r="X168" t="s">
        <v>297</v>
      </c>
      <c r="Y168" t="s">
        <v>297</v>
      </c>
      <c r="Z168" t="s">
        <v>297</v>
      </c>
      <c r="AA168" t="s">
        <v>297</v>
      </c>
      <c r="AB168" t="s">
        <v>297</v>
      </c>
      <c r="AC168" t="s">
        <v>297</v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 t="s">
        <v>297</v>
      </c>
      <c r="W169" t="s">
        <v>297</v>
      </c>
      <c r="X169" t="s">
        <v>297</v>
      </c>
      <c r="Y169" t="s">
        <v>297</v>
      </c>
      <c r="Z169" t="s">
        <v>297</v>
      </c>
      <c r="AA169" t="s">
        <v>297</v>
      </c>
      <c r="AB169" t="s">
        <v>297</v>
      </c>
      <c r="AC169" t="s">
        <v>297</v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 t="s">
        <v>297</v>
      </c>
      <c r="W170" t="s">
        <v>297</v>
      </c>
      <c r="X170" t="s">
        <v>297</v>
      </c>
      <c r="Y170" t="s">
        <v>297</v>
      </c>
      <c r="Z170" t="s">
        <v>297</v>
      </c>
      <c r="AA170" t="s">
        <v>297</v>
      </c>
      <c r="AB170" t="s">
        <v>297</v>
      </c>
      <c r="AC170" t="s">
        <v>297</v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 t="s">
        <v>297</v>
      </c>
      <c r="W171" t="s">
        <v>297</v>
      </c>
      <c r="X171" t="s">
        <v>297</v>
      </c>
      <c r="Y171" t="s">
        <v>297</v>
      </c>
      <c r="Z171" t="s">
        <v>297</v>
      </c>
      <c r="AA171" t="s">
        <v>297</v>
      </c>
      <c r="AB171" t="s">
        <v>297</v>
      </c>
      <c r="AC171" t="s">
        <v>297</v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 t="s">
        <v>297</v>
      </c>
      <c r="W172" t="s">
        <v>297</v>
      </c>
      <c r="X172" t="s">
        <v>297</v>
      </c>
      <c r="Y172" t="s">
        <v>297</v>
      </c>
      <c r="Z172" t="s">
        <v>297</v>
      </c>
      <c r="AA172" t="s">
        <v>297</v>
      </c>
      <c r="AB172" t="s">
        <v>297</v>
      </c>
      <c r="AC172" t="s">
        <v>297</v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 t="s">
        <v>297</v>
      </c>
      <c r="W173" t="s">
        <v>297</v>
      </c>
      <c r="X173" t="s">
        <v>297</v>
      </c>
      <c r="Y173" t="s">
        <v>297</v>
      </c>
      <c r="Z173" t="s">
        <v>297</v>
      </c>
      <c r="AA173" t="s">
        <v>297</v>
      </c>
      <c r="AB173" t="s">
        <v>297</v>
      </c>
      <c r="AC173" t="s">
        <v>297</v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 t="s">
        <v>297</v>
      </c>
      <c r="W174" t="s">
        <v>297</v>
      </c>
      <c r="X174" t="s">
        <v>297</v>
      </c>
      <c r="Y174" t="s">
        <v>297</v>
      </c>
      <c r="Z174" t="s">
        <v>297</v>
      </c>
      <c r="AA174" t="s">
        <v>297</v>
      </c>
      <c r="AB174" t="s">
        <v>297</v>
      </c>
      <c r="AC174" t="s">
        <v>297</v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 t="s">
        <v>297</v>
      </c>
      <c r="W175" t="s">
        <v>297</v>
      </c>
      <c r="X175" t="s">
        <v>297</v>
      </c>
      <c r="Y175" t="s">
        <v>297</v>
      </c>
      <c r="Z175" t="s">
        <v>297</v>
      </c>
      <c r="AA175" t="s">
        <v>297</v>
      </c>
      <c r="AB175" t="s">
        <v>297</v>
      </c>
      <c r="AC175" t="s">
        <v>297</v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 t="s">
        <v>297</v>
      </c>
      <c r="H3" t="s">
        <v>297</v>
      </c>
      <c r="I3" t="s">
        <v>297</v>
      </c>
      <c r="J3" t="s">
        <v>297</v>
      </c>
      <c r="K3" t="s">
        <v>297</v>
      </c>
      <c r="L3" t="s">
        <v>297</v>
      </c>
      <c r="M3" t="s">
        <v>297</v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 t="s">
        <v>297</v>
      </c>
      <c r="H4" t="s">
        <v>297</v>
      </c>
      <c r="I4" t="s">
        <v>297</v>
      </c>
      <c r="J4" t="s">
        <v>297</v>
      </c>
      <c r="K4" t="s">
        <v>297</v>
      </c>
      <c r="L4" t="s">
        <v>297</v>
      </c>
      <c r="M4" t="s">
        <v>297</v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 t="s">
        <v>297</v>
      </c>
      <c r="H5" t="s">
        <v>297</v>
      </c>
      <c r="I5" t="s">
        <v>297</v>
      </c>
      <c r="J5" t="s">
        <v>297</v>
      </c>
      <c r="K5" t="s">
        <v>297</v>
      </c>
      <c r="L5" t="s">
        <v>297</v>
      </c>
      <c r="M5" t="s">
        <v>297</v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 t="s">
        <v>297</v>
      </c>
      <c r="H6" t="s">
        <v>297</v>
      </c>
      <c r="I6" t="s">
        <v>297</v>
      </c>
      <c r="J6" t="s">
        <v>297</v>
      </c>
      <c r="K6" t="s">
        <v>297</v>
      </c>
      <c r="L6" t="s">
        <v>297</v>
      </c>
      <c r="M6" t="s">
        <v>297</v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 t="s">
        <v>297</v>
      </c>
      <c r="H7" t="s">
        <v>297</v>
      </c>
      <c r="I7" t="s">
        <v>297</v>
      </c>
      <c r="J7" t="s">
        <v>297</v>
      </c>
      <c r="K7" t="s">
        <v>297</v>
      </c>
      <c r="L7" t="s">
        <v>297</v>
      </c>
      <c r="M7" t="s">
        <v>297</v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 t="s">
        <v>297</v>
      </c>
      <c r="H8" t="s">
        <v>297</v>
      </c>
      <c r="I8" t="s">
        <v>297</v>
      </c>
      <c r="J8" t="s">
        <v>297</v>
      </c>
      <c r="K8" t="s">
        <v>297</v>
      </c>
      <c r="L8" t="s">
        <v>297</v>
      </c>
      <c r="M8" t="s">
        <v>297</v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 t="s">
        <v>297</v>
      </c>
      <c r="H9" t="s">
        <v>297</v>
      </c>
      <c r="I9" t="s">
        <v>297</v>
      </c>
      <c r="J9" t="s">
        <v>297</v>
      </c>
      <c r="K9" t="s">
        <v>297</v>
      </c>
      <c r="L9" t="s">
        <v>297</v>
      </c>
      <c r="M9" t="s">
        <v>297</v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 t="s">
        <v>297</v>
      </c>
      <c r="H10" t="s">
        <v>297</v>
      </c>
      <c r="I10" t="s">
        <v>297</v>
      </c>
      <c r="J10" t="s">
        <v>297</v>
      </c>
      <c r="K10" t="s">
        <v>297</v>
      </c>
      <c r="L10" t="s">
        <v>297</v>
      </c>
      <c r="M10" t="s">
        <v>297</v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 t="s">
        <v>297</v>
      </c>
      <c r="H11" t="s">
        <v>297</v>
      </c>
      <c r="I11" t="s">
        <v>297</v>
      </c>
      <c r="J11" t="s">
        <v>297</v>
      </c>
      <c r="K11" t="s">
        <v>297</v>
      </c>
      <c r="L11" t="s">
        <v>297</v>
      </c>
      <c r="M11" t="s">
        <v>297</v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 t="s">
        <v>297</v>
      </c>
      <c r="H12" t="s">
        <v>297</v>
      </c>
      <c r="I12" t="s">
        <v>297</v>
      </c>
      <c r="J12" t="s">
        <v>297</v>
      </c>
      <c r="K12" t="s">
        <v>297</v>
      </c>
      <c r="L12" t="s">
        <v>297</v>
      </c>
      <c r="M12" t="s">
        <v>297</v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 t="s">
        <v>297</v>
      </c>
      <c r="H13" t="s">
        <v>297</v>
      </c>
      <c r="I13" t="s">
        <v>297</v>
      </c>
      <c r="J13" t="s">
        <v>297</v>
      </c>
      <c r="K13" t="s">
        <v>297</v>
      </c>
      <c r="L13" t="s">
        <v>297</v>
      </c>
      <c r="M13" t="s">
        <v>297</v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 t="s">
        <v>297</v>
      </c>
      <c r="H14" t="s">
        <v>297</v>
      </c>
      <c r="I14" t="s">
        <v>297</v>
      </c>
      <c r="J14" t="s">
        <v>297</v>
      </c>
      <c r="K14" t="s">
        <v>297</v>
      </c>
      <c r="L14" t="s">
        <v>297</v>
      </c>
      <c r="M14" t="s">
        <v>297</v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 t="s">
        <v>297</v>
      </c>
      <c r="H15" t="s">
        <v>297</v>
      </c>
      <c r="I15" t="s">
        <v>297</v>
      </c>
      <c r="J15" t="s">
        <v>297</v>
      </c>
      <c r="K15" t="s">
        <v>297</v>
      </c>
      <c r="L15" t="s">
        <v>297</v>
      </c>
      <c r="M15" t="s">
        <v>297</v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 t="s">
        <v>297</v>
      </c>
      <c r="H16" t="s">
        <v>297</v>
      </c>
      <c r="I16" t="s">
        <v>297</v>
      </c>
      <c r="J16" t="s">
        <v>297</v>
      </c>
      <c r="K16" t="s">
        <v>297</v>
      </c>
      <c r="L16" t="s">
        <v>297</v>
      </c>
      <c r="M16" t="s">
        <v>297</v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 t="s">
        <v>297</v>
      </c>
      <c r="H17" t="s">
        <v>297</v>
      </c>
      <c r="I17" t="s">
        <v>297</v>
      </c>
      <c r="J17" t="s">
        <v>297</v>
      </c>
      <c r="K17" t="s">
        <v>297</v>
      </c>
      <c r="L17" t="s">
        <v>297</v>
      </c>
      <c r="M17" t="s">
        <v>297</v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 t="s">
        <v>297</v>
      </c>
      <c r="H18" t="s">
        <v>297</v>
      </c>
      <c r="I18" t="s">
        <v>297</v>
      </c>
      <c r="J18" t="s">
        <v>297</v>
      </c>
      <c r="K18" t="s">
        <v>297</v>
      </c>
      <c r="L18" t="s">
        <v>297</v>
      </c>
      <c r="M18" t="s">
        <v>297</v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 t="s">
        <v>297</v>
      </c>
      <c r="H19" t="s">
        <v>297</v>
      </c>
      <c r="I19" t="s">
        <v>297</v>
      </c>
      <c r="J19" t="s">
        <v>297</v>
      </c>
      <c r="K19" t="s">
        <v>297</v>
      </c>
      <c r="L19" t="s">
        <v>297</v>
      </c>
      <c r="M19" t="s">
        <v>297</v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 t="s">
        <v>297</v>
      </c>
      <c r="H20" t="s">
        <v>297</v>
      </c>
      <c r="I20" t="s">
        <v>297</v>
      </c>
      <c r="J20" t="s">
        <v>297</v>
      </c>
      <c r="K20" t="s">
        <v>297</v>
      </c>
      <c r="L20" t="s">
        <v>297</v>
      </c>
      <c r="M20" t="s">
        <v>297</v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 t="s">
        <v>297</v>
      </c>
      <c r="H21" t="s">
        <v>297</v>
      </c>
      <c r="I21" t="s">
        <v>297</v>
      </c>
      <c r="J21" t="s">
        <v>297</v>
      </c>
      <c r="K21" t="s">
        <v>297</v>
      </c>
      <c r="L21" t="s">
        <v>297</v>
      </c>
      <c r="M21" t="s">
        <v>297</v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 t="s">
        <v>297</v>
      </c>
      <c r="H22" t="s">
        <v>297</v>
      </c>
      <c r="I22" t="s">
        <v>297</v>
      </c>
      <c r="J22" t="s">
        <v>297</v>
      </c>
      <c r="K22" t="s">
        <v>297</v>
      </c>
      <c r="L22" t="s">
        <v>297</v>
      </c>
      <c r="M22" t="s">
        <v>297</v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 t="s">
        <v>297</v>
      </c>
      <c r="H23" t="s">
        <v>297</v>
      </c>
      <c r="I23" t="s">
        <v>297</v>
      </c>
      <c r="J23" t="s">
        <v>297</v>
      </c>
      <c r="K23" t="s">
        <v>297</v>
      </c>
      <c r="L23" t="s">
        <v>297</v>
      </c>
      <c r="M23" t="s">
        <v>297</v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 t="s">
        <v>297</v>
      </c>
      <c r="H24" t="s">
        <v>297</v>
      </c>
      <c r="I24" t="s">
        <v>297</v>
      </c>
      <c r="J24" t="s">
        <v>297</v>
      </c>
      <c r="K24" t="s">
        <v>297</v>
      </c>
      <c r="L24" t="s">
        <v>297</v>
      </c>
      <c r="M24" t="s">
        <v>297</v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 t="s">
        <v>297</v>
      </c>
      <c r="H25" t="s">
        <v>297</v>
      </c>
      <c r="I25" t="s">
        <v>297</v>
      </c>
      <c r="J25" t="s">
        <v>297</v>
      </c>
      <c r="K25" t="s">
        <v>297</v>
      </c>
      <c r="L25" t="s">
        <v>297</v>
      </c>
      <c r="M25" t="s">
        <v>297</v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 t="s">
        <v>297</v>
      </c>
      <c r="H26" t="s">
        <v>297</v>
      </c>
      <c r="I26" t="s">
        <v>297</v>
      </c>
      <c r="J26" t="s">
        <v>297</v>
      </c>
      <c r="K26" t="s">
        <v>297</v>
      </c>
      <c r="L26" t="s">
        <v>297</v>
      </c>
      <c r="M26" t="s">
        <v>297</v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 t="s">
        <v>297</v>
      </c>
      <c r="H27" t="s">
        <v>297</v>
      </c>
      <c r="I27" t="s">
        <v>297</v>
      </c>
      <c r="J27" t="s">
        <v>297</v>
      </c>
      <c r="K27" t="s">
        <v>297</v>
      </c>
      <c r="L27" t="s">
        <v>297</v>
      </c>
      <c r="M27" t="s">
        <v>297</v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 t="s">
        <v>297</v>
      </c>
      <c r="H28" t="s">
        <v>297</v>
      </c>
      <c r="I28" t="s">
        <v>297</v>
      </c>
      <c r="J28" t="s">
        <v>297</v>
      </c>
      <c r="K28" t="s">
        <v>297</v>
      </c>
      <c r="L28" t="s">
        <v>297</v>
      </c>
      <c r="M28" t="s">
        <v>297</v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 t="s">
        <v>297</v>
      </c>
      <c r="H29" t="s">
        <v>297</v>
      </c>
      <c r="I29" t="s">
        <v>297</v>
      </c>
      <c r="J29" t="s">
        <v>297</v>
      </c>
      <c r="K29" t="s">
        <v>297</v>
      </c>
      <c r="L29" t="s">
        <v>297</v>
      </c>
      <c r="M29" t="s">
        <v>297</v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 t="s">
        <v>297</v>
      </c>
      <c r="H30" t="s">
        <v>297</v>
      </c>
      <c r="I30" t="s">
        <v>297</v>
      </c>
      <c r="J30" t="s">
        <v>297</v>
      </c>
      <c r="K30" t="s">
        <v>297</v>
      </c>
      <c r="L30" t="s">
        <v>297</v>
      </c>
      <c r="M30" t="s">
        <v>297</v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 t="s">
        <v>297</v>
      </c>
      <c r="H31" t="s">
        <v>297</v>
      </c>
      <c r="I31" t="s">
        <v>297</v>
      </c>
      <c r="J31" t="s">
        <v>297</v>
      </c>
      <c r="K31" t="s">
        <v>297</v>
      </c>
      <c r="L31" t="s">
        <v>297</v>
      </c>
      <c r="M31" t="s">
        <v>297</v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 t="s">
        <v>297</v>
      </c>
      <c r="H32" t="s">
        <v>297</v>
      </c>
      <c r="I32" t="s">
        <v>297</v>
      </c>
      <c r="J32" t="s">
        <v>297</v>
      </c>
      <c r="K32" t="s">
        <v>297</v>
      </c>
      <c r="L32" t="s">
        <v>297</v>
      </c>
      <c r="M32" t="s">
        <v>297</v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 t="s">
        <v>297</v>
      </c>
      <c r="H33" t="s">
        <v>297</v>
      </c>
      <c r="I33" t="s">
        <v>297</v>
      </c>
      <c r="J33" t="s">
        <v>297</v>
      </c>
      <c r="K33" t="s">
        <v>297</v>
      </c>
      <c r="L33" t="s">
        <v>297</v>
      </c>
      <c r="M33" t="s">
        <v>297</v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 t="s">
        <v>297</v>
      </c>
      <c r="H34" t="s">
        <v>297</v>
      </c>
      <c r="I34" t="s">
        <v>297</v>
      </c>
      <c r="J34" t="s">
        <v>297</v>
      </c>
      <c r="K34" t="s">
        <v>297</v>
      </c>
      <c r="L34" t="s">
        <v>297</v>
      </c>
      <c r="M34" t="s">
        <v>297</v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 t="s">
        <v>297</v>
      </c>
      <c r="H35" t="s">
        <v>297</v>
      </c>
      <c r="I35" t="s">
        <v>297</v>
      </c>
      <c r="J35" t="s">
        <v>297</v>
      </c>
      <c r="K35" t="s">
        <v>297</v>
      </c>
      <c r="L35" t="s">
        <v>297</v>
      </c>
      <c r="M35" t="s">
        <v>297</v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 t="s">
        <v>297</v>
      </c>
      <c r="H36" t="s">
        <v>297</v>
      </c>
      <c r="I36" t="s">
        <v>297</v>
      </c>
      <c r="J36" t="s">
        <v>297</v>
      </c>
      <c r="K36" t="s">
        <v>297</v>
      </c>
      <c r="L36" t="s">
        <v>297</v>
      </c>
      <c r="M36" t="s">
        <v>297</v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 t="s">
        <v>297</v>
      </c>
      <c r="H37" t="s">
        <v>297</v>
      </c>
      <c r="I37" t="s">
        <v>297</v>
      </c>
      <c r="J37" t="s">
        <v>297</v>
      </c>
      <c r="K37" t="s">
        <v>297</v>
      </c>
      <c r="L37" t="s">
        <v>297</v>
      </c>
      <c r="M37" t="s">
        <v>297</v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 t="s">
        <v>297</v>
      </c>
      <c r="H38" t="s">
        <v>297</v>
      </c>
      <c r="I38" t="s">
        <v>297</v>
      </c>
      <c r="J38" t="s">
        <v>297</v>
      </c>
      <c r="K38" t="s">
        <v>297</v>
      </c>
      <c r="L38" t="s">
        <v>297</v>
      </c>
      <c r="M38" t="s">
        <v>297</v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 t="s">
        <v>297</v>
      </c>
      <c r="H39" t="s">
        <v>297</v>
      </c>
      <c r="I39" t="s">
        <v>297</v>
      </c>
      <c r="J39" t="s">
        <v>297</v>
      </c>
      <c r="K39" t="s">
        <v>297</v>
      </c>
      <c r="L39" t="s">
        <v>297</v>
      </c>
      <c r="M39" t="s">
        <v>297</v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 t="s">
        <v>297</v>
      </c>
      <c r="H40" t="s">
        <v>297</v>
      </c>
      <c r="I40" t="s">
        <v>297</v>
      </c>
      <c r="J40" t="s">
        <v>297</v>
      </c>
      <c r="K40" t="s">
        <v>297</v>
      </c>
      <c r="L40" t="s">
        <v>297</v>
      </c>
      <c r="M40" t="s">
        <v>297</v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 t="s">
        <v>297</v>
      </c>
      <c r="H41" t="s">
        <v>297</v>
      </c>
      <c r="I41" t="s">
        <v>297</v>
      </c>
      <c r="J41" t="s">
        <v>297</v>
      </c>
      <c r="K41" t="s">
        <v>297</v>
      </c>
      <c r="L41" t="s">
        <v>297</v>
      </c>
      <c r="M41" t="s">
        <v>297</v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 t="s">
        <v>297</v>
      </c>
      <c r="H42" t="s">
        <v>297</v>
      </c>
      <c r="I42" t="s">
        <v>297</v>
      </c>
      <c r="J42" t="s">
        <v>297</v>
      </c>
      <c r="K42" t="s">
        <v>297</v>
      </c>
      <c r="L42" t="s">
        <v>297</v>
      </c>
      <c r="M42" t="s">
        <v>297</v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 t="s">
        <v>297</v>
      </c>
      <c r="H43" t="s">
        <v>297</v>
      </c>
      <c r="I43" t="s">
        <v>297</v>
      </c>
      <c r="J43" t="s">
        <v>297</v>
      </c>
      <c r="K43" t="s">
        <v>297</v>
      </c>
      <c r="L43" t="s">
        <v>297</v>
      </c>
      <c r="M43" t="s">
        <v>297</v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 t="s">
        <v>297</v>
      </c>
      <c r="H44" t="s">
        <v>297</v>
      </c>
      <c r="I44" t="s">
        <v>297</v>
      </c>
      <c r="J44" t="s">
        <v>297</v>
      </c>
      <c r="K44" t="s">
        <v>297</v>
      </c>
      <c r="L44" t="s">
        <v>297</v>
      </c>
      <c r="M44" t="s">
        <v>297</v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 t="s">
        <v>297</v>
      </c>
      <c r="H45" t="s">
        <v>297</v>
      </c>
      <c r="I45" t="s">
        <v>297</v>
      </c>
      <c r="J45" t="s">
        <v>297</v>
      </c>
      <c r="K45" t="s">
        <v>297</v>
      </c>
      <c r="L45" t="s">
        <v>297</v>
      </c>
      <c r="M45" t="s">
        <v>297</v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 t="s">
        <v>297</v>
      </c>
      <c r="H46" t="s">
        <v>297</v>
      </c>
      <c r="I46" t="s">
        <v>297</v>
      </c>
      <c r="J46" t="s">
        <v>297</v>
      </c>
      <c r="K46" t="s">
        <v>297</v>
      </c>
      <c r="L46" t="s">
        <v>297</v>
      </c>
      <c r="M46" t="s">
        <v>297</v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 t="s">
        <v>297</v>
      </c>
      <c r="H47" t="s">
        <v>297</v>
      </c>
      <c r="I47" t="s">
        <v>297</v>
      </c>
      <c r="J47" t="s">
        <v>297</v>
      </c>
      <c r="K47" t="s">
        <v>297</v>
      </c>
      <c r="L47" t="s">
        <v>297</v>
      </c>
      <c r="M47" t="s">
        <v>297</v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 t="s">
        <v>297</v>
      </c>
      <c r="H48" t="s">
        <v>297</v>
      </c>
      <c r="I48" t="s">
        <v>297</v>
      </c>
      <c r="J48" t="s">
        <v>297</v>
      </c>
      <c r="K48" t="s">
        <v>297</v>
      </c>
      <c r="L48" t="s">
        <v>297</v>
      </c>
      <c r="M48" t="s">
        <v>297</v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 t="s">
        <v>297</v>
      </c>
      <c r="H49" t="s">
        <v>297</v>
      </c>
      <c r="I49" t="s">
        <v>297</v>
      </c>
      <c r="J49" t="s">
        <v>297</v>
      </c>
      <c r="K49" t="s">
        <v>297</v>
      </c>
      <c r="L49" t="s">
        <v>297</v>
      </c>
      <c r="M49" t="s">
        <v>297</v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 t="s">
        <v>297</v>
      </c>
      <c r="H50" t="s">
        <v>297</v>
      </c>
      <c r="I50" t="s">
        <v>297</v>
      </c>
      <c r="J50" t="s">
        <v>297</v>
      </c>
      <c r="K50" t="s">
        <v>297</v>
      </c>
      <c r="L50" t="s">
        <v>297</v>
      </c>
      <c r="M50" t="s">
        <v>297</v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 t="s">
        <v>297</v>
      </c>
      <c r="H51" t="s">
        <v>297</v>
      </c>
      <c r="I51" t="s">
        <v>297</v>
      </c>
      <c r="J51" t="s">
        <v>297</v>
      </c>
      <c r="K51" t="s">
        <v>297</v>
      </c>
      <c r="L51" t="s">
        <v>297</v>
      </c>
      <c r="M51" t="s">
        <v>297</v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 t="s">
        <v>297</v>
      </c>
      <c r="H52" t="s">
        <v>297</v>
      </c>
      <c r="I52" t="s">
        <v>297</v>
      </c>
      <c r="J52" t="s">
        <v>297</v>
      </c>
      <c r="K52" t="s">
        <v>297</v>
      </c>
      <c r="L52" t="s">
        <v>297</v>
      </c>
      <c r="M52" t="s">
        <v>297</v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 t="s">
        <v>297</v>
      </c>
      <c r="H53" t="s">
        <v>297</v>
      </c>
      <c r="I53" t="s">
        <v>297</v>
      </c>
      <c r="J53" t="s">
        <v>297</v>
      </c>
      <c r="K53" t="s">
        <v>297</v>
      </c>
      <c r="L53" t="s">
        <v>297</v>
      </c>
      <c r="M53" t="s">
        <v>297</v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 t="s">
        <v>297</v>
      </c>
      <c r="H54" t="s">
        <v>297</v>
      </c>
      <c r="I54" t="s">
        <v>297</v>
      </c>
      <c r="J54" t="s">
        <v>297</v>
      </c>
      <c r="K54" t="s">
        <v>297</v>
      </c>
      <c r="L54" t="s">
        <v>297</v>
      </c>
      <c r="M54" t="s">
        <v>297</v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 t="s">
        <v>297</v>
      </c>
      <c r="H55" t="s">
        <v>297</v>
      </c>
      <c r="I55" t="s">
        <v>297</v>
      </c>
      <c r="J55" t="s">
        <v>297</v>
      </c>
      <c r="K55" t="s">
        <v>297</v>
      </c>
      <c r="L55" t="s">
        <v>297</v>
      </c>
      <c r="M55" t="s">
        <v>297</v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 t="s">
        <v>297</v>
      </c>
      <c r="H56" t="s">
        <v>297</v>
      </c>
      <c r="I56" t="s">
        <v>297</v>
      </c>
      <c r="J56" t="s">
        <v>297</v>
      </c>
      <c r="K56" t="s">
        <v>297</v>
      </c>
      <c r="L56" t="s">
        <v>297</v>
      </c>
      <c r="M56" t="s">
        <v>297</v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 t="s">
        <v>297</v>
      </c>
      <c r="H57" t="s">
        <v>297</v>
      </c>
      <c r="I57" t="s">
        <v>297</v>
      </c>
      <c r="J57" t="s">
        <v>297</v>
      </c>
      <c r="K57" t="s">
        <v>297</v>
      </c>
      <c r="L57" t="s">
        <v>297</v>
      </c>
      <c r="M57" t="s">
        <v>297</v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 t="s">
        <v>297</v>
      </c>
      <c r="H58" t="s">
        <v>297</v>
      </c>
      <c r="I58" t="s">
        <v>297</v>
      </c>
      <c r="J58" t="s">
        <v>297</v>
      </c>
      <c r="K58" t="s">
        <v>297</v>
      </c>
      <c r="L58" t="s">
        <v>297</v>
      </c>
      <c r="M58" t="s">
        <v>297</v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 t="s">
        <v>297</v>
      </c>
      <c r="H59" t="s">
        <v>297</v>
      </c>
      <c r="I59" t="s">
        <v>297</v>
      </c>
      <c r="J59" t="s">
        <v>297</v>
      </c>
      <c r="K59" t="s">
        <v>297</v>
      </c>
      <c r="L59" t="s">
        <v>297</v>
      </c>
      <c r="M59" t="s">
        <v>297</v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 t="s">
        <v>297</v>
      </c>
      <c r="H60" t="s">
        <v>297</v>
      </c>
      <c r="I60" t="s">
        <v>297</v>
      </c>
      <c r="J60" t="s">
        <v>297</v>
      </c>
      <c r="K60" t="s">
        <v>297</v>
      </c>
      <c r="L60" t="s">
        <v>297</v>
      </c>
      <c r="M60" t="s">
        <v>297</v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 t="s">
        <v>297</v>
      </c>
      <c r="H61" t="s">
        <v>297</v>
      </c>
      <c r="I61" t="s">
        <v>297</v>
      </c>
      <c r="J61" t="s">
        <v>297</v>
      </c>
      <c r="K61" t="s">
        <v>297</v>
      </c>
      <c r="L61" t="s">
        <v>297</v>
      </c>
      <c r="M61" t="s">
        <v>297</v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 t="s">
        <v>297</v>
      </c>
      <c r="H62" t="s">
        <v>297</v>
      </c>
      <c r="I62" t="s">
        <v>297</v>
      </c>
      <c r="J62" t="s">
        <v>297</v>
      </c>
      <c r="K62" t="s">
        <v>297</v>
      </c>
      <c r="L62" t="s">
        <v>297</v>
      </c>
      <c r="M62" t="s">
        <v>297</v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 t="s">
        <v>297</v>
      </c>
      <c r="H63" t="s">
        <v>297</v>
      </c>
      <c r="I63" t="s">
        <v>297</v>
      </c>
      <c r="J63" t="s">
        <v>297</v>
      </c>
      <c r="K63" t="s">
        <v>297</v>
      </c>
      <c r="L63" t="s">
        <v>297</v>
      </c>
      <c r="M63" t="s">
        <v>297</v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 t="s">
        <v>297</v>
      </c>
      <c r="H64" t="s">
        <v>297</v>
      </c>
      <c r="I64" t="s">
        <v>297</v>
      </c>
      <c r="J64" t="s">
        <v>297</v>
      </c>
      <c r="K64" t="s">
        <v>297</v>
      </c>
      <c r="L64" t="s">
        <v>297</v>
      </c>
      <c r="M64" t="s">
        <v>297</v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 t="s">
        <v>297</v>
      </c>
      <c r="H65" t="s">
        <v>297</v>
      </c>
      <c r="I65" t="s">
        <v>297</v>
      </c>
      <c r="J65" t="s">
        <v>297</v>
      </c>
      <c r="K65" t="s">
        <v>297</v>
      </c>
      <c r="L65" t="s">
        <v>297</v>
      </c>
      <c r="M65" t="s">
        <v>297</v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 t="s">
        <v>297</v>
      </c>
      <c r="H66" t="s">
        <v>297</v>
      </c>
      <c r="I66" t="s">
        <v>297</v>
      </c>
      <c r="J66" t="s">
        <v>297</v>
      </c>
      <c r="K66" t="s">
        <v>297</v>
      </c>
      <c r="L66" t="s">
        <v>297</v>
      </c>
      <c r="M66" t="s">
        <v>297</v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 t="s">
        <v>297</v>
      </c>
      <c r="H67" t="s">
        <v>297</v>
      </c>
      <c r="I67" t="s">
        <v>297</v>
      </c>
      <c r="J67" t="s">
        <v>297</v>
      </c>
      <c r="K67" t="s">
        <v>297</v>
      </c>
      <c r="L67" t="s">
        <v>297</v>
      </c>
      <c r="M67" t="s">
        <v>297</v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 t="s">
        <v>297</v>
      </c>
      <c r="H68" t="s">
        <v>297</v>
      </c>
      <c r="I68" t="s">
        <v>297</v>
      </c>
      <c r="J68" t="s">
        <v>297</v>
      </c>
      <c r="K68" t="s">
        <v>297</v>
      </c>
      <c r="L68" t="s">
        <v>297</v>
      </c>
      <c r="M68" t="s">
        <v>297</v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 t="s">
        <v>297</v>
      </c>
      <c r="H69" t="s">
        <v>297</v>
      </c>
      <c r="I69" t="s">
        <v>297</v>
      </c>
      <c r="J69" t="s">
        <v>297</v>
      </c>
      <c r="K69" t="s">
        <v>297</v>
      </c>
      <c r="L69" t="s">
        <v>297</v>
      </c>
      <c r="M69" t="s">
        <v>297</v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 t="s">
        <v>297</v>
      </c>
      <c r="H70" t="s">
        <v>297</v>
      </c>
      <c r="I70" t="s">
        <v>297</v>
      </c>
      <c r="J70" t="s">
        <v>297</v>
      </c>
      <c r="K70" t="s">
        <v>297</v>
      </c>
      <c r="L70" t="s">
        <v>297</v>
      </c>
      <c r="M70" t="s">
        <v>297</v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 t="s">
        <v>297</v>
      </c>
      <c r="H71" t="s">
        <v>297</v>
      </c>
      <c r="I71" t="s">
        <v>297</v>
      </c>
      <c r="J71" t="s">
        <v>297</v>
      </c>
      <c r="K71" t="s">
        <v>297</v>
      </c>
      <c r="L71" t="s">
        <v>297</v>
      </c>
      <c r="M71" t="s">
        <v>297</v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 t="s">
        <v>297</v>
      </c>
      <c r="H72" t="s">
        <v>297</v>
      </c>
      <c r="I72" t="s">
        <v>297</v>
      </c>
      <c r="J72" t="s">
        <v>297</v>
      </c>
      <c r="K72" t="s">
        <v>297</v>
      </c>
      <c r="L72" t="s">
        <v>297</v>
      </c>
      <c r="M72" t="s">
        <v>297</v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 t="s">
        <v>297</v>
      </c>
      <c r="H73" t="s">
        <v>297</v>
      </c>
      <c r="I73" t="s">
        <v>297</v>
      </c>
      <c r="J73" t="s">
        <v>297</v>
      </c>
      <c r="K73" t="s">
        <v>297</v>
      </c>
      <c r="L73" t="s">
        <v>297</v>
      </c>
      <c r="M73" t="s">
        <v>297</v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 t="s">
        <v>297</v>
      </c>
      <c r="H74" t="s">
        <v>297</v>
      </c>
      <c r="I74" t="s">
        <v>297</v>
      </c>
      <c r="J74" t="s">
        <v>297</v>
      </c>
      <c r="K74" t="s">
        <v>297</v>
      </c>
      <c r="L74" t="s">
        <v>297</v>
      </c>
      <c r="M74" t="s">
        <v>297</v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 t="s">
        <v>297</v>
      </c>
      <c r="H75" t="s">
        <v>297</v>
      </c>
      <c r="I75" t="s">
        <v>297</v>
      </c>
      <c r="J75" t="s">
        <v>297</v>
      </c>
      <c r="K75" t="s">
        <v>297</v>
      </c>
      <c r="L75" t="s">
        <v>297</v>
      </c>
      <c r="M75" t="s">
        <v>297</v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 t="s">
        <v>297</v>
      </c>
      <c r="H76" t="s">
        <v>297</v>
      </c>
      <c r="I76" t="s">
        <v>297</v>
      </c>
      <c r="J76" t="s">
        <v>297</v>
      </c>
      <c r="K76" t="s">
        <v>297</v>
      </c>
      <c r="L76" t="s">
        <v>297</v>
      </c>
      <c r="M76" t="s">
        <v>297</v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 t="s">
        <v>297</v>
      </c>
      <c r="H77" t="s">
        <v>297</v>
      </c>
      <c r="I77" t="s">
        <v>297</v>
      </c>
      <c r="J77" t="s">
        <v>297</v>
      </c>
      <c r="K77" t="s">
        <v>297</v>
      </c>
      <c r="L77" t="s">
        <v>297</v>
      </c>
      <c r="M77" t="s">
        <v>297</v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 t="s">
        <v>297</v>
      </c>
      <c r="H78" t="s">
        <v>297</v>
      </c>
      <c r="I78" t="s">
        <v>297</v>
      </c>
      <c r="J78" t="s">
        <v>297</v>
      </c>
      <c r="K78" t="s">
        <v>297</v>
      </c>
      <c r="L78" t="s">
        <v>297</v>
      </c>
      <c r="M78" t="s">
        <v>297</v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 t="s">
        <v>297</v>
      </c>
      <c r="H79" t="s">
        <v>297</v>
      </c>
      <c r="I79" t="s">
        <v>297</v>
      </c>
      <c r="J79" t="s">
        <v>297</v>
      </c>
      <c r="K79" t="s">
        <v>297</v>
      </c>
      <c r="L79" t="s">
        <v>297</v>
      </c>
      <c r="M79" t="s">
        <v>297</v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 t="s">
        <v>297</v>
      </c>
      <c r="H80" t="s">
        <v>297</v>
      </c>
      <c r="I80" t="s">
        <v>297</v>
      </c>
      <c r="J80" t="s">
        <v>297</v>
      </c>
      <c r="K80" t="s">
        <v>297</v>
      </c>
      <c r="L80" t="s">
        <v>297</v>
      </c>
      <c r="M80" t="s">
        <v>297</v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 t="s">
        <v>297</v>
      </c>
      <c r="H81" t="s">
        <v>297</v>
      </c>
      <c r="I81" t="s">
        <v>297</v>
      </c>
      <c r="J81" t="s">
        <v>297</v>
      </c>
      <c r="K81" t="s">
        <v>297</v>
      </c>
      <c r="L81" t="s">
        <v>297</v>
      </c>
      <c r="M81" t="s">
        <v>297</v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 t="s">
        <v>297</v>
      </c>
      <c r="H82" t="s">
        <v>297</v>
      </c>
      <c r="I82" t="s">
        <v>297</v>
      </c>
      <c r="J82" t="s">
        <v>297</v>
      </c>
      <c r="K82" t="s">
        <v>297</v>
      </c>
      <c r="L82" t="s">
        <v>297</v>
      </c>
      <c r="M82" t="s">
        <v>297</v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 t="s">
        <v>297</v>
      </c>
      <c r="H83" t="s">
        <v>297</v>
      </c>
      <c r="I83" t="s">
        <v>297</v>
      </c>
      <c r="J83" t="s">
        <v>297</v>
      </c>
      <c r="K83" t="s">
        <v>297</v>
      </c>
      <c r="L83" t="s">
        <v>297</v>
      </c>
      <c r="M83" t="s">
        <v>297</v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 t="s">
        <v>297</v>
      </c>
      <c r="H84" t="s">
        <v>297</v>
      </c>
      <c r="I84" t="s">
        <v>297</v>
      </c>
      <c r="J84" t="s">
        <v>297</v>
      </c>
      <c r="K84" t="s">
        <v>297</v>
      </c>
      <c r="L84" t="s">
        <v>297</v>
      </c>
      <c r="M84" t="s">
        <v>297</v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 t="s">
        <v>297</v>
      </c>
      <c r="H85" t="s">
        <v>297</v>
      </c>
      <c r="I85" t="s">
        <v>297</v>
      </c>
      <c r="J85" t="s">
        <v>297</v>
      </c>
      <c r="K85" t="s">
        <v>297</v>
      </c>
      <c r="L85" t="s">
        <v>297</v>
      </c>
      <c r="M85" t="s">
        <v>297</v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 t="s">
        <v>297</v>
      </c>
      <c r="H86" t="s">
        <v>297</v>
      </c>
      <c r="I86" t="s">
        <v>297</v>
      </c>
      <c r="J86" t="s">
        <v>297</v>
      </c>
      <c r="K86" t="s">
        <v>297</v>
      </c>
      <c r="L86" t="s">
        <v>297</v>
      </c>
      <c r="M86" t="s">
        <v>297</v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 t="s">
        <v>297</v>
      </c>
      <c r="H87" t="s">
        <v>297</v>
      </c>
      <c r="I87" t="s">
        <v>297</v>
      </c>
      <c r="J87" t="s">
        <v>297</v>
      </c>
      <c r="K87" t="s">
        <v>297</v>
      </c>
      <c r="L87" t="s">
        <v>297</v>
      </c>
      <c r="M87" t="s">
        <v>297</v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 t="s">
        <v>297</v>
      </c>
      <c r="H88" t="s">
        <v>297</v>
      </c>
      <c r="I88" t="s">
        <v>297</v>
      </c>
      <c r="J88" t="s">
        <v>297</v>
      </c>
      <c r="K88" t="s">
        <v>297</v>
      </c>
      <c r="L88" t="s">
        <v>297</v>
      </c>
      <c r="M88" t="s">
        <v>297</v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 t="s">
        <v>297</v>
      </c>
      <c r="H89" t="s">
        <v>297</v>
      </c>
      <c r="I89" t="s">
        <v>297</v>
      </c>
      <c r="J89" t="s">
        <v>297</v>
      </c>
      <c r="K89" t="s">
        <v>297</v>
      </c>
      <c r="L89" t="s">
        <v>297</v>
      </c>
      <c r="M89" t="s">
        <v>297</v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 t="s">
        <v>297</v>
      </c>
      <c r="H90" t="s">
        <v>297</v>
      </c>
      <c r="I90" t="s">
        <v>297</v>
      </c>
      <c r="J90" t="s">
        <v>297</v>
      </c>
      <c r="K90" t="s">
        <v>297</v>
      </c>
      <c r="L90" t="s">
        <v>297</v>
      </c>
      <c r="M90" t="s">
        <v>297</v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 t="s">
        <v>297</v>
      </c>
      <c r="H91" t="s">
        <v>297</v>
      </c>
      <c r="I91" t="s">
        <v>297</v>
      </c>
      <c r="J91" t="s">
        <v>297</v>
      </c>
      <c r="K91" t="s">
        <v>297</v>
      </c>
      <c r="L91" t="s">
        <v>297</v>
      </c>
      <c r="M91" t="s">
        <v>297</v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 t="s">
        <v>297</v>
      </c>
      <c r="H92" t="s">
        <v>297</v>
      </c>
      <c r="I92" t="s">
        <v>297</v>
      </c>
      <c r="J92" t="s">
        <v>297</v>
      </c>
      <c r="K92" t="s">
        <v>297</v>
      </c>
      <c r="L92" t="s">
        <v>297</v>
      </c>
      <c r="M92" t="s">
        <v>297</v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 t="s">
        <v>297</v>
      </c>
      <c r="H93" t="s">
        <v>297</v>
      </c>
      <c r="I93" t="s">
        <v>297</v>
      </c>
      <c r="J93" t="s">
        <v>297</v>
      </c>
      <c r="K93" t="s">
        <v>297</v>
      </c>
      <c r="L93" t="s">
        <v>297</v>
      </c>
      <c r="M93" t="s">
        <v>297</v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 t="s">
        <v>297</v>
      </c>
      <c r="H94" t="s">
        <v>297</v>
      </c>
      <c r="I94" t="s">
        <v>297</v>
      </c>
      <c r="J94" t="s">
        <v>297</v>
      </c>
      <c r="K94" t="s">
        <v>297</v>
      </c>
      <c r="L94" t="s">
        <v>297</v>
      </c>
      <c r="M94" t="s">
        <v>297</v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 t="s">
        <v>297</v>
      </c>
      <c r="H95" t="s">
        <v>297</v>
      </c>
      <c r="I95" t="s">
        <v>297</v>
      </c>
      <c r="J95" t="s">
        <v>297</v>
      </c>
      <c r="K95" t="s">
        <v>297</v>
      </c>
      <c r="L95" t="s">
        <v>297</v>
      </c>
      <c r="M95" t="s">
        <v>297</v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 t="s">
        <v>297</v>
      </c>
      <c r="H96" t="s">
        <v>297</v>
      </c>
      <c r="I96" t="s">
        <v>297</v>
      </c>
      <c r="J96" t="s">
        <v>297</v>
      </c>
      <c r="K96" t="s">
        <v>297</v>
      </c>
      <c r="L96" t="s">
        <v>297</v>
      </c>
      <c r="M96" t="s">
        <v>297</v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 t="s">
        <v>297</v>
      </c>
      <c r="H97" t="s">
        <v>297</v>
      </c>
      <c r="I97" t="s">
        <v>297</v>
      </c>
      <c r="J97" t="s">
        <v>297</v>
      </c>
      <c r="K97" t="s">
        <v>297</v>
      </c>
      <c r="L97" t="s">
        <v>297</v>
      </c>
      <c r="M97" t="s">
        <v>297</v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 t="s">
        <v>297</v>
      </c>
      <c r="H98" t="s">
        <v>297</v>
      </c>
      <c r="I98" t="s">
        <v>297</v>
      </c>
      <c r="J98" t="s">
        <v>297</v>
      </c>
      <c r="K98" t="s">
        <v>297</v>
      </c>
      <c r="L98" t="s">
        <v>297</v>
      </c>
      <c r="M98" t="s">
        <v>297</v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 t="s">
        <v>297</v>
      </c>
      <c r="H99" t="s">
        <v>297</v>
      </c>
      <c r="I99" t="s">
        <v>297</v>
      </c>
      <c r="J99" t="s">
        <v>297</v>
      </c>
      <c r="K99" t="s">
        <v>297</v>
      </c>
      <c r="L99" t="s">
        <v>297</v>
      </c>
      <c r="M99" t="s">
        <v>297</v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 t="s">
        <v>297</v>
      </c>
      <c r="H100" t="s">
        <v>297</v>
      </c>
      <c r="I100" t="s">
        <v>297</v>
      </c>
      <c r="J100" t="s">
        <v>297</v>
      </c>
      <c r="K100" t="s">
        <v>297</v>
      </c>
      <c r="L100" t="s">
        <v>297</v>
      </c>
      <c r="M100" t="s">
        <v>297</v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 t="s">
        <v>297</v>
      </c>
      <c r="H101" t="s">
        <v>297</v>
      </c>
      <c r="I101" t="s">
        <v>297</v>
      </c>
      <c r="J101" t="s">
        <v>297</v>
      </c>
      <c r="K101" t="s">
        <v>297</v>
      </c>
      <c r="L101" t="s">
        <v>297</v>
      </c>
      <c r="M101" t="s">
        <v>297</v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 t="s">
        <v>297</v>
      </c>
      <c r="H102" t="s">
        <v>297</v>
      </c>
      <c r="I102" t="s">
        <v>297</v>
      </c>
      <c r="J102" t="s">
        <v>297</v>
      </c>
      <c r="K102" t="s">
        <v>297</v>
      </c>
      <c r="L102" t="s">
        <v>297</v>
      </c>
      <c r="M102" t="s">
        <v>297</v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 t="s">
        <v>297</v>
      </c>
      <c r="H103" t="s">
        <v>297</v>
      </c>
      <c r="I103" t="s">
        <v>297</v>
      </c>
      <c r="J103" t="s">
        <v>297</v>
      </c>
      <c r="K103" t="s">
        <v>297</v>
      </c>
      <c r="L103" t="s">
        <v>297</v>
      </c>
      <c r="M103" t="s">
        <v>297</v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 t="s">
        <v>297</v>
      </c>
      <c r="H104" t="s">
        <v>297</v>
      </c>
      <c r="I104" t="s">
        <v>297</v>
      </c>
      <c r="J104" t="s">
        <v>297</v>
      </c>
      <c r="K104" t="s">
        <v>297</v>
      </c>
      <c r="L104" t="s">
        <v>297</v>
      </c>
      <c r="M104" t="s">
        <v>297</v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 t="s">
        <v>297</v>
      </c>
      <c r="H105" t="s">
        <v>297</v>
      </c>
      <c r="I105" t="s">
        <v>297</v>
      </c>
      <c r="J105" t="s">
        <v>297</v>
      </c>
      <c r="K105" t="s">
        <v>297</v>
      </c>
      <c r="L105" t="s">
        <v>297</v>
      </c>
      <c r="M105" t="s">
        <v>297</v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 t="s">
        <v>297</v>
      </c>
      <c r="H106" t="s">
        <v>297</v>
      </c>
      <c r="I106" t="s">
        <v>297</v>
      </c>
      <c r="J106" t="s">
        <v>297</v>
      </c>
      <c r="K106" t="s">
        <v>297</v>
      </c>
      <c r="L106" t="s">
        <v>297</v>
      </c>
      <c r="M106" t="s">
        <v>297</v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 t="s">
        <v>297</v>
      </c>
      <c r="H107" t="s">
        <v>297</v>
      </c>
      <c r="I107" t="s">
        <v>297</v>
      </c>
      <c r="J107" t="s">
        <v>297</v>
      </c>
      <c r="K107" t="s">
        <v>297</v>
      </c>
      <c r="L107" t="s">
        <v>297</v>
      </c>
      <c r="M107" t="s">
        <v>297</v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 t="s">
        <v>297</v>
      </c>
      <c r="H108" t="s">
        <v>297</v>
      </c>
      <c r="I108" t="s">
        <v>297</v>
      </c>
      <c r="J108" t="s">
        <v>297</v>
      </c>
      <c r="K108" t="s">
        <v>297</v>
      </c>
      <c r="L108" t="s">
        <v>297</v>
      </c>
      <c r="M108" t="s">
        <v>297</v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 t="s">
        <v>297</v>
      </c>
      <c r="H109" t="s">
        <v>297</v>
      </c>
      <c r="I109" t="s">
        <v>297</v>
      </c>
      <c r="J109" t="s">
        <v>297</v>
      </c>
      <c r="K109" t="s">
        <v>297</v>
      </c>
      <c r="L109" t="s">
        <v>297</v>
      </c>
      <c r="M109" t="s">
        <v>297</v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 t="s">
        <v>297</v>
      </c>
      <c r="H110" t="s">
        <v>297</v>
      </c>
      <c r="I110" t="s">
        <v>297</v>
      </c>
      <c r="J110" t="s">
        <v>297</v>
      </c>
      <c r="K110" t="s">
        <v>297</v>
      </c>
      <c r="L110" t="s">
        <v>297</v>
      </c>
      <c r="M110" t="s">
        <v>297</v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 t="s">
        <v>297</v>
      </c>
      <c r="H111" t="s">
        <v>297</v>
      </c>
      <c r="I111" t="s">
        <v>297</v>
      </c>
      <c r="J111" t="s">
        <v>297</v>
      </c>
      <c r="K111" t="s">
        <v>297</v>
      </c>
      <c r="L111" t="s">
        <v>297</v>
      </c>
      <c r="M111" t="s">
        <v>297</v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 t="s">
        <v>297</v>
      </c>
      <c r="H112" t="s">
        <v>297</v>
      </c>
      <c r="I112" t="s">
        <v>297</v>
      </c>
      <c r="J112" t="s">
        <v>297</v>
      </c>
      <c r="K112" t="s">
        <v>297</v>
      </c>
      <c r="L112" t="s">
        <v>297</v>
      </c>
      <c r="M112" t="s">
        <v>297</v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 t="s">
        <v>297</v>
      </c>
      <c r="H113" t="s">
        <v>297</v>
      </c>
      <c r="I113" t="s">
        <v>297</v>
      </c>
      <c r="J113" t="s">
        <v>297</v>
      </c>
      <c r="K113" t="s">
        <v>297</v>
      </c>
      <c r="L113" t="s">
        <v>297</v>
      </c>
      <c r="M113" t="s">
        <v>297</v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 t="s">
        <v>297</v>
      </c>
      <c r="H114" t="s">
        <v>297</v>
      </c>
      <c r="I114" t="s">
        <v>297</v>
      </c>
      <c r="J114" t="s">
        <v>297</v>
      </c>
      <c r="K114" t="s">
        <v>297</v>
      </c>
      <c r="L114" t="s">
        <v>297</v>
      </c>
      <c r="M114" t="s">
        <v>297</v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 t="s">
        <v>297</v>
      </c>
      <c r="H115" t="s">
        <v>297</v>
      </c>
      <c r="I115" t="s">
        <v>297</v>
      </c>
      <c r="J115" t="s">
        <v>297</v>
      </c>
      <c r="K115" t="s">
        <v>297</v>
      </c>
      <c r="L115" t="s">
        <v>297</v>
      </c>
      <c r="M115" t="s">
        <v>297</v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 t="s">
        <v>297</v>
      </c>
      <c r="H116" t="s">
        <v>297</v>
      </c>
      <c r="I116" t="s">
        <v>297</v>
      </c>
      <c r="J116" t="s">
        <v>297</v>
      </c>
      <c r="K116" t="s">
        <v>297</v>
      </c>
      <c r="L116" t="s">
        <v>297</v>
      </c>
      <c r="M116" t="s">
        <v>297</v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 t="s">
        <v>297</v>
      </c>
      <c r="H117" t="s">
        <v>297</v>
      </c>
      <c r="I117" t="s">
        <v>297</v>
      </c>
      <c r="J117" t="s">
        <v>297</v>
      </c>
      <c r="K117" t="s">
        <v>297</v>
      </c>
      <c r="L117" t="s">
        <v>297</v>
      </c>
      <c r="M117" t="s">
        <v>297</v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 t="s">
        <v>297</v>
      </c>
      <c r="H118" t="s">
        <v>297</v>
      </c>
      <c r="I118" t="s">
        <v>297</v>
      </c>
      <c r="J118" t="s">
        <v>297</v>
      </c>
      <c r="K118" t="s">
        <v>297</v>
      </c>
      <c r="L118" t="s">
        <v>297</v>
      </c>
      <c r="M118" t="s">
        <v>297</v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 t="s">
        <v>297</v>
      </c>
      <c r="H119" t="s">
        <v>297</v>
      </c>
      <c r="I119" t="s">
        <v>297</v>
      </c>
      <c r="J119" t="s">
        <v>297</v>
      </c>
      <c r="K119" t="s">
        <v>297</v>
      </c>
      <c r="L119" t="s">
        <v>297</v>
      </c>
      <c r="M119" t="s">
        <v>297</v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 t="s">
        <v>297</v>
      </c>
      <c r="H120" t="s">
        <v>297</v>
      </c>
      <c r="I120" t="s">
        <v>297</v>
      </c>
      <c r="J120" t="s">
        <v>297</v>
      </c>
      <c r="K120" t="s">
        <v>297</v>
      </c>
      <c r="L120" t="s">
        <v>297</v>
      </c>
      <c r="M120" t="s">
        <v>297</v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 t="s">
        <v>297</v>
      </c>
      <c r="H121" t="s">
        <v>297</v>
      </c>
      <c r="I121" t="s">
        <v>297</v>
      </c>
      <c r="J121" t="s">
        <v>297</v>
      </c>
      <c r="K121" t="s">
        <v>297</v>
      </c>
      <c r="L121" t="s">
        <v>297</v>
      </c>
      <c r="M121" t="s">
        <v>297</v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 t="s">
        <v>297</v>
      </c>
      <c r="H122" t="s">
        <v>297</v>
      </c>
      <c r="I122" t="s">
        <v>297</v>
      </c>
      <c r="J122" t="s">
        <v>297</v>
      </c>
      <c r="K122" t="s">
        <v>297</v>
      </c>
      <c r="L122" t="s">
        <v>297</v>
      </c>
      <c r="M122" t="s">
        <v>297</v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 t="s">
        <v>297</v>
      </c>
      <c r="H123" t="s">
        <v>297</v>
      </c>
      <c r="I123" t="s">
        <v>297</v>
      </c>
      <c r="J123" t="s">
        <v>297</v>
      </c>
      <c r="K123" t="s">
        <v>297</v>
      </c>
      <c r="L123" t="s">
        <v>297</v>
      </c>
      <c r="M123" t="s">
        <v>297</v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 t="s">
        <v>297</v>
      </c>
      <c r="H124" t="s">
        <v>297</v>
      </c>
      <c r="I124" t="s">
        <v>297</v>
      </c>
      <c r="J124" t="s">
        <v>297</v>
      </c>
      <c r="K124" t="s">
        <v>297</v>
      </c>
      <c r="L124" t="s">
        <v>297</v>
      </c>
      <c r="M124" t="s">
        <v>297</v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 t="s">
        <v>297</v>
      </c>
      <c r="H125" t="s">
        <v>297</v>
      </c>
      <c r="I125" t="s">
        <v>297</v>
      </c>
      <c r="J125" t="s">
        <v>297</v>
      </c>
      <c r="K125" t="s">
        <v>297</v>
      </c>
      <c r="L125" t="s">
        <v>297</v>
      </c>
      <c r="M125" t="s">
        <v>297</v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 t="s">
        <v>297</v>
      </c>
      <c r="H126" t="s">
        <v>297</v>
      </c>
      <c r="I126" t="s">
        <v>297</v>
      </c>
      <c r="J126" t="s">
        <v>297</v>
      </c>
      <c r="K126" t="s">
        <v>297</v>
      </c>
      <c r="L126" t="s">
        <v>297</v>
      </c>
      <c r="M126" t="s">
        <v>297</v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 t="s">
        <v>297</v>
      </c>
      <c r="H127" t="s">
        <v>297</v>
      </c>
      <c r="I127" t="s">
        <v>297</v>
      </c>
      <c r="J127" t="s">
        <v>297</v>
      </c>
      <c r="K127" t="s">
        <v>297</v>
      </c>
      <c r="L127" t="s">
        <v>297</v>
      </c>
      <c r="M127" t="s">
        <v>297</v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 t="s">
        <v>297</v>
      </c>
      <c r="H128" t="s">
        <v>297</v>
      </c>
      <c r="I128" t="s">
        <v>297</v>
      </c>
      <c r="J128" t="s">
        <v>297</v>
      </c>
      <c r="K128" t="s">
        <v>297</v>
      </c>
      <c r="L128" t="s">
        <v>297</v>
      </c>
      <c r="M128" t="s">
        <v>297</v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 t="s">
        <v>297</v>
      </c>
      <c r="H129" t="s">
        <v>297</v>
      </c>
      <c r="I129" t="s">
        <v>297</v>
      </c>
      <c r="J129" t="s">
        <v>297</v>
      </c>
      <c r="K129" t="s">
        <v>297</v>
      </c>
      <c r="L129" t="s">
        <v>297</v>
      </c>
      <c r="M129" t="s">
        <v>297</v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 t="s">
        <v>297</v>
      </c>
      <c r="H130" t="s">
        <v>297</v>
      </c>
      <c r="I130" t="s">
        <v>297</v>
      </c>
      <c r="J130" t="s">
        <v>297</v>
      </c>
      <c r="K130" t="s">
        <v>297</v>
      </c>
      <c r="L130" t="s">
        <v>297</v>
      </c>
      <c r="M130" t="s">
        <v>297</v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 t="s">
        <v>297</v>
      </c>
      <c r="H131" t="s">
        <v>297</v>
      </c>
      <c r="I131" t="s">
        <v>297</v>
      </c>
      <c r="J131" t="s">
        <v>297</v>
      </c>
      <c r="K131" t="s">
        <v>297</v>
      </c>
      <c r="L131" t="s">
        <v>297</v>
      </c>
      <c r="M131" t="s">
        <v>297</v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 t="s">
        <v>297</v>
      </c>
      <c r="H132" t="s">
        <v>297</v>
      </c>
      <c r="I132" t="s">
        <v>297</v>
      </c>
      <c r="J132" t="s">
        <v>297</v>
      </c>
      <c r="K132" t="s">
        <v>297</v>
      </c>
      <c r="L132" t="s">
        <v>297</v>
      </c>
      <c r="M132" t="s">
        <v>297</v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 t="s">
        <v>297</v>
      </c>
      <c r="H133" t="s">
        <v>297</v>
      </c>
      <c r="I133" t="s">
        <v>297</v>
      </c>
      <c r="J133" t="s">
        <v>297</v>
      </c>
      <c r="K133" t="s">
        <v>297</v>
      </c>
      <c r="L133" t="s">
        <v>297</v>
      </c>
      <c r="M133" t="s">
        <v>297</v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 t="s">
        <v>297</v>
      </c>
      <c r="H134" t="s">
        <v>297</v>
      </c>
      <c r="I134" t="s">
        <v>297</v>
      </c>
      <c r="J134" t="s">
        <v>297</v>
      </c>
      <c r="K134" t="s">
        <v>297</v>
      </c>
      <c r="L134" t="s">
        <v>297</v>
      </c>
      <c r="M134" t="s">
        <v>297</v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 t="s">
        <v>297</v>
      </c>
      <c r="H135" t="s">
        <v>297</v>
      </c>
      <c r="I135" t="s">
        <v>297</v>
      </c>
      <c r="J135" t="s">
        <v>297</v>
      </c>
      <c r="K135" t="s">
        <v>297</v>
      </c>
      <c r="L135" t="s">
        <v>297</v>
      </c>
      <c r="M135" t="s">
        <v>297</v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 t="s">
        <v>297</v>
      </c>
      <c r="H136" t="s">
        <v>297</v>
      </c>
      <c r="I136" t="s">
        <v>297</v>
      </c>
      <c r="J136" t="s">
        <v>297</v>
      </c>
      <c r="K136" t="s">
        <v>297</v>
      </c>
      <c r="L136" t="s">
        <v>297</v>
      </c>
      <c r="M136" t="s">
        <v>297</v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 t="s">
        <v>297</v>
      </c>
      <c r="H137" t="s">
        <v>297</v>
      </c>
      <c r="I137" t="s">
        <v>297</v>
      </c>
      <c r="J137" t="s">
        <v>297</v>
      </c>
      <c r="K137" t="s">
        <v>297</v>
      </c>
      <c r="L137" t="s">
        <v>297</v>
      </c>
      <c r="M137" t="s">
        <v>297</v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 t="s">
        <v>297</v>
      </c>
      <c r="H138" t="s">
        <v>297</v>
      </c>
      <c r="I138" t="s">
        <v>297</v>
      </c>
      <c r="J138" t="s">
        <v>297</v>
      </c>
      <c r="K138" t="s">
        <v>297</v>
      </c>
      <c r="L138" t="s">
        <v>297</v>
      </c>
      <c r="M138" t="s">
        <v>297</v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 t="s">
        <v>297</v>
      </c>
      <c r="H139" t="s">
        <v>297</v>
      </c>
      <c r="I139" t="s">
        <v>297</v>
      </c>
      <c r="J139" t="s">
        <v>297</v>
      </c>
      <c r="K139" t="s">
        <v>297</v>
      </c>
      <c r="L139" t="s">
        <v>297</v>
      </c>
      <c r="M139" t="s">
        <v>297</v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 t="s">
        <v>297</v>
      </c>
      <c r="H140" t="s">
        <v>297</v>
      </c>
      <c r="I140" t="s">
        <v>297</v>
      </c>
      <c r="J140" t="s">
        <v>297</v>
      </c>
      <c r="K140" t="s">
        <v>297</v>
      </c>
      <c r="L140" t="s">
        <v>297</v>
      </c>
      <c r="M140" t="s">
        <v>297</v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 t="s">
        <v>297</v>
      </c>
      <c r="H141" t="s">
        <v>297</v>
      </c>
      <c r="I141" t="s">
        <v>297</v>
      </c>
      <c r="J141" t="s">
        <v>297</v>
      </c>
      <c r="K141" t="s">
        <v>297</v>
      </c>
      <c r="L141" t="s">
        <v>297</v>
      </c>
      <c r="M141" t="s">
        <v>297</v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 t="s">
        <v>297</v>
      </c>
      <c r="H142" t="s">
        <v>297</v>
      </c>
      <c r="I142" t="s">
        <v>297</v>
      </c>
      <c r="J142" t="s">
        <v>297</v>
      </c>
      <c r="K142" t="s">
        <v>297</v>
      </c>
      <c r="L142" t="s">
        <v>297</v>
      </c>
      <c r="M142" t="s">
        <v>297</v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 t="s">
        <v>297</v>
      </c>
      <c r="H143" t="s">
        <v>297</v>
      </c>
      <c r="I143" t="s">
        <v>297</v>
      </c>
      <c r="J143" t="s">
        <v>297</v>
      </c>
      <c r="K143" t="s">
        <v>297</v>
      </c>
      <c r="L143" t="s">
        <v>297</v>
      </c>
      <c r="M143" t="s">
        <v>297</v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 t="s">
        <v>297</v>
      </c>
      <c r="H144" t="s">
        <v>297</v>
      </c>
      <c r="I144" t="s">
        <v>297</v>
      </c>
      <c r="J144" t="s">
        <v>297</v>
      </c>
      <c r="K144" t="s">
        <v>297</v>
      </c>
      <c r="L144" t="s">
        <v>297</v>
      </c>
      <c r="M144" t="s">
        <v>297</v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 t="s">
        <v>297</v>
      </c>
      <c r="H145" t="s">
        <v>297</v>
      </c>
      <c r="I145" t="s">
        <v>297</v>
      </c>
      <c r="J145" t="s">
        <v>297</v>
      </c>
      <c r="K145" t="s">
        <v>297</v>
      </c>
      <c r="L145" t="s">
        <v>297</v>
      </c>
      <c r="M145" t="s">
        <v>297</v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 t="s">
        <v>297</v>
      </c>
      <c r="H146" t="s">
        <v>297</v>
      </c>
      <c r="I146" t="s">
        <v>297</v>
      </c>
      <c r="J146" t="s">
        <v>297</v>
      </c>
      <c r="K146" t="s">
        <v>297</v>
      </c>
      <c r="L146" t="s">
        <v>297</v>
      </c>
      <c r="M146" t="s">
        <v>297</v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 t="s">
        <v>297</v>
      </c>
      <c r="H147" t="s">
        <v>297</v>
      </c>
      <c r="I147" t="s">
        <v>297</v>
      </c>
      <c r="J147" t="s">
        <v>297</v>
      </c>
      <c r="K147" t="s">
        <v>297</v>
      </c>
      <c r="L147" t="s">
        <v>297</v>
      </c>
      <c r="M147" t="s">
        <v>297</v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 t="s">
        <v>297</v>
      </c>
      <c r="H148" t="s">
        <v>297</v>
      </c>
      <c r="I148" t="s">
        <v>297</v>
      </c>
      <c r="J148" t="s">
        <v>297</v>
      </c>
      <c r="K148" t="s">
        <v>297</v>
      </c>
      <c r="L148" t="s">
        <v>297</v>
      </c>
      <c r="M148" t="s">
        <v>297</v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 t="s">
        <v>297</v>
      </c>
      <c r="H149" t="s">
        <v>297</v>
      </c>
      <c r="I149" t="s">
        <v>297</v>
      </c>
      <c r="J149" t="s">
        <v>297</v>
      </c>
      <c r="K149" t="s">
        <v>297</v>
      </c>
      <c r="L149" t="s">
        <v>297</v>
      </c>
      <c r="M149" t="s">
        <v>297</v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 t="s">
        <v>297</v>
      </c>
      <c r="H150" t="s">
        <v>297</v>
      </c>
      <c r="I150" t="s">
        <v>297</v>
      </c>
      <c r="J150" t="s">
        <v>297</v>
      </c>
      <c r="K150" t="s">
        <v>297</v>
      </c>
      <c r="L150" t="s">
        <v>297</v>
      </c>
      <c r="M150" t="s">
        <v>297</v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 t="s">
        <v>297</v>
      </c>
      <c r="H151" t="s">
        <v>297</v>
      </c>
      <c r="I151" t="s">
        <v>297</v>
      </c>
      <c r="J151" t="s">
        <v>297</v>
      </c>
      <c r="K151" t="s">
        <v>297</v>
      </c>
      <c r="L151" t="s">
        <v>297</v>
      </c>
      <c r="M151" t="s">
        <v>297</v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 t="s">
        <v>297</v>
      </c>
      <c r="H152" t="s">
        <v>297</v>
      </c>
      <c r="I152" t="s">
        <v>297</v>
      </c>
      <c r="J152" t="s">
        <v>297</v>
      </c>
      <c r="K152" t="s">
        <v>297</v>
      </c>
      <c r="L152" t="s">
        <v>297</v>
      </c>
      <c r="M152" t="s">
        <v>297</v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 t="s">
        <v>297</v>
      </c>
      <c r="H153" t="s">
        <v>297</v>
      </c>
      <c r="I153" t="s">
        <v>297</v>
      </c>
      <c r="J153" t="s">
        <v>297</v>
      </c>
      <c r="K153" t="s">
        <v>297</v>
      </c>
      <c r="L153" t="s">
        <v>297</v>
      </c>
      <c r="M153" t="s">
        <v>297</v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 t="s">
        <v>297</v>
      </c>
      <c r="H154" t="s">
        <v>297</v>
      </c>
      <c r="I154" t="s">
        <v>297</v>
      </c>
      <c r="J154" t="s">
        <v>297</v>
      </c>
      <c r="K154" t="s">
        <v>297</v>
      </c>
      <c r="L154" t="s">
        <v>297</v>
      </c>
      <c r="M154" t="s">
        <v>297</v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 t="s">
        <v>297</v>
      </c>
      <c r="H155" t="s">
        <v>297</v>
      </c>
      <c r="I155" t="s">
        <v>297</v>
      </c>
      <c r="J155" t="s">
        <v>297</v>
      </c>
      <c r="K155" t="s">
        <v>297</v>
      </c>
      <c r="L155" t="s">
        <v>297</v>
      </c>
      <c r="M155" t="s">
        <v>297</v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 t="s">
        <v>297</v>
      </c>
      <c r="H156" t="s">
        <v>297</v>
      </c>
      <c r="I156" t="s">
        <v>297</v>
      </c>
      <c r="J156" t="s">
        <v>297</v>
      </c>
      <c r="K156" t="s">
        <v>297</v>
      </c>
      <c r="L156" t="s">
        <v>297</v>
      </c>
      <c r="M156" t="s">
        <v>297</v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 t="s">
        <v>297</v>
      </c>
      <c r="H157" t="s">
        <v>297</v>
      </c>
      <c r="I157" t="s">
        <v>297</v>
      </c>
      <c r="J157" t="s">
        <v>297</v>
      </c>
      <c r="K157" t="s">
        <v>297</v>
      </c>
      <c r="L157" t="s">
        <v>297</v>
      </c>
      <c r="M157" t="s">
        <v>297</v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 t="s">
        <v>297</v>
      </c>
      <c r="H158" t="s">
        <v>297</v>
      </c>
      <c r="I158" t="s">
        <v>297</v>
      </c>
      <c r="J158" t="s">
        <v>297</v>
      </c>
      <c r="K158" t="s">
        <v>297</v>
      </c>
      <c r="L158" t="s">
        <v>297</v>
      </c>
      <c r="M158" t="s">
        <v>297</v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 t="s">
        <v>297</v>
      </c>
      <c r="H159" t="s">
        <v>297</v>
      </c>
      <c r="I159" t="s">
        <v>297</v>
      </c>
      <c r="J159" t="s">
        <v>297</v>
      </c>
      <c r="K159" t="s">
        <v>297</v>
      </c>
      <c r="L159" t="s">
        <v>297</v>
      </c>
      <c r="M159" t="s">
        <v>297</v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 t="s">
        <v>297</v>
      </c>
      <c r="H160" t="s">
        <v>297</v>
      </c>
      <c r="I160" t="s">
        <v>297</v>
      </c>
      <c r="J160" t="s">
        <v>297</v>
      </c>
      <c r="K160" t="s">
        <v>297</v>
      </c>
      <c r="L160" t="s">
        <v>297</v>
      </c>
      <c r="M160" t="s">
        <v>297</v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 t="s">
        <v>297</v>
      </c>
      <c r="H161" t="s">
        <v>297</v>
      </c>
      <c r="I161" t="s">
        <v>297</v>
      </c>
      <c r="J161" t="s">
        <v>297</v>
      </c>
      <c r="K161" t="s">
        <v>297</v>
      </c>
      <c r="L161" t="s">
        <v>297</v>
      </c>
      <c r="M161" t="s">
        <v>297</v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 t="s">
        <v>297</v>
      </c>
      <c r="H162" t="s">
        <v>297</v>
      </c>
      <c r="I162" t="s">
        <v>297</v>
      </c>
      <c r="J162" t="s">
        <v>297</v>
      </c>
      <c r="K162" t="s">
        <v>297</v>
      </c>
      <c r="L162" t="s">
        <v>297</v>
      </c>
      <c r="M162" t="s">
        <v>297</v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 t="s">
        <v>297</v>
      </c>
      <c r="H163" t="s">
        <v>297</v>
      </c>
      <c r="I163" t="s">
        <v>297</v>
      </c>
      <c r="J163" t="s">
        <v>297</v>
      </c>
      <c r="K163" t="s">
        <v>297</v>
      </c>
      <c r="L163" t="s">
        <v>297</v>
      </c>
      <c r="M163" t="s">
        <v>297</v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 t="s">
        <v>297</v>
      </c>
      <c r="H164" t="s">
        <v>297</v>
      </c>
      <c r="I164" t="s">
        <v>297</v>
      </c>
      <c r="J164" t="s">
        <v>297</v>
      </c>
      <c r="K164" t="s">
        <v>297</v>
      </c>
      <c r="L164" t="s">
        <v>297</v>
      </c>
      <c r="M164" t="s">
        <v>297</v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 t="s">
        <v>297</v>
      </c>
      <c r="H165" t="s">
        <v>297</v>
      </c>
      <c r="I165" t="s">
        <v>297</v>
      </c>
      <c r="J165" t="s">
        <v>297</v>
      </c>
      <c r="K165" t="s">
        <v>297</v>
      </c>
      <c r="L165" t="s">
        <v>297</v>
      </c>
      <c r="M165" t="s">
        <v>297</v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 t="s">
        <v>297</v>
      </c>
      <c r="H166" t="s">
        <v>297</v>
      </c>
      <c r="I166" t="s">
        <v>297</v>
      </c>
      <c r="J166" t="s">
        <v>297</v>
      </c>
      <c r="K166" t="s">
        <v>297</v>
      </c>
      <c r="L166" t="s">
        <v>297</v>
      </c>
      <c r="M166" t="s">
        <v>297</v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 t="s">
        <v>297</v>
      </c>
      <c r="H167" t="s">
        <v>297</v>
      </c>
      <c r="I167" t="s">
        <v>297</v>
      </c>
      <c r="J167" t="s">
        <v>297</v>
      </c>
      <c r="K167" t="s">
        <v>297</v>
      </c>
      <c r="L167" t="s">
        <v>297</v>
      </c>
      <c r="M167" t="s">
        <v>297</v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 t="s">
        <v>297</v>
      </c>
      <c r="H168" t="s">
        <v>297</v>
      </c>
      <c r="I168" t="s">
        <v>297</v>
      </c>
      <c r="J168" t="s">
        <v>297</v>
      </c>
      <c r="K168" t="s">
        <v>297</v>
      </c>
      <c r="L168" t="s">
        <v>297</v>
      </c>
      <c r="M168" t="s">
        <v>297</v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 t="s">
        <v>297</v>
      </c>
      <c r="H169" t="s">
        <v>297</v>
      </c>
      <c r="I169" t="s">
        <v>297</v>
      </c>
      <c r="J169" t="s">
        <v>297</v>
      </c>
      <c r="K169" t="s">
        <v>297</v>
      </c>
      <c r="L169" t="s">
        <v>297</v>
      </c>
      <c r="M169" t="s">
        <v>297</v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 t="s">
        <v>297</v>
      </c>
      <c r="H170" t="s">
        <v>297</v>
      </c>
      <c r="I170" t="s">
        <v>297</v>
      </c>
      <c r="J170" t="s">
        <v>297</v>
      </c>
      <c r="K170" t="s">
        <v>297</v>
      </c>
      <c r="L170" t="s">
        <v>297</v>
      </c>
      <c r="M170" t="s">
        <v>297</v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 t="s">
        <v>297</v>
      </c>
      <c r="H171" t="s">
        <v>297</v>
      </c>
      <c r="I171" t="s">
        <v>297</v>
      </c>
      <c r="J171" t="s">
        <v>297</v>
      </c>
      <c r="K171" t="s">
        <v>297</v>
      </c>
      <c r="L171" t="s">
        <v>297</v>
      </c>
      <c r="M171" t="s">
        <v>297</v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 t="s">
        <v>297</v>
      </c>
      <c r="H172" t="s">
        <v>297</v>
      </c>
      <c r="I172" t="s">
        <v>297</v>
      </c>
      <c r="J172" t="s">
        <v>297</v>
      </c>
      <c r="K172" t="s">
        <v>297</v>
      </c>
      <c r="L172" t="s">
        <v>297</v>
      </c>
      <c r="M172" t="s">
        <v>297</v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 t="s">
        <v>297</v>
      </c>
      <c r="H173" t="s">
        <v>297</v>
      </c>
      <c r="I173" t="s">
        <v>297</v>
      </c>
      <c r="J173" t="s">
        <v>297</v>
      </c>
      <c r="K173" t="s">
        <v>297</v>
      </c>
      <c r="L173" t="s">
        <v>297</v>
      </c>
      <c r="M173" t="s">
        <v>297</v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 t="s">
        <v>297</v>
      </c>
      <c r="H174" t="s">
        <v>297</v>
      </c>
      <c r="I174" t="s">
        <v>297</v>
      </c>
      <c r="J174" t="s">
        <v>297</v>
      </c>
      <c r="K174" t="s">
        <v>297</v>
      </c>
      <c r="L174" t="s">
        <v>297</v>
      </c>
      <c r="M174" t="s">
        <v>297</v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 t="s">
        <v>297</v>
      </c>
      <c r="H175" t="s">
        <v>297</v>
      </c>
      <c r="I175" t="s">
        <v>297</v>
      </c>
      <c r="J175" t="s">
        <v>297</v>
      </c>
      <c r="K175" t="s">
        <v>297</v>
      </c>
      <c r="L175" t="s">
        <v>297</v>
      </c>
      <c r="M175" t="s">
        <v>297</v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 t="s">
        <v>297</v>
      </c>
      <c r="H176" t="s">
        <v>297</v>
      </c>
      <c r="I176" t="s">
        <v>297</v>
      </c>
      <c r="J176" t="s">
        <v>297</v>
      </c>
      <c r="K176" t="s">
        <v>297</v>
      </c>
      <c r="L176" t="s">
        <v>297</v>
      </c>
      <c r="M176" t="s">
        <v>297</v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 t="s">
        <v>297</v>
      </c>
      <c r="H177" t="s">
        <v>297</v>
      </c>
      <c r="I177" t="s">
        <v>297</v>
      </c>
      <c r="J177" t="s">
        <v>297</v>
      </c>
      <c r="K177" t="s">
        <v>297</v>
      </c>
      <c r="L177" t="s">
        <v>297</v>
      </c>
      <c r="M177" t="s">
        <v>297</v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 t="s">
        <v>297</v>
      </c>
      <c r="H178" t="s">
        <v>297</v>
      </c>
      <c r="I178" t="s">
        <v>297</v>
      </c>
      <c r="J178" t="s">
        <v>297</v>
      </c>
      <c r="K178" t="s">
        <v>297</v>
      </c>
      <c r="L178" t="s">
        <v>297</v>
      </c>
      <c r="M178" t="s">
        <v>297</v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 t="s">
        <v>297</v>
      </c>
      <c r="H179" t="s">
        <v>297</v>
      </c>
      <c r="I179" t="s">
        <v>297</v>
      </c>
      <c r="J179" t="s">
        <v>297</v>
      </c>
      <c r="K179" t="s">
        <v>297</v>
      </c>
      <c r="L179" t="s">
        <v>297</v>
      </c>
      <c r="M179" t="s">
        <v>297</v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 t="s">
        <v>297</v>
      </c>
      <c r="H180" t="s">
        <v>297</v>
      </c>
      <c r="I180" t="s">
        <v>297</v>
      </c>
      <c r="J180" t="s">
        <v>297</v>
      </c>
      <c r="K180" t="s">
        <v>297</v>
      </c>
      <c r="L180" t="s">
        <v>297</v>
      </c>
      <c r="M180" t="s">
        <v>297</v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 t="s">
        <v>297</v>
      </c>
      <c r="H181" t="s">
        <v>297</v>
      </c>
      <c r="I181" t="s">
        <v>297</v>
      </c>
      <c r="J181" t="s">
        <v>297</v>
      </c>
      <c r="K181" t="s">
        <v>297</v>
      </c>
      <c r="L181" t="s">
        <v>297</v>
      </c>
      <c r="M181" t="s">
        <v>297</v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 t="s">
        <v>297</v>
      </c>
      <c r="H182" t="s">
        <v>297</v>
      </c>
      <c r="I182" t="s">
        <v>297</v>
      </c>
      <c r="J182" t="s">
        <v>297</v>
      </c>
      <c r="K182" t="s">
        <v>297</v>
      </c>
      <c r="L182" t="s">
        <v>297</v>
      </c>
      <c r="M182" t="s">
        <v>297</v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 t="s">
        <v>297</v>
      </c>
      <c r="H183" t="s">
        <v>297</v>
      </c>
      <c r="I183" t="s">
        <v>297</v>
      </c>
      <c r="J183" t="s">
        <v>297</v>
      </c>
      <c r="K183" t="s">
        <v>297</v>
      </c>
      <c r="L183" t="s">
        <v>297</v>
      </c>
      <c r="M183" t="s">
        <v>297</v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 t="s">
        <v>297</v>
      </c>
      <c r="H184" t="s">
        <v>297</v>
      </c>
      <c r="I184" t="s">
        <v>297</v>
      </c>
      <c r="J184" t="s">
        <v>297</v>
      </c>
      <c r="K184" t="s">
        <v>297</v>
      </c>
      <c r="L184" t="s">
        <v>297</v>
      </c>
      <c r="M184" t="s">
        <v>297</v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 t="s">
        <v>297</v>
      </c>
      <c r="H185" t="s">
        <v>297</v>
      </c>
      <c r="I185" t="s">
        <v>297</v>
      </c>
      <c r="J185" t="s">
        <v>297</v>
      </c>
      <c r="K185" t="s">
        <v>297</v>
      </c>
      <c r="L185" t="s">
        <v>297</v>
      </c>
      <c r="M185" t="s">
        <v>297</v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 t="s">
        <v>297</v>
      </c>
      <c r="H186" t="s">
        <v>297</v>
      </c>
      <c r="I186" t="s">
        <v>297</v>
      </c>
      <c r="J186" t="s">
        <v>297</v>
      </c>
      <c r="K186" t="s">
        <v>297</v>
      </c>
      <c r="L186" t="s">
        <v>297</v>
      </c>
      <c r="M186" t="s">
        <v>297</v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 t="s">
        <v>297</v>
      </c>
      <c r="H187" t="s">
        <v>297</v>
      </c>
      <c r="I187" t="s">
        <v>297</v>
      </c>
      <c r="J187" t="s">
        <v>297</v>
      </c>
      <c r="K187" t="s">
        <v>297</v>
      </c>
      <c r="L187" t="s">
        <v>297</v>
      </c>
      <c r="M187" t="s">
        <v>297</v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 t="s">
        <v>297</v>
      </c>
      <c r="H188" t="s">
        <v>297</v>
      </c>
      <c r="I188" t="s">
        <v>297</v>
      </c>
      <c r="J188" t="s">
        <v>297</v>
      </c>
      <c r="K188" t="s">
        <v>297</v>
      </c>
      <c r="L188" t="s">
        <v>297</v>
      </c>
      <c r="M188" t="s">
        <v>297</v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 t="s">
        <v>297</v>
      </c>
      <c r="H189" t="s">
        <v>297</v>
      </c>
      <c r="I189" t="s">
        <v>297</v>
      </c>
      <c r="J189" t="s">
        <v>297</v>
      </c>
      <c r="K189" t="s">
        <v>297</v>
      </c>
      <c r="L189" t="s">
        <v>297</v>
      </c>
      <c r="M189" t="s">
        <v>297</v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 t="s">
        <v>297</v>
      </c>
      <c r="H190" t="s">
        <v>297</v>
      </c>
      <c r="I190" t="s">
        <v>297</v>
      </c>
      <c r="J190" t="s">
        <v>297</v>
      </c>
      <c r="K190" t="s">
        <v>297</v>
      </c>
      <c r="L190" t="s">
        <v>297</v>
      </c>
      <c r="M190" t="s">
        <v>297</v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 t="s">
        <v>297</v>
      </c>
      <c r="H191" t="s">
        <v>297</v>
      </c>
      <c r="I191" t="s">
        <v>297</v>
      </c>
      <c r="J191" t="s">
        <v>297</v>
      </c>
      <c r="K191" t="s">
        <v>297</v>
      </c>
      <c r="L191" t="s">
        <v>297</v>
      </c>
      <c r="M191" t="s">
        <v>297</v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 t="s">
        <v>297</v>
      </c>
      <c r="H192" t="s">
        <v>297</v>
      </c>
      <c r="I192" t="s">
        <v>297</v>
      </c>
      <c r="J192" t="s">
        <v>297</v>
      </c>
      <c r="K192" t="s">
        <v>297</v>
      </c>
      <c r="L192" t="s">
        <v>297</v>
      </c>
      <c r="M192" t="s">
        <v>297</v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 t="s">
        <v>297</v>
      </c>
      <c r="H193" t="s">
        <v>297</v>
      </c>
      <c r="I193" t="s">
        <v>297</v>
      </c>
      <c r="J193" t="s">
        <v>297</v>
      </c>
      <c r="K193" t="s">
        <v>297</v>
      </c>
      <c r="L193" t="s">
        <v>297</v>
      </c>
      <c r="M193" t="s">
        <v>297</v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 t="s">
        <v>297</v>
      </c>
      <c r="H194" t="s">
        <v>297</v>
      </c>
      <c r="I194" t="s">
        <v>297</v>
      </c>
      <c r="J194" t="s">
        <v>297</v>
      </c>
      <c r="K194" t="s">
        <v>297</v>
      </c>
      <c r="L194" t="s">
        <v>297</v>
      </c>
      <c r="M194" t="s">
        <v>297</v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 t="s">
        <v>297</v>
      </c>
      <c r="H195" t="s">
        <v>297</v>
      </c>
      <c r="I195" t="s">
        <v>297</v>
      </c>
      <c r="J195" t="s">
        <v>297</v>
      </c>
      <c r="K195" t="s">
        <v>297</v>
      </c>
      <c r="L195" t="s">
        <v>297</v>
      </c>
      <c r="M195" t="s">
        <v>297</v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 t="s">
        <v>297</v>
      </c>
      <c r="H196" t="s">
        <v>297</v>
      </c>
      <c r="I196" t="s">
        <v>297</v>
      </c>
      <c r="J196" t="s">
        <v>297</v>
      </c>
      <c r="K196" t="s">
        <v>297</v>
      </c>
      <c r="L196" t="s">
        <v>297</v>
      </c>
      <c r="M196" t="s">
        <v>297</v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 t="s">
        <v>297</v>
      </c>
      <c r="H197" t="s">
        <v>297</v>
      </c>
      <c r="I197" t="s">
        <v>297</v>
      </c>
      <c r="J197" t="s">
        <v>297</v>
      </c>
      <c r="K197" t="s">
        <v>297</v>
      </c>
      <c r="L197" t="s">
        <v>297</v>
      </c>
      <c r="M197" t="s">
        <v>297</v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 t="s">
        <v>297</v>
      </c>
      <c r="H198" t="s">
        <v>297</v>
      </c>
      <c r="I198" t="s">
        <v>297</v>
      </c>
      <c r="J198" t="s">
        <v>297</v>
      </c>
      <c r="K198" t="s">
        <v>297</v>
      </c>
      <c r="L198" t="s">
        <v>297</v>
      </c>
      <c r="M198" t="s">
        <v>297</v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 t="s">
        <v>297</v>
      </c>
      <c r="H199" t="s">
        <v>297</v>
      </c>
      <c r="I199" t="s">
        <v>297</v>
      </c>
      <c r="J199" t="s">
        <v>297</v>
      </c>
      <c r="K199" t="s">
        <v>297</v>
      </c>
      <c r="L199" t="s">
        <v>297</v>
      </c>
      <c r="M199" t="s">
        <v>297</v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 t="s">
        <v>297</v>
      </c>
      <c r="H200" t="s">
        <v>297</v>
      </c>
      <c r="I200" t="s">
        <v>297</v>
      </c>
      <c r="J200" t="s">
        <v>297</v>
      </c>
      <c r="K200" t="s">
        <v>297</v>
      </c>
      <c r="L200" t="s">
        <v>297</v>
      </c>
      <c r="M200" t="s">
        <v>297</v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 t="s">
        <v>297</v>
      </c>
      <c r="H201" t="s">
        <v>297</v>
      </c>
      <c r="I201" t="s">
        <v>297</v>
      </c>
      <c r="J201" t="s">
        <v>297</v>
      </c>
      <c r="K201" t="s">
        <v>297</v>
      </c>
      <c r="L201" t="s">
        <v>297</v>
      </c>
      <c r="M201" t="s">
        <v>297</v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 t="s">
        <v>297</v>
      </c>
      <c r="H202" t="s">
        <v>297</v>
      </c>
      <c r="I202" t="s">
        <v>297</v>
      </c>
      <c r="J202" t="s">
        <v>297</v>
      </c>
      <c r="K202" t="s">
        <v>297</v>
      </c>
      <c r="L202" t="s">
        <v>297</v>
      </c>
      <c r="M202" t="s">
        <v>297</v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 t="s">
        <v>297</v>
      </c>
      <c r="H203" t="s">
        <v>297</v>
      </c>
      <c r="I203" t="s">
        <v>297</v>
      </c>
      <c r="J203" t="s">
        <v>297</v>
      </c>
      <c r="K203" t="s">
        <v>297</v>
      </c>
      <c r="L203" t="s">
        <v>297</v>
      </c>
      <c r="M203" t="s">
        <v>297</v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 t="s">
        <v>297</v>
      </c>
      <c r="H204" t="s">
        <v>297</v>
      </c>
      <c r="I204" t="s">
        <v>297</v>
      </c>
      <c r="J204" t="s">
        <v>297</v>
      </c>
      <c r="K204" t="s">
        <v>297</v>
      </c>
      <c r="L204" t="s">
        <v>297</v>
      </c>
      <c r="M204" t="s">
        <v>297</v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 t="s">
        <v>297</v>
      </c>
      <c r="H205" t="s">
        <v>297</v>
      </c>
      <c r="I205" t="s">
        <v>297</v>
      </c>
      <c r="J205" t="s">
        <v>297</v>
      </c>
      <c r="K205" t="s">
        <v>297</v>
      </c>
      <c r="L205" t="s">
        <v>297</v>
      </c>
      <c r="M205" t="s">
        <v>297</v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 t="s">
        <v>297</v>
      </c>
      <c r="H206" t="s">
        <v>297</v>
      </c>
      <c r="I206" t="s">
        <v>297</v>
      </c>
      <c r="J206" t="s">
        <v>297</v>
      </c>
      <c r="K206" t="s">
        <v>297</v>
      </c>
      <c r="L206" t="s">
        <v>297</v>
      </c>
      <c r="M206" t="s">
        <v>297</v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 t="s">
        <v>297</v>
      </c>
      <c r="H207" t="s">
        <v>297</v>
      </c>
      <c r="I207" t="s">
        <v>297</v>
      </c>
      <c r="J207" t="s">
        <v>297</v>
      </c>
      <c r="K207" t="s">
        <v>297</v>
      </c>
      <c r="L207" t="s">
        <v>297</v>
      </c>
      <c r="M207" t="s">
        <v>297</v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 t="s">
        <v>297</v>
      </c>
      <c r="H208" t="s">
        <v>297</v>
      </c>
      <c r="I208" t="s">
        <v>297</v>
      </c>
      <c r="J208" t="s">
        <v>297</v>
      </c>
      <c r="K208" t="s">
        <v>297</v>
      </c>
      <c r="L208" t="s">
        <v>297</v>
      </c>
      <c r="M208" t="s">
        <v>297</v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 t="s">
        <v>297</v>
      </c>
      <c r="H209" t="s">
        <v>297</v>
      </c>
      <c r="I209" t="s">
        <v>297</v>
      </c>
      <c r="J209" t="s">
        <v>297</v>
      </c>
      <c r="K209" t="s">
        <v>297</v>
      </c>
      <c r="L209" t="s">
        <v>297</v>
      </c>
      <c r="M209" t="s">
        <v>297</v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 t="s">
        <v>297</v>
      </c>
      <c r="H210" t="s">
        <v>297</v>
      </c>
      <c r="I210" t="s">
        <v>297</v>
      </c>
      <c r="J210" t="s">
        <v>297</v>
      </c>
      <c r="K210" t="s">
        <v>297</v>
      </c>
      <c r="L210" t="s">
        <v>297</v>
      </c>
      <c r="M210" t="s">
        <v>297</v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 t="s">
        <v>297</v>
      </c>
      <c r="H211" t="s">
        <v>297</v>
      </c>
      <c r="I211" t="s">
        <v>297</v>
      </c>
      <c r="J211" t="s">
        <v>297</v>
      </c>
      <c r="K211" t="s">
        <v>297</v>
      </c>
      <c r="L211" t="s">
        <v>297</v>
      </c>
      <c r="M211" t="s">
        <v>297</v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 t="s">
        <v>297</v>
      </c>
      <c r="H212" t="s">
        <v>297</v>
      </c>
      <c r="I212" t="s">
        <v>297</v>
      </c>
      <c r="J212" t="s">
        <v>297</v>
      </c>
      <c r="K212" t="s">
        <v>297</v>
      </c>
      <c r="L212" t="s">
        <v>297</v>
      </c>
      <c r="M212" t="s">
        <v>297</v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 t="s">
        <v>297</v>
      </c>
      <c r="H213" t="s">
        <v>297</v>
      </c>
      <c r="I213" t="s">
        <v>297</v>
      </c>
      <c r="J213" t="s">
        <v>297</v>
      </c>
      <c r="K213" t="s">
        <v>297</v>
      </c>
      <c r="L213" t="s">
        <v>297</v>
      </c>
      <c r="M213" t="s">
        <v>297</v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 t="s">
        <v>297</v>
      </c>
      <c r="H214" t="s">
        <v>297</v>
      </c>
      <c r="I214" t="s">
        <v>297</v>
      </c>
      <c r="J214" t="s">
        <v>297</v>
      </c>
      <c r="K214" t="s">
        <v>297</v>
      </c>
      <c r="L214" t="s">
        <v>297</v>
      </c>
      <c r="M214" t="s">
        <v>297</v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 t="s">
        <v>297</v>
      </c>
      <c r="H215" t="s">
        <v>297</v>
      </c>
      <c r="I215" t="s">
        <v>297</v>
      </c>
      <c r="J215" t="s">
        <v>297</v>
      </c>
      <c r="K215" t="s">
        <v>297</v>
      </c>
      <c r="L215" t="s">
        <v>297</v>
      </c>
      <c r="M215" t="s">
        <v>297</v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 t="s">
        <v>297</v>
      </c>
      <c r="H216" t="s">
        <v>297</v>
      </c>
      <c r="I216" t="s">
        <v>297</v>
      </c>
      <c r="J216" t="s">
        <v>297</v>
      </c>
      <c r="K216" t="s">
        <v>297</v>
      </c>
      <c r="L216" t="s">
        <v>297</v>
      </c>
      <c r="M216" t="s">
        <v>297</v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 t="s">
        <v>297</v>
      </c>
      <c r="H217" t="s">
        <v>297</v>
      </c>
      <c r="I217" t="s">
        <v>297</v>
      </c>
      <c r="J217" t="s">
        <v>297</v>
      </c>
      <c r="K217" t="s">
        <v>297</v>
      </c>
      <c r="L217" t="s">
        <v>297</v>
      </c>
      <c r="M217" t="s">
        <v>297</v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 t="s">
        <v>297</v>
      </c>
      <c r="H218" t="s">
        <v>297</v>
      </c>
      <c r="I218" t="s">
        <v>297</v>
      </c>
      <c r="J218" t="s">
        <v>297</v>
      </c>
      <c r="K218" t="s">
        <v>297</v>
      </c>
      <c r="L218" t="s">
        <v>297</v>
      </c>
      <c r="M218" t="s">
        <v>297</v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 t="s">
        <v>297</v>
      </c>
      <c r="H219" t="s">
        <v>297</v>
      </c>
      <c r="I219" t="s">
        <v>297</v>
      </c>
      <c r="J219" t="s">
        <v>297</v>
      </c>
      <c r="K219" t="s">
        <v>297</v>
      </c>
      <c r="L219" t="s">
        <v>297</v>
      </c>
      <c r="M219" t="s">
        <v>297</v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 t="s">
        <v>297</v>
      </c>
      <c r="H220" t="s">
        <v>297</v>
      </c>
      <c r="I220" t="s">
        <v>297</v>
      </c>
      <c r="J220" t="s">
        <v>297</v>
      </c>
      <c r="K220" t="s">
        <v>297</v>
      </c>
      <c r="L220" t="s">
        <v>297</v>
      </c>
      <c r="M220" t="s">
        <v>297</v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 t="s">
        <v>297</v>
      </c>
      <c r="H221" t="s">
        <v>297</v>
      </c>
      <c r="I221" t="s">
        <v>297</v>
      </c>
      <c r="J221" t="s">
        <v>297</v>
      </c>
      <c r="K221" t="s">
        <v>297</v>
      </c>
      <c r="L221" t="s">
        <v>297</v>
      </c>
      <c r="M221" t="s">
        <v>297</v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 t="s">
        <v>297</v>
      </c>
      <c r="H222" t="s">
        <v>297</v>
      </c>
      <c r="I222" t="s">
        <v>297</v>
      </c>
      <c r="J222" t="s">
        <v>297</v>
      </c>
      <c r="K222" t="s">
        <v>297</v>
      </c>
      <c r="L222" t="s">
        <v>297</v>
      </c>
      <c r="M222" t="s">
        <v>297</v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 t="s">
        <v>297</v>
      </c>
      <c r="H223" t="s">
        <v>297</v>
      </c>
      <c r="I223" t="s">
        <v>297</v>
      </c>
      <c r="J223" t="s">
        <v>297</v>
      </c>
      <c r="K223" t="s">
        <v>297</v>
      </c>
      <c r="L223" t="s">
        <v>297</v>
      </c>
      <c r="M223" t="s">
        <v>297</v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 t="s">
        <v>297</v>
      </c>
      <c r="H224" t="s">
        <v>297</v>
      </c>
      <c r="I224" t="s">
        <v>297</v>
      </c>
      <c r="J224" t="s">
        <v>297</v>
      </c>
      <c r="K224" t="s">
        <v>297</v>
      </c>
      <c r="L224" t="s">
        <v>297</v>
      </c>
      <c r="M224" t="s">
        <v>297</v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 t="s">
        <v>297</v>
      </c>
      <c r="H225" t="s">
        <v>297</v>
      </c>
      <c r="I225" t="s">
        <v>297</v>
      </c>
      <c r="J225" t="s">
        <v>297</v>
      </c>
      <c r="K225" t="s">
        <v>297</v>
      </c>
      <c r="L225" t="s">
        <v>297</v>
      </c>
      <c r="M225" t="s">
        <v>297</v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 t="s">
        <v>297</v>
      </c>
      <c r="H226" t="s">
        <v>297</v>
      </c>
      <c r="I226" t="s">
        <v>297</v>
      </c>
      <c r="J226" t="s">
        <v>297</v>
      </c>
      <c r="K226" t="s">
        <v>297</v>
      </c>
      <c r="L226" t="s">
        <v>297</v>
      </c>
      <c r="M226" t="s">
        <v>297</v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 t="s">
        <v>297</v>
      </c>
      <c r="H227" t="s">
        <v>297</v>
      </c>
      <c r="I227" t="s">
        <v>297</v>
      </c>
      <c r="J227" t="s">
        <v>297</v>
      </c>
      <c r="K227" t="s">
        <v>297</v>
      </c>
      <c r="L227" t="s">
        <v>297</v>
      </c>
      <c r="M227" t="s">
        <v>297</v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 t="s">
        <v>297</v>
      </c>
      <c r="H228" t="s">
        <v>297</v>
      </c>
      <c r="I228" t="s">
        <v>297</v>
      </c>
      <c r="J228" t="s">
        <v>297</v>
      </c>
      <c r="K228" t="s">
        <v>297</v>
      </c>
      <c r="L228" t="s">
        <v>297</v>
      </c>
      <c r="M228" t="s">
        <v>297</v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 t="s">
        <v>297</v>
      </c>
      <c r="H229" t="s">
        <v>297</v>
      </c>
      <c r="I229" t="s">
        <v>297</v>
      </c>
      <c r="J229" t="s">
        <v>297</v>
      </c>
      <c r="K229" t="s">
        <v>297</v>
      </c>
      <c r="L229" t="s">
        <v>297</v>
      </c>
      <c r="M229" t="s">
        <v>297</v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 t="s">
        <v>297</v>
      </c>
      <c r="H230" t="s">
        <v>297</v>
      </c>
      <c r="I230" t="s">
        <v>297</v>
      </c>
      <c r="J230" t="s">
        <v>297</v>
      </c>
      <c r="K230" t="s">
        <v>297</v>
      </c>
      <c r="L230" t="s">
        <v>297</v>
      </c>
      <c r="M230" t="s">
        <v>297</v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 t="s">
        <v>297</v>
      </c>
      <c r="H231" t="s">
        <v>297</v>
      </c>
      <c r="I231" t="s">
        <v>297</v>
      </c>
      <c r="J231" t="s">
        <v>297</v>
      </c>
      <c r="K231" t="s">
        <v>297</v>
      </c>
      <c r="L231" t="s">
        <v>297</v>
      </c>
      <c r="M231" t="s">
        <v>297</v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 t="s">
        <v>297</v>
      </c>
      <c r="H232" t="s">
        <v>297</v>
      </c>
      <c r="I232" t="s">
        <v>297</v>
      </c>
      <c r="J232" t="s">
        <v>297</v>
      </c>
      <c r="K232" t="s">
        <v>297</v>
      </c>
      <c r="L232" t="s">
        <v>297</v>
      </c>
      <c r="M232" t="s">
        <v>297</v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 t="s">
        <v>297</v>
      </c>
      <c r="H233" t="s">
        <v>297</v>
      </c>
      <c r="I233" t="s">
        <v>297</v>
      </c>
      <c r="J233" t="s">
        <v>297</v>
      </c>
      <c r="K233" t="s">
        <v>297</v>
      </c>
      <c r="L233" t="s">
        <v>297</v>
      </c>
      <c r="M233" t="s">
        <v>297</v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 t="s">
        <v>297</v>
      </c>
      <c r="H234" t="s">
        <v>297</v>
      </c>
      <c r="I234" t="s">
        <v>297</v>
      </c>
      <c r="J234" t="s">
        <v>297</v>
      </c>
      <c r="K234" t="s">
        <v>297</v>
      </c>
      <c r="L234" t="s">
        <v>297</v>
      </c>
      <c r="M234" t="s">
        <v>297</v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 t="s">
        <v>297</v>
      </c>
      <c r="H235" t="s">
        <v>297</v>
      </c>
      <c r="I235" t="s">
        <v>297</v>
      </c>
      <c r="J235" t="s">
        <v>297</v>
      </c>
      <c r="K235" t="s">
        <v>297</v>
      </c>
      <c r="L235" t="s">
        <v>297</v>
      </c>
      <c r="M235" t="s">
        <v>297</v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 t="s">
        <v>297</v>
      </c>
      <c r="H236" t="s">
        <v>297</v>
      </c>
      <c r="I236" t="s">
        <v>297</v>
      </c>
      <c r="J236" t="s">
        <v>297</v>
      </c>
      <c r="K236" t="s">
        <v>297</v>
      </c>
      <c r="L236" t="s">
        <v>297</v>
      </c>
      <c r="M236" t="s">
        <v>297</v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 t="s">
        <v>297</v>
      </c>
      <c r="H237" t="s">
        <v>297</v>
      </c>
      <c r="I237" t="s">
        <v>297</v>
      </c>
      <c r="J237" t="s">
        <v>297</v>
      </c>
      <c r="K237" t="s">
        <v>297</v>
      </c>
      <c r="L237" t="s">
        <v>297</v>
      </c>
      <c r="M237" t="s">
        <v>297</v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 t="s">
        <v>297</v>
      </c>
      <c r="H238" t="s">
        <v>297</v>
      </c>
      <c r="I238" t="s">
        <v>297</v>
      </c>
      <c r="J238" t="s">
        <v>297</v>
      </c>
      <c r="K238" t="s">
        <v>297</v>
      </c>
      <c r="L238" t="s">
        <v>297</v>
      </c>
      <c r="M238" t="s">
        <v>297</v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 t="s">
        <v>297</v>
      </c>
      <c r="H239" t="s">
        <v>297</v>
      </c>
      <c r="I239" t="s">
        <v>297</v>
      </c>
      <c r="J239" t="s">
        <v>297</v>
      </c>
      <c r="K239" t="s">
        <v>297</v>
      </c>
      <c r="L239" t="s">
        <v>297</v>
      </c>
      <c r="M239" t="s">
        <v>297</v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 t="s">
        <v>297</v>
      </c>
      <c r="H240" t="s">
        <v>297</v>
      </c>
      <c r="I240" t="s">
        <v>297</v>
      </c>
      <c r="J240" t="s">
        <v>297</v>
      </c>
      <c r="K240" t="s">
        <v>297</v>
      </c>
      <c r="L240" t="s">
        <v>297</v>
      </c>
      <c r="M240" t="s">
        <v>297</v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 t="s">
        <v>297</v>
      </c>
      <c r="H241" t="s">
        <v>297</v>
      </c>
      <c r="I241" t="s">
        <v>297</v>
      </c>
      <c r="J241" t="s">
        <v>297</v>
      </c>
      <c r="K241" t="s">
        <v>297</v>
      </c>
      <c r="L241" t="s">
        <v>297</v>
      </c>
      <c r="M241" t="s">
        <v>297</v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 t="s">
        <v>297</v>
      </c>
      <c r="H242" t="s">
        <v>297</v>
      </c>
      <c r="I242" t="s">
        <v>297</v>
      </c>
      <c r="J242" t="s">
        <v>297</v>
      </c>
      <c r="K242" t="s">
        <v>297</v>
      </c>
      <c r="L242" t="s">
        <v>297</v>
      </c>
      <c r="M242" t="s">
        <v>297</v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 t="s">
        <v>297</v>
      </c>
      <c r="H243" t="s">
        <v>297</v>
      </c>
      <c r="I243" t="s">
        <v>297</v>
      </c>
      <c r="J243" t="s">
        <v>297</v>
      </c>
      <c r="K243" t="s">
        <v>297</v>
      </c>
      <c r="L243" t="s">
        <v>297</v>
      </c>
      <c r="M243" t="s">
        <v>297</v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 t="s">
        <v>297</v>
      </c>
      <c r="H244" t="s">
        <v>297</v>
      </c>
      <c r="I244" t="s">
        <v>297</v>
      </c>
      <c r="J244" t="s">
        <v>297</v>
      </c>
      <c r="K244" t="s">
        <v>297</v>
      </c>
      <c r="L244" t="s">
        <v>297</v>
      </c>
      <c r="M244" t="s">
        <v>297</v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 t="s">
        <v>297</v>
      </c>
      <c r="H245" t="s">
        <v>297</v>
      </c>
      <c r="I245" t="s">
        <v>297</v>
      </c>
      <c r="J245" t="s">
        <v>297</v>
      </c>
      <c r="K245" t="s">
        <v>297</v>
      </c>
      <c r="L245" t="s">
        <v>297</v>
      </c>
      <c r="M245" t="s">
        <v>297</v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 t="s">
        <v>297</v>
      </c>
      <c r="H246" t="s">
        <v>297</v>
      </c>
      <c r="I246" t="s">
        <v>297</v>
      </c>
      <c r="J246" t="s">
        <v>297</v>
      </c>
      <c r="K246" t="s">
        <v>297</v>
      </c>
      <c r="L246" t="s">
        <v>297</v>
      </c>
      <c r="M246" t="s">
        <v>297</v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 t="s">
        <v>297</v>
      </c>
      <c r="H247" t="s">
        <v>297</v>
      </c>
      <c r="I247" t="s">
        <v>297</v>
      </c>
      <c r="J247" t="s">
        <v>297</v>
      </c>
      <c r="K247" t="s">
        <v>297</v>
      </c>
      <c r="L247" t="s">
        <v>297</v>
      </c>
      <c r="M247" t="s">
        <v>297</v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 t="s">
        <v>297</v>
      </c>
      <c r="H248" t="s">
        <v>297</v>
      </c>
      <c r="I248" t="s">
        <v>297</v>
      </c>
      <c r="J248" t="s">
        <v>297</v>
      </c>
      <c r="K248" t="s">
        <v>297</v>
      </c>
      <c r="L248" t="s">
        <v>297</v>
      </c>
      <c r="M248" t="s">
        <v>297</v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 t="s">
        <v>297</v>
      </c>
      <c r="H249" t="s">
        <v>297</v>
      </c>
      <c r="I249" t="s">
        <v>297</v>
      </c>
      <c r="J249" t="s">
        <v>297</v>
      </c>
      <c r="K249" t="s">
        <v>297</v>
      </c>
      <c r="L249" t="s">
        <v>297</v>
      </c>
      <c r="M249" t="s">
        <v>297</v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 t="s">
        <v>297</v>
      </c>
      <c r="H250" t="s">
        <v>297</v>
      </c>
      <c r="I250" t="s">
        <v>297</v>
      </c>
      <c r="J250" t="s">
        <v>297</v>
      </c>
      <c r="K250" t="s">
        <v>297</v>
      </c>
      <c r="L250" t="s">
        <v>297</v>
      </c>
      <c r="M250" t="s">
        <v>297</v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 t="s">
        <v>297</v>
      </c>
      <c r="H251" t="s">
        <v>297</v>
      </c>
      <c r="I251" t="s">
        <v>297</v>
      </c>
      <c r="J251" t="s">
        <v>297</v>
      </c>
      <c r="K251" t="s">
        <v>297</v>
      </c>
      <c r="L251" t="s">
        <v>297</v>
      </c>
      <c r="M251" t="s">
        <v>297</v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 t="s">
        <v>297</v>
      </c>
      <c r="H252" t="s">
        <v>297</v>
      </c>
      <c r="I252" t="s">
        <v>297</v>
      </c>
      <c r="J252" t="s">
        <v>297</v>
      </c>
      <c r="K252" t="s">
        <v>297</v>
      </c>
      <c r="L252" t="s">
        <v>297</v>
      </c>
      <c r="M252" t="s">
        <v>297</v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 t="s">
        <v>297</v>
      </c>
      <c r="H253" t="s">
        <v>297</v>
      </c>
      <c r="I253" t="s">
        <v>297</v>
      </c>
      <c r="J253" t="s">
        <v>297</v>
      </c>
      <c r="K253" t="s">
        <v>297</v>
      </c>
      <c r="L253" t="s">
        <v>297</v>
      </c>
      <c r="M253" t="s">
        <v>297</v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 t="s">
        <v>297</v>
      </c>
      <c r="H254" t="s">
        <v>297</v>
      </c>
      <c r="I254" t="s">
        <v>297</v>
      </c>
      <c r="J254" t="s">
        <v>297</v>
      </c>
      <c r="K254" t="s">
        <v>297</v>
      </c>
      <c r="L254" t="s">
        <v>297</v>
      </c>
      <c r="M254" t="s">
        <v>297</v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 t="s">
        <v>297</v>
      </c>
      <c r="H255" t="s">
        <v>297</v>
      </c>
      <c r="I255" t="s">
        <v>297</v>
      </c>
      <c r="J255" t="s">
        <v>297</v>
      </c>
      <c r="K255" t="s">
        <v>297</v>
      </c>
      <c r="L255" t="s">
        <v>297</v>
      </c>
      <c r="M255" t="s">
        <v>297</v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 t="s">
        <v>297</v>
      </c>
      <c r="H256" t="s">
        <v>297</v>
      </c>
      <c r="I256" t="s">
        <v>297</v>
      </c>
      <c r="J256" t="s">
        <v>297</v>
      </c>
      <c r="K256" t="s">
        <v>297</v>
      </c>
      <c r="L256" t="s">
        <v>297</v>
      </c>
      <c r="M256" t="s">
        <v>297</v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 t="s">
        <v>297</v>
      </c>
      <c r="H257" t="s">
        <v>297</v>
      </c>
      <c r="I257" t="s">
        <v>297</v>
      </c>
      <c r="J257" t="s">
        <v>297</v>
      </c>
      <c r="K257" t="s">
        <v>297</v>
      </c>
      <c r="L257" t="s">
        <v>297</v>
      </c>
      <c r="M257" t="s">
        <v>297</v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 t="s">
        <v>297</v>
      </c>
      <c r="H258" t="s">
        <v>297</v>
      </c>
      <c r="I258" t="s">
        <v>297</v>
      </c>
      <c r="J258" t="s">
        <v>297</v>
      </c>
      <c r="K258" t="s">
        <v>297</v>
      </c>
      <c r="L258" t="s">
        <v>297</v>
      </c>
      <c r="M258" t="s">
        <v>297</v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 t="s">
        <v>297</v>
      </c>
      <c r="H259" t="s">
        <v>297</v>
      </c>
      <c r="I259" t="s">
        <v>297</v>
      </c>
      <c r="J259" t="s">
        <v>297</v>
      </c>
      <c r="K259" t="s">
        <v>297</v>
      </c>
      <c r="L259" t="s">
        <v>297</v>
      </c>
      <c r="M259" t="s">
        <v>297</v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 t="s">
        <v>297</v>
      </c>
      <c r="H260" t="s">
        <v>297</v>
      </c>
      <c r="I260" t="s">
        <v>297</v>
      </c>
      <c r="J260" t="s">
        <v>297</v>
      </c>
      <c r="K260" t="s">
        <v>297</v>
      </c>
      <c r="L260" t="s">
        <v>297</v>
      </c>
      <c r="M260" t="s">
        <v>297</v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 t="s">
        <v>297</v>
      </c>
      <c r="H261" t="s">
        <v>297</v>
      </c>
      <c r="I261" t="s">
        <v>297</v>
      </c>
      <c r="J261" t="s">
        <v>297</v>
      </c>
      <c r="K261" t="s">
        <v>297</v>
      </c>
      <c r="L261" t="s">
        <v>297</v>
      </c>
      <c r="M261" t="s">
        <v>297</v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 t="s">
        <v>297</v>
      </c>
      <c r="H262" t="s">
        <v>297</v>
      </c>
      <c r="I262" t="s">
        <v>297</v>
      </c>
      <c r="J262" t="s">
        <v>297</v>
      </c>
      <c r="K262" t="s">
        <v>297</v>
      </c>
      <c r="L262" t="s">
        <v>297</v>
      </c>
      <c r="M262" t="s">
        <v>297</v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 t="s">
        <v>297</v>
      </c>
      <c r="H263" t="s">
        <v>297</v>
      </c>
      <c r="I263" t="s">
        <v>297</v>
      </c>
      <c r="J263" t="s">
        <v>297</v>
      </c>
      <c r="K263" t="s">
        <v>297</v>
      </c>
      <c r="L263" t="s">
        <v>297</v>
      </c>
      <c r="M263" t="s">
        <v>297</v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 t="s">
        <v>297</v>
      </c>
      <c r="H264" t="s">
        <v>297</v>
      </c>
      <c r="I264" t="s">
        <v>297</v>
      </c>
      <c r="J264" t="s">
        <v>297</v>
      </c>
      <c r="K264" t="s">
        <v>297</v>
      </c>
      <c r="L264" t="s">
        <v>297</v>
      </c>
      <c r="M264" t="s">
        <v>297</v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 t="s">
        <v>297</v>
      </c>
      <c r="H265" t="s">
        <v>297</v>
      </c>
      <c r="I265" t="s">
        <v>297</v>
      </c>
      <c r="J265" t="s">
        <v>297</v>
      </c>
      <c r="K265" t="s">
        <v>297</v>
      </c>
      <c r="L265" t="s">
        <v>297</v>
      </c>
      <c r="M265" t="s">
        <v>297</v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 t="s">
        <v>297</v>
      </c>
      <c r="H266" t="s">
        <v>297</v>
      </c>
      <c r="I266" t="s">
        <v>297</v>
      </c>
      <c r="J266" t="s">
        <v>297</v>
      </c>
      <c r="K266" t="s">
        <v>297</v>
      </c>
      <c r="L266" t="s">
        <v>297</v>
      </c>
      <c r="M266" t="s">
        <v>297</v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 t="s">
        <v>297</v>
      </c>
      <c r="H267" t="s">
        <v>297</v>
      </c>
      <c r="I267" t="s">
        <v>297</v>
      </c>
      <c r="J267" t="s">
        <v>297</v>
      </c>
      <c r="K267" t="s">
        <v>297</v>
      </c>
      <c r="L267" t="s">
        <v>297</v>
      </c>
      <c r="M267" t="s">
        <v>297</v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 t="s">
        <v>297</v>
      </c>
      <c r="H268" t="s">
        <v>297</v>
      </c>
      <c r="I268" t="s">
        <v>297</v>
      </c>
      <c r="J268" t="s">
        <v>297</v>
      </c>
      <c r="K268" t="s">
        <v>297</v>
      </c>
      <c r="L268" t="s">
        <v>297</v>
      </c>
      <c r="M268" t="s">
        <v>297</v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 t="s">
        <v>297</v>
      </c>
      <c r="H269" t="s">
        <v>297</v>
      </c>
      <c r="I269" t="s">
        <v>297</v>
      </c>
      <c r="J269" t="s">
        <v>297</v>
      </c>
      <c r="K269" t="s">
        <v>297</v>
      </c>
      <c r="L269" t="s">
        <v>297</v>
      </c>
      <c r="M269" t="s">
        <v>297</v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 t="s">
        <v>297</v>
      </c>
      <c r="H270" t="s">
        <v>297</v>
      </c>
      <c r="I270" t="s">
        <v>297</v>
      </c>
      <c r="J270" t="s">
        <v>297</v>
      </c>
      <c r="K270" t="s">
        <v>297</v>
      </c>
      <c r="L270" t="s">
        <v>297</v>
      </c>
      <c r="M270" t="s">
        <v>297</v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 t="s">
        <v>297</v>
      </c>
      <c r="H271" t="s">
        <v>297</v>
      </c>
      <c r="I271" t="s">
        <v>297</v>
      </c>
      <c r="J271" t="s">
        <v>297</v>
      </c>
      <c r="K271" t="s">
        <v>297</v>
      </c>
      <c r="L271" t="s">
        <v>297</v>
      </c>
      <c r="M271" t="s">
        <v>297</v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 t="s">
        <v>297</v>
      </c>
      <c r="H272" t="s">
        <v>297</v>
      </c>
      <c r="I272" t="s">
        <v>297</v>
      </c>
      <c r="J272" t="s">
        <v>297</v>
      </c>
      <c r="K272" t="s">
        <v>297</v>
      </c>
      <c r="L272" t="s">
        <v>297</v>
      </c>
      <c r="M272" t="s">
        <v>297</v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 t="s">
        <v>297</v>
      </c>
      <c r="H273" t="s">
        <v>297</v>
      </c>
      <c r="I273" t="s">
        <v>297</v>
      </c>
      <c r="J273" t="s">
        <v>297</v>
      </c>
      <c r="K273" t="s">
        <v>297</v>
      </c>
      <c r="L273" t="s">
        <v>297</v>
      </c>
      <c r="M273" t="s">
        <v>297</v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 t="s">
        <v>297</v>
      </c>
      <c r="H274" t="s">
        <v>297</v>
      </c>
      <c r="I274" t="s">
        <v>297</v>
      </c>
      <c r="J274" t="s">
        <v>297</v>
      </c>
      <c r="K274" t="s">
        <v>297</v>
      </c>
      <c r="L274" t="s">
        <v>297</v>
      </c>
      <c r="M274" t="s">
        <v>297</v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 t="s">
        <v>297</v>
      </c>
      <c r="H275" t="s">
        <v>297</v>
      </c>
      <c r="I275" t="s">
        <v>297</v>
      </c>
      <c r="J275" t="s">
        <v>297</v>
      </c>
      <c r="K275" t="s">
        <v>297</v>
      </c>
      <c r="L275" t="s">
        <v>297</v>
      </c>
      <c r="M275" t="s">
        <v>297</v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 t="s">
        <v>297</v>
      </c>
      <c r="H276" t="s">
        <v>297</v>
      </c>
      <c r="I276" t="s">
        <v>297</v>
      </c>
      <c r="J276" t="s">
        <v>297</v>
      </c>
      <c r="K276" t="s">
        <v>297</v>
      </c>
      <c r="L276" t="s">
        <v>297</v>
      </c>
      <c r="M276" t="s">
        <v>297</v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 t="s">
        <v>297</v>
      </c>
      <c r="H277" t="s">
        <v>297</v>
      </c>
      <c r="I277" t="s">
        <v>297</v>
      </c>
      <c r="J277" t="s">
        <v>297</v>
      </c>
      <c r="K277" t="s">
        <v>297</v>
      </c>
      <c r="L277" t="s">
        <v>297</v>
      </c>
      <c r="M277" t="s">
        <v>297</v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 t="s">
        <v>297</v>
      </c>
      <c r="H278" t="s">
        <v>297</v>
      </c>
      <c r="I278" t="s">
        <v>297</v>
      </c>
      <c r="J278" t="s">
        <v>297</v>
      </c>
      <c r="K278" t="s">
        <v>297</v>
      </c>
      <c r="L278" t="s">
        <v>297</v>
      </c>
      <c r="M278" t="s">
        <v>297</v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 t="s">
        <v>297</v>
      </c>
      <c r="H279" t="s">
        <v>297</v>
      </c>
      <c r="I279" t="s">
        <v>297</v>
      </c>
      <c r="J279" t="s">
        <v>297</v>
      </c>
      <c r="K279" t="s">
        <v>297</v>
      </c>
      <c r="L279" t="s">
        <v>297</v>
      </c>
      <c r="M279" t="s">
        <v>297</v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 t="s">
        <v>297</v>
      </c>
      <c r="H280" t="s">
        <v>297</v>
      </c>
      <c r="I280" t="s">
        <v>297</v>
      </c>
      <c r="J280" t="s">
        <v>297</v>
      </c>
      <c r="K280" t="s">
        <v>297</v>
      </c>
      <c r="L280" t="s">
        <v>297</v>
      </c>
      <c r="M280" t="s">
        <v>297</v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 t="s">
        <v>297</v>
      </c>
      <c r="H281" t="s">
        <v>297</v>
      </c>
      <c r="I281" t="s">
        <v>297</v>
      </c>
      <c r="J281" t="s">
        <v>297</v>
      </c>
      <c r="K281" t="s">
        <v>297</v>
      </c>
      <c r="L281" t="s">
        <v>297</v>
      </c>
      <c r="M281" t="s">
        <v>297</v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 t="s">
        <v>297</v>
      </c>
      <c r="H282" t="s">
        <v>297</v>
      </c>
      <c r="I282" t="s">
        <v>297</v>
      </c>
      <c r="J282" t="s">
        <v>297</v>
      </c>
      <c r="K282" t="s">
        <v>297</v>
      </c>
      <c r="L282" t="s">
        <v>297</v>
      </c>
      <c r="M282" t="s">
        <v>297</v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 t="s">
        <v>297</v>
      </c>
      <c r="H283" t="s">
        <v>297</v>
      </c>
      <c r="I283" t="s">
        <v>297</v>
      </c>
      <c r="J283" t="s">
        <v>297</v>
      </c>
      <c r="K283" t="s">
        <v>297</v>
      </c>
      <c r="L283" t="s">
        <v>297</v>
      </c>
      <c r="M283" t="s">
        <v>297</v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 t="s">
        <v>297</v>
      </c>
      <c r="H284" t="s">
        <v>297</v>
      </c>
      <c r="I284" t="s">
        <v>297</v>
      </c>
      <c r="J284" t="s">
        <v>297</v>
      </c>
      <c r="K284" t="s">
        <v>297</v>
      </c>
      <c r="L284" t="s">
        <v>297</v>
      </c>
      <c r="M284" t="s">
        <v>297</v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 t="s">
        <v>297</v>
      </c>
      <c r="H285" t="s">
        <v>297</v>
      </c>
      <c r="I285" t="s">
        <v>297</v>
      </c>
      <c r="J285" t="s">
        <v>297</v>
      </c>
      <c r="K285" t="s">
        <v>297</v>
      </c>
      <c r="L285" t="s">
        <v>297</v>
      </c>
      <c r="M285" t="s">
        <v>297</v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 t="s">
        <v>297</v>
      </c>
      <c r="H286" t="s">
        <v>297</v>
      </c>
      <c r="I286" t="s">
        <v>297</v>
      </c>
      <c r="J286" t="s">
        <v>297</v>
      </c>
      <c r="K286" t="s">
        <v>297</v>
      </c>
      <c r="L286" t="s">
        <v>297</v>
      </c>
      <c r="M286" t="s">
        <v>297</v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 t="s">
        <v>297</v>
      </c>
      <c r="H287" t="s">
        <v>297</v>
      </c>
      <c r="I287" t="s">
        <v>297</v>
      </c>
      <c r="J287" t="s">
        <v>297</v>
      </c>
      <c r="K287" t="s">
        <v>297</v>
      </c>
      <c r="L287" t="s">
        <v>297</v>
      </c>
      <c r="M287" t="s">
        <v>297</v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 t="s">
        <v>297</v>
      </c>
      <c r="H288" t="s">
        <v>297</v>
      </c>
      <c r="I288" t="s">
        <v>297</v>
      </c>
      <c r="J288" t="s">
        <v>297</v>
      </c>
      <c r="K288" t="s">
        <v>297</v>
      </c>
      <c r="L288" t="s">
        <v>297</v>
      </c>
      <c r="M288" t="s">
        <v>297</v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 t="s">
        <v>297</v>
      </c>
      <c r="H289" t="s">
        <v>297</v>
      </c>
      <c r="I289" t="s">
        <v>297</v>
      </c>
      <c r="J289" t="s">
        <v>297</v>
      </c>
      <c r="K289" t="s">
        <v>297</v>
      </c>
      <c r="L289" t="s">
        <v>297</v>
      </c>
      <c r="M289" t="s">
        <v>297</v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 t="s">
        <v>297</v>
      </c>
      <c r="H290" t="s">
        <v>297</v>
      </c>
      <c r="I290" t="s">
        <v>297</v>
      </c>
      <c r="J290" t="s">
        <v>297</v>
      </c>
      <c r="K290" t="s">
        <v>297</v>
      </c>
      <c r="L290" t="s">
        <v>297</v>
      </c>
      <c r="M290" t="s">
        <v>297</v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 t="s">
        <v>297</v>
      </c>
      <c r="H291" t="s">
        <v>297</v>
      </c>
      <c r="I291" t="s">
        <v>297</v>
      </c>
      <c r="J291" t="s">
        <v>297</v>
      </c>
      <c r="K291" t="s">
        <v>297</v>
      </c>
      <c r="L291" t="s">
        <v>297</v>
      </c>
      <c r="M291" t="s">
        <v>297</v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 t="s">
        <v>297</v>
      </c>
      <c r="H292" t="s">
        <v>297</v>
      </c>
      <c r="I292" t="s">
        <v>297</v>
      </c>
      <c r="J292" t="s">
        <v>297</v>
      </c>
      <c r="K292" t="s">
        <v>297</v>
      </c>
      <c r="L292" t="s">
        <v>297</v>
      </c>
      <c r="M292" t="s">
        <v>297</v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 t="s">
        <v>297</v>
      </c>
      <c r="H293" t="s">
        <v>297</v>
      </c>
      <c r="I293" t="s">
        <v>297</v>
      </c>
      <c r="J293" t="s">
        <v>297</v>
      </c>
      <c r="K293" t="s">
        <v>297</v>
      </c>
      <c r="L293" t="s">
        <v>297</v>
      </c>
      <c r="M293" t="s">
        <v>297</v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 t="s">
        <v>297</v>
      </c>
      <c r="H294" t="s">
        <v>297</v>
      </c>
      <c r="I294" t="s">
        <v>297</v>
      </c>
      <c r="J294" t="s">
        <v>297</v>
      </c>
      <c r="K294" t="s">
        <v>297</v>
      </c>
      <c r="L294" t="s">
        <v>297</v>
      </c>
      <c r="M294" t="s">
        <v>297</v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 t="s">
        <v>297</v>
      </c>
      <c r="H295" t="s">
        <v>297</v>
      </c>
      <c r="I295" t="s">
        <v>297</v>
      </c>
      <c r="J295" t="s">
        <v>297</v>
      </c>
      <c r="K295" t="s">
        <v>297</v>
      </c>
      <c r="L295" t="s">
        <v>297</v>
      </c>
      <c r="M295" t="s">
        <v>297</v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 t="s">
        <v>297</v>
      </c>
      <c r="H296" t="s">
        <v>297</v>
      </c>
      <c r="I296" t="s">
        <v>297</v>
      </c>
      <c r="J296" t="s">
        <v>297</v>
      </c>
      <c r="K296" t="s">
        <v>297</v>
      </c>
      <c r="L296" t="s">
        <v>297</v>
      </c>
      <c r="M296" t="s">
        <v>297</v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 t="s">
        <v>297</v>
      </c>
      <c r="H297" t="s">
        <v>297</v>
      </c>
      <c r="I297" t="s">
        <v>297</v>
      </c>
      <c r="J297" t="s">
        <v>297</v>
      </c>
      <c r="K297" t="s">
        <v>297</v>
      </c>
      <c r="L297" t="s">
        <v>297</v>
      </c>
      <c r="M297" t="s">
        <v>297</v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 t="s">
        <v>297</v>
      </c>
      <c r="H298" t="s">
        <v>297</v>
      </c>
      <c r="I298" t="s">
        <v>297</v>
      </c>
      <c r="J298" t="s">
        <v>297</v>
      </c>
      <c r="K298" t="s">
        <v>297</v>
      </c>
      <c r="L298" t="s">
        <v>297</v>
      </c>
      <c r="M298" t="s">
        <v>297</v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 t="s">
        <v>297</v>
      </c>
      <c r="H299" t="s">
        <v>297</v>
      </c>
      <c r="I299" t="s">
        <v>297</v>
      </c>
      <c r="J299" t="s">
        <v>297</v>
      </c>
      <c r="K299" t="s">
        <v>297</v>
      </c>
      <c r="L299" t="s">
        <v>297</v>
      </c>
      <c r="M299" t="s">
        <v>297</v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 t="s">
        <v>297</v>
      </c>
      <c r="H300" t="s">
        <v>297</v>
      </c>
      <c r="I300" t="s">
        <v>297</v>
      </c>
      <c r="J300" t="s">
        <v>297</v>
      </c>
      <c r="K300" t="s">
        <v>297</v>
      </c>
      <c r="L300" t="s">
        <v>297</v>
      </c>
      <c r="M300" t="s">
        <v>297</v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 t="s">
        <v>297</v>
      </c>
      <c r="H301" t="s">
        <v>297</v>
      </c>
      <c r="I301" t="s">
        <v>297</v>
      </c>
      <c r="J301" t="s">
        <v>297</v>
      </c>
      <c r="K301" t="s">
        <v>297</v>
      </c>
      <c r="L301" t="s">
        <v>297</v>
      </c>
      <c r="M301" t="s">
        <v>297</v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 t="s">
        <v>297</v>
      </c>
      <c r="H302" t="s">
        <v>297</v>
      </c>
      <c r="I302" t="s">
        <v>297</v>
      </c>
      <c r="J302" t="s">
        <v>297</v>
      </c>
      <c r="K302" t="s">
        <v>297</v>
      </c>
      <c r="L302" t="s">
        <v>297</v>
      </c>
      <c r="M302" t="s">
        <v>297</v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 t="s">
        <v>297</v>
      </c>
      <c r="H303" t="s">
        <v>297</v>
      </c>
      <c r="I303" t="s">
        <v>297</v>
      </c>
      <c r="J303" t="s">
        <v>297</v>
      </c>
      <c r="K303" t="s">
        <v>297</v>
      </c>
      <c r="L303" t="s">
        <v>297</v>
      </c>
      <c r="M303" t="s">
        <v>297</v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 t="s">
        <v>297</v>
      </c>
      <c r="H304" t="s">
        <v>297</v>
      </c>
      <c r="I304" t="s">
        <v>297</v>
      </c>
      <c r="J304" t="s">
        <v>297</v>
      </c>
      <c r="K304" t="s">
        <v>297</v>
      </c>
      <c r="L304" t="s">
        <v>297</v>
      </c>
      <c r="M304" t="s">
        <v>297</v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 t="s">
        <v>297</v>
      </c>
      <c r="H305" t="s">
        <v>297</v>
      </c>
      <c r="I305" t="s">
        <v>297</v>
      </c>
      <c r="J305" t="s">
        <v>297</v>
      </c>
      <c r="K305" t="s">
        <v>297</v>
      </c>
      <c r="L305" t="s">
        <v>297</v>
      </c>
      <c r="M305" t="s">
        <v>297</v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 t="s">
        <v>297</v>
      </c>
      <c r="H306" t="s">
        <v>297</v>
      </c>
      <c r="I306" t="s">
        <v>297</v>
      </c>
      <c r="J306" t="s">
        <v>297</v>
      </c>
      <c r="K306" t="s">
        <v>297</v>
      </c>
      <c r="L306" t="s">
        <v>297</v>
      </c>
      <c r="M306" t="s">
        <v>297</v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 t="s">
        <v>297</v>
      </c>
      <c r="H307" t="s">
        <v>297</v>
      </c>
      <c r="I307" t="s">
        <v>297</v>
      </c>
      <c r="J307" t="s">
        <v>297</v>
      </c>
      <c r="K307" t="s">
        <v>297</v>
      </c>
      <c r="L307" t="s">
        <v>297</v>
      </c>
      <c r="M307" t="s">
        <v>297</v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 t="s">
        <v>297</v>
      </c>
      <c r="H308" t="s">
        <v>297</v>
      </c>
      <c r="I308" t="s">
        <v>297</v>
      </c>
      <c r="J308" t="s">
        <v>297</v>
      </c>
      <c r="K308" t="s">
        <v>297</v>
      </c>
      <c r="L308" t="s">
        <v>297</v>
      </c>
      <c r="M308" t="s">
        <v>297</v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 t="s">
        <v>297</v>
      </c>
      <c r="H309" t="s">
        <v>297</v>
      </c>
      <c r="I309" t="s">
        <v>297</v>
      </c>
      <c r="J309" t="s">
        <v>297</v>
      </c>
      <c r="K309" t="s">
        <v>297</v>
      </c>
      <c r="L309" t="s">
        <v>297</v>
      </c>
      <c r="M309" t="s">
        <v>297</v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 t="s">
        <v>297</v>
      </c>
      <c r="H310" t="s">
        <v>297</v>
      </c>
      <c r="I310" t="s">
        <v>297</v>
      </c>
      <c r="J310" t="s">
        <v>297</v>
      </c>
      <c r="K310" t="s">
        <v>297</v>
      </c>
      <c r="L310" t="s">
        <v>297</v>
      </c>
      <c r="M310" t="s">
        <v>297</v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 t="s">
        <v>297</v>
      </c>
      <c r="H311" t="s">
        <v>297</v>
      </c>
      <c r="I311" t="s">
        <v>297</v>
      </c>
      <c r="J311" t="s">
        <v>297</v>
      </c>
      <c r="K311" t="s">
        <v>297</v>
      </c>
      <c r="L311" t="s">
        <v>297</v>
      </c>
      <c r="M311" t="s">
        <v>297</v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 t="s">
        <v>297</v>
      </c>
      <c r="H312" t="s">
        <v>297</v>
      </c>
      <c r="I312" t="s">
        <v>297</v>
      </c>
      <c r="J312" t="s">
        <v>297</v>
      </c>
      <c r="K312" t="s">
        <v>297</v>
      </c>
      <c r="L312" t="s">
        <v>297</v>
      </c>
      <c r="M312" t="s">
        <v>297</v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 t="s">
        <v>297</v>
      </c>
      <c r="H313" t="s">
        <v>297</v>
      </c>
      <c r="I313" t="s">
        <v>297</v>
      </c>
      <c r="J313" t="s">
        <v>297</v>
      </c>
      <c r="K313" t="s">
        <v>297</v>
      </c>
      <c r="L313" t="s">
        <v>297</v>
      </c>
      <c r="M313" t="s">
        <v>297</v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 t="s">
        <v>297</v>
      </c>
      <c r="H314" t="s">
        <v>297</v>
      </c>
      <c r="I314" t="s">
        <v>297</v>
      </c>
      <c r="J314" t="s">
        <v>297</v>
      </c>
      <c r="K314" t="s">
        <v>297</v>
      </c>
      <c r="L314" t="s">
        <v>297</v>
      </c>
      <c r="M314" t="s">
        <v>297</v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 t="s">
        <v>297</v>
      </c>
      <c r="H315" t="s">
        <v>297</v>
      </c>
      <c r="I315" t="s">
        <v>297</v>
      </c>
      <c r="J315" t="s">
        <v>297</v>
      </c>
      <c r="K315" t="s">
        <v>297</v>
      </c>
      <c r="L315" t="s">
        <v>297</v>
      </c>
      <c r="M315" t="s">
        <v>297</v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 t="s">
        <v>297</v>
      </c>
      <c r="H316" t="s">
        <v>297</v>
      </c>
      <c r="I316" t="s">
        <v>297</v>
      </c>
      <c r="J316" t="s">
        <v>297</v>
      </c>
      <c r="K316" t="s">
        <v>297</v>
      </c>
      <c r="L316" t="s">
        <v>297</v>
      </c>
      <c r="M316" t="s">
        <v>297</v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 t="s">
        <v>297</v>
      </c>
      <c r="H317" t="s">
        <v>297</v>
      </c>
      <c r="I317" t="s">
        <v>297</v>
      </c>
      <c r="J317" t="s">
        <v>297</v>
      </c>
      <c r="K317" t="s">
        <v>297</v>
      </c>
      <c r="L317" t="s">
        <v>297</v>
      </c>
      <c r="M317" t="s">
        <v>297</v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 t="s">
        <v>297</v>
      </c>
      <c r="H318" t="s">
        <v>297</v>
      </c>
      <c r="I318" t="s">
        <v>297</v>
      </c>
      <c r="J318" t="s">
        <v>297</v>
      </c>
      <c r="K318" t="s">
        <v>297</v>
      </c>
      <c r="L318" t="s">
        <v>297</v>
      </c>
      <c r="M318" t="s">
        <v>297</v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 t="s">
        <v>297</v>
      </c>
      <c r="H319" t="s">
        <v>297</v>
      </c>
      <c r="I319" t="s">
        <v>297</v>
      </c>
      <c r="J319" t="s">
        <v>297</v>
      </c>
      <c r="K319" t="s">
        <v>297</v>
      </c>
      <c r="L319" t="s">
        <v>297</v>
      </c>
      <c r="M319" t="s">
        <v>297</v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 t="s">
        <v>297</v>
      </c>
      <c r="H320" t="s">
        <v>297</v>
      </c>
      <c r="I320" t="s">
        <v>297</v>
      </c>
      <c r="J320" t="s">
        <v>297</v>
      </c>
      <c r="K320" t="s">
        <v>297</v>
      </c>
      <c r="L320" t="s">
        <v>297</v>
      </c>
      <c r="M320" t="s">
        <v>297</v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 t="s">
        <v>297</v>
      </c>
      <c r="H321" t="s">
        <v>297</v>
      </c>
      <c r="I321" t="s">
        <v>297</v>
      </c>
      <c r="J321" t="s">
        <v>297</v>
      </c>
      <c r="K321" t="s">
        <v>297</v>
      </c>
      <c r="L321" t="s">
        <v>297</v>
      </c>
      <c r="M321" t="s">
        <v>297</v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 t="s">
        <v>297</v>
      </c>
      <c r="H322" t="s">
        <v>297</v>
      </c>
      <c r="I322" t="s">
        <v>297</v>
      </c>
      <c r="J322" t="s">
        <v>297</v>
      </c>
      <c r="K322" t="s">
        <v>297</v>
      </c>
      <c r="L322" t="s">
        <v>297</v>
      </c>
      <c r="M322" t="s">
        <v>297</v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 t="s">
        <v>297</v>
      </c>
      <c r="H323" t="s">
        <v>297</v>
      </c>
      <c r="I323" t="s">
        <v>297</v>
      </c>
      <c r="J323" t="s">
        <v>297</v>
      </c>
      <c r="K323" t="s">
        <v>297</v>
      </c>
      <c r="L323" t="s">
        <v>297</v>
      </c>
      <c r="M323" t="s">
        <v>297</v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 t="s">
        <v>297</v>
      </c>
      <c r="H324" t="s">
        <v>297</v>
      </c>
      <c r="I324" t="s">
        <v>297</v>
      </c>
      <c r="J324" t="s">
        <v>297</v>
      </c>
      <c r="K324" t="s">
        <v>297</v>
      </c>
      <c r="L324" t="s">
        <v>297</v>
      </c>
      <c r="M324" t="s">
        <v>297</v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 t="s">
        <v>297</v>
      </c>
      <c r="H325" t="s">
        <v>297</v>
      </c>
      <c r="I325" t="s">
        <v>297</v>
      </c>
      <c r="J325" t="s">
        <v>297</v>
      </c>
      <c r="K325" t="s">
        <v>297</v>
      </c>
      <c r="L325" t="s">
        <v>297</v>
      </c>
      <c r="M325" t="s">
        <v>297</v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 t="s">
        <v>297</v>
      </c>
      <c r="H326" t="s">
        <v>297</v>
      </c>
      <c r="I326" t="s">
        <v>297</v>
      </c>
      <c r="J326" t="s">
        <v>297</v>
      </c>
      <c r="K326" t="s">
        <v>297</v>
      </c>
      <c r="L326" t="s">
        <v>297</v>
      </c>
      <c r="M326" t="s">
        <v>297</v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 t="s">
        <v>297</v>
      </c>
      <c r="H327" t="s">
        <v>297</v>
      </c>
      <c r="I327" t="s">
        <v>297</v>
      </c>
      <c r="J327" t="s">
        <v>297</v>
      </c>
      <c r="K327" t="s">
        <v>297</v>
      </c>
      <c r="L327" t="s">
        <v>297</v>
      </c>
      <c r="M327" t="s">
        <v>297</v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 t="s">
        <v>297</v>
      </c>
      <c r="H328" t="s">
        <v>297</v>
      </c>
      <c r="I328" t="s">
        <v>297</v>
      </c>
      <c r="J328" t="s">
        <v>297</v>
      </c>
      <c r="K328" t="s">
        <v>297</v>
      </c>
      <c r="L328" t="s">
        <v>297</v>
      </c>
      <c r="M328" t="s">
        <v>297</v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 t="s">
        <v>297</v>
      </c>
      <c r="H329" t="s">
        <v>297</v>
      </c>
      <c r="I329" t="s">
        <v>297</v>
      </c>
      <c r="J329" t="s">
        <v>297</v>
      </c>
      <c r="K329" t="s">
        <v>297</v>
      </c>
      <c r="L329" t="s">
        <v>297</v>
      </c>
      <c r="M329" t="s">
        <v>297</v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 t="s">
        <v>297</v>
      </c>
      <c r="H330" t="s">
        <v>297</v>
      </c>
      <c r="I330" t="s">
        <v>297</v>
      </c>
      <c r="J330" t="s">
        <v>297</v>
      </c>
      <c r="K330" t="s">
        <v>297</v>
      </c>
      <c r="L330" t="s">
        <v>297</v>
      </c>
      <c r="M330" t="s">
        <v>297</v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 t="s">
        <v>297</v>
      </c>
      <c r="H331" t="s">
        <v>297</v>
      </c>
      <c r="I331" t="s">
        <v>297</v>
      </c>
      <c r="J331" t="s">
        <v>297</v>
      </c>
      <c r="K331" t="s">
        <v>297</v>
      </c>
      <c r="L331" t="s">
        <v>297</v>
      </c>
      <c r="M331" t="s">
        <v>297</v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 t="s">
        <v>297</v>
      </c>
      <c r="H332" t="s">
        <v>297</v>
      </c>
      <c r="I332" t="s">
        <v>297</v>
      </c>
      <c r="J332" t="s">
        <v>297</v>
      </c>
      <c r="K332" t="s">
        <v>297</v>
      </c>
      <c r="L332" t="s">
        <v>297</v>
      </c>
      <c r="M332" t="s">
        <v>297</v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 t="s">
        <v>297</v>
      </c>
      <c r="H333" t="s">
        <v>297</v>
      </c>
      <c r="I333" t="s">
        <v>297</v>
      </c>
      <c r="J333" t="s">
        <v>297</v>
      </c>
      <c r="K333" t="s">
        <v>297</v>
      </c>
      <c r="L333" t="s">
        <v>297</v>
      </c>
      <c r="M333" t="s">
        <v>297</v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 t="s">
        <v>297</v>
      </c>
      <c r="H334" t="s">
        <v>297</v>
      </c>
      <c r="I334" t="s">
        <v>297</v>
      </c>
      <c r="J334" t="s">
        <v>297</v>
      </c>
      <c r="K334" t="s">
        <v>297</v>
      </c>
      <c r="L334" t="s">
        <v>297</v>
      </c>
      <c r="M334" t="s">
        <v>297</v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 t="s">
        <v>297</v>
      </c>
      <c r="H335" t="s">
        <v>297</v>
      </c>
      <c r="I335" t="s">
        <v>297</v>
      </c>
      <c r="J335" t="s">
        <v>297</v>
      </c>
      <c r="K335" t="s">
        <v>297</v>
      </c>
      <c r="L335" t="s">
        <v>297</v>
      </c>
      <c r="M335" t="s">
        <v>297</v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 t="s">
        <v>297</v>
      </c>
      <c r="H336" t="s">
        <v>297</v>
      </c>
      <c r="I336" t="s">
        <v>297</v>
      </c>
      <c r="J336" t="s">
        <v>297</v>
      </c>
      <c r="K336" t="s">
        <v>297</v>
      </c>
      <c r="L336" t="s">
        <v>297</v>
      </c>
      <c r="M336" t="s">
        <v>297</v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 t="s">
        <v>297</v>
      </c>
      <c r="H337" t="s">
        <v>297</v>
      </c>
      <c r="I337" t="s">
        <v>297</v>
      </c>
      <c r="J337" t="s">
        <v>297</v>
      </c>
      <c r="K337" t="s">
        <v>297</v>
      </c>
      <c r="L337" t="s">
        <v>297</v>
      </c>
      <c r="M337" t="s">
        <v>297</v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 t="s">
        <v>297</v>
      </c>
      <c r="H338" t="s">
        <v>297</v>
      </c>
      <c r="I338" t="s">
        <v>297</v>
      </c>
      <c r="J338" t="s">
        <v>297</v>
      </c>
      <c r="K338" t="s">
        <v>297</v>
      </c>
      <c r="L338" t="s">
        <v>297</v>
      </c>
      <c r="M338" t="s">
        <v>297</v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 t="s">
        <v>297</v>
      </c>
      <c r="H339" t="s">
        <v>297</v>
      </c>
      <c r="I339" t="s">
        <v>297</v>
      </c>
      <c r="J339" t="s">
        <v>297</v>
      </c>
      <c r="K339" t="s">
        <v>297</v>
      </c>
      <c r="L339" t="s">
        <v>297</v>
      </c>
      <c r="M339" t="s">
        <v>297</v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 t="s">
        <v>297</v>
      </c>
      <c r="H340" t="s">
        <v>297</v>
      </c>
      <c r="I340" t="s">
        <v>297</v>
      </c>
      <c r="J340" t="s">
        <v>297</v>
      </c>
      <c r="K340" t="s">
        <v>297</v>
      </c>
      <c r="L340" t="s">
        <v>297</v>
      </c>
      <c r="M340" t="s">
        <v>297</v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 t="s">
        <v>297</v>
      </c>
      <c r="H341" t="s">
        <v>297</v>
      </c>
      <c r="I341" t="s">
        <v>297</v>
      </c>
      <c r="J341" t="s">
        <v>297</v>
      </c>
      <c r="K341" t="s">
        <v>297</v>
      </c>
      <c r="L341" t="s">
        <v>297</v>
      </c>
      <c r="M341" t="s">
        <v>297</v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 t="s">
        <v>297</v>
      </c>
      <c r="H342" t="s">
        <v>297</v>
      </c>
      <c r="I342" t="s">
        <v>297</v>
      </c>
      <c r="J342" t="s">
        <v>297</v>
      </c>
      <c r="K342" t="s">
        <v>297</v>
      </c>
      <c r="L342" t="s">
        <v>297</v>
      </c>
      <c r="M342" t="s">
        <v>297</v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 t="s">
        <v>297</v>
      </c>
      <c r="H343" t="s">
        <v>297</v>
      </c>
      <c r="I343" t="s">
        <v>297</v>
      </c>
      <c r="J343" t="s">
        <v>297</v>
      </c>
      <c r="K343" t="s">
        <v>297</v>
      </c>
      <c r="L343" t="s">
        <v>297</v>
      </c>
      <c r="M343" t="s">
        <v>297</v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 t="s">
        <v>297</v>
      </c>
      <c r="H344" t="s">
        <v>297</v>
      </c>
      <c r="I344" t="s">
        <v>297</v>
      </c>
      <c r="J344" t="s">
        <v>297</v>
      </c>
      <c r="K344" t="s">
        <v>297</v>
      </c>
      <c r="L344" t="s">
        <v>297</v>
      </c>
      <c r="M344" t="s">
        <v>297</v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 t="s">
        <v>297</v>
      </c>
      <c r="H345" t="s">
        <v>297</v>
      </c>
      <c r="I345" t="s">
        <v>297</v>
      </c>
      <c r="J345" t="s">
        <v>297</v>
      </c>
      <c r="K345" t="s">
        <v>297</v>
      </c>
      <c r="L345" t="s">
        <v>297</v>
      </c>
      <c r="M345" t="s">
        <v>297</v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 t="s">
        <v>297</v>
      </c>
      <c r="H346" t="s">
        <v>297</v>
      </c>
      <c r="I346" t="s">
        <v>297</v>
      </c>
      <c r="J346" t="s">
        <v>297</v>
      </c>
      <c r="K346" t="s">
        <v>297</v>
      </c>
      <c r="L346" t="s">
        <v>297</v>
      </c>
      <c r="M346" t="s">
        <v>297</v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 t="s">
        <v>297</v>
      </c>
      <c r="H347" t="s">
        <v>297</v>
      </c>
      <c r="I347" t="s">
        <v>297</v>
      </c>
      <c r="J347" t="s">
        <v>297</v>
      </c>
      <c r="K347" t="s">
        <v>297</v>
      </c>
      <c r="L347" t="s">
        <v>297</v>
      </c>
      <c r="M347" t="s">
        <v>297</v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 t="s">
        <v>297</v>
      </c>
      <c r="H348" t="s">
        <v>297</v>
      </c>
      <c r="I348" t="s">
        <v>297</v>
      </c>
      <c r="J348" t="s">
        <v>297</v>
      </c>
      <c r="K348" t="s">
        <v>297</v>
      </c>
      <c r="L348" t="s">
        <v>297</v>
      </c>
      <c r="M348" t="s">
        <v>297</v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 t="s">
        <v>297</v>
      </c>
      <c r="H349" t="s">
        <v>297</v>
      </c>
      <c r="I349" t="s">
        <v>297</v>
      </c>
      <c r="J349" t="s">
        <v>297</v>
      </c>
      <c r="K349" t="s">
        <v>297</v>
      </c>
      <c r="L349" t="s">
        <v>297</v>
      </c>
      <c r="M349" t="s">
        <v>297</v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 t="s">
        <v>297</v>
      </c>
      <c r="H350" t="s">
        <v>297</v>
      </c>
      <c r="I350" t="s">
        <v>297</v>
      </c>
      <c r="J350" t="s">
        <v>297</v>
      </c>
      <c r="K350" t="s">
        <v>297</v>
      </c>
      <c r="L350" t="s">
        <v>297</v>
      </c>
      <c r="M350" t="s">
        <v>297</v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 t="s">
        <v>297</v>
      </c>
      <c r="H351" t="s">
        <v>297</v>
      </c>
      <c r="I351" t="s">
        <v>297</v>
      </c>
      <c r="J351" t="s">
        <v>297</v>
      </c>
      <c r="K351" t="s">
        <v>297</v>
      </c>
      <c r="L351" t="s">
        <v>297</v>
      </c>
      <c r="M351" t="s">
        <v>297</v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 t="s">
        <v>297</v>
      </c>
      <c r="H352" t="s">
        <v>297</v>
      </c>
      <c r="I352" t="s">
        <v>297</v>
      </c>
      <c r="J352" t="s">
        <v>297</v>
      </c>
      <c r="K352" t="s">
        <v>297</v>
      </c>
      <c r="L352" t="s">
        <v>297</v>
      </c>
      <c r="M352" t="s">
        <v>297</v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 t="s">
        <v>297</v>
      </c>
      <c r="H353" t="s">
        <v>297</v>
      </c>
      <c r="I353" t="s">
        <v>297</v>
      </c>
      <c r="J353" t="s">
        <v>297</v>
      </c>
      <c r="K353" t="s">
        <v>297</v>
      </c>
      <c r="L353" t="s">
        <v>297</v>
      </c>
      <c r="M353" t="s">
        <v>297</v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 t="s">
        <v>297</v>
      </c>
      <c r="H354" t="s">
        <v>297</v>
      </c>
      <c r="I354" t="s">
        <v>297</v>
      </c>
      <c r="J354" t="s">
        <v>297</v>
      </c>
      <c r="K354" t="s">
        <v>297</v>
      </c>
      <c r="L354" t="s">
        <v>297</v>
      </c>
      <c r="M354" t="s">
        <v>297</v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 t="s">
        <v>297</v>
      </c>
      <c r="H355" t="s">
        <v>297</v>
      </c>
      <c r="I355" t="s">
        <v>297</v>
      </c>
      <c r="J355" t="s">
        <v>297</v>
      </c>
      <c r="K355" t="s">
        <v>297</v>
      </c>
      <c r="L355" t="s">
        <v>297</v>
      </c>
      <c r="M355" t="s">
        <v>297</v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 t="s">
        <v>297</v>
      </c>
      <c r="H356" t="s">
        <v>297</v>
      </c>
      <c r="I356" t="s">
        <v>297</v>
      </c>
      <c r="J356" t="s">
        <v>297</v>
      </c>
      <c r="K356" t="s">
        <v>297</v>
      </c>
      <c r="L356" t="s">
        <v>297</v>
      </c>
      <c r="M356" t="s">
        <v>297</v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 t="s">
        <v>297</v>
      </c>
      <c r="H357" t="s">
        <v>297</v>
      </c>
      <c r="I357" t="s">
        <v>297</v>
      </c>
      <c r="J357" t="s">
        <v>297</v>
      </c>
      <c r="K357" t="s">
        <v>297</v>
      </c>
      <c r="L357" t="s">
        <v>297</v>
      </c>
      <c r="M357" t="s">
        <v>297</v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 t="s">
        <v>297</v>
      </c>
      <c r="H358" t="s">
        <v>297</v>
      </c>
      <c r="I358" t="s">
        <v>297</v>
      </c>
      <c r="J358" t="s">
        <v>297</v>
      </c>
      <c r="K358" t="s">
        <v>297</v>
      </c>
      <c r="L358" t="s">
        <v>297</v>
      </c>
      <c r="M358" t="s">
        <v>297</v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 t="s">
        <v>297</v>
      </c>
      <c r="H359" t="s">
        <v>297</v>
      </c>
      <c r="I359" t="s">
        <v>297</v>
      </c>
      <c r="J359" t="s">
        <v>297</v>
      </c>
      <c r="K359" t="s">
        <v>297</v>
      </c>
      <c r="L359" t="s">
        <v>297</v>
      </c>
      <c r="M359" t="s">
        <v>297</v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 t="s">
        <v>297</v>
      </c>
      <c r="H360" t="s">
        <v>297</v>
      </c>
      <c r="I360" t="s">
        <v>297</v>
      </c>
      <c r="J360" t="s">
        <v>297</v>
      </c>
      <c r="K360" t="s">
        <v>297</v>
      </c>
      <c r="L360" t="s">
        <v>297</v>
      </c>
      <c r="M360" t="s">
        <v>297</v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 t="s">
        <v>297</v>
      </c>
      <c r="H361" t="s">
        <v>297</v>
      </c>
      <c r="I361" t="s">
        <v>297</v>
      </c>
      <c r="J361" t="s">
        <v>297</v>
      </c>
      <c r="K361" t="s">
        <v>297</v>
      </c>
      <c r="L361" t="s">
        <v>297</v>
      </c>
      <c r="M361" t="s">
        <v>297</v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 t="s">
        <v>297</v>
      </c>
      <c r="H362" t="s">
        <v>297</v>
      </c>
      <c r="I362" t="s">
        <v>297</v>
      </c>
      <c r="J362" t="s">
        <v>297</v>
      </c>
      <c r="K362" t="s">
        <v>297</v>
      </c>
      <c r="L362" t="s">
        <v>297</v>
      </c>
      <c r="M362" t="s">
        <v>297</v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 t="s">
        <v>297</v>
      </c>
      <c r="H363" t="s">
        <v>297</v>
      </c>
      <c r="I363" t="s">
        <v>297</v>
      </c>
      <c r="J363" t="s">
        <v>297</v>
      </c>
      <c r="K363" t="s">
        <v>297</v>
      </c>
      <c r="L363" t="s">
        <v>297</v>
      </c>
      <c r="M363" t="s">
        <v>297</v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 t="s">
        <v>297</v>
      </c>
      <c r="H364" t="s">
        <v>297</v>
      </c>
      <c r="I364" t="s">
        <v>297</v>
      </c>
      <c r="J364" t="s">
        <v>297</v>
      </c>
      <c r="K364" t="s">
        <v>297</v>
      </c>
      <c r="L364" t="s">
        <v>297</v>
      </c>
      <c r="M364" t="s">
        <v>297</v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 t="s">
        <v>297</v>
      </c>
      <c r="H365" t="s">
        <v>297</v>
      </c>
      <c r="I365" t="s">
        <v>297</v>
      </c>
      <c r="J365" t="s">
        <v>297</v>
      </c>
      <c r="K365" t="s">
        <v>297</v>
      </c>
      <c r="L365" t="s">
        <v>297</v>
      </c>
      <c r="M365" t="s">
        <v>297</v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 t="s">
        <v>297</v>
      </c>
      <c r="H366" t="s">
        <v>297</v>
      </c>
      <c r="I366" t="s">
        <v>297</v>
      </c>
      <c r="J366" t="s">
        <v>297</v>
      </c>
      <c r="K366" t="s">
        <v>297</v>
      </c>
      <c r="L366" t="s">
        <v>297</v>
      </c>
      <c r="M366" t="s">
        <v>297</v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 t="s">
        <v>297</v>
      </c>
      <c r="H367" t="s">
        <v>297</v>
      </c>
      <c r="I367" t="s">
        <v>297</v>
      </c>
      <c r="J367" t="s">
        <v>297</v>
      </c>
      <c r="K367" t="s">
        <v>297</v>
      </c>
      <c r="L367" t="s">
        <v>297</v>
      </c>
      <c r="M367" t="s">
        <v>297</v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 t="s">
        <v>297</v>
      </c>
      <c r="H368" t="s">
        <v>297</v>
      </c>
      <c r="I368" t="s">
        <v>297</v>
      </c>
      <c r="J368" t="s">
        <v>297</v>
      </c>
      <c r="K368" t="s">
        <v>297</v>
      </c>
      <c r="L368" t="s">
        <v>297</v>
      </c>
      <c r="M368" t="s">
        <v>297</v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 t="s">
        <v>297</v>
      </c>
      <c r="H369" t="s">
        <v>297</v>
      </c>
      <c r="I369" t="s">
        <v>297</v>
      </c>
      <c r="J369" t="s">
        <v>297</v>
      </c>
      <c r="K369" t="s">
        <v>297</v>
      </c>
      <c r="L369" t="s">
        <v>297</v>
      </c>
      <c r="M369" t="s">
        <v>297</v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 t="s">
        <v>297</v>
      </c>
      <c r="H370" t="s">
        <v>297</v>
      </c>
      <c r="I370" t="s">
        <v>297</v>
      </c>
      <c r="J370" t="s">
        <v>297</v>
      </c>
      <c r="K370" t="s">
        <v>297</v>
      </c>
      <c r="L370" t="s">
        <v>297</v>
      </c>
      <c r="M370" t="s">
        <v>297</v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 t="s">
        <v>297</v>
      </c>
      <c r="H371" t="s">
        <v>297</v>
      </c>
      <c r="I371" t="s">
        <v>297</v>
      </c>
      <c r="J371" t="s">
        <v>297</v>
      </c>
      <c r="K371" t="s">
        <v>297</v>
      </c>
      <c r="L371" t="s">
        <v>297</v>
      </c>
      <c r="M371" t="s">
        <v>297</v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 t="s">
        <v>297</v>
      </c>
      <c r="H372" t="s">
        <v>297</v>
      </c>
      <c r="I372" t="s">
        <v>297</v>
      </c>
      <c r="J372" t="s">
        <v>297</v>
      </c>
      <c r="K372" t="s">
        <v>297</v>
      </c>
      <c r="L372" t="s">
        <v>297</v>
      </c>
      <c r="M372" t="s">
        <v>297</v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 t="s">
        <v>297</v>
      </c>
      <c r="H373" t="s">
        <v>297</v>
      </c>
      <c r="I373" t="s">
        <v>297</v>
      </c>
      <c r="J373" t="s">
        <v>297</v>
      </c>
      <c r="K373" t="s">
        <v>297</v>
      </c>
      <c r="L373" t="s">
        <v>297</v>
      </c>
      <c r="M373" t="s">
        <v>297</v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 t="s">
        <v>297</v>
      </c>
      <c r="H374" t="s">
        <v>297</v>
      </c>
      <c r="I374" t="s">
        <v>297</v>
      </c>
      <c r="J374" t="s">
        <v>297</v>
      </c>
      <c r="K374" t="s">
        <v>297</v>
      </c>
      <c r="L374" t="s">
        <v>297</v>
      </c>
      <c r="M374" t="s">
        <v>297</v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 t="s">
        <v>297</v>
      </c>
      <c r="H375" t="s">
        <v>297</v>
      </c>
      <c r="I375" t="s">
        <v>297</v>
      </c>
      <c r="J375" t="s">
        <v>297</v>
      </c>
      <c r="K375" t="s">
        <v>297</v>
      </c>
      <c r="L375" t="s">
        <v>297</v>
      </c>
      <c r="M375" t="s">
        <v>297</v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 t="s">
        <v>297</v>
      </c>
      <c r="H376" t="s">
        <v>297</v>
      </c>
      <c r="I376" t="s">
        <v>297</v>
      </c>
      <c r="J376" t="s">
        <v>297</v>
      </c>
      <c r="K376" t="s">
        <v>297</v>
      </c>
      <c r="L376" t="s">
        <v>297</v>
      </c>
      <c r="M376" t="s">
        <v>297</v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 t="s">
        <v>297</v>
      </c>
      <c r="H377" t="s">
        <v>297</v>
      </c>
      <c r="I377" t="s">
        <v>297</v>
      </c>
      <c r="J377" t="s">
        <v>297</v>
      </c>
      <c r="K377" t="s">
        <v>297</v>
      </c>
      <c r="L377" t="s">
        <v>297</v>
      </c>
      <c r="M377" t="s">
        <v>297</v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 t="s">
        <v>297</v>
      </c>
      <c r="H378" t="s">
        <v>297</v>
      </c>
      <c r="I378" t="s">
        <v>297</v>
      </c>
      <c r="J378" t="s">
        <v>297</v>
      </c>
      <c r="K378" t="s">
        <v>297</v>
      </c>
      <c r="L378" t="s">
        <v>297</v>
      </c>
      <c r="M378" t="s">
        <v>297</v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 t="s">
        <v>297</v>
      </c>
      <c r="H379" t="s">
        <v>297</v>
      </c>
      <c r="I379" t="s">
        <v>297</v>
      </c>
      <c r="J379" t="s">
        <v>297</v>
      </c>
      <c r="K379" t="s">
        <v>297</v>
      </c>
      <c r="L379" t="s">
        <v>297</v>
      </c>
      <c r="M379" t="s">
        <v>297</v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 t="s">
        <v>297</v>
      </c>
      <c r="H380" t="s">
        <v>297</v>
      </c>
      <c r="I380" t="s">
        <v>297</v>
      </c>
      <c r="J380" t="s">
        <v>297</v>
      </c>
      <c r="K380" t="s">
        <v>297</v>
      </c>
      <c r="L380" t="s">
        <v>297</v>
      </c>
      <c r="M380" t="s">
        <v>297</v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 t="s">
        <v>297</v>
      </c>
      <c r="H381" t="s">
        <v>297</v>
      </c>
      <c r="I381" t="s">
        <v>297</v>
      </c>
      <c r="J381" t="s">
        <v>297</v>
      </c>
      <c r="K381" t="s">
        <v>297</v>
      </c>
      <c r="L381" t="s">
        <v>297</v>
      </c>
      <c r="M381" t="s">
        <v>297</v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 t="s">
        <v>297</v>
      </c>
      <c r="H382" t="s">
        <v>297</v>
      </c>
      <c r="I382" t="s">
        <v>297</v>
      </c>
      <c r="J382" t="s">
        <v>297</v>
      </c>
      <c r="K382" t="s">
        <v>297</v>
      </c>
      <c r="L382" t="s">
        <v>297</v>
      </c>
      <c r="M382" t="s">
        <v>297</v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 t="s">
        <v>297</v>
      </c>
      <c r="H383" t="s">
        <v>297</v>
      </c>
      <c r="I383" t="s">
        <v>297</v>
      </c>
      <c r="J383" t="s">
        <v>297</v>
      </c>
      <c r="K383" t="s">
        <v>297</v>
      </c>
      <c r="L383" t="s">
        <v>297</v>
      </c>
      <c r="M383" t="s">
        <v>297</v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 t="s">
        <v>297</v>
      </c>
      <c r="H384" t="s">
        <v>297</v>
      </c>
      <c r="I384" t="s">
        <v>297</v>
      </c>
      <c r="J384" t="s">
        <v>297</v>
      </c>
      <c r="K384" t="s">
        <v>297</v>
      </c>
      <c r="L384" t="s">
        <v>297</v>
      </c>
      <c r="M384" t="s">
        <v>297</v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 t="s">
        <v>297</v>
      </c>
      <c r="H385" t="s">
        <v>297</v>
      </c>
      <c r="I385" t="s">
        <v>297</v>
      </c>
      <c r="J385" t="s">
        <v>297</v>
      </c>
      <c r="K385" t="s">
        <v>297</v>
      </c>
      <c r="L385" t="s">
        <v>297</v>
      </c>
      <c r="M385" t="s">
        <v>297</v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 t="s">
        <v>297</v>
      </c>
      <c r="H386" t="s">
        <v>297</v>
      </c>
      <c r="I386" t="s">
        <v>297</v>
      </c>
      <c r="J386" t="s">
        <v>297</v>
      </c>
      <c r="K386" t="s">
        <v>297</v>
      </c>
      <c r="L386" t="s">
        <v>297</v>
      </c>
      <c r="M386" t="s">
        <v>297</v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 t="s">
        <v>297</v>
      </c>
      <c r="H387" t="s">
        <v>297</v>
      </c>
      <c r="I387" t="s">
        <v>297</v>
      </c>
      <c r="J387" t="s">
        <v>297</v>
      </c>
      <c r="K387" t="s">
        <v>297</v>
      </c>
      <c r="L387" t="s">
        <v>297</v>
      </c>
      <c r="M387" t="s">
        <v>297</v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 t="s">
        <v>297</v>
      </c>
      <c r="H388" t="s">
        <v>297</v>
      </c>
      <c r="I388" t="s">
        <v>297</v>
      </c>
      <c r="J388" t="s">
        <v>297</v>
      </c>
      <c r="K388" t="s">
        <v>297</v>
      </c>
      <c r="L388" t="s">
        <v>297</v>
      </c>
      <c r="M388" t="s">
        <v>297</v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 t="s">
        <v>297</v>
      </c>
      <c r="H389" t="s">
        <v>297</v>
      </c>
      <c r="I389" t="s">
        <v>297</v>
      </c>
      <c r="J389" t="s">
        <v>297</v>
      </c>
      <c r="K389" t="s">
        <v>297</v>
      </c>
      <c r="L389" t="s">
        <v>297</v>
      </c>
      <c r="M389" t="s">
        <v>297</v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 t="s">
        <v>297</v>
      </c>
      <c r="H390" t="s">
        <v>297</v>
      </c>
      <c r="I390" t="s">
        <v>297</v>
      </c>
      <c r="J390" t="s">
        <v>297</v>
      </c>
      <c r="K390" t="s">
        <v>297</v>
      </c>
      <c r="L390" t="s">
        <v>297</v>
      </c>
      <c r="M390" t="s">
        <v>297</v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 t="s">
        <v>297</v>
      </c>
      <c r="H391" t="s">
        <v>297</v>
      </c>
      <c r="I391" t="s">
        <v>297</v>
      </c>
      <c r="J391" t="s">
        <v>297</v>
      </c>
      <c r="K391" t="s">
        <v>297</v>
      </c>
      <c r="L391" t="s">
        <v>297</v>
      </c>
      <c r="M391" t="s">
        <v>297</v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 t="s">
        <v>297</v>
      </c>
      <c r="H392" t="s">
        <v>297</v>
      </c>
      <c r="I392" t="s">
        <v>297</v>
      </c>
      <c r="J392" t="s">
        <v>297</v>
      </c>
      <c r="K392" t="s">
        <v>297</v>
      </c>
      <c r="L392" t="s">
        <v>297</v>
      </c>
      <c r="M392" t="s">
        <v>297</v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 t="s">
        <v>297</v>
      </c>
      <c r="H393" t="s">
        <v>297</v>
      </c>
      <c r="I393" t="s">
        <v>297</v>
      </c>
      <c r="J393" t="s">
        <v>297</v>
      </c>
      <c r="K393" t="s">
        <v>297</v>
      </c>
      <c r="L393" t="s">
        <v>297</v>
      </c>
      <c r="M393" t="s">
        <v>297</v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 t="s">
        <v>297</v>
      </c>
      <c r="H394" t="s">
        <v>297</v>
      </c>
      <c r="I394" t="s">
        <v>297</v>
      </c>
      <c r="J394" t="s">
        <v>297</v>
      </c>
      <c r="K394" t="s">
        <v>297</v>
      </c>
      <c r="L394" t="s">
        <v>297</v>
      </c>
      <c r="M394" t="s">
        <v>297</v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 t="s">
        <v>297</v>
      </c>
      <c r="H395" t="s">
        <v>297</v>
      </c>
      <c r="I395" t="s">
        <v>297</v>
      </c>
      <c r="J395" t="s">
        <v>297</v>
      </c>
      <c r="K395" t="s">
        <v>297</v>
      </c>
      <c r="L395" t="s">
        <v>297</v>
      </c>
      <c r="M395" t="s">
        <v>297</v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 t="s">
        <v>297</v>
      </c>
      <c r="H396" t="s">
        <v>297</v>
      </c>
      <c r="I396" t="s">
        <v>297</v>
      </c>
      <c r="J396" t="s">
        <v>297</v>
      </c>
      <c r="K396" t="s">
        <v>297</v>
      </c>
      <c r="L396" t="s">
        <v>297</v>
      </c>
      <c r="M396" t="s">
        <v>297</v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 t="s">
        <v>297</v>
      </c>
      <c r="H397" t="s">
        <v>297</v>
      </c>
      <c r="I397" t="s">
        <v>297</v>
      </c>
      <c r="J397" t="s">
        <v>297</v>
      </c>
      <c r="K397" t="s">
        <v>297</v>
      </c>
      <c r="L397" t="s">
        <v>297</v>
      </c>
      <c r="M397" t="s">
        <v>297</v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 t="s">
        <v>297</v>
      </c>
      <c r="H398" t="s">
        <v>297</v>
      </c>
      <c r="I398" t="s">
        <v>297</v>
      </c>
      <c r="J398" t="s">
        <v>297</v>
      </c>
      <c r="K398" t="s">
        <v>297</v>
      </c>
      <c r="L398" t="s">
        <v>297</v>
      </c>
      <c r="M398" t="s">
        <v>297</v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 t="s">
        <v>297</v>
      </c>
      <c r="H399" t="s">
        <v>297</v>
      </c>
      <c r="I399" t="s">
        <v>297</v>
      </c>
      <c r="J399" t="s">
        <v>297</v>
      </c>
      <c r="K399" t="s">
        <v>297</v>
      </c>
      <c r="L399" t="s">
        <v>297</v>
      </c>
      <c r="M399" t="s">
        <v>297</v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 t="s">
        <v>297</v>
      </c>
      <c r="H400" t="s">
        <v>297</v>
      </c>
      <c r="I400" t="s">
        <v>297</v>
      </c>
      <c r="J400" t="s">
        <v>297</v>
      </c>
      <c r="K400" t="s">
        <v>297</v>
      </c>
      <c r="L400" t="s">
        <v>297</v>
      </c>
      <c r="M400" t="s">
        <v>297</v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 t="s">
        <v>297</v>
      </c>
      <c r="H401" t="s">
        <v>297</v>
      </c>
      <c r="I401" t="s">
        <v>297</v>
      </c>
      <c r="J401" t="s">
        <v>297</v>
      </c>
      <c r="K401" t="s">
        <v>297</v>
      </c>
      <c r="L401" t="s">
        <v>297</v>
      </c>
      <c r="M401" t="s">
        <v>297</v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 t="s">
        <v>297</v>
      </c>
      <c r="H402" t="s">
        <v>297</v>
      </c>
      <c r="I402" t="s">
        <v>297</v>
      </c>
      <c r="J402" t="s">
        <v>297</v>
      </c>
      <c r="K402" t="s">
        <v>297</v>
      </c>
      <c r="L402" t="s">
        <v>297</v>
      </c>
      <c r="M402" t="s">
        <v>297</v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 t="s">
        <v>297</v>
      </c>
      <c r="H403" t="s">
        <v>297</v>
      </c>
      <c r="I403" t="s">
        <v>297</v>
      </c>
      <c r="J403" t="s">
        <v>297</v>
      </c>
      <c r="K403" t="s">
        <v>297</v>
      </c>
      <c r="L403" t="s">
        <v>297</v>
      </c>
      <c r="M403" t="s">
        <v>297</v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 t="s">
        <v>297</v>
      </c>
      <c r="H404" t="s">
        <v>297</v>
      </c>
      <c r="I404" t="s">
        <v>297</v>
      </c>
      <c r="J404" t="s">
        <v>297</v>
      </c>
      <c r="K404" t="s">
        <v>297</v>
      </c>
      <c r="L404" t="s">
        <v>297</v>
      </c>
      <c r="M404" t="s">
        <v>297</v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 t="s">
        <v>297</v>
      </c>
      <c r="H405" t="s">
        <v>297</v>
      </c>
      <c r="I405" t="s">
        <v>297</v>
      </c>
      <c r="J405" t="s">
        <v>297</v>
      </c>
      <c r="K405" t="s">
        <v>297</v>
      </c>
      <c r="L405" t="s">
        <v>297</v>
      </c>
      <c r="M405" t="s">
        <v>297</v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 t="s">
        <v>297</v>
      </c>
      <c r="H406" t="s">
        <v>297</v>
      </c>
      <c r="I406" t="s">
        <v>297</v>
      </c>
      <c r="J406" t="s">
        <v>297</v>
      </c>
      <c r="K406" t="s">
        <v>297</v>
      </c>
      <c r="L406" t="s">
        <v>297</v>
      </c>
      <c r="M406" t="s">
        <v>297</v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 t="s">
        <v>297</v>
      </c>
      <c r="H407" t="s">
        <v>297</v>
      </c>
      <c r="I407" t="s">
        <v>297</v>
      </c>
      <c r="J407" t="s">
        <v>297</v>
      </c>
      <c r="K407" t="s">
        <v>297</v>
      </c>
      <c r="L407" t="s">
        <v>297</v>
      </c>
      <c r="M407" t="s">
        <v>297</v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 t="s">
        <v>297</v>
      </c>
      <c r="H408" t="s">
        <v>297</v>
      </c>
      <c r="I408" t="s">
        <v>297</v>
      </c>
      <c r="J408" t="s">
        <v>297</v>
      </c>
      <c r="K408" t="s">
        <v>297</v>
      </c>
      <c r="L408" t="s">
        <v>297</v>
      </c>
      <c r="M408" t="s">
        <v>297</v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 t="s">
        <v>297</v>
      </c>
      <c r="H409" t="s">
        <v>297</v>
      </c>
      <c r="I409" t="s">
        <v>297</v>
      </c>
      <c r="J409" t="s">
        <v>297</v>
      </c>
      <c r="K409" t="s">
        <v>297</v>
      </c>
      <c r="L409" t="s">
        <v>297</v>
      </c>
      <c r="M409" t="s">
        <v>297</v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 t="s">
        <v>297</v>
      </c>
      <c r="H410" t="s">
        <v>297</v>
      </c>
      <c r="I410" t="s">
        <v>297</v>
      </c>
      <c r="J410" t="s">
        <v>297</v>
      </c>
      <c r="K410" t="s">
        <v>297</v>
      </c>
      <c r="L410" t="s">
        <v>297</v>
      </c>
      <c r="M410" t="s">
        <v>297</v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 t="s">
        <v>297</v>
      </c>
      <c r="H411" t="s">
        <v>297</v>
      </c>
      <c r="I411" t="s">
        <v>297</v>
      </c>
      <c r="J411" t="s">
        <v>297</v>
      </c>
      <c r="K411" t="s">
        <v>297</v>
      </c>
      <c r="L411" t="s">
        <v>297</v>
      </c>
      <c r="M411" t="s">
        <v>297</v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 t="s">
        <v>297</v>
      </c>
      <c r="H412" t="s">
        <v>297</v>
      </c>
      <c r="I412" t="s">
        <v>297</v>
      </c>
      <c r="J412" t="s">
        <v>297</v>
      </c>
      <c r="K412" t="s">
        <v>297</v>
      </c>
      <c r="L412" t="s">
        <v>297</v>
      </c>
      <c r="M412" t="s">
        <v>297</v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 t="s">
        <v>297</v>
      </c>
      <c r="H413" t="s">
        <v>297</v>
      </c>
      <c r="I413" t="s">
        <v>297</v>
      </c>
      <c r="J413" t="s">
        <v>297</v>
      </c>
      <c r="K413" t="s">
        <v>297</v>
      </c>
      <c r="L413" t="s">
        <v>297</v>
      </c>
      <c r="M413" t="s">
        <v>297</v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 t="s">
        <v>297</v>
      </c>
      <c r="H414" t="s">
        <v>297</v>
      </c>
      <c r="I414" t="s">
        <v>297</v>
      </c>
      <c r="J414" t="s">
        <v>297</v>
      </c>
      <c r="K414" t="s">
        <v>297</v>
      </c>
      <c r="L414" t="s">
        <v>297</v>
      </c>
      <c r="M414" t="s">
        <v>297</v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 t="s">
        <v>297</v>
      </c>
      <c r="H415" t="s">
        <v>297</v>
      </c>
      <c r="I415" t="s">
        <v>297</v>
      </c>
      <c r="J415" t="s">
        <v>297</v>
      </c>
      <c r="K415" t="s">
        <v>297</v>
      </c>
      <c r="L415" t="s">
        <v>297</v>
      </c>
      <c r="M415" t="s">
        <v>297</v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 t="s">
        <v>297</v>
      </c>
      <c r="H416" t="s">
        <v>297</v>
      </c>
      <c r="I416" t="s">
        <v>297</v>
      </c>
      <c r="J416" t="s">
        <v>297</v>
      </c>
      <c r="K416" t="s">
        <v>297</v>
      </c>
      <c r="L416" t="s">
        <v>297</v>
      </c>
      <c r="M416" t="s">
        <v>297</v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 t="s">
        <v>297</v>
      </c>
      <c r="H417" t="s">
        <v>297</v>
      </c>
      <c r="I417" t="s">
        <v>297</v>
      </c>
      <c r="J417" t="s">
        <v>297</v>
      </c>
      <c r="K417" t="s">
        <v>297</v>
      </c>
      <c r="L417" t="s">
        <v>297</v>
      </c>
      <c r="M417" t="s">
        <v>297</v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 t="s">
        <v>297</v>
      </c>
      <c r="H418" t="s">
        <v>297</v>
      </c>
      <c r="I418" t="s">
        <v>297</v>
      </c>
      <c r="J418" t="s">
        <v>297</v>
      </c>
      <c r="K418" t="s">
        <v>297</v>
      </c>
      <c r="L418" t="s">
        <v>297</v>
      </c>
      <c r="M418" t="s">
        <v>297</v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 t="s">
        <v>297</v>
      </c>
      <c r="H419" t="s">
        <v>297</v>
      </c>
      <c r="I419" t="s">
        <v>297</v>
      </c>
      <c r="J419" t="s">
        <v>297</v>
      </c>
      <c r="K419" t="s">
        <v>297</v>
      </c>
      <c r="L419" t="s">
        <v>297</v>
      </c>
      <c r="M419" t="s">
        <v>297</v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 t="s">
        <v>297</v>
      </c>
      <c r="H420" t="s">
        <v>297</v>
      </c>
      <c r="I420" t="s">
        <v>297</v>
      </c>
      <c r="J420" t="s">
        <v>297</v>
      </c>
      <c r="K420" t="s">
        <v>297</v>
      </c>
      <c r="L420" t="s">
        <v>297</v>
      </c>
      <c r="M420" t="s">
        <v>297</v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 t="s">
        <v>297</v>
      </c>
      <c r="H421" t="s">
        <v>297</v>
      </c>
      <c r="I421" t="s">
        <v>297</v>
      </c>
      <c r="J421" t="s">
        <v>297</v>
      </c>
      <c r="K421" t="s">
        <v>297</v>
      </c>
      <c r="L421" t="s">
        <v>297</v>
      </c>
      <c r="M421" t="s">
        <v>297</v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 t="s">
        <v>297</v>
      </c>
      <c r="H422" t="s">
        <v>297</v>
      </c>
      <c r="I422" t="s">
        <v>297</v>
      </c>
      <c r="J422" t="s">
        <v>297</v>
      </c>
      <c r="K422" t="s">
        <v>297</v>
      </c>
      <c r="L422" t="s">
        <v>297</v>
      </c>
      <c r="M422" t="s">
        <v>297</v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 t="s">
        <v>297</v>
      </c>
      <c r="H423" t="s">
        <v>297</v>
      </c>
      <c r="I423" t="s">
        <v>297</v>
      </c>
      <c r="J423" t="s">
        <v>297</v>
      </c>
      <c r="K423" t="s">
        <v>297</v>
      </c>
      <c r="L423" t="s">
        <v>297</v>
      </c>
      <c r="M423" t="s">
        <v>297</v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 t="s">
        <v>297</v>
      </c>
      <c r="H424" t="s">
        <v>297</v>
      </c>
      <c r="I424" t="s">
        <v>297</v>
      </c>
      <c r="J424" t="s">
        <v>297</v>
      </c>
      <c r="K424" t="s">
        <v>297</v>
      </c>
      <c r="L424" t="s">
        <v>297</v>
      </c>
      <c r="M424" t="s">
        <v>297</v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 t="s">
        <v>297</v>
      </c>
      <c r="H425" t="s">
        <v>297</v>
      </c>
      <c r="I425" t="s">
        <v>297</v>
      </c>
      <c r="J425" t="s">
        <v>297</v>
      </c>
      <c r="K425" t="s">
        <v>297</v>
      </c>
      <c r="L425" t="s">
        <v>297</v>
      </c>
      <c r="M425" t="s">
        <v>297</v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 t="s">
        <v>297</v>
      </c>
      <c r="H426" t="s">
        <v>297</v>
      </c>
      <c r="I426" t="s">
        <v>297</v>
      </c>
      <c r="J426" t="s">
        <v>297</v>
      </c>
      <c r="K426" t="s">
        <v>297</v>
      </c>
      <c r="L426" t="s">
        <v>297</v>
      </c>
      <c r="M426" t="s">
        <v>297</v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 t="s">
        <v>297</v>
      </c>
      <c r="H427" t="s">
        <v>297</v>
      </c>
      <c r="I427" t="s">
        <v>297</v>
      </c>
      <c r="J427" t="s">
        <v>297</v>
      </c>
      <c r="K427" t="s">
        <v>297</v>
      </c>
      <c r="L427" t="s">
        <v>297</v>
      </c>
      <c r="M427" t="s">
        <v>297</v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 t="s">
        <v>297</v>
      </c>
      <c r="H428" t="s">
        <v>297</v>
      </c>
      <c r="I428" t="s">
        <v>297</v>
      </c>
      <c r="J428" t="s">
        <v>297</v>
      </c>
      <c r="K428" t="s">
        <v>297</v>
      </c>
      <c r="L428" t="s">
        <v>297</v>
      </c>
      <c r="M428" t="s">
        <v>297</v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 t="s">
        <v>297</v>
      </c>
      <c r="H429" t="s">
        <v>297</v>
      </c>
      <c r="I429" t="s">
        <v>297</v>
      </c>
      <c r="J429" t="s">
        <v>297</v>
      </c>
      <c r="K429" t="s">
        <v>297</v>
      </c>
      <c r="L429" t="s">
        <v>297</v>
      </c>
      <c r="M429" t="s">
        <v>297</v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 t="s">
        <v>297</v>
      </c>
      <c r="H430" t="s">
        <v>297</v>
      </c>
      <c r="I430" t="s">
        <v>297</v>
      </c>
      <c r="J430" t="s">
        <v>297</v>
      </c>
      <c r="K430" t="s">
        <v>297</v>
      </c>
      <c r="L430" t="s">
        <v>297</v>
      </c>
      <c r="M430" t="s">
        <v>297</v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 t="s">
        <v>297</v>
      </c>
      <c r="H431" t="s">
        <v>297</v>
      </c>
      <c r="I431" t="s">
        <v>297</v>
      </c>
      <c r="J431" t="s">
        <v>297</v>
      </c>
      <c r="K431" t="s">
        <v>297</v>
      </c>
      <c r="L431" t="s">
        <v>297</v>
      </c>
      <c r="M431" t="s">
        <v>297</v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 t="s">
        <v>297</v>
      </c>
      <c r="H432" t="s">
        <v>297</v>
      </c>
      <c r="I432" t="s">
        <v>297</v>
      </c>
      <c r="J432" t="s">
        <v>297</v>
      </c>
      <c r="K432" t="s">
        <v>297</v>
      </c>
      <c r="L432" t="s">
        <v>297</v>
      </c>
      <c r="M432" t="s">
        <v>297</v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 t="s">
        <v>297</v>
      </c>
      <c r="H433" t="s">
        <v>297</v>
      </c>
      <c r="I433" t="s">
        <v>297</v>
      </c>
      <c r="J433" t="s">
        <v>297</v>
      </c>
      <c r="K433" t="s">
        <v>297</v>
      </c>
      <c r="L433" t="s">
        <v>297</v>
      </c>
      <c r="M433" t="s">
        <v>297</v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 t="s">
        <v>297</v>
      </c>
      <c r="H434" t="s">
        <v>297</v>
      </c>
      <c r="I434" t="s">
        <v>297</v>
      </c>
      <c r="J434" t="s">
        <v>297</v>
      </c>
      <c r="K434" t="s">
        <v>297</v>
      </c>
      <c r="L434" t="s">
        <v>297</v>
      </c>
      <c r="M434" t="s">
        <v>297</v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 t="s">
        <v>297</v>
      </c>
      <c r="H435" t="s">
        <v>297</v>
      </c>
      <c r="I435" t="s">
        <v>297</v>
      </c>
      <c r="J435" t="s">
        <v>297</v>
      </c>
      <c r="K435" t="s">
        <v>297</v>
      </c>
      <c r="L435" t="s">
        <v>297</v>
      </c>
      <c r="M435" t="s">
        <v>297</v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 t="s">
        <v>297</v>
      </c>
      <c r="H436" t="s">
        <v>297</v>
      </c>
      <c r="I436" t="s">
        <v>297</v>
      </c>
      <c r="J436" t="s">
        <v>297</v>
      </c>
      <c r="K436" t="s">
        <v>297</v>
      </c>
      <c r="L436" t="s">
        <v>297</v>
      </c>
      <c r="M436" t="s">
        <v>297</v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 t="s">
        <v>297</v>
      </c>
      <c r="H437" t="s">
        <v>297</v>
      </c>
      <c r="I437" t="s">
        <v>297</v>
      </c>
      <c r="J437" t="s">
        <v>297</v>
      </c>
      <c r="K437" t="s">
        <v>297</v>
      </c>
      <c r="L437" t="s">
        <v>297</v>
      </c>
      <c r="M437" t="s">
        <v>297</v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 t="s">
        <v>297</v>
      </c>
      <c r="H438" t="s">
        <v>297</v>
      </c>
      <c r="I438" t="s">
        <v>297</v>
      </c>
      <c r="J438" t="s">
        <v>297</v>
      </c>
      <c r="K438" t="s">
        <v>297</v>
      </c>
      <c r="L438" t="s">
        <v>297</v>
      </c>
      <c r="M438" t="s">
        <v>297</v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 t="s">
        <v>297</v>
      </c>
      <c r="H439" t="s">
        <v>297</v>
      </c>
      <c r="I439" t="s">
        <v>297</v>
      </c>
      <c r="J439" t="s">
        <v>297</v>
      </c>
      <c r="K439" t="s">
        <v>297</v>
      </c>
      <c r="L439" t="s">
        <v>297</v>
      </c>
      <c r="M439" t="s">
        <v>297</v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 t="s">
        <v>297</v>
      </c>
      <c r="H440" t="s">
        <v>297</v>
      </c>
      <c r="I440" t="s">
        <v>297</v>
      </c>
      <c r="J440" t="s">
        <v>297</v>
      </c>
      <c r="K440" t="s">
        <v>297</v>
      </c>
      <c r="L440" t="s">
        <v>297</v>
      </c>
      <c r="M440" t="s">
        <v>297</v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 t="s">
        <v>297</v>
      </c>
      <c r="H441" t="s">
        <v>297</v>
      </c>
      <c r="I441" t="s">
        <v>297</v>
      </c>
      <c r="J441" t="s">
        <v>297</v>
      </c>
      <c r="K441" t="s">
        <v>297</v>
      </c>
      <c r="L441" t="s">
        <v>297</v>
      </c>
      <c r="M441" t="s">
        <v>297</v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 t="s">
        <v>297</v>
      </c>
      <c r="H442" t="s">
        <v>297</v>
      </c>
      <c r="I442" t="s">
        <v>297</v>
      </c>
      <c r="J442" t="s">
        <v>297</v>
      </c>
      <c r="K442" t="s">
        <v>297</v>
      </c>
      <c r="L442" t="s">
        <v>297</v>
      </c>
      <c r="M442" t="s">
        <v>297</v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 t="s">
        <v>297</v>
      </c>
      <c r="H443" t="s">
        <v>297</v>
      </c>
      <c r="I443" t="s">
        <v>297</v>
      </c>
      <c r="J443" t="s">
        <v>297</v>
      </c>
      <c r="K443" t="s">
        <v>297</v>
      </c>
      <c r="L443" t="s">
        <v>297</v>
      </c>
      <c r="M443" t="s">
        <v>297</v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 t="s">
        <v>297</v>
      </c>
      <c r="H444" t="s">
        <v>297</v>
      </c>
      <c r="I444" t="s">
        <v>297</v>
      </c>
      <c r="J444" t="s">
        <v>297</v>
      </c>
      <c r="K444" t="s">
        <v>297</v>
      </c>
      <c r="L444" t="s">
        <v>297</v>
      </c>
      <c r="M444" t="s">
        <v>297</v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 t="s">
        <v>297</v>
      </c>
      <c r="H445" t="s">
        <v>297</v>
      </c>
      <c r="I445" t="s">
        <v>297</v>
      </c>
      <c r="J445" t="s">
        <v>297</v>
      </c>
      <c r="K445" t="s">
        <v>297</v>
      </c>
      <c r="L445" t="s">
        <v>297</v>
      </c>
      <c r="M445" t="s">
        <v>297</v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 t="s">
        <v>297</v>
      </c>
      <c r="H446" t="s">
        <v>297</v>
      </c>
      <c r="I446" t="s">
        <v>297</v>
      </c>
      <c r="J446" t="s">
        <v>297</v>
      </c>
      <c r="K446" t="s">
        <v>297</v>
      </c>
      <c r="L446" t="s">
        <v>297</v>
      </c>
      <c r="M446" t="s">
        <v>297</v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 t="s">
        <v>297</v>
      </c>
      <c r="H447" t="s">
        <v>297</v>
      </c>
      <c r="I447" t="s">
        <v>297</v>
      </c>
      <c r="J447" t="s">
        <v>297</v>
      </c>
      <c r="K447" t="s">
        <v>297</v>
      </c>
      <c r="L447" t="s">
        <v>297</v>
      </c>
      <c r="M447" t="s">
        <v>297</v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 t="s">
        <v>297</v>
      </c>
      <c r="H448" t="s">
        <v>297</v>
      </c>
      <c r="I448" t="s">
        <v>297</v>
      </c>
      <c r="J448" t="s">
        <v>297</v>
      </c>
      <c r="K448" t="s">
        <v>297</v>
      </c>
      <c r="L448" t="s">
        <v>297</v>
      </c>
      <c r="M448" t="s">
        <v>297</v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 t="s">
        <v>297</v>
      </c>
      <c r="H449" t="s">
        <v>297</v>
      </c>
      <c r="I449" t="s">
        <v>297</v>
      </c>
      <c r="J449" t="s">
        <v>297</v>
      </c>
      <c r="K449" t="s">
        <v>297</v>
      </c>
      <c r="L449" t="s">
        <v>297</v>
      </c>
      <c r="M449" t="s">
        <v>297</v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 t="s">
        <v>297</v>
      </c>
      <c r="H450" t="s">
        <v>297</v>
      </c>
      <c r="I450" t="s">
        <v>297</v>
      </c>
      <c r="J450" t="s">
        <v>297</v>
      </c>
      <c r="K450" t="s">
        <v>297</v>
      </c>
      <c r="L450" t="s">
        <v>297</v>
      </c>
      <c r="M450" t="s">
        <v>297</v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 t="s">
        <v>297</v>
      </c>
      <c r="H451" t="s">
        <v>297</v>
      </c>
      <c r="I451" t="s">
        <v>297</v>
      </c>
      <c r="J451" t="s">
        <v>297</v>
      </c>
      <c r="K451" t="s">
        <v>297</v>
      </c>
      <c r="L451" t="s">
        <v>297</v>
      </c>
      <c r="M451" t="s">
        <v>297</v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 t="s">
        <v>297</v>
      </c>
      <c r="H452" t="s">
        <v>297</v>
      </c>
      <c r="I452" t="s">
        <v>297</v>
      </c>
      <c r="J452" t="s">
        <v>297</v>
      </c>
      <c r="K452" t="s">
        <v>297</v>
      </c>
      <c r="L452" t="s">
        <v>297</v>
      </c>
      <c r="M452" t="s">
        <v>297</v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 t="s">
        <v>297</v>
      </c>
      <c r="H453" t="s">
        <v>297</v>
      </c>
      <c r="I453" t="s">
        <v>297</v>
      </c>
      <c r="J453" t="s">
        <v>297</v>
      </c>
      <c r="K453" t="s">
        <v>297</v>
      </c>
      <c r="L453" t="s">
        <v>297</v>
      </c>
      <c r="M453" t="s">
        <v>297</v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 t="s">
        <v>297</v>
      </c>
      <c r="H454" t="s">
        <v>297</v>
      </c>
      <c r="I454" t="s">
        <v>297</v>
      </c>
      <c r="J454" t="s">
        <v>297</v>
      </c>
      <c r="K454" t="s">
        <v>297</v>
      </c>
      <c r="L454" t="s">
        <v>297</v>
      </c>
      <c r="M454" t="s">
        <v>297</v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 t="s">
        <v>297</v>
      </c>
      <c r="H455" t="s">
        <v>297</v>
      </c>
      <c r="I455" t="s">
        <v>297</v>
      </c>
      <c r="J455" t="s">
        <v>297</v>
      </c>
      <c r="K455" t="s">
        <v>297</v>
      </c>
      <c r="L455" t="s">
        <v>297</v>
      </c>
      <c r="M455" t="s">
        <v>297</v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 t="s">
        <v>297</v>
      </c>
      <c r="H456" t="s">
        <v>297</v>
      </c>
      <c r="I456" t="s">
        <v>297</v>
      </c>
      <c r="J456" t="s">
        <v>297</v>
      </c>
      <c r="K456" t="s">
        <v>297</v>
      </c>
      <c r="L456" t="s">
        <v>297</v>
      </c>
      <c r="M456" t="s">
        <v>297</v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 t="s">
        <v>297</v>
      </c>
      <c r="H457" t="s">
        <v>297</v>
      </c>
      <c r="I457" t="s">
        <v>297</v>
      </c>
      <c r="J457" t="s">
        <v>297</v>
      </c>
      <c r="K457" t="s">
        <v>297</v>
      </c>
      <c r="L457" t="s">
        <v>297</v>
      </c>
      <c r="M457" t="s">
        <v>297</v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 t="s">
        <v>297</v>
      </c>
      <c r="H458" t="s">
        <v>297</v>
      </c>
      <c r="I458" t="s">
        <v>297</v>
      </c>
      <c r="J458" t="s">
        <v>297</v>
      </c>
      <c r="K458" t="s">
        <v>297</v>
      </c>
      <c r="L458" t="s">
        <v>297</v>
      </c>
      <c r="M458" t="s">
        <v>297</v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 t="s">
        <v>297</v>
      </c>
      <c r="H459" t="s">
        <v>297</v>
      </c>
      <c r="I459" t="s">
        <v>297</v>
      </c>
      <c r="J459" t="s">
        <v>297</v>
      </c>
      <c r="K459" t="s">
        <v>297</v>
      </c>
      <c r="L459" t="s">
        <v>297</v>
      </c>
      <c r="M459" t="s">
        <v>297</v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 t="s">
        <v>297</v>
      </c>
      <c r="H460" t="s">
        <v>297</v>
      </c>
      <c r="I460" t="s">
        <v>297</v>
      </c>
      <c r="J460" t="s">
        <v>297</v>
      </c>
      <c r="K460" t="s">
        <v>297</v>
      </c>
      <c r="L460" t="s">
        <v>297</v>
      </c>
      <c r="M460" t="s">
        <v>297</v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 t="s">
        <v>297</v>
      </c>
      <c r="H461" t="s">
        <v>297</v>
      </c>
      <c r="I461" t="s">
        <v>297</v>
      </c>
      <c r="J461" t="s">
        <v>297</v>
      </c>
      <c r="K461" t="s">
        <v>297</v>
      </c>
      <c r="L461" t="s">
        <v>297</v>
      </c>
      <c r="M461" t="s">
        <v>297</v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 t="s">
        <v>297</v>
      </c>
      <c r="H462" t="s">
        <v>297</v>
      </c>
      <c r="I462" t="s">
        <v>297</v>
      </c>
      <c r="J462" t="s">
        <v>297</v>
      </c>
      <c r="K462" t="s">
        <v>297</v>
      </c>
      <c r="L462" t="s">
        <v>297</v>
      </c>
      <c r="M462" t="s">
        <v>297</v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 t="s">
        <v>297</v>
      </c>
      <c r="H463" t="s">
        <v>297</v>
      </c>
      <c r="I463" t="s">
        <v>297</v>
      </c>
      <c r="J463" t="s">
        <v>297</v>
      </c>
      <c r="K463" t="s">
        <v>297</v>
      </c>
      <c r="L463" t="s">
        <v>297</v>
      </c>
      <c r="M463" t="s">
        <v>297</v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 t="s">
        <v>297</v>
      </c>
      <c r="H464" t="s">
        <v>297</v>
      </c>
      <c r="I464" t="s">
        <v>297</v>
      </c>
      <c r="J464" t="s">
        <v>297</v>
      </c>
      <c r="K464" t="s">
        <v>297</v>
      </c>
      <c r="L464" t="s">
        <v>297</v>
      </c>
      <c r="M464" t="s">
        <v>297</v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 t="s">
        <v>297</v>
      </c>
      <c r="H465" t="s">
        <v>297</v>
      </c>
      <c r="I465" t="s">
        <v>297</v>
      </c>
      <c r="J465" t="s">
        <v>297</v>
      </c>
      <c r="K465" t="s">
        <v>297</v>
      </c>
      <c r="L465" t="s">
        <v>297</v>
      </c>
      <c r="M465" t="s">
        <v>297</v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 t="s">
        <v>297</v>
      </c>
      <c r="H466" t="s">
        <v>297</v>
      </c>
      <c r="I466" t="s">
        <v>297</v>
      </c>
      <c r="J466" t="s">
        <v>297</v>
      </c>
      <c r="K466" t="s">
        <v>297</v>
      </c>
      <c r="L466" t="s">
        <v>297</v>
      </c>
      <c r="M466" t="s">
        <v>297</v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 t="s">
        <v>297</v>
      </c>
      <c r="H467" t="s">
        <v>297</v>
      </c>
      <c r="I467" t="s">
        <v>297</v>
      </c>
      <c r="J467" t="s">
        <v>297</v>
      </c>
      <c r="K467" t="s">
        <v>297</v>
      </c>
      <c r="L467" t="s">
        <v>297</v>
      </c>
      <c r="M467" t="s">
        <v>297</v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 t="s">
        <v>297</v>
      </c>
      <c r="H468" t="s">
        <v>297</v>
      </c>
      <c r="I468" t="s">
        <v>297</v>
      </c>
      <c r="J468" t="s">
        <v>297</v>
      </c>
      <c r="K468" t="s">
        <v>297</v>
      </c>
      <c r="L468" t="s">
        <v>297</v>
      </c>
      <c r="M468" t="s">
        <v>297</v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 t="s">
        <v>297</v>
      </c>
      <c r="H469" t="s">
        <v>297</v>
      </c>
      <c r="I469" t="s">
        <v>297</v>
      </c>
      <c r="J469" t="s">
        <v>297</v>
      </c>
      <c r="K469" t="s">
        <v>297</v>
      </c>
      <c r="L469" t="s">
        <v>297</v>
      </c>
      <c r="M469" t="s">
        <v>297</v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 t="s">
        <v>297</v>
      </c>
      <c r="H470" t="s">
        <v>297</v>
      </c>
      <c r="I470" t="s">
        <v>297</v>
      </c>
      <c r="J470" t="s">
        <v>297</v>
      </c>
      <c r="K470" t="s">
        <v>297</v>
      </c>
      <c r="L470" t="s">
        <v>297</v>
      </c>
      <c r="M470" t="s">
        <v>297</v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 t="s">
        <v>297</v>
      </c>
      <c r="H471" t="s">
        <v>297</v>
      </c>
      <c r="I471" t="s">
        <v>297</v>
      </c>
      <c r="J471" t="s">
        <v>297</v>
      </c>
      <c r="K471" t="s">
        <v>297</v>
      </c>
      <c r="L471" t="s">
        <v>297</v>
      </c>
      <c r="M471" t="s">
        <v>297</v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 t="s">
        <v>297</v>
      </c>
      <c r="H472" t="s">
        <v>297</v>
      </c>
      <c r="I472" t="s">
        <v>297</v>
      </c>
      <c r="J472" t="s">
        <v>297</v>
      </c>
      <c r="K472" t="s">
        <v>297</v>
      </c>
      <c r="L472" t="s">
        <v>297</v>
      </c>
      <c r="M472" t="s">
        <v>297</v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 t="s">
        <v>297</v>
      </c>
      <c r="H473" t="s">
        <v>297</v>
      </c>
      <c r="I473" t="s">
        <v>297</v>
      </c>
      <c r="J473" t="s">
        <v>297</v>
      </c>
      <c r="K473" t="s">
        <v>297</v>
      </c>
      <c r="L473" t="s">
        <v>297</v>
      </c>
      <c r="M473" t="s">
        <v>297</v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 t="s">
        <v>297</v>
      </c>
      <c r="H474" t="s">
        <v>297</v>
      </c>
      <c r="I474" t="s">
        <v>297</v>
      </c>
      <c r="J474" t="s">
        <v>297</v>
      </c>
      <c r="K474" t="s">
        <v>297</v>
      </c>
      <c r="L474" t="s">
        <v>297</v>
      </c>
      <c r="M474" t="s">
        <v>297</v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 t="s">
        <v>297</v>
      </c>
      <c r="H475" t="s">
        <v>297</v>
      </c>
      <c r="I475" t="s">
        <v>297</v>
      </c>
      <c r="J475" t="s">
        <v>297</v>
      </c>
      <c r="K475" t="s">
        <v>297</v>
      </c>
      <c r="L475" t="s">
        <v>297</v>
      </c>
      <c r="M475" t="s">
        <v>297</v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 t="s">
        <v>297</v>
      </c>
      <c r="H476" t="s">
        <v>297</v>
      </c>
      <c r="I476" t="s">
        <v>297</v>
      </c>
      <c r="J476" t="s">
        <v>297</v>
      </c>
      <c r="K476" t="s">
        <v>297</v>
      </c>
      <c r="L476" t="s">
        <v>297</v>
      </c>
      <c r="M476" t="s">
        <v>297</v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 t="s">
        <v>297</v>
      </c>
      <c r="H477" t="s">
        <v>297</v>
      </c>
      <c r="I477" t="s">
        <v>297</v>
      </c>
      <c r="J477" t="s">
        <v>297</v>
      </c>
      <c r="K477" t="s">
        <v>297</v>
      </c>
      <c r="L477" t="s">
        <v>297</v>
      </c>
      <c r="M477" t="s">
        <v>297</v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 t="s">
        <v>297</v>
      </c>
      <c r="H478" t="s">
        <v>297</v>
      </c>
      <c r="I478" t="s">
        <v>297</v>
      </c>
      <c r="J478" t="s">
        <v>297</v>
      </c>
      <c r="K478" t="s">
        <v>297</v>
      </c>
      <c r="L478" t="s">
        <v>297</v>
      </c>
      <c r="M478" t="s">
        <v>297</v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 t="s">
        <v>297</v>
      </c>
      <c r="H479" t="s">
        <v>297</v>
      </c>
      <c r="I479" t="s">
        <v>297</v>
      </c>
      <c r="J479" t="s">
        <v>297</v>
      </c>
      <c r="K479" t="s">
        <v>297</v>
      </c>
      <c r="L479" t="s">
        <v>297</v>
      </c>
      <c r="M479" t="s">
        <v>297</v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 t="s">
        <v>297</v>
      </c>
      <c r="H480" t="s">
        <v>297</v>
      </c>
      <c r="I480" t="s">
        <v>297</v>
      </c>
      <c r="J480" t="s">
        <v>297</v>
      </c>
      <c r="K480" t="s">
        <v>297</v>
      </c>
      <c r="L480" t="s">
        <v>297</v>
      </c>
      <c r="M480" t="s">
        <v>297</v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 t="s">
        <v>297</v>
      </c>
      <c r="H481" t="s">
        <v>297</v>
      </c>
      <c r="I481" t="s">
        <v>297</v>
      </c>
      <c r="J481" t="s">
        <v>297</v>
      </c>
      <c r="K481" t="s">
        <v>297</v>
      </c>
      <c r="L481" t="s">
        <v>297</v>
      </c>
      <c r="M481" t="s">
        <v>297</v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 t="s">
        <v>297</v>
      </c>
      <c r="H482" t="s">
        <v>297</v>
      </c>
      <c r="I482" t="s">
        <v>297</v>
      </c>
      <c r="J482" t="s">
        <v>297</v>
      </c>
      <c r="K482" t="s">
        <v>297</v>
      </c>
      <c r="L482" t="s">
        <v>297</v>
      </c>
      <c r="M482" t="s">
        <v>297</v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 t="s">
        <v>297</v>
      </c>
      <c r="H483" t="s">
        <v>297</v>
      </c>
      <c r="I483" t="s">
        <v>297</v>
      </c>
      <c r="J483" t="s">
        <v>297</v>
      </c>
      <c r="K483" t="s">
        <v>297</v>
      </c>
      <c r="L483" t="s">
        <v>297</v>
      </c>
      <c r="M483" t="s">
        <v>297</v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 t="s">
        <v>297</v>
      </c>
      <c r="H484" t="s">
        <v>297</v>
      </c>
      <c r="I484" t="s">
        <v>297</v>
      </c>
      <c r="J484" t="s">
        <v>297</v>
      </c>
      <c r="K484" t="s">
        <v>297</v>
      </c>
      <c r="L484" t="s">
        <v>297</v>
      </c>
      <c r="M484" t="s">
        <v>297</v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 t="s">
        <v>297</v>
      </c>
      <c r="H485" t="s">
        <v>297</v>
      </c>
      <c r="I485" t="s">
        <v>297</v>
      </c>
      <c r="J485" t="s">
        <v>297</v>
      </c>
      <c r="K485" t="s">
        <v>297</v>
      </c>
      <c r="L485" t="s">
        <v>297</v>
      </c>
      <c r="M485" t="s">
        <v>297</v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 t="s">
        <v>297</v>
      </c>
      <c r="H486" t="s">
        <v>297</v>
      </c>
      <c r="I486" t="s">
        <v>297</v>
      </c>
      <c r="J486" t="s">
        <v>297</v>
      </c>
      <c r="K486" t="s">
        <v>297</v>
      </c>
      <c r="L486" t="s">
        <v>297</v>
      </c>
      <c r="M486" t="s">
        <v>297</v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 t="s">
        <v>297</v>
      </c>
      <c r="H487" t="s">
        <v>297</v>
      </c>
      <c r="I487" t="s">
        <v>297</v>
      </c>
      <c r="J487" t="s">
        <v>297</v>
      </c>
      <c r="K487" t="s">
        <v>297</v>
      </c>
      <c r="L487" t="s">
        <v>297</v>
      </c>
      <c r="M487" t="s">
        <v>297</v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 t="s">
        <v>297</v>
      </c>
      <c r="H488" t="s">
        <v>297</v>
      </c>
      <c r="I488" t="s">
        <v>297</v>
      </c>
      <c r="J488" t="s">
        <v>297</v>
      </c>
      <c r="K488" t="s">
        <v>297</v>
      </c>
      <c r="L488" t="s">
        <v>297</v>
      </c>
      <c r="M488" t="s">
        <v>297</v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 t="s">
        <v>297</v>
      </c>
      <c r="H489" t="s">
        <v>297</v>
      </c>
      <c r="I489" t="s">
        <v>297</v>
      </c>
      <c r="J489" t="s">
        <v>297</v>
      </c>
      <c r="K489" t="s">
        <v>297</v>
      </c>
      <c r="L489" t="s">
        <v>297</v>
      </c>
      <c r="M489" t="s">
        <v>297</v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 t="s">
        <v>297</v>
      </c>
      <c r="H490" t="s">
        <v>297</v>
      </c>
      <c r="I490" t="s">
        <v>297</v>
      </c>
      <c r="J490" t="s">
        <v>297</v>
      </c>
      <c r="K490" t="s">
        <v>297</v>
      </c>
      <c r="L490" t="s">
        <v>297</v>
      </c>
      <c r="M490" t="s">
        <v>297</v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 t="s">
        <v>297</v>
      </c>
      <c r="H491" t="s">
        <v>297</v>
      </c>
      <c r="I491" t="s">
        <v>297</v>
      </c>
      <c r="J491" t="s">
        <v>297</v>
      </c>
      <c r="K491" t="s">
        <v>297</v>
      </c>
      <c r="L491" t="s">
        <v>297</v>
      </c>
      <c r="M491" t="s">
        <v>297</v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 t="s">
        <v>297</v>
      </c>
      <c r="H492" t="s">
        <v>297</v>
      </c>
      <c r="I492" t="s">
        <v>297</v>
      </c>
      <c r="J492" t="s">
        <v>297</v>
      </c>
      <c r="K492" t="s">
        <v>297</v>
      </c>
      <c r="L492" t="s">
        <v>297</v>
      </c>
      <c r="M492" t="s">
        <v>297</v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 t="s">
        <v>297</v>
      </c>
      <c r="H493" t="s">
        <v>297</v>
      </c>
      <c r="I493" t="s">
        <v>297</v>
      </c>
      <c r="J493" t="s">
        <v>297</v>
      </c>
      <c r="K493" t="s">
        <v>297</v>
      </c>
      <c r="L493" t="s">
        <v>297</v>
      </c>
      <c r="M493" t="s">
        <v>297</v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 t="s">
        <v>297</v>
      </c>
      <c r="H494" t="s">
        <v>297</v>
      </c>
      <c r="I494" t="s">
        <v>297</v>
      </c>
      <c r="J494" t="s">
        <v>297</v>
      </c>
      <c r="K494" t="s">
        <v>297</v>
      </c>
      <c r="L494" t="s">
        <v>297</v>
      </c>
      <c r="M494" t="s">
        <v>297</v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 t="s">
        <v>297</v>
      </c>
      <c r="H495" t="s">
        <v>297</v>
      </c>
      <c r="I495" t="s">
        <v>297</v>
      </c>
      <c r="J495" t="s">
        <v>297</v>
      </c>
      <c r="K495" t="s">
        <v>297</v>
      </c>
      <c r="L495" t="s">
        <v>297</v>
      </c>
      <c r="M495" t="s">
        <v>297</v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 t="s">
        <v>297</v>
      </c>
      <c r="H496" t="s">
        <v>297</v>
      </c>
      <c r="I496" t="s">
        <v>297</v>
      </c>
      <c r="J496" t="s">
        <v>297</v>
      </c>
      <c r="K496" t="s">
        <v>297</v>
      </c>
      <c r="L496" t="s">
        <v>297</v>
      </c>
      <c r="M496" t="s">
        <v>297</v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 t="s">
        <v>297</v>
      </c>
      <c r="H497" t="s">
        <v>297</v>
      </c>
      <c r="I497" t="s">
        <v>297</v>
      </c>
      <c r="J497" t="s">
        <v>297</v>
      </c>
      <c r="K497" t="s">
        <v>297</v>
      </c>
      <c r="L497" t="s">
        <v>297</v>
      </c>
      <c r="M497" t="s">
        <v>297</v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 t="s">
        <v>297</v>
      </c>
      <c r="H498" t="s">
        <v>297</v>
      </c>
      <c r="I498" t="s">
        <v>297</v>
      </c>
      <c r="J498" t="s">
        <v>297</v>
      </c>
      <c r="K498" t="s">
        <v>297</v>
      </c>
      <c r="L498" t="s">
        <v>297</v>
      </c>
      <c r="M498" t="s">
        <v>297</v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 t="s">
        <v>297</v>
      </c>
      <c r="H499" t="s">
        <v>297</v>
      </c>
      <c r="I499" t="s">
        <v>297</v>
      </c>
      <c r="J499" t="s">
        <v>297</v>
      </c>
      <c r="K499" t="s">
        <v>297</v>
      </c>
      <c r="L499" t="s">
        <v>297</v>
      </c>
      <c r="M499" t="s">
        <v>297</v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 t="s">
        <v>297</v>
      </c>
      <c r="H500" t="s">
        <v>297</v>
      </c>
      <c r="I500" t="s">
        <v>297</v>
      </c>
      <c r="J500" t="s">
        <v>297</v>
      </c>
      <c r="K500" t="s">
        <v>297</v>
      </c>
      <c r="L500" t="s">
        <v>297</v>
      </c>
      <c r="M500" t="s">
        <v>297</v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 t="s">
        <v>297</v>
      </c>
      <c r="H501" t="s">
        <v>297</v>
      </c>
      <c r="I501" t="s">
        <v>297</v>
      </c>
      <c r="J501" t="s">
        <v>297</v>
      </c>
      <c r="K501" t="s">
        <v>297</v>
      </c>
      <c r="L501" t="s">
        <v>297</v>
      </c>
      <c r="M501" t="s">
        <v>297</v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 t="s">
        <v>297</v>
      </c>
      <c r="H502" t="s">
        <v>297</v>
      </c>
      <c r="I502" t="s">
        <v>297</v>
      </c>
      <c r="J502" t="s">
        <v>297</v>
      </c>
      <c r="K502" t="s">
        <v>297</v>
      </c>
      <c r="L502" t="s">
        <v>297</v>
      </c>
      <c r="M502" t="s">
        <v>297</v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 t="s">
        <v>297</v>
      </c>
      <c r="H503" t="s">
        <v>297</v>
      </c>
      <c r="I503" t="s">
        <v>297</v>
      </c>
      <c r="J503" t="s">
        <v>297</v>
      </c>
      <c r="K503" t="s">
        <v>297</v>
      </c>
      <c r="L503" t="s">
        <v>297</v>
      </c>
      <c r="M503" t="s">
        <v>297</v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 t="s">
        <v>297</v>
      </c>
      <c r="H504" t="s">
        <v>297</v>
      </c>
      <c r="I504" t="s">
        <v>297</v>
      </c>
      <c r="J504" t="s">
        <v>297</v>
      </c>
      <c r="K504" t="s">
        <v>297</v>
      </c>
      <c r="L504" t="s">
        <v>297</v>
      </c>
      <c r="M504" t="s">
        <v>297</v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 t="s">
        <v>297</v>
      </c>
      <c r="H505" t="s">
        <v>297</v>
      </c>
      <c r="I505" t="s">
        <v>297</v>
      </c>
      <c r="J505" t="s">
        <v>297</v>
      </c>
      <c r="K505" t="s">
        <v>297</v>
      </c>
      <c r="L505" t="s">
        <v>297</v>
      </c>
      <c r="M505" t="s">
        <v>297</v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 t="s">
        <v>297</v>
      </c>
      <c r="H506" t="s">
        <v>297</v>
      </c>
      <c r="I506" t="s">
        <v>297</v>
      </c>
      <c r="J506" t="s">
        <v>297</v>
      </c>
      <c r="K506" t="s">
        <v>297</v>
      </c>
      <c r="L506" t="s">
        <v>297</v>
      </c>
      <c r="M506" t="s">
        <v>297</v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 t="s">
        <v>297</v>
      </c>
      <c r="H507" t="s">
        <v>297</v>
      </c>
      <c r="I507" t="s">
        <v>297</v>
      </c>
      <c r="J507" t="s">
        <v>297</v>
      </c>
      <c r="K507" t="s">
        <v>297</v>
      </c>
      <c r="L507" t="s">
        <v>297</v>
      </c>
      <c r="M507" t="s">
        <v>297</v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 t="s">
        <v>297</v>
      </c>
      <c r="H508" t="s">
        <v>297</v>
      </c>
      <c r="I508" t="s">
        <v>297</v>
      </c>
      <c r="J508" t="s">
        <v>297</v>
      </c>
      <c r="K508" t="s">
        <v>297</v>
      </c>
      <c r="L508" t="s">
        <v>297</v>
      </c>
      <c r="M508" t="s">
        <v>297</v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 t="s">
        <v>297</v>
      </c>
      <c r="H509" t="s">
        <v>297</v>
      </c>
      <c r="I509" t="s">
        <v>297</v>
      </c>
      <c r="J509" t="s">
        <v>297</v>
      </c>
      <c r="K509" t="s">
        <v>297</v>
      </c>
      <c r="L509" t="s">
        <v>297</v>
      </c>
      <c r="M509" t="s">
        <v>297</v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 t="s">
        <v>297</v>
      </c>
      <c r="H510" t="s">
        <v>297</v>
      </c>
      <c r="I510" t="s">
        <v>297</v>
      </c>
      <c r="J510" t="s">
        <v>297</v>
      </c>
      <c r="K510" t="s">
        <v>297</v>
      </c>
      <c r="L510" t="s">
        <v>297</v>
      </c>
      <c r="M510" t="s">
        <v>297</v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 t="s">
        <v>297</v>
      </c>
      <c r="H511" t="s">
        <v>297</v>
      </c>
      <c r="I511" t="s">
        <v>297</v>
      </c>
      <c r="J511" t="s">
        <v>297</v>
      </c>
      <c r="K511" t="s">
        <v>297</v>
      </c>
      <c r="L511" t="s">
        <v>297</v>
      </c>
      <c r="M511" t="s">
        <v>297</v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 t="s">
        <v>297</v>
      </c>
      <c r="H512" t="s">
        <v>297</v>
      </c>
      <c r="I512" t="s">
        <v>297</v>
      </c>
      <c r="J512" t="s">
        <v>297</v>
      </c>
      <c r="K512" t="s">
        <v>297</v>
      </c>
      <c r="L512" t="s">
        <v>297</v>
      </c>
      <c r="M512" t="s">
        <v>297</v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 t="s">
        <v>297</v>
      </c>
      <c r="H513" t="s">
        <v>297</v>
      </c>
      <c r="I513" t="s">
        <v>297</v>
      </c>
      <c r="J513" t="s">
        <v>297</v>
      </c>
      <c r="K513" t="s">
        <v>297</v>
      </c>
      <c r="L513" t="s">
        <v>297</v>
      </c>
      <c r="M513" t="s">
        <v>297</v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 t="s">
        <v>297</v>
      </c>
      <c r="H514" t="s">
        <v>297</v>
      </c>
      <c r="I514" t="s">
        <v>297</v>
      </c>
      <c r="J514" t="s">
        <v>297</v>
      </c>
      <c r="K514" t="s">
        <v>297</v>
      </c>
      <c r="L514" t="s">
        <v>297</v>
      </c>
      <c r="M514" t="s">
        <v>297</v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 t="s">
        <v>297</v>
      </c>
      <c r="H515" t="s">
        <v>297</v>
      </c>
      <c r="I515" t="s">
        <v>297</v>
      </c>
      <c r="J515" t="s">
        <v>297</v>
      </c>
      <c r="K515" t="s">
        <v>297</v>
      </c>
      <c r="L515" t="s">
        <v>297</v>
      </c>
      <c r="M515" t="s">
        <v>297</v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 t="s">
        <v>297</v>
      </c>
      <c r="H516" t="s">
        <v>297</v>
      </c>
      <c r="I516" t="s">
        <v>297</v>
      </c>
      <c r="J516" t="s">
        <v>297</v>
      </c>
      <c r="K516" t="s">
        <v>297</v>
      </c>
      <c r="L516" t="s">
        <v>297</v>
      </c>
      <c r="M516" t="s">
        <v>297</v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 t="s">
        <v>297</v>
      </c>
      <c r="H517" t="s">
        <v>297</v>
      </c>
      <c r="I517" t="s">
        <v>297</v>
      </c>
      <c r="J517" t="s">
        <v>297</v>
      </c>
      <c r="K517" t="s">
        <v>297</v>
      </c>
      <c r="L517" t="s">
        <v>297</v>
      </c>
      <c r="M517" t="s">
        <v>297</v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 t="s">
        <v>297</v>
      </c>
      <c r="H518" t="s">
        <v>297</v>
      </c>
      <c r="I518" t="s">
        <v>297</v>
      </c>
      <c r="J518" t="s">
        <v>297</v>
      </c>
      <c r="K518" t="s">
        <v>297</v>
      </c>
      <c r="L518" t="s">
        <v>297</v>
      </c>
      <c r="M518" t="s">
        <v>297</v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 t="s">
        <v>297</v>
      </c>
      <c r="H519" t="s">
        <v>297</v>
      </c>
      <c r="I519" t="s">
        <v>297</v>
      </c>
      <c r="J519" t="s">
        <v>297</v>
      </c>
      <c r="K519" t="s">
        <v>297</v>
      </c>
      <c r="L519" t="s">
        <v>297</v>
      </c>
      <c r="M519" t="s">
        <v>297</v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 t="s">
        <v>297</v>
      </c>
      <c r="H520" t="s">
        <v>297</v>
      </c>
      <c r="I520" t="s">
        <v>297</v>
      </c>
      <c r="J520" t="s">
        <v>297</v>
      </c>
      <c r="K520" t="s">
        <v>297</v>
      </c>
      <c r="L520" t="s">
        <v>297</v>
      </c>
      <c r="M520" t="s">
        <v>297</v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 t="s">
        <v>297</v>
      </c>
      <c r="H521" t="s">
        <v>297</v>
      </c>
      <c r="I521" t="s">
        <v>297</v>
      </c>
      <c r="J521" t="s">
        <v>297</v>
      </c>
      <c r="K521" t="s">
        <v>297</v>
      </c>
      <c r="L521" t="s">
        <v>297</v>
      </c>
      <c r="M521" t="s">
        <v>297</v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 t="s">
        <v>297</v>
      </c>
      <c r="H522" t="s">
        <v>297</v>
      </c>
      <c r="I522" t="s">
        <v>297</v>
      </c>
      <c r="J522" t="s">
        <v>297</v>
      </c>
      <c r="K522" t="s">
        <v>297</v>
      </c>
      <c r="L522" t="s">
        <v>297</v>
      </c>
      <c r="M522" t="s">
        <v>297</v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 t="s">
        <v>297</v>
      </c>
      <c r="H523" t="s">
        <v>297</v>
      </c>
      <c r="I523" t="s">
        <v>297</v>
      </c>
      <c r="J523" t="s">
        <v>297</v>
      </c>
      <c r="K523" t="s">
        <v>297</v>
      </c>
      <c r="L523" t="s">
        <v>297</v>
      </c>
      <c r="M523" t="s">
        <v>297</v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 t="s">
        <v>297</v>
      </c>
      <c r="H524" t="s">
        <v>297</v>
      </c>
      <c r="I524" t="s">
        <v>297</v>
      </c>
      <c r="J524" t="s">
        <v>297</v>
      </c>
      <c r="K524" t="s">
        <v>297</v>
      </c>
      <c r="L524" t="s">
        <v>297</v>
      </c>
      <c r="M524" t="s">
        <v>297</v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 t="s">
        <v>297</v>
      </c>
      <c r="H525" t="s">
        <v>297</v>
      </c>
      <c r="I525" t="s">
        <v>297</v>
      </c>
      <c r="J525" t="s">
        <v>297</v>
      </c>
      <c r="K525" t="s">
        <v>297</v>
      </c>
      <c r="L525" t="s">
        <v>297</v>
      </c>
      <c r="M525" t="s">
        <v>297</v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 t="s">
        <v>297</v>
      </c>
      <c r="H526" t="s">
        <v>297</v>
      </c>
      <c r="I526" t="s">
        <v>297</v>
      </c>
      <c r="J526" t="s">
        <v>297</v>
      </c>
      <c r="K526" t="s">
        <v>297</v>
      </c>
      <c r="L526" t="s">
        <v>297</v>
      </c>
      <c r="M526" t="s">
        <v>297</v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 t="s">
        <v>297</v>
      </c>
      <c r="H527" t="s">
        <v>297</v>
      </c>
      <c r="I527" t="s">
        <v>297</v>
      </c>
      <c r="J527" t="s">
        <v>297</v>
      </c>
      <c r="K527" t="s">
        <v>297</v>
      </c>
      <c r="L527" t="s">
        <v>297</v>
      </c>
      <c r="M527" t="s">
        <v>297</v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 t="s">
        <v>297</v>
      </c>
      <c r="H528" t="s">
        <v>297</v>
      </c>
      <c r="I528" t="s">
        <v>297</v>
      </c>
      <c r="J528" t="s">
        <v>297</v>
      </c>
      <c r="K528" t="s">
        <v>297</v>
      </c>
      <c r="L528" t="s">
        <v>297</v>
      </c>
      <c r="M528" t="s">
        <v>297</v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 t="s">
        <v>297</v>
      </c>
      <c r="H529" t="s">
        <v>297</v>
      </c>
      <c r="I529" t="s">
        <v>297</v>
      </c>
      <c r="J529" t="s">
        <v>297</v>
      </c>
      <c r="K529" t="s">
        <v>297</v>
      </c>
      <c r="L529" t="s">
        <v>297</v>
      </c>
      <c r="M529" t="s">
        <v>297</v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 t="s">
        <v>297</v>
      </c>
      <c r="H530" t="s">
        <v>297</v>
      </c>
      <c r="I530" t="s">
        <v>297</v>
      </c>
      <c r="J530" t="s">
        <v>297</v>
      </c>
      <c r="K530" t="s">
        <v>297</v>
      </c>
      <c r="L530" t="s">
        <v>297</v>
      </c>
      <c r="M530" t="s">
        <v>297</v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 t="s">
        <v>297</v>
      </c>
      <c r="H531" t="s">
        <v>297</v>
      </c>
      <c r="I531" t="s">
        <v>297</v>
      </c>
      <c r="J531" t="s">
        <v>297</v>
      </c>
      <c r="K531" t="s">
        <v>297</v>
      </c>
      <c r="L531" t="s">
        <v>297</v>
      </c>
      <c r="M531" t="s">
        <v>297</v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 t="s">
        <v>297</v>
      </c>
      <c r="H532" t="s">
        <v>297</v>
      </c>
      <c r="I532" t="s">
        <v>297</v>
      </c>
      <c r="J532" t="s">
        <v>297</v>
      </c>
      <c r="K532" t="s">
        <v>297</v>
      </c>
      <c r="L532" t="s">
        <v>297</v>
      </c>
      <c r="M532" t="s">
        <v>297</v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 t="s">
        <v>297</v>
      </c>
      <c r="H533" t="s">
        <v>297</v>
      </c>
      <c r="I533" t="s">
        <v>297</v>
      </c>
      <c r="J533" t="s">
        <v>297</v>
      </c>
      <c r="K533" t="s">
        <v>297</v>
      </c>
      <c r="L533" t="s">
        <v>297</v>
      </c>
      <c r="M533" t="s">
        <v>297</v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 t="s">
        <v>297</v>
      </c>
      <c r="H534" t="s">
        <v>297</v>
      </c>
      <c r="I534" t="s">
        <v>297</v>
      </c>
      <c r="J534" t="s">
        <v>297</v>
      </c>
      <c r="K534" t="s">
        <v>297</v>
      </c>
      <c r="L534" t="s">
        <v>297</v>
      </c>
      <c r="M534" t="s">
        <v>297</v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 t="s">
        <v>297</v>
      </c>
      <c r="H535" t="s">
        <v>297</v>
      </c>
      <c r="I535" t="s">
        <v>297</v>
      </c>
      <c r="J535" t="s">
        <v>297</v>
      </c>
      <c r="K535" t="s">
        <v>297</v>
      </c>
      <c r="L535" t="s">
        <v>297</v>
      </c>
      <c r="M535" t="s">
        <v>297</v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 t="s">
        <v>297</v>
      </c>
      <c r="H536" t="s">
        <v>297</v>
      </c>
      <c r="I536" t="s">
        <v>297</v>
      </c>
      <c r="J536" t="s">
        <v>297</v>
      </c>
      <c r="K536" t="s">
        <v>297</v>
      </c>
      <c r="L536" t="s">
        <v>297</v>
      </c>
      <c r="M536" t="s">
        <v>297</v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 t="s">
        <v>297</v>
      </c>
      <c r="H537" t="s">
        <v>297</v>
      </c>
      <c r="I537" t="s">
        <v>297</v>
      </c>
      <c r="J537" t="s">
        <v>297</v>
      </c>
      <c r="K537" t="s">
        <v>297</v>
      </c>
      <c r="L537" t="s">
        <v>297</v>
      </c>
      <c r="M537" t="s">
        <v>297</v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 t="s">
        <v>297</v>
      </c>
      <c r="H538" t="s">
        <v>297</v>
      </c>
      <c r="I538" t="s">
        <v>297</v>
      </c>
      <c r="J538" t="s">
        <v>297</v>
      </c>
      <c r="K538" t="s">
        <v>297</v>
      </c>
      <c r="L538" t="s">
        <v>297</v>
      </c>
      <c r="M538" t="s">
        <v>297</v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 t="s">
        <v>297</v>
      </c>
      <c r="H539" t="s">
        <v>297</v>
      </c>
      <c r="I539" t="s">
        <v>297</v>
      </c>
      <c r="J539" t="s">
        <v>297</v>
      </c>
      <c r="K539" t="s">
        <v>297</v>
      </c>
      <c r="L539" t="s">
        <v>297</v>
      </c>
      <c r="M539" t="s">
        <v>297</v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 t="s">
        <v>297</v>
      </c>
      <c r="H540" t="s">
        <v>297</v>
      </c>
      <c r="I540" t="s">
        <v>297</v>
      </c>
      <c r="J540" t="s">
        <v>297</v>
      </c>
      <c r="K540" t="s">
        <v>297</v>
      </c>
      <c r="L540" t="s">
        <v>297</v>
      </c>
      <c r="M540" t="s">
        <v>297</v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 t="s">
        <v>297</v>
      </c>
      <c r="H541" t="s">
        <v>297</v>
      </c>
      <c r="I541" t="s">
        <v>297</v>
      </c>
      <c r="J541" t="s">
        <v>297</v>
      </c>
      <c r="K541" t="s">
        <v>297</v>
      </c>
      <c r="L541" t="s">
        <v>297</v>
      </c>
      <c r="M541" t="s">
        <v>297</v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 t="s">
        <v>297</v>
      </c>
      <c r="H542" t="s">
        <v>297</v>
      </c>
      <c r="I542" t="s">
        <v>297</v>
      </c>
      <c r="J542" t="s">
        <v>297</v>
      </c>
      <c r="K542" t="s">
        <v>297</v>
      </c>
      <c r="L542" t="s">
        <v>297</v>
      </c>
      <c r="M542" t="s">
        <v>297</v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 t="s">
        <v>297</v>
      </c>
      <c r="H543" t="s">
        <v>297</v>
      </c>
      <c r="I543" t="s">
        <v>297</v>
      </c>
      <c r="J543" t="s">
        <v>297</v>
      </c>
      <c r="K543" t="s">
        <v>297</v>
      </c>
      <c r="L543" t="s">
        <v>297</v>
      </c>
      <c r="M543" t="s">
        <v>297</v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 t="s">
        <v>297</v>
      </c>
      <c r="H544" t="s">
        <v>297</v>
      </c>
      <c r="I544" t="s">
        <v>297</v>
      </c>
      <c r="J544" t="s">
        <v>297</v>
      </c>
      <c r="K544" t="s">
        <v>297</v>
      </c>
      <c r="L544" t="s">
        <v>297</v>
      </c>
      <c r="M544" t="s">
        <v>297</v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 t="s">
        <v>297</v>
      </c>
      <c r="H545" t="s">
        <v>297</v>
      </c>
      <c r="I545" t="s">
        <v>297</v>
      </c>
      <c r="J545" t="s">
        <v>297</v>
      </c>
      <c r="K545" t="s">
        <v>297</v>
      </c>
      <c r="L545" t="s">
        <v>297</v>
      </c>
      <c r="M545" t="s">
        <v>297</v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 t="s">
        <v>297</v>
      </c>
      <c r="H546" t="s">
        <v>297</v>
      </c>
      <c r="I546" t="s">
        <v>297</v>
      </c>
      <c r="J546" t="s">
        <v>297</v>
      </c>
      <c r="K546" t="s">
        <v>297</v>
      </c>
      <c r="L546" t="s">
        <v>297</v>
      </c>
      <c r="M546" t="s">
        <v>297</v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 t="s">
        <v>297</v>
      </c>
      <c r="H547" t="s">
        <v>297</v>
      </c>
      <c r="I547" t="s">
        <v>297</v>
      </c>
      <c r="J547" t="s">
        <v>297</v>
      </c>
      <c r="K547" t="s">
        <v>297</v>
      </c>
      <c r="L547" t="s">
        <v>297</v>
      </c>
      <c r="M547" t="s">
        <v>297</v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 t="s">
        <v>297</v>
      </c>
      <c r="H548" t="s">
        <v>297</v>
      </c>
      <c r="I548" t="s">
        <v>297</v>
      </c>
      <c r="J548" t="s">
        <v>297</v>
      </c>
      <c r="K548" t="s">
        <v>297</v>
      </c>
      <c r="L548" t="s">
        <v>297</v>
      </c>
      <c r="M548" t="s">
        <v>297</v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 t="s">
        <v>297</v>
      </c>
      <c r="H549" t="s">
        <v>297</v>
      </c>
      <c r="I549" t="s">
        <v>297</v>
      </c>
      <c r="J549" t="s">
        <v>297</v>
      </c>
      <c r="K549" t="s">
        <v>297</v>
      </c>
      <c r="L549" t="s">
        <v>297</v>
      </c>
      <c r="M549" t="s">
        <v>297</v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 t="s">
        <v>297</v>
      </c>
      <c r="H550" t="s">
        <v>297</v>
      </c>
      <c r="I550" t="s">
        <v>297</v>
      </c>
      <c r="J550" t="s">
        <v>297</v>
      </c>
      <c r="K550" t="s">
        <v>297</v>
      </c>
      <c r="L550" t="s">
        <v>297</v>
      </c>
      <c r="M550" t="s">
        <v>297</v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 t="s">
        <v>297</v>
      </c>
      <c r="H551" t="s">
        <v>297</v>
      </c>
      <c r="I551" t="s">
        <v>297</v>
      </c>
      <c r="J551" t="s">
        <v>297</v>
      </c>
      <c r="K551" t="s">
        <v>297</v>
      </c>
      <c r="L551" t="s">
        <v>297</v>
      </c>
      <c r="M551" t="s">
        <v>297</v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 t="s">
        <v>297</v>
      </c>
      <c r="H552" t="s">
        <v>297</v>
      </c>
      <c r="I552" t="s">
        <v>297</v>
      </c>
      <c r="J552" t="s">
        <v>297</v>
      </c>
      <c r="K552" t="s">
        <v>297</v>
      </c>
      <c r="L552" t="s">
        <v>297</v>
      </c>
      <c r="M552" t="s">
        <v>297</v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 t="s">
        <v>297</v>
      </c>
      <c r="H553" t="s">
        <v>297</v>
      </c>
      <c r="I553" t="s">
        <v>297</v>
      </c>
      <c r="J553" t="s">
        <v>297</v>
      </c>
      <c r="K553" t="s">
        <v>297</v>
      </c>
      <c r="L553" t="s">
        <v>297</v>
      </c>
      <c r="M553" t="s">
        <v>297</v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 t="s">
        <v>297</v>
      </c>
      <c r="H554" t="s">
        <v>297</v>
      </c>
      <c r="I554" t="s">
        <v>297</v>
      </c>
      <c r="J554" t="s">
        <v>297</v>
      </c>
      <c r="K554" t="s">
        <v>297</v>
      </c>
      <c r="L554" t="s">
        <v>297</v>
      </c>
      <c r="M554" t="s">
        <v>297</v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 t="s">
        <v>297</v>
      </c>
      <c r="H555" t="s">
        <v>297</v>
      </c>
      <c r="I555" t="s">
        <v>297</v>
      </c>
      <c r="J555" t="s">
        <v>297</v>
      </c>
      <c r="K555" t="s">
        <v>297</v>
      </c>
      <c r="L555" t="s">
        <v>297</v>
      </c>
      <c r="M555" t="s">
        <v>297</v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 t="s">
        <v>297</v>
      </c>
      <c r="H556" t="s">
        <v>297</v>
      </c>
      <c r="I556" t="s">
        <v>297</v>
      </c>
      <c r="J556" t="s">
        <v>297</v>
      </c>
      <c r="K556" t="s">
        <v>297</v>
      </c>
      <c r="L556" t="s">
        <v>297</v>
      </c>
      <c r="M556" t="s">
        <v>297</v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 t="s">
        <v>297</v>
      </c>
      <c r="H557" t="s">
        <v>297</v>
      </c>
      <c r="I557" t="s">
        <v>297</v>
      </c>
      <c r="J557" t="s">
        <v>297</v>
      </c>
      <c r="K557" t="s">
        <v>297</v>
      </c>
      <c r="L557" t="s">
        <v>297</v>
      </c>
      <c r="M557" t="s">
        <v>297</v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 t="s">
        <v>297</v>
      </c>
      <c r="H558" t="s">
        <v>297</v>
      </c>
      <c r="I558" t="s">
        <v>297</v>
      </c>
      <c r="J558" t="s">
        <v>297</v>
      </c>
      <c r="K558" t="s">
        <v>297</v>
      </c>
      <c r="L558" t="s">
        <v>297</v>
      </c>
      <c r="M558" t="s">
        <v>297</v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 t="s">
        <v>297</v>
      </c>
      <c r="H559" t="s">
        <v>297</v>
      </c>
      <c r="I559" t="s">
        <v>297</v>
      </c>
      <c r="J559" t="s">
        <v>297</v>
      </c>
      <c r="K559" t="s">
        <v>297</v>
      </c>
      <c r="L559" t="s">
        <v>297</v>
      </c>
      <c r="M559" t="s">
        <v>297</v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 t="s">
        <v>297</v>
      </c>
      <c r="H560" t="s">
        <v>297</v>
      </c>
      <c r="I560" t="s">
        <v>297</v>
      </c>
      <c r="J560" t="s">
        <v>297</v>
      </c>
      <c r="K560" t="s">
        <v>297</v>
      </c>
      <c r="L560" t="s">
        <v>297</v>
      </c>
      <c r="M560" t="s">
        <v>297</v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 t="s">
        <v>297</v>
      </c>
      <c r="H561" t="s">
        <v>297</v>
      </c>
      <c r="I561" t="s">
        <v>297</v>
      </c>
      <c r="J561" t="s">
        <v>297</v>
      </c>
      <c r="K561" t="s">
        <v>297</v>
      </c>
      <c r="L561" t="s">
        <v>297</v>
      </c>
      <c r="M561" t="s">
        <v>297</v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 t="s">
        <v>297</v>
      </c>
      <c r="H562" t="s">
        <v>297</v>
      </c>
      <c r="I562" t="s">
        <v>297</v>
      </c>
      <c r="J562" t="s">
        <v>297</v>
      </c>
      <c r="K562" t="s">
        <v>297</v>
      </c>
      <c r="L562" t="s">
        <v>297</v>
      </c>
      <c r="M562" t="s">
        <v>297</v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 t="s">
        <v>297</v>
      </c>
      <c r="H563" t="s">
        <v>297</v>
      </c>
      <c r="I563" t="s">
        <v>297</v>
      </c>
      <c r="J563" t="s">
        <v>297</v>
      </c>
      <c r="K563" t="s">
        <v>297</v>
      </c>
      <c r="L563" t="s">
        <v>297</v>
      </c>
      <c r="M563" t="s">
        <v>297</v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 t="s">
        <v>297</v>
      </c>
      <c r="H564" t="s">
        <v>297</v>
      </c>
      <c r="I564" t="s">
        <v>297</v>
      </c>
      <c r="J564" t="s">
        <v>297</v>
      </c>
      <c r="K564" t="s">
        <v>297</v>
      </c>
      <c r="L564" t="s">
        <v>297</v>
      </c>
      <c r="M564" t="s">
        <v>297</v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 t="s">
        <v>297</v>
      </c>
      <c r="H565" t="s">
        <v>297</v>
      </c>
      <c r="I565" t="s">
        <v>297</v>
      </c>
      <c r="J565" t="s">
        <v>297</v>
      </c>
      <c r="K565" t="s">
        <v>297</v>
      </c>
      <c r="L565" t="s">
        <v>297</v>
      </c>
      <c r="M565" t="s">
        <v>297</v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 t="s">
        <v>297</v>
      </c>
      <c r="H566" t="s">
        <v>297</v>
      </c>
      <c r="I566" t="s">
        <v>297</v>
      </c>
      <c r="J566" t="s">
        <v>297</v>
      </c>
      <c r="K566" t="s">
        <v>297</v>
      </c>
      <c r="L566" t="s">
        <v>297</v>
      </c>
      <c r="M566" t="s">
        <v>297</v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 t="s">
        <v>297</v>
      </c>
      <c r="H567" t="s">
        <v>297</v>
      </c>
      <c r="I567" t="s">
        <v>297</v>
      </c>
      <c r="J567" t="s">
        <v>297</v>
      </c>
      <c r="K567" t="s">
        <v>297</v>
      </c>
      <c r="L567" t="s">
        <v>297</v>
      </c>
      <c r="M567" t="s">
        <v>297</v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 t="s">
        <v>297</v>
      </c>
      <c r="H568" t="s">
        <v>297</v>
      </c>
      <c r="I568" t="s">
        <v>297</v>
      </c>
      <c r="J568" t="s">
        <v>297</v>
      </c>
      <c r="K568" t="s">
        <v>297</v>
      </c>
      <c r="L568" t="s">
        <v>297</v>
      </c>
      <c r="M568" t="s">
        <v>297</v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 t="s">
        <v>297</v>
      </c>
      <c r="H569" t="s">
        <v>297</v>
      </c>
      <c r="I569" t="s">
        <v>297</v>
      </c>
      <c r="J569" t="s">
        <v>297</v>
      </c>
      <c r="K569" t="s">
        <v>297</v>
      </c>
      <c r="L569" t="s">
        <v>297</v>
      </c>
      <c r="M569" t="s">
        <v>297</v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 t="s">
        <v>297</v>
      </c>
      <c r="H570" t="s">
        <v>297</v>
      </c>
      <c r="I570" t="s">
        <v>297</v>
      </c>
      <c r="J570" t="s">
        <v>297</v>
      </c>
      <c r="K570" t="s">
        <v>297</v>
      </c>
      <c r="L570" t="s">
        <v>297</v>
      </c>
      <c r="M570" t="s">
        <v>297</v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 t="s">
        <v>297</v>
      </c>
      <c r="H571" t="s">
        <v>297</v>
      </c>
      <c r="I571" t="s">
        <v>297</v>
      </c>
      <c r="J571" t="s">
        <v>297</v>
      </c>
      <c r="K571" t="s">
        <v>297</v>
      </c>
      <c r="L571" t="s">
        <v>297</v>
      </c>
      <c r="M571" t="s">
        <v>297</v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 t="s">
        <v>297</v>
      </c>
      <c r="H572" t="s">
        <v>297</v>
      </c>
      <c r="I572" t="s">
        <v>297</v>
      </c>
      <c r="J572" t="s">
        <v>297</v>
      </c>
      <c r="K572" t="s">
        <v>297</v>
      </c>
      <c r="L572" t="s">
        <v>297</v>
      </c>
      <c r="M572" t="s">
        <v>297</v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 t="s">
        <v>297</v>
      </c>
      <c r="H573" t="s">
        <v>297</v>
      </c>
      <c r="I573" t="s">
        <v>297</v>
      </c>
      <c r="J573" t="s">
        <v>297</v>
      </c>
      <c r="K573" t="s">
        <v>297</v>
      </c>
      <c r="L573" t="s">
        <v>297</v>
      </c>
      <c r="M573" t="s">
        <v>297</v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 t="s">
        <v>297</v>
      </c>
      <c r="H574" t="s">
        <v>297</v>
      </c>
      <c r="I574" t="s">
        <v>297</v>
      </c>
      <c r="J574" t="s">
        <v>297</v>
      </c>
      <c r="K574" t="s">
        <v>297</v>
      </c>
      <c r="L574" t="s">
        <v>297</v>
      </c>
      <c r="M574" t="s">
        <v>297</v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 t="s">
        <v>297</v>
      </c>
      <c r="H575" t="s">
        <v>297</v>
      </c>
      <c r="I575" t="s">
        <v>297</v>
      </c>
      <c r="J575" t="s">
        <v>297</v>
      </c>
      <c r="K575" t="s">
        <v>297</v>
      </c>
      <c r="L575" t="s">
        <v>297</v>
      </c>
      <c r="M575" t="s">
        <v>297</v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 t="s">
        <v>297</v>
      </c>
      <c r="H576" t="s">
        <v>297</v>
      </c>
      <c r="I576" t="s">
        <v>297</v>
      </c>
      <c r="J576" t="s">
        <v>297</v>
      </c>
      <c r="K576" t="s">
        <v>297</v>
      </c>
      <c r="L576" t="s">
        <v>297</v>
      </c>
      <c r="M576" t="s">
        <v>297</v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 t="s">
        <v>297</v>
      </c>
      <c r="H577" t="s">
        <v>297</v>
      </c>
      <c r="I577" t="s">
        <v>297</v>
      </c>
      <c r="J577" t="s">
        <v>297</v>
      </c>
      <c r="K577" t="s">
        <v>297</v>
      </c>
      <c r="L577" t="s">
        <v>297</v>
      </c>
      <c r="M577" t="s">
        <v>297</v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 t="s">
        <v>297</v>
      </c>
      <c r="H578" t="s">
        <v>297</v>
      </c>
      <c r="I578" t="s">
        <v>297</v>
      </c>
      <c r="J578" t="s">
        <v>297</v>
      </c>
      <c r="K578" t="s">
        <v>297</v>
      </c>
      <c r="L578" t="s">
        <v>297</v>
      </c>
      <c r="M578" t="s">
        <v>297</v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 t="s">
        <v>297</v>
      </c>
      <c r="H579" t="s">
        <v>297</v>
      </c>
      <c r="I579" t="s">
        <v>297</v>
      </c>
      <c r="J579" t="s">
        <v>297</v>
      </c>
      <c r="K579" t="s">
        <v>297</v>
      </c>
      <c r="L579" t="s">
        <v>297</v>
      </c>
      <c r="M579" t="s">
        <v>297</v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 t="s">
        <v>297</v>
      </c>
      <c r="H580" t="s">
        <v>297</v>
      </c>
      <c r="I580" t="s">
        <v>297</v>
      </c>
      <c r="J580" t="s">
        <v>297</v>
      </c>
      <c r="K580" t="s">
        <v>297</v>
      </c>
      <c r="L580" t="s">
        <v>297</v>
      </c>
      <c r="M580" t="s">
        <v>297</v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 t="s">
        <v>297</v>
      </c>
      <c r="H581" t="s">
        <v>297</v>
      </c>
      <c r="I581" t="s">
        <v>297</v>
      </c>
      <c r="J581" t="s">
        <v>297</v>
      </c>
      <c r="K581" t="s">
        <v>297</v>
      </c>
      <c r="L581" t="s">
        <v>297</v>
      </c>
      <c r="M581" t="s">
        <v>297</v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 t="s">
        <v>297</v>
      </c>
      <c r="H582" t="s">
        <v>297</v>
      </c>
      <c r="I582" t="s">
        <v>297</v>
      </c>
      <c r="J582" t="s">
        <v>297</v>
      </c>
      <c r="K582" t="s">
        <v>297</v>
      </c>
      <c r="L582" t="s">
        <v>297</v>
      </c>
      <c r="M582" t="s">
        <v>297</v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 t="s">
        <v>297</v>
      </c>
      <c r="H583" t="s">
        <v>297</v>
      </c>
      <c r="I583" t="s">
        <v>297</v>
      </c>
      <c r="J583" t="s">
        <v>297</v>
      </c>
      <c r="K583" t="s">
        <v>297</v>
      </c>
      <c r="L583" t="s">
        <v>297</v>
      </c>
      <c r="M583" t="s">
        <v>297</v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 t="s">
        <v>297</v>
      </c>
      <c r="H584" t="s">
        <v>297</v>
      </c>
      <c r="I584" t="s">
        <v>297</v>
      </c>
      <c r="J584" t="s">
        <v>297</v>
      </c>
      <c r="K584" t="s">
        <v>297</v>
      </c>
      <c r="L584" t="s">
        <v>297</v>
      </c>
      <c r="M584" t="s">
        <v>297</v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 t="s">
        <v>297</v>
      </c>
      <c r="H585" t="s">
        <v>297</v>
      </c>
      <c r="I585" t="s">
        <v>297</v>
      </c>
      <c r="J585" t="s">
        <v>297</v>
      </c>
      <c r="K585" t="s">
        <v>297</v>
      </c>
      <c r="L585" t="s">
        <v>297</v>
      </c>
      <c r="M585" t="s">
        <v>297</v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 t="s">
        <v>297</v>
      </c>
      <c r="H586" t="s">
        <v>297</v>
      </c>
      <c r="I586" t="s">
        <v>297</v>
      </c>
      <c r="J586" t="s">
        <v>297</v>
      </c>
      <c r="K586" t="s">
        <v>297</v>
      </c>
      <c r="L586" t="s">
        <v>297</v>
      </c>
      <c r="M586" t="s">
        <v>297</v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 t="s">
        <v>297</v>
      </c>
      <c r="H587" t="s">
        <v>297</v>
      </c>
      <c r="I587" t="s">
        <v>297</v>
      </c>
      <c r="J587" t="s">
        <v>297</v>
      </c>
      <c r="K587" t="s">
        <v>297</v>
      </c>
      <c r="L587" t="s">
        <v>297</v>
      </c>
      <c r="M587" t="s">
        <v>297</v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 t="s">
        <v>297</v>
      </c>
      <c r="H588" t="s">
        <v>297</v>
      </c>
      <c r="I588" t="s">
        <v>297</v>
      </c>
      <c r="J588" t="s">
        <v>297</v>
      </c>
      <c r="K588" t="s">
        <v>297</v>
      </c>
      <c r="L588" t="s">
        <v>297</v>
      </c>
      <c r="M588" t="s">
        <v>297</v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 t="s">
        <v>297</v>
      </c>
      <c r="H589" t="s">
        <v>297</v>
      </c>
      <c r="I589" t="s">
        <v>297</v>
      </c>
      <c r="J589" t="s">
        <v>297</v>
      </c>
      <c r="K589" t="s">
        <v>297</v>
      </c>
      <c r="L589" t="s">
        <v>297</v>
      </c>
      <c r="M589" t="s">
        <v>297</v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 t="s">
        <v>297</v>
      </c>
      <c r="H590" t="s">
        <v>297</v>
      </c>
      <c r="I590" t="s">
        <v>297</v>
      </c>
      <c r="J590" t="s">
        <v>297</v>
      </c>
      <c r="K590" t="s">
        <v>297</v>
      </c>
      <c r="L590" t="s">
        <v>297</v>
      </c>
      <c r="M590" t="s">
        <v>297</v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 t="s">
        <v>297</v>
      </c>
      <c r="H591" t="s">
        <v>297</v>
      </c>
      <c r="I591" t="s">
        <v>297</v>
      </c>
      <c r="J591" t="s">
        <v>297</v>
      </c>
      <c r="K591" t="s">
        <v>297</v>
      </c>
      <c r="L591" t="s">
        <v>297</v>
      </c>
      <c r="M591" t="s">
        <v>297</v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 t="s">
        <v>297</v>
      </c>
      <c r="H592" t="s">
        <v>297</v>
      </c>
      <c r="I592" t="s">
        <v>297</v>
      </c>
      <c r="J592" t="s">
        <v>297</v>
      </c>
      <c r="K592" t="s">
        <v>297</v>
      </c>
      <c r="L592" t="s">
        <v>297</v>
      </c>
      <c r="M592" t="s">
        <v>297</v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 t="s">
        <v>297</v>
      </c>
      <c r="H593" t="s">
        <v>297</v>
      </c>
      <c r="I593" t="s">
        <v>297</v>
      </c>
      <c r="J593" t="s">
        <v>297</v>
      </c>
      <c r="K593" t="s">
        <v>297</v>
      </c>
      <c r="L593" t="s">
        <v>297</v>
      </c>
      <c r="M593" t="s">
        <v>297</v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 t="s">
        <v>297</v>
      </c>
      <c r="H594" t="s">
        <v>297</v>
      </c>
      <c r="I594" t="s">
        <v>297</v>
      </c>
      <c r="J594" t="s">
        <v>297</v>
      </c>
      <c r="K594" t="s">
        <v>297</v>
      </c>
      <c r="L594" t="s">
        <v>297</v>
      </c>
      <c r="M594" t="s">
        <v>297</v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 t="s">
        <v>297</v>
      </c>
      <c r="H595" t="s">
        <v>297</v>
      </c>
      <c r="I595" t="s">
        <v>297</v>
      </c>
      <c r="J595" t="s">
        <v>297</v>
      </c>
      <c r="K595" t="s">
        <v>297</v>
      </c>
      <c r="L595" t="s">
        <v>297</v>
      </c>
      <c r="M595" t="s">
        <v>297</v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 t="s">
        <v>297</v>
      </c>
      <c r="H596" t="s">
        <v>297</v>
      </c>
      <c r="I596" t="s">
        <v>297</v>
      </c>
      <c r="J596" t="s">
        <v>297</v>
      </c>
      <c r="K596" t="s">
        <v>297</v>
      </c>
      <c r="L596" t="s">
        <v>297</v>
      </c>
      <c r="M596" t="s">
        <v>297</v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 t="s">
        <v>297</v>
      </c>
      <c r="H597" t="s">
        <v>297</v>
      </c>
      <c r="I597" t="s">
        <v>297</v>
      </c>
      <c r="J597" t="s">
        <v>297</v>
      </c>
      <c r="K597" t="s">
        <v>297</v>
      </c>
      <c r="L597" t="s">
        <v>297</v>
      </c>
      <c r="M597" t="s">
        <v>297</v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 t="s">
        <v>297</v>
      </c>
      <c r="H598" t="s">
        <v>297</v>
      </c>
      <c r="I598" t="s">
        <v>297</v>
      </c>
      <c r="J598" t="s">
        <v>297</v>
      </c>
      <c r="K598" t="s">
        <v>297</v>
      </c>
      <c r="L598" t="s">
        <v>297</v>
      </c>
      <c r="M598" t="s">
        <v>297</v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 t="s">
        <v>297</v>
      </c>
      <c r="H599" t="s">
        <v>297</v>
      </c>
      <c r="I599" t="s">
        <v>297</v>
      </c>
      <c r="J599" t="s">
        <v>297</v>
      </c>
      <c r="K599" t="s">
        <v>297</v>
      </c>
      <c r="L599" t="s">
        <v>297</v>
      </c>
      <c r="M599" t="s">
        <v>297</v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 t="s">
        <v>297</v>
      </c>
      <c r="H600" t="s">
        <v>297</v>
      </c>
      <c r="I600" t="s">
        <v>297</v>
      </c>
      <c r="J600" t="s">
        <v>297</v>
      </c>
      <c r="K600" t="s">
        <v>297</v>
      </c>
      <c r="L600" t="s">
        <v>297</v>
      </c>
      <c r="M600" t="s">
        <v>297</v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 t="s">
        <v>297</v>
      </c>
      <c r="H601" t="s">
        <v>297</v>
      </c>
      <c r="I601" t="s">
        <v>297</v>
      </c>
      <c r="J601" t="s">
        <v>297</v>
      </c>
      <c r="K601" t="s">
        <v>297</v>
      </c>
      <c r="L601" t="s">
        <v>297</v>
      </c>
      <c r="M601" t="s">
        <v>297</v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 t="s">
        <v>297</v>
      </c>
      <c r="H602" t="s">
        <v>297</v>
      </c>
      <c r="I602" t="s">
        <v>297</v>
      </c>
      <c r="J602" t="s">
        <v>297</v>
      </c>
      <c r="K602" t="s">
        <v>297</v>
      </c>
      <c r="L602" t="s">
        <v>297</v>
      </c>
      <c r="M602" t="s">
        <v>297</v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 t="s">
        <v>297</v>
      </c>
      <c r="H603" t="s">
        <v>297</v>
      </c>
      <c r="I603" t="s">
        <v>297</v>
      </c>
      <c r="J603" t="s">
        <v>297</v>
      </c>
      <c r="K603" t="s">
        <v>297</v>
      </c>
      <c r="L603" t="s">
        <v>297</v>
      </c>
      <c r="M603" t="s">
        <v>297</v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 t="s">
        <v>297</v>
      </c>
      <c r="H604" t="s">
        <v>297</v>
      </c>
      <c r="I604" t="s">
        <v>297</v>
      </c>
      <c r="J604" t="s">
        <v>297</v>
      </c>
      <c r="K604" t="s">
        <v>297</v>
      </c>
      <c r="L604" t="s">
        <v>297</v>
      </c>
      <c r="M604" t="s">
        <v>297</v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 t="s">
        <v>297</v>
      </c>
      <c r="H605" t="s">
        <v>297</v>
      </c>
      <c r="I605" t="s">
        <v>297</v>
      </c>
      <c r="J605" t="s">
        <v>297</v>
      </c>
      <c r="K605" t="s">
        <v>297</v>
      </c>
      <c r="L605" t="s">
        <v>297</v>
      </c>
      <c r="M605" t="s">
        <v>297</v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 t="s">
        <v>297</v>
      </c>
      <c r="H606" t="s">
        <v>297</v>
      </c>
      <c r="I606" t="s">
        <v>297</v>
      </c>
      <c r="J606" t="s">
        <v>297</v>
      </c>
      <c r="K606" t="s">
        <v>297</v>
      </c>
      <c r="L606" t="s">
        <v>297</v>
      </c>
      <c r="M606" t="s">
        <v>297</v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 t="s">
        <v>297</v>
      </c>
      <c r="H607" t="s">
        <v>297</v>
      </c>
      <c r="I607" t="s">
        <v>297</v>
      </c>
      <c r="J607" t="s">
        <v>297</v>
      </c>
      <c r="K607" t="s">
        <v>297</v>
      </c>
      <c r="L607" t="s">
        <v>297</v>
      </c>
      <c r="M607" t="s">
        <v>297</v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 t="s">
        <v>297</v>
      </c>
      <c r="H608" t="s">
        <v>297</v>
      </c>
      <c r="I608" t="s">
        <v>297</v>
      </c>
      <c r="J608" t="s">
        <v>297</v>
      </c>
      <c r="K608" t="s">
        <v>297</v>
      </c>
      <c r="L608" t="s">
        <v>297</v>
      </c>
      <c r="M608" t="s">
        <v>297</v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 t="s">
        <v>297</v>
      </c>
      <c r="H609" t="s">
        <v>297</v>
      </c>
      <c r="I609" t="s">
        <v>297</v>
      </c>
      <c r="J609" t="s">
        <v>297</v>
      </c>
      <c r="K609" t="s">
        <v>297</v>
      </c>
      <c r="L609" t="s">
        <v>297</v>
      </c>
      <c r="M609" t="s">
        <v>297</v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 t="s">
        <v>297</v>
      </c>
      <c r="H610" t="s">
        <v>297</v>
      </c>
      <c r="I610" t="s">
        <v>297</v>
      </c>
      <c r="J610" t="s">
        <v>297</v>
      </c>
      <c r="K610" t="s">
        <v>297</v>
      </c>
      <c r="L610" t="s">
        <v>297</v>
      </c>
      <c r="M610" t="s">
        <v>297</v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 t="s">
        <v>297</v>
      </c>
      <c r="H611" t="s">
        <v>297</v>
      </c>
      <c r="I611" t="s">
        <v>297</v>
      </c>
      <c r="J611" t="s">
        <v>297</v>
      </c>
      <c r="K611" t="s">
        <v>297</v>
      </c>
      <c r="L611" t="s">
        <v>297</v>
      </c>
      <c r="M611" t="s">
        <v>297</v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 t="s">
        <v>297</v>
      </c>
      <c r="H612" t="s">
        <v>297</v>
      </c>
      <c r="I612" t="s">
        <v>297</v>
      </c>
      <c r="J612" t="s">
        <v>297</v>
      </c>
      <c r="K612" t="s">
        <v>297</v>
      </c>
      <c r="L612" t="s">
        <v>297</v>
      </c>
      <c r="M612" t="s">
        <v>297</v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 t="s">
        <v>297</v>
      </c>
      <c r="H613" t="s">
        <v>297</v>
      </c>
      <c r="I613" t="s">
        <v>297</v>
      </c>
      <c r="J613" t="s">
        <v>297</v>
      </c>
      <c r="K613" t="s">
        <v>297</v>
      </c>
      <c r="L613" t="s">
        <v>297</v>
      </c>
      <c r="M613" t="s">
        <v>297</v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 t="s">
        <v>297</v>
      </c>
      <c r="H614" t="s">
        <v>297</v>
      </c>
      <c r="I614" t="s">
        <v>297</v>
      </c>
      <c r="J614" t="s">
        <v>297</v>
      </c>
      <c r="K614" t="s">
        <v>297</v>
      </c>
      <c r="L614" t="s">
        <v>297</v>
      </c>
      <c r="M614" t="s">
        <v>297</v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 t="s">
        <v>297</v>
      </c>
      <c r="H615" t="s">
        <v>297</v>
      </c>
      <c r="I615" t="s">
        <v>297</v>
      </c>
      <c r="J615" t="s">
        <v>297</v>
      </c>
      <c r="K615" t="s">
        <v>297</v>
      </c>
      <c r="L615" t="s">
        <v>297</v>
      </c>
      <c r="M615" t="s">
        <v>297</v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 t="s">
        <v>297</v>
      </c>
      <c r="H616" t="s">
        <v>297</v>
      </c>
      <c r="I616" t="s">
        <v>297</v>
      </c>
      <c r="J616" t="s">
        <v>297</v>
      </c>
      <c r="K616" t="s">
        <v>297</v>
      </c>
      <c r="L616" t="s">
        <v>297</v>
      </c>
      <c r="M616" t="s">
        <v>297</v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 t="s">
        <v>297</v>
      </c>
      <c r="H617" t="s">
        <v>297</v>
      </c>
      <c r="I617" t="s">
        <v>297</v>
      </c>
      <c r="J617" t="s">
        <v>297</v>
      </c>
      <c r="K617" t="s">
        <v>297</v>
      </c>
      <c r="L617" t="s">
        <v>297</v>
      </c>
      <c r="M617" t="s">
        <v>297</v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 t="s">
        <v>297</v>
      </c>
      <c r="H618" t="s">
        <v>297</v>
      </c>
      <c r="I618" t="s">
        <v>297</v>
      </c>
      <c r="J618" t="s">
        <v>297</v>
      </c>
      <c r="K618" t="s">
        <v>297</v>
      </c>
      <c r="L618" t="s">
        <v>297</v>
      </c>
      <c r="M618" t="s">
        <v>297</v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 t="s">
        <v>297</v>
      </c>
      <c r="H619" t="s">
        <v>297</v>
      </c>
      <c r="I619" t="s">
        <v>297</v>
      </c>
      <c r="J619" t="s">
        <v>297</v>
      </c>
      <c r="K619" t="s">
        <v>297</v>
      </c>
      <c r="L619" t="s">
        <v>297</v>
      </c>
      <c r="M619" t="s">
        <v>297</v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 t="s">
        <v>297</v>
      </c>
      <c r="H620" t="s">
        <v>297</v>
      </c>
      <c r="I620" t="s">
        <v>297</v>
      </c>
      <c r="J620" t="s">
        <v>297</v>
      </c>
      <c r="K620" t="s">
        <v>297</v>
      </c>
      <c r="L620" t="s">
        <v>297</v>
      </c>
      <c r="M620" t="s">
        <v>297</v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 t="s">
        <v>297</v>
      </c>
      <c r="H621" t="s">
        <v>297</v>
      </c>
      <c r="I621" t="s">
        <v>297</v>
      </c>
      <c r="J621" t="s">
        <v>297</v>
      </c>
      <c r="K621" t="s">
        <v>297</v>
      </c>
      <c r="L621" t="s">
        <v>297</v>
      </c>
      <c r="M621" t="s">
        <v>297</v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 t="s">
        <v>297</v>
      </c>
      <c r="H622" t="s">
        <v>297</v>
      </c>
      <c r="I622" t="s">
        <v>297</v>
      </c>
      <c r="J622" t="s">
        <v>297</v>
      </c>
      <c r="K622" t="s">
        <v>297</v>
      </c>
      <c r="L622" t="s">
        <v>297</v>
      </c>
      <c r="M622" t="s">
        <v>297</v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 t="s">
        <v>297</v>
      </c>
      <c r="H623" t="s">
        <v>297</v>
      </c>
      <c r="I623" t="s">
        <v>297</v>
      </c>
      <c r="J623" t="s">
        <v>297</v>
      </c>
      <c r="K623" t="s">
        <v>297</v>
      </c>
      <c r="L623" t="s">
        <v>297</v>
      </c>
      <c r="M623" t="s">
        <v>297</v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 t="s">
        <v>297</v>
      </c>
      <c r="H624" t="s">
        <v>297</v>
      </c>
      <c r="I624" t="s">
        <v>297</v>
      </c>
      <c r="J624" t="s">
        <v>297</v>
      </c>
      <c r="K624" t="s">
        <v>297</v>
      </c>
      <c r="L624" t="s">
        <v>297</v>
      </c>
      <c r="M624" t="s">
        <v>297</v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 t="s">
        <v>297</v>
      </c>
      <c r="H625" t="s">
        <v>297</v>
      </c>
      <c r="I625" t="s">
        <v>297</v>
      </c>
      <c r="J625" t="s">
        <v>297</v>
      </c>
      <c r="K625" t="s">
        <v>297</v>
      </c>
      <c r="L625" t="s">
        <v>297</v>
      </c>
      <c r="M625" t="s">
        <v>297</v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 t="s">
        <v>297</v>
      </c>
      <c r="H626" t="s">
        <v>297</v>
      </c>
      <c r="I626" t="s">
        <v>297</v>
      </c>
      <c r="J626" t="s">
        <v>297</v>
      </c>
      <c r="K626" t="s">
        <v>297</v>
      </c>
      <c r="L626" t="s">
        <v>297</v>
      </c>
      <c r="M626" t="s">
        <v>297</v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 t="s">
        <v>297</v>
      </c>
      <c r="H627" t="s">
        <v>297</v>
      </c>
      <c r="I627" t="s">
        <v>297</v>
      </c>
      <c r="J627" t="s">
        <v>297</v>
      </c>
      <c r="K627" t="s">
        <v>297</v>
      </c>
      <c r="L627" t="s">
        <v>297</v>
      </c>
      <c r="M627" t="s">
        <v>297</v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 t="s">
        <v>297</v>
      </c>
      <c r="H628" t="s">
        <v>297</v>
      </c>
      <c r="I628" t="s">
        <v>297</v>
      </c>
      <c r="J628" t="s">
        <v>297</v>
      </c>
      <c r="K628" t="s">
        <v>297</v>
      </c>
      <c r="L628" t="s">
        <v>297</v>
      </c>
      <c r="M628" t="s">
        <v>297</v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 t="s">
        <v>297</v>
      </c>
      <c r="H629" t="s">
        <v>297</v>
      </c>
      <c r="I629" t="s">
        <v>297</v>
      </c>
      <c r="J629" t="s">
        <v>297</v>
      </c>
      <c r="K629" t="s">
        <v>297</v>
      </c>
      <c r="L629" t="s">
        <v>297</v>
      </c>
      <c r="M629" t="s">
        <v>297</v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 t="s">
        <v>297</v>
      </c>
      <c r="H630" t="s">
        <v>297</v>
      </c>
      <c r="I630" t="s">
        <v>297</v>
      </c>
      <c r="J630" t="s">
        <v>297</v>
      </c>
      <c r="K630" t="s">
        <v>297</v>
      </c>
      <c r="L630" t="s">
        <v>297</v>
      </c>
      <c r="M630" t="s">
        <v>297</v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 t="s">
        <v>297</v>
      </c>
      <c r="H631" t="s">
        <v>297</v>
      </c>
      <c r="I631" t="s">
        <v>297</v>
      </c>
      <c r="J631" t="s">
        <v>297</v>
      </c>
      <c r="K631" t="s">
        <v>297</v>
      </c>
      <c r="L631" t="s">
        <v>297</v>
      </c>
      <c r="M631" t="s">
        <v>297</v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 t="s">
        <v>297</v>
      </c>
      <c r="H632" t="s">
        <v>297</v>
      </c>
      <c r="I632" t="s">
        <v>297</v>
      </c>
      <c r="J632" t="s">
        <v>297</v>
      </c>
      <c r="K632" t="s">
        <v>297</v>
      </c>
      <c r="L632" t="s">
        <v>297</v>
      </c>
      <c r="M632" t="s">
        <v>297</v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 t="s">
        <v>297</v>
      </c>
      <c r="H633" t="s">
        <v>297</v>
      </c>
      <c r="I633" t="s">
        <v>297</v>
      </c>
      <c r="J633" t="s">
        <v>297</v>
      </c>
      <c r="K633" t="s">
        <v>297</v>
      </c>
      <c r="L633" t="s">
        <v>297</v>
      </c>
      <c r="M633" t="s">
        <v>297</v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 t="s">
        <v>297</v>
      </c>
      <c r="H634" t="s">
        <v>297</v>
      </c>
      <c r="I634" t="s">
        <v>297</v>
      </c>
      <c r="J634" t="s">
        <v>297</v>
      </c>
      <c r="K634" t="s">
        <v>297</v>
      </c>
      <c r="L634" t="s">
        <v>297</v>
      </c>
      <c r="M634" t="s">
        <v>297</v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 t="s">
        <v>297</v>
      </c>
      <c r="H635" t="s">
        <v>297</v>
      </c>
      <c r="I635" t="s">
        <v>297</v>
      </c>
      <c r="J635" t="s">
        <v>297</v>
      </c>
      <c r="K635" t="s">
        <v>297</v>
      </c>
      <c r="L635" t="s">
        <v>297</v>
      </c>
      <c r="M635" t="s">
        <v>297</v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 t="s">
        <v>297</v>
      </c>
      <c r="H636" t="s">
        <v>297</v>
      </c>
      <c r="I636" t="s">
        <v>297</v>
      </c>
      <c r="J636" t="s">
        <v>297</v>
      </c>
      <c r="K636" t="s">
        <v>297</v>
      </c>
      <c r="L636" t="s">
        <v>297</v>
      </c>
      <c r="M636" t="s">
        <v>297</v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 t="s">
        <v>297</v>
      </c>
      <c r="H637" t="s">
        <v>297</v>
      </c>
      <c r="I637" t="s">
        <v>297</v>
      </c>
      <c r="J637" t="s">
        <v>297</v>
      </c>
      <c r="K637" t="s">
        <v>297</v>
      </c>
      <c r="L637" t="s">
        <v>297</v>
      </c>
      <c r="M637" t="s">
        <v>297</v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 t="s">
        <v>297</v>
      </c>
      <c r="H638" t="s">
        <v>297</v>
      </c>
      <c r="I638" t="s">
        <v>297</v>
      </c>
      <c r="J638" t="s">
        <v>297</v>
      </c>
      <c r="K638" t="s">
        <v>297</v>
      </c>
      <c r="L638" t="s">
        <v>297</v>
      </c>
      <c r="M638" t="s">
        <v>297</v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 t="s">
        <v>297</v>
      </c>
      <c r="H639" t="s">
        <v>297</v>
      </c>
      <c r="I639" t="s">
        <v>297</v>
      </c>
      <c r="J639" t="s">
        <v>297</v>
      </c>
      <c r="K639" t="s">
        <v>297</v>
      </c>
      <c r="L639" t="s">
        <v>297</v>
      </c>
      <c r="M639" t="s">
        <v>297</v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 t="s">
        <v>297</v>
      </c>
      <c r="H640" t="s">
        <v>297</v>
      </c>
      <c r="I640" t="s">
        <v>297</v>
      </c>
      <c r="J640" t="s">
        <v>297</v>
      </c>
      <c r="K640" t="s">
        <v>297</v>
      </c>
      <c r="L640" t="s">
        <v>297</v>
      </c>
      <c r="M640" t="s">
        <v>297</v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 t="s">
        <v>297</v>
      </c>
      <c r="H641" t="s">
        <v>297</v>
      </c>
      <c r="I641" t="s">
        <v>297</v>
      </c>
      <c r="J641" t="s">
        <v>297</v>
      </c>
      <c r="K641" t="s">
        <v>297</v>
      </c>
      <c r="L641" t="s">
        <v>297</v>
      </c>
      <c r="M641" t="s">
        <v>297</v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 t="s">
        <v>297</v>
      </c>
      <c r="H642" t="s">
        <v>297</v>
      </c>
      <c r="I642" t="s">
        <v>297</v>
      </c>
      <c r="J642" t="s">
        <v>297</v>
      </c>
      <c r="K642" t="s">
        <v>297</v>
      </c>
      <c r="L642" t="s">
        <v>297</v>
      </c>
      <c r="M642" t="s">
        <v>297</v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 t="s">
        <v>297</v>
      </c>
      <c r="H643" t="s">
        <v>297</v>
      </c>
      <c r="I643" t="s">
        <v>297</v>
      </c>
      <c r="J643" t="s">
        <v>297</v>
      </c>
      <c r="K643" t="s">
        <v>297</v>
      </c>
      <c r="L643" t="s">
        <v>297</v>
      </c>
      <c r="M643" t="s">
        <v>297</v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 t="s">
        <v>297</v>
      </c>
      <c r="H644" t="s">
        <v>297</v>
      </c>
      <c r="I644" t="s">
        <v>297</v>
      </c>
      <c r="J644" t="s">
        <v>297</v>
      </c>
      <c r="K644" t="s">
        <v>297</v>
      </c>
      <c r="L644" t="s">
        <v>297</v>
      </c>
      <c r="M644" t="s">
        <v>297</v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 t="s">
        <v>297</v>
      </c>
      <c r="H645" t="s">
        <v>297</v>
      </c>
      <c r="I645" t="s">
        <v>297</v>
      </c>
      <c r="J645" t="s">
        <v>297</v>
      </c>
      <c r="K645" t="s">
        <v>297</v>
      </c>
      <c r="L645" t="s">
        <v>297</v>
      </c>
      <c r="M645" t="s">
        <v>297</v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 t="s">
        <v>297</v>
      </c>
      <c r="H646" t="s">
        <v>297</v>
      </c>
      <c r="I646" t="s">
        <v>297</v>
      </c>
      <c r="J646" t="s">
        <v>297</v>
      </c>
      <c r="K646" t="s">
        <v>297</v>
      </c>
      <c r="L646" t="s">
        <v>297</v>
      </c>
      <c r="M646" t="s">
        <v>297</v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 t="s">
        <v>297</v>
      </c>
      <c r="H647" t="s">
        <v>297</v>
      </c>
      <c r="I647" t="s">
        <v>297</v>
      </c>
      <c r="J647" t="s">
        <v>297</v>
      </c>
      <c r="K647" t="s">
        <v>297</v>
      </c>
      <c r="L647" t="s">
        <v>297</v>
      </c>
      <c r="M647" t="s">
        <v>297</v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 t="s">
        <v>297</v>
      </c>
      <c r="H648" t="s">
        <v>297</v>
      </c>
      <c r="I648" t="s">
        <v>297</v>
      </c>
      <c r="J648" t="s">
        <v>297</v>
      </c>
      <c r="K648" t="s">
        <v>297</v>
      </c>
      <c r="L648" t="s">
        <v>297</v>
      </c>
      <c r="M648" t="s">
        <v>297</v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 t="s">
        <v>297</v>
      </c>
      <c r="H649" t="s">
        <v>297</v>
      </c>
      <c r="I649" t="s">
        <v>297</v>
      </c>
      <c r="J649" t="s">
        <v>297</v>
      </c>
      <c r="K649" t="s">
        <v>297</v>
      </c>
      <c r="L649" t="s">
        <v>297</v>
      </c>
      <c r="M649" t="s">
        <v>297</v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 t="s">
        <v>297</v>
      </c>
      <c r="H650" t="s">
        <v>297</v>
      </c>
      <c r="I650" t="s">
        <v>297</v>
      </c>
      <c r="J650" t="s">
        <v>297</v>
      </c>
      <c r="K650" t="s">
        <v>297</v>
      </c>
      <c r="L650" t="s">
        <v>297</v>
      </c>
      <c r="M650" t="s">
        <v>297</v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 t="s">
        <v>297</v>
      </c>
      <c r="H651" t="s">
        <v>297</v>
      </c>
      <c r="I651" t="s">
        <v>297</v>
      </c>
      <c r="J651" t="s">
        <v>297</v>
      </c>
      <c r="K651" t="s">
        <v>297</v>
      </c>
      <c r="L651" t="s">
        <v>297</v>
      </c>
      <c r="M651" t="s">
        <v>297</v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 t="s">
        <v>297</v>
      </c>
      <c r="H652" t="s">
        <v>297</v>
      </c>
      <c r="I652" t="s">
        <v>297</v>
      </c>
      <c r="J652" t="s">
        <v>297</v>
      </c>
      <c r="K652" t="s">
        <v>297</v>
      </c>
      <c r="L652" t="s">
        <v>297</v>
      </c>
      <c r="M652" t="s">
        <v>297</v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 t="s">
        <v>297</v>
      </c>
      <c r="H653" t="s">
        <v>297</v>
      </c>
      <c r="I653" t="s">
        <v>297</v>
      </c>
      <c r="J653" t="s">
        <v>297</v>
      </c>
      <c r="K653" t="s">
        <v>297</v>
      </c>
      <c r="L653" t="s">
        <v>297</v>
      </c>
      <c r="M653" t="s">
        <v>297</v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 t="s">
        <v>297</v>
      </c>
      <c r="H654" t="s">
        <v>297</v>
      </c>
      <c r="I654" t="s">
        <v>297</v>
      </c>
      <c r="J654" t="s">
        <v>297</v>
      </c>
      <c r="K654" t="s">
        <v>297</v>
      </c>
      <c r="L654" t="s">
        <v>297</v>
      </c>
      <c r="M654" t="s">
        <v>297</v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 t="s">
        <v>297</v>
      </c>
      <c r="H655" t="s">
        <v>297</v>
      </c>
      <c r="I655" t="s">
        <v>297</v>
      </c>
      <c r="J655" t="s">
        <v>297</v>
      </c>
      <c r="K655" t="s">
        <v>297</v>
      </c>
      <c r="L655" t="s">
        <v>297</v>
      </c>
      <c r="M655" t="s">
        <v>297</v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 t="s">
        <v>297</v>
      </c>
      <c r="H656" t="s">
        <v>297</v>
      </c>
      <c r="I656" t="s">
        <v>297</v>
      </c>
      <c r="J656" t="s">
        <v>297</v>
      </c>
      <c r="K656" t="s">
        <v>297</v>
      </c>
      <c r="L656" t="s">
        <v>297</v>
      </c>
      <c r="M656" t="s">
        <v>297</v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 t="s">
        <v>297</v>
      </c>
      <c r="H657" t="s">
        <v>297</v>
      </c>
      <c r="I657" t="s">
        <v>297</v>
      </c>
      <c r="J657" t="s">
        <v>297</v>
      </c>
      <c r="K657" t="s">
        <v>297</v>
      </c>
      <c r="L657" t="s">
        <v>297</v>
      </c>
      <c r="M657" t="s">
        <v>297</v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 t="s">
        <v>297</v>
      </c>
      <c r="H658" t="s">
        <v>297</v>
      </c>
      <c r="I658" t="s">
        <v>297</v>
      </c>
      <c r="J658" t="s">
        <v>297</v>
      </c>
      <c r="K658" t="s">
        <v>297</v>
      </c>
      <c r="L658" t="s">
        <v>297</v>
      </c>
      <c r="M658" t="s">
        <v>297</v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 t="s">
        <v>297</v>
      </c>
      <c r="H659" t="s">
        <v>297</v>
      </c>
      <c r="I659" t="s">
        <v>297</v>
      </c>
      <c r="J659" t="s">
        <v>297</v>
      </c>
      <c r="K659" t="s">
        <v>297</v>
      </c>
      <c r="L659" t="s">
        <v>297</v>
      </c>
      <c r="M659" t="s">
        <v>297</v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 t="s">
        <v>297</v>
      </c>
      <c r="H660" t="s">
        <v>297</v>
      </c>
      <c r="I660" t="s">
        <v>297</v>
      </c>
      <c r="J660" t="s">
        <v>297</v>
      </c>
      <c r="K660" t="s">
        <v>297</v>
      </c>
      <c r="L660" t="s">
        <v>297</v>
      </c>
      <c r="M660" t="s">
        <v>297</v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 t="s">
        <v>297</v>
      </c>
      <c r="H661" t="s">
        <v>297</v>
      </c>
      <c r="I661" t="s">
        <v>297</v>
      </c>
      <c r="J661" t="s">
        <v>297</v>
      </c>
      <c r="K661" t="s">
        <v>297</v>
      </c>
      <c r="L661" t="s">
        <v>297</v>
      </c>
      <c r="M661" t="s">
        <v>297</v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 t="s">
        <v>297</v>
      </c>
      <c r="H662" t="s">
        <v>297</v>
      </c>
      <c r="I662" t="s">
        <v>297</v>
      </c>
      <c r="J662" t="s">
        <v>297</v>
      </c>
      <c r="K662" t="s">
        <v>297</v>
      </c>
      <c r="L662" t="s">
        <v>297</v>
      </c>
      <c r="M662" t="s">
        <v>297</v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 t="s">
        <v>297</v>
      </c>
      <c r="H663" t="s">
        <v>297</v>
      </c>
      <c r="I663" t="s">
        <v>297</v>
      </c>
      <c r="J663" t="s">
        <v>297</v>
      </c>
      <c r="K663" t="s">
        <v>297</v>
      </c>
      <c r="L663" t="s">
        <v>297</v>
      </c>
      <c r="M663" t="s">
        <v>297</v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 t="s">
        <v>297</v>
      </c>
      <c r="H664" t="s">
        <v>297</v>
      </c>
      <c r="I664" t="s">
        <v>297</v>
      </c>
      <c r="J664" t="s">
        <v>297</v>
      </c>
      <c r="K664" t="s">
        <v>297</v>
      </c>
      <c r="L664" t="s">
        <v>297</v>
      </c>
      <c r="M664" t="s">
        <v>297</v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 t="s">
        <v>297</v>
      </c>
      <c r="H665" t="s">
        <v>297</v>
      </c>
      <c r="I665" t="s">
        <v>297</v>
      </c>
      <c r="J665" t="s">
        <v>297</v>
      </c>
      <c r="K665" t="s">
        <v>297</v>
      </c>
      <c r="L665" t="s">
        <v>297</v>
      </c>
      <c r="M665" t="s">
        <v>297</v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 t="s">
        <v>297</v>
      </c>
      <c r="H666" t="s">
        <v>297</v>
      </c>
      <c r="I666" t="s">
        <v>297</v>
      </c>
      <c r="J666" t="s">
        <v>297</v>
      </c>
      <c r="K666" t="s">
        <v>297</v>
      </c>
      <c r="L666" t="s">
        <v>297</v>
      </c>
      <c r="M666" t="s">
        <v>297</v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 t="s">
        <v>297</v>
      </c>
      <c r="H667" t="s">
        <v>297</v>
      </c>
      <c r="I667" t="s">
        <v>297</v>
      </c>
      <c r="J667" t="s">
        <v>297</v>
      </c>
      <c r="K667" t="s">
        <v>297</v>
      </c>
      <c r="L667" t="s">
        <v>297</v>
      </c>
      <c r="M667" t="s">
        <v>297</v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 t="s">
        <v>297</v>
      </c>
      <c r="H668" t="s">
        <v>297</v>
      </c>
      <c r="I668" t="s">
        <v>297</v>
      </c>
      <c r="J668" t="s">
        <v>297</v>
      </c>
      <c r="K668" t="s">
        <v>297</v>
      </c>
      <c r="L668" t="s">
        <v>297</v>
      </c>
      <c r="M668" t="s">
        <v>297</v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 t="s">
        <v>297</v>
      </c>
      <c r="H669" t="s">
        <v>297</v>
      </c>
      <c r="I669" t="s">
        <v>297</v>
      </c>
      <c r="J669" t="s">
        <v>297</v>
      </c>
      <c r="K669" t="s">
        <v>297</v>
      </c>
      <c r="L669" t="s">
        <v>297</v>
      </c>
      <c r="M669" t="s">
        <v>297</v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 t="s">
        <v>297</v>
      </c>
      <c r="H670" t="s">
        <v>297</v>
      </c>
      <c r="I670" t="s">
        <v>297</v>
      </c>
      <c r="J670" t="s">
        <v>297</v>
      </c>
      <c r="K670" t="s">
        <v>297</v>
      </c>
      <c r="L670" t="s">
        <v>297</v>
      </c>
      <c r="M670" t="s">
        <v>297</v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 t="s">
        <v>297</v>
      </c>
      <c r="H671" t="s">
        <v>297</v>
      </c>
      <c r="I671" t="s">
        <v>297</v>
      </c>
      <c r="J671" t="s">
        <v>297</v>
      </c>
      <c r="K671" t="s">
        <v>297</v>
      </c>
      <c r="L671" t="s">
        <v>297</v>
      </c>
      <c r="M671" t="s">
        <v>297</v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 t="s">
        <v>297</v>
      </c>
      <c r="H672" t="s">
        <v>297</v>
      </c>
      <c r="I672" t="s">
        <v>297</v>
      </c>
      <c r="J672" t="s">
        <v>297</v>
      </c>
      <c r="K672" t="s">
        <v>297</v>
      </c>
      <c r="L672" t="s">
        <v>297</v>
      </c>
      <c r="M672" t="s">
        <v>297</v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 t="s">
        <v>297</v>
      </c>
      <c r="H673" t="s">
        <v>297</v>
      </c>
      <c r="I673" t="s">
        <v>297</v>
      </c>
      <c r="J673" t="s">
        <v>297</v>
      </c>
      <c r="K673" t="s">
        <v>297</v>
      </c>
      <c r="L673" t="s">
        <v>297</v>
      </c>
      <c r="M673" t="s">
        <v>297</v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 t="s">
        <v>297</v>
      </c>
      <c r="H674" t="s">
        <v>297</v>
      </c>
      <c r="I674" t="s">
        <v>297</v>
      </c>
      <c r="J674" t="s">
        <v>297</v>
      </c>
      <c r="K674" t="s">
        <v>297</v>
      </c>
      <c r="L674" t="s">
        <v>297</v>
      </c>
      <c r="M674" t="s">
        <v>297</v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 t="s">
        <v>297</v>
      </c>
      <c r="H675" t="s">
        <v>297</v>
      </c>
      <c r="I675" t="s">
        <v>297</v>
      </c>
      <c r="J675" t="s">
        <v>297</v>
      </c>
      <c r="K675" t="s">
        <v>297</v>
      </c>
      <c r="L675" t="s">
        <v>297</v>
      </c>
      <c r="M675" t="s">
        <v>297</v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 t="s">
        <v>297</v>
      </c>
      <c r="H676" t="s">
        <v>297</v>
      </c>
      <c r="I676" t="s">
        <v>297</v>
      </c>
      <c r="J676" t="s">
        <v>297</v>
      </c>
      <c r="K676" t="s">
        <v>297</v>
      </c>
      <c r="L676" t="s">
        <v>297</v>
      </c>
      <c r="M676" t="s">
        <v>297</v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 t="s">
        <v>297</v>
      </c>
      <c r="H677" t="s">
        <v>297</v>
      </c>
      <c r="I677" t="s">
        <v>297</v>
      </c>
      <c r="J677" t="s">
        <v>297</v>
      </c>
      <c r="K677" t="s">
        <v>297</v>
      </c>
      <c r="L677" t="s">
        <v>297</v>
      </c>
      <c r="M677" t="s">
        <v>297</v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 t="s">
        <v>297</v>
      </c>
      <c r="H678" t="s">
        <v>297</v>
      </c>
      <c r="I678" t="s">
        <v>297</v>
      </c>
      <c r="J678" t="s">
        <v>297</v>
      </c>
      <c r="K678" t="s">
        <v>297</v>
      </c>
      <c r="L678" t="s">
        <v>297</v>
      </c>
      <c r="M678" t="s">
        <v>297</v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 t="s">
        <v>297</v>
      </c>
      <c r="H679" t="s">
        <v>297</v>
      </c>
      <c r="I679" t="s">
        <v>297</v>
      </c>
      <c r="J679" t="s">
        <v>297</v>
      </c>
      <c r="K679" t="s">
        <v>297</v>
      </c>
      <c r="L679" t="s">
        <v>297</v>
      </c>
      <c r="M679" t="s">
        <v>297</v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 t="s">
        <v>297</v>
      </c>
      <c r="H680" t="s">
        <v>297</v>
      </c>
      <c r="I680" t="s">
        <v>297</v>
      </c>
      <c r="J680" t="s">
        <v>297</v>
      </c>
      <c r="K680" t="s">
        <v>297</v>
      </c>
      <c r="L680" t="s">
        <v>297</v>
      </c>
      <c r="M680" t="s">
        <v>297</v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 t="s">
        <v>297</v>
      </c>
      <c r="H681" t="s">
        <v>297</v>
      </c>
      <c r="I681" t="s">
        <v>297</v>
      </c>
      <c r="J681" t="s">
        <v>297</v>
      </c>
      <c r="K681" t="s">
        <v>297</v>
      </c>
      <c r="L681" t="s">
        <v>297</v>
      </c>
      <c r="M681" t="s">
        <v>297</v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 t="s">
        <v>297</v>
      </c>
      <c r="H682" t="s">
        <v>297</v>
      </c>
      <c r="I682" t="s">
        <v>297</v>
      </c>
      <c r="J682" t="s">
        <v>297</v>
      </c>
      <c r="K682" t="s">
        <v>297</v>
      </c>
      <c r="L682" t="s">
        <v>297</v>
      </c>
      <c r="M682" t="s">
        <v>297</v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 t="s">
        <v>297</v>
      </c>
      <c r="H683" t="s">
        <v>297</v>
      </c>
      <c r="I683" t="s">
        <v>297</v>
      </c>
      <c r="J683" t="s">
        <v>297</v>
      </c>
      <c r="K683" t="s">
        <v>297</v>
      </c>
      <c r="L683" t="s">
        <v>297</v>
      </c>
      <c r="M683" t="s">
        <v>297</v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 t="s">
        <v>297</v>
      </c>
      <c r="H684" t="s">
        <v>297</v>
      </c>
      <c r="I684" t="s">
        <v>297</v>
      </c>
      <c r="J684" t="s">
        <v>297</v>
      </c>
      <c r="K684" t="s">
        <v>297</v>
      </c>
      <c r="L684" t="s">
        <v>297</v>
      </c>
      <c r="M684" t="s">
        <v>297</v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 t="s">
        <v>297</v>
      </c>
      <c r="H685" t="s">
        <v>297</v>
      </c>
      <c r="I685" t="s">
        <v>297</v>
      </c>
      <c r="J685" t="s">
        <v>297</v>
      </c>
      <c r="K685" t="s">
        <v>297</v>
      </c>
      <c r="L685" t="s">
        <v>297</v>
      </c>
      <c r="M685" t="s">
        <v>297</v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 t="s">
        <v>297</v>
      </c>
      <c r="H686" t="s">
        <v>297</v>
      </c>
      <c r="I686" t="s">
        <v>297</v>
      </c>
      <c r="J686" t="s">
        <v>297</v>
      </c>
      <c r="K686" t="s">
        <v>297</v>
      </c>
      <c r="L686" t="s">
        <v>297</v>
      </c>
      <c r="M686" t="s">
        <v>297</v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 t="s">
        <v>297</v>
      </c>
      <c r="H687" t="s">
        <v>297</v>
      </c>
      <c r="I687" t="s">
        <v>297</v>
      </c>
      <c r="J687" t="s">
        <v>297</v>
      </c>
      <c r="K687" t="s">
        <v>297</v>
      </c>
      <c r="L687" t="s">
        <v>297</v>
      </c>
      <c r="M687" t="s">
        <v>297</v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 t="s">
        <v>297</v>
      </c>
      <c r="H688" t="s">
        <v>297</v>
      </c>
      <c r="I688" t="s">
        <v>297</v>
      </c>
      <c r="J688" t="s">
        <v>297</v>
      </c>
      <c r="K688" t="s">
        <v>297</v>
      </c>
      <c r="L688" t="s">
        <v>297</v>
      </c>
      <c r="M688" t="s">
        <v>297</v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 t="s">
        <v>297</v>
      </c>
      <c r="H689" t="s">
        <v>297</v>
      </c>
      <c r="I689" t="s">
        <v>297</v>
      </c>
      <c r="J689" t="s">
        <v>297</v>
      </c>
      <c r="K689" t="s">
        <v>297</v>
      </c>
      <c r="L689" t="s">
        <v>297</v>
      </c>
      <c r="M689" t="s">
        <v>297</v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 t="s">
        <v>297</v>
      </c>
      <c r="H690" t="s">
        <v>297</v>
      </c>
      <c r="I690" t="s">
        <v>297</v>
      </c>
      <c r="J690" t="s">
        <v>297</v>
      </c>
      <c r="K690" t="s">
        <v>297</v>
      </c>
      <c r="L690" t="s">
        <v>297</v>
      </c>
      <c r="M690" t="s">
        <v>297</v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 t="s">
        <v>297</v>
      </c>
      <c r="H691" t="s">
        <v>297</v>
      </c>
      <c r="I691" t="s">
        <v>297</v>
      </c>
      <c r="J691" t="s">
        <v>297</v>
      </c>
      <c r="K691" t="s">
        <v>297</v>
      </c>
      <c r="L691" t="s">
        <v>297</v>
      </c>
      <c r="M691" t="s">
        <v>297</v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 t="s">
        <v>297</v>
      </c>
      <c r="H692" t="s">
        <v>297</v>
      </c>
      <c r="I692" t="s">
        <v>297</v>
      </c>
      <c r="J692" t="s">
        <v>297</v>
      </c>
      <c r="K692" t="s">
        <v>297</v>
      </c>
      <c r="L692" t="s">
        <v>297</v>
      </c>
      <c r="M692" t="s">
        <v>297</v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 t="s">
        <v>297</v>
      </c>
      <c r="H693" t="s">
        <v>297</v>
      </c>
      <c r="I693" t="s">
        <v>297</v>
      </c>
      <c r="J693" t="s">
        <v>297</v>
      </c>
      <c r="K693" t="s">
        <v>297</v>
      </c>
      <c r="L693" t="s">
        <v>297</v>
      </c>
      <c r="M693" t="s">
        <v>297</v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 t="s">
        <v>297</v>
      </c>
      <c r="H694" t="s">
        <v>297</v>
      </c>
      <c r="I694" t="s">
        <v>297</v>
      </c>
      <c r="J694" t="s">
        <v>297</v>
      </c>
      <c r="K694" t="s">
        <v>297</v>
      </c>
      <c r="L694" t="s">
        <v>297</v>
      </c>
      <c r="M694" t="s">
        <v>297</v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 t="s">
        <v>297</v>
      </c>
      <c r="H695" t="s">
        <v>297</v>
      </c>
      <c r="I695" t="s">
        <v>297</v>
      </c>
      <c r="J695" t="s">
        <v>297</v>
      </c>
      <c r="K695" t="s">
        <v>297</v>
      </c>
      <c r="L695" t="s">
        <v>297</v>
      </c>
      <c r="M695" t="s">
        <v>297</v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 t="s">
        <v>297</v>
      </c>
      <c r="H696" t="s">
        <v>297</v>
      </c>
      <c r="I696" t="s">
        <v>297</v>
      </c>
      <c r="J696" t="s">
        <v>297</v>
      </c>
      <c r="K696" t="s">
        <v>297</v>
      </c>
      <c r="L696" t="s">
        <v>297</v>
      </c>
      <c r="M696" t="s">
        <v>297</v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 t="s">
        <v>297</v>
      </c>
      <c r="H697" t="s">
        <v>297</v>
      </c>
      <c r="I697" t="s">
        <v>297</v>
      </c>
      <c r="J697" t="s">
        <v>297</v>
      </c>
      <c r="K697" t="s">
        <v>297</v>
      </c>
      <c r="L697" t="s">
        <v>297</v>
      </c>
      <c r="M697" t="s">
        <v>297</v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 t="s">
        <v>297</v>
      </c>
      <c r="H698" t="s">
        <v>297</v>
      </c>
      <c r="I698" t="s">
        <v>297</v>
      </c>
      <c r="J698" t="s">
        <v>297</v>
      </c>
      <c r="K698" t="s">
        <v>297</v>
      </c>
      <c r="L698" t="s">
        <v>297</v>
      </c>
      <c r="M698" t="s">
        <v>297</v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 t="s">
        <v>297</v>
      </c>
      <c r="H699" t="s">
        <v>297</v>
      </c>
      <c r="I699" t="s">
        <v>297</v>
      </c>
      <c r="J699" t="s">
        <v>297</v>
      </c>
      <c r="K699" t="s">
        <v>297</v>
      </c>
      <c r="L699" t="s">
        <v>297</v>
      </c>
      <c r="M699" t="s">
        <v>297</v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 t="s">
        <v>297</v>
      </c>
      <c r="H700" t="s">
        <v>297</v>
      </c>
      <c r="I700" t="s">
        <v>297</v>
      </c>
      <c r="J700" t="s">
        <v>297</v>
      </c>
      <c r="K700" t="s">
        <v>297</v>
      </c>
      <c r="L700" t="s">
        <v>297</v>
      </c>
      <c r="M700" t="s">
        <v>297</v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 t="s">
        <v>297</v>
      </c>
      <c r="H701" t="s">
        <v>297</v>
      </c>
      <c r="I701" t="s">
        <v>297</v>
      </c>
      <c r="J701" t="s">
        <v>297</v>
      </c>
      <c r="K701" t="s">
        <v>297</v>
      </c>
      <c r="L701" t="s">
        <v>297</v>
      </c>
      <c r="M701" t="s">
        <v>297</v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 t="s">
        <v>297</v>
      </c>
      <c r="H702" t="s">
        <v>297</v>
      </c>
      <c r="I702" t="s">
        <v>297</v>
      </c>
      <c r="J702" t="s">
        <v>297</v>
      </c>
      <c r="K702" t="s">
        <v>297</v>
      </c>
      <c r="L702" t="s">
        <v>297</v>
      </c>
      <c r="M702" t="s">
        <v>297</v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 t="s">
        <v>297</v>
      </c>
      <c r="H703" t="s">
        <v>297</v>
      </c>
      <c r="I703" t="s">
        <v>297</v>
      </c>
      <c r="J703" t="s">
        <v>297</v>
      </c>
      <c r="K703" t="s">
        <v>297</v>
      </c>
      <c r="L703" t="s">
        <v>297</v>
      </c>
      <c r="M703" t="s">
        <v>297</v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 t="s">
        <v>297</v>
      </c>
      <c r="H704" t="s">
        <v>297</v>
      </c>
      <c r="I704" t="s">
        <v>297</v>
      </c>
      <c r="J704" t="s">
        <v>297</v>
      </c>
      <c r="K704" t="s">
        <v>297</v>
      </c>
      <c r="L704" t="s">
        <v>297</v>
      </c>
      <c r="M704" t="s">
        <v>297</v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 t="s">
        <v>297</v>
      </c>
      <c r="H705" t="s">
        <v>297</v>
      </c>
      <c r="I705" t="s">
        <v>297</v>
      </c>
      <c r="J705" t="s">
        <v>297</v>
      </c>
      <c r="K705" t="s">
        <v>297</v>
      </c>
      <c r="L705" t="s">
        <v>297</v>
      </c>
      <c r="M705" t="s">
        <v>297</v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 t="s">
        <v>297</v>
      </c>
      <c r="H706" t="s">
        <v>297</v>
      </c>
      <c r="I706" t="s">
        <v>297</v>
      </c>
      <c r="J706" t="s">
        <v>297</v>
      </c>
      <c r="K706" t="s">
        <v>297</v>
      </c>
      <c r="L706" t="s">
        <v>297</v>
      </c>
      <c r="M706" t="s">
        <v>297</v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 t="s">
        <v>297</v>
      </c>
      <c r="H707" t="s">
        <v>297</v>
      </c>
      <c r="I707" t="s">
        <v>297</v>
      </c>
      <c r="J707" t="s">
        <v>297</v>
      </c>
      <c r="K707" t="s">
        <v>297</v>
      </c>
      <c r="L707" t="s">
        <v>297</v>
      </c>
      <c r="M707" t="s">
        <v>297</v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 t="s">
        <v>297</v>
      </c>
      <c r="H708" t="s">
        <v>297</v>
      </c>
      <c r="I708" t="s">
        <v>297</v>
      </c>
      <c r="J708" t="s">
        <v>297</v>
      </c>
      <c r="K708" t="s">
        <v>297</v>
      </c>
      <c r="L708" t="s">
        <v>297</v>
      </c>
      <c r="M708" t="s">
        <v>297</v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 t="s">
        <v>297</v>
      </c>
      <c r="H709" t="s">
        <v>297</v>
      </c>
      <c r="I709" t="s">
        <v>297</v>
      </c>
      <c r="J709" t="s">
        <v>297</v>
      </c>
      <c r="K709" t="s">
        <v>297</v>
      </c>
      <c r="L709" t="s">
        <v>297</v>
      </c>
      <c r="M709" t="s">
        <v>297</v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 t="s">
        <v>297</v>
      </c>
      <c r="H710" t="s">
        <v>297</v>
      </c>
      <c r="I710" t="s">
        <v>297</v>
      </c>
      <c r="J710" t="s">
        <v>297</v>
      </c>
      <c r="K710" t="s">
        <v>297</v>
      </c>
      <c r="L710" t="s">
        <v>297</v>
      </c>
      <c r="M710" t="s">
        <v>297</v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 t="s">
        <v>297</v>
      </c>
      <c r="H711" t="s">
        <v>297</v>
      </c>
      <c r="I711" t="s">
        <v>297</v>
      </c>
      <c r="J711" t="s">
        <v>297</v>
      </c>
      <c r="K711" t="s">
        <v>297</v>
      </c>
      <c r="L711" t="s">
        <v>297</v>
      </c>
      <c r="M711" t="s">
        <v>297</v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 t="s">
        <v>297</v>
      </c>
      <c r="H712" t="s">
        <v>297</v>
      </c>
      <c r="I712" t="s">
        <v>297</v>
      </c>
      <c r="J712" t="s">
        <v>297</v>
      </c>
      <c r="K712" t="s">
        <v>297</v>
      </c>
      <c r="L712" t="s">
        <v>297</v>
      </c>
      <c r="M712" t="s">
        <v>297</v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 t="s">
        <v>297</v>
      </c>
      <c r="H713" t="s">
        <v>297</v>
      </c>
      <c r="I713" t="s">
        <v>297</v>
      </c>
      <c r="J713" t="s">
        <v>297</v>
      </c>
      <c r="K713" t="s">
        <v>297</v>
      </c>
      <c r="L713" t="s">
        <v>297</v>
      </c>
      <c r="M713" t="s">
        <v>297</v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 t="s">
        <v>297</v>
      </c>
      <c r="H714" t="s">
        <v>297</v>
      </c>
      <c r="I714" t="s">
        <v>297</v>
      </c>
      <c r="J714" t="s">
        <v>297</v>
      </c>
      <c r="K714" t="s">
        <v>297</v>
      </c>
      <c r="L714" t="s">
        <v>297</v>
      </c>
      <c r="M714" t="s">
        <v>297</v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 t="s">
        <v>297</v>
      </c>
      <c r="H715" t="s">
        <v>297</v>
      </c>
      <c r="I715" t="s">
        <v>297</v>
      </c>
      <c r="J715" t="s">
        <v>297</v>
      </c>
      <c r="K715" t="s">
        <v>297</v>
      </c>
      <c r="L715" t="s">
        <v>297</v>
      </c>
      <c r="M715" t="s">
        <v>297</v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 t="s">
        <v>297</v>
      </c>
      <c r="H716" t="s">
        <v>297</v>
      </c>
      <c r="I716" t="s">
        <v>297</v>
      </c>
      <c r="J716" t="s">
        <v>297</v>
      </c>
      <c r="K716" t="s">
        <v>297</v>
      </c>
      <c r="L716" t="s">
        <v>297</v>
      </c>
      <c r="M716" t="s">
        <v>297</v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 t="s">
        <v>297</v>
      </c>
      <c r="H717" t="s">
        <v>297</v>
      </c>
      <c r="I717" t="s">
        <v>297</v>
      </c>
      <c r="J717" t="s">
        <v>297</v>
      </c>
      <c r="K717" t="s">
        <v>297</v>
      </c>
      <c r="L717" t="s">
        <v>297</v>
      </c>
      <c r="M717" t="s">
        <v>297</v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 t="s">
        <v>297</v>
      </c>
      <c r="H718" t="s">
        <v>297</v>
      </c>
      <c r="I718" t="s">
        <v>297</v>
      </c>
      <c r="J718" t="s">
        <v>297</v>
      </c>
      <c r="K718" t="s">
        <v>297</v>
      </c>
      <c r="L718" t="s">
        <v>297</v>
      </c>
      <c r="M718" t="s">
        <v>297</v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 t="s">
        <v>297</v>
      </c>
      <c r="H719" t="s">
        <v>297</v>
      </c>
      <c r="I719" t="s">
        <v>297</v>
      </c>
      <c r="J719" t="s">
        <v>297</v>
      </c>
      <c r="K719" t="s">
        <v>297</v>
      </c>
      <c r="L719" t="s">
        <v>297</v>
      </c>
      <c r="M719" t="s">
        <v>297</v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 t="s">
        <v>297</v>
      </c>
      <c r="H720" t="s">
        <v>297</v>
      </c>
      <c r="I720" t="s">
        <v>297</v>
      </c>
      <c r="J720" t="s">
        <v>297</v>
      </c>
      <c r="K720" t="s">
        <v>297</v>
      </c>
      <c r="L720" t="s">
        <v>297</v>
      </c>
      <c r="M720" t="s">
        <v>297</v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 t="s">
        <v>297</v>
      </c>
      <c r="H721" t="s">
        <v>297</v>
      </c>
      <c r="I721" t="s">
        <v>297</v>
      </c>
      <c r="J721" t="s">
        <v>297</v>
      </c>
      <c r="K721" t="s">
        <v>297</v>
      </c>
      <c r="L721" t="s">
        <v>297</v>
      </c>
      <c r="M721" t="s">
        <v>297</v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 t="s">
        <v>297</v>
      </c>
      <c r="H722" t="s">
        <v>297</v>
      </c>
      <c r="I722" t="s">
        <v>297</v>
      </c>
      <c r="J722" t="s">
        <v>297</v>
      </c>
      <c r="K722" t="s">
        <v>297</v>
      </c>
      <c r="L722" t="s">
        <v>297</v>
      </c>
      <c r="M722" t="s">
        <v>297</v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 t="s">
        <v>297</v>
      </c>
      <c r="H723" t="s">
        <v>297</v>
      </c>
      <c r="I723" t="s">
        <v>297</v>
      </c>
      <c r="J723" t="s">
        <v>297</v>
      </c>
      <c r="K723" t="s">
        <v>297</v>
      </c>
      <c r="L723" t="s">
        <v>297</v>
      </c>
      <c r="M723" t="s">
        <v>297</v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 t="s">
        <v>297</v>
      </c>
      <c r="H724" t="s">
        <v>297</v>
      </c>
      <c r="I724" t="s">
        <v>297</v>
      </c>
      <c r="J724" t="s">
        <v>297</v>
      </c>
      <c r="K724" t="s">
        <v>297</v>
      </c>
      <c r="L724" t="s">
        <v>297</v>
      </c>
      <c r="M724" t="s">
        <v>297</v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 t="s">
        <v>297</v>
      </c>
      <c r="H725" t="s">
        <v>297</v>
      </c>
      <c r="I725" t="s">
        <v>297</v>
      </c>
      <c r="J725" t="s">
        <v>297</v>
      </c>
      <c r="K725" t="s">
        <v>297</v>
      </c>
      <c r="L725" t="s">
        <v>297</v>
      </c>
      <c r="M725" t="s">
        <v>297</v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 t="s">
        <v>297</v>
      </c>
      <c r="H726" t="s">
        <v>297</v>
      </c>
      <c r="I726" t="s">
        <v>297</v>
      </c>
      <c r="J726" t="s">
        <v>297</v>
      </c>
      <c r="K726" t="s">
        <v>297</v>
      </c>
      <c r="L726" t="s">
        <v>297</v>
      </c>
      <c r="M726" t="s">
        <v>297</v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 t="s">
        <v>297</v>
      </c>
      <c r="H727" t="s">
        <v>297</v>
      </c>
      <c r="I727" t="s">
        <v>297</v>
      </c>
      <c r="J727" t="s">
        <v>297</v>
      </c>
      <c r="K727" t="s">
        <v>297</v>
      </c>
      <c r="L727" t="s">
        <v>297</v>
      </c>
      <c r="M727" t="s">
        <v>297</v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 t="s">
        <v>297</v>
      </c>
      <c r="H728" t="s">
        <v>297</v>
      </c>
      <c r="I728" t="s">
        <v>297</v>
      </c>
      <c r="J728" t="s">
        <v>297</v>
      </c>
      <c r="K728" t="s">
        <v>297</v>
      </c>
      <c r="L728" t="s">
        <v>297</v>
      </c>
      <c r="M728" t="s">
        <v>297</v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 t="s">
        <v>297</v>
      </c>
      <c r="H729" t="s">
        <v>297</v>
      </c>
      <c r="I729" t="s">
        <v>297</v>
      </c>
      <c r="J729" t="s">
        <v>297</v>
      </c>
      <c r="K729" t="s">
        <v>297</v>
      </c>
      <c r="L729" t="s">
        <v>297</v>
      </c>
      <c r="M729" t="s">
        <v>297</v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 t="s">
        <v>297</v>
      </c>
      <c r="H730" t="s">
        <v>297</v>
      </c>
      <c r="I730" t="s">
        <v>297</v>
      </c>
      <c r="J730" t="s">
        <v>297</v>
      </c>
      <c r="K730" t="s">
        <v>297</v>
      </c>
      <c r="L730" t="s">
        <v>297</v>
      </c>
      <c r="M730" t="s">
        <v>297</v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 t="s">
        <v>297</v>
      </c>
      <c r="H731" t="s">
        <v>297</v>
      </c>
      <c r="I731" t="s">
        <v>297</v>
      </c>
      <c r="J731" t="s">
        <v>297</v>
      </c>
      <c r="K731" t="s">
        <v>297</v>
      </c>
      <c r="L731" t="s">
        <v>297</v>
      </c>
      <c r="M731" t="s">
        <v>297</v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 t="s">
        <v>297</v>
      </c>
      <c r="H732" t="s">
        <v>297</v>
      </c>
      <c r="I732" t="s">
        <v>297</v>
      </c>
      <c r="J732" t="s">
        <v>297</v>
      </c>
      <c r="K732" t="s">
        <v>297</v>
      </c>
      <c r="L732" t="s">
        <v>297</v>
      </c>
      <c r="M732" t="s">
        <v>297</v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 t="s">
        <v>297</v>
      </c>
      <c r="H733" t="s">
        <v>297</v>
      </c>
      <c r="I733" t="s">
        <v>297</v>
      </c>
      <c r="J733" t="s">
        <v>297</v>
      </c>
      <c r="K733" t="s">
        <v>297</v>
      </c>
      <c r="L733" t="s">
        <v>297</v>
      </c>
      <c r="M733" t="s">
        <v>297</v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 t="s">
        <v>297</v>
      </c>
      <c r="H734" t="s">
        <v>297</v>
      </c>
      <c r="I734" t="s">
        <v>297</v>
      </c>
      <c r="J734" t="s">
        <v>297</v>
      </c>
      <c r="K734" t="s">
        <v>297</v>
      </c>
      <c r="L734" t="s">
        <v>297</v>
      </c>
      <c r="M734" t="s">
        <v>297</v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 t="s">
        <v>297</v>
      </c>
      <c r="H735" t="s">
        <v>297</v>
      </c>
      <c r="I735" t="s">
        <v>297</v>
      </c>
      <c r="J735" t="s">
        <v>297</v>
      </c>
      <c r="K735" t="s">
        <v>297</v>
      </c>
      <c r="L735" t="s">
        <v>297</v>
      </c>
      <c r="M735" t="s">
        <v>297</v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 t="s">
        <v>297</v>
      </c>
      <c r="H736" t="s">
        <v>297</v>
      </c>
      <c r="I736" t="s">
        <v>297</v>
      </c>
      <c r="J736" t="s">
        <v>297</v>
      </c>
      <c r="K736" t="s">
        <v>297</v>
      </c>
      <c r="L736" t="s">
        <v>297</v>
      </c>
      <c r="M736" t="s">
        <v>297</v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 t="s">
        <v>297</v>
      </c>
      <c r="H737" t="s">
        <v>297</v>
      </c>
      <c r="I737" t="s">
        <v>297</v>
      </c>
      <c r="J737" t="s">
        <v>297</v>
      </c>
      <c r="K737" t="s">
        <v>297</v>
      </c>
      <c r="L737" t="s">
        <v>297</v>
      </c>
      <c r="M737" t="s">
        <v>297</v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 t="s">
        <v>297</v>
      </c>
      <c r="H738" t="s">
        <v>297</v>
      </c>
      <c r="I738" t="s">
        <v>297</v>
      </c>
      <c r="J738" t="s">
        <v>297</v>
      </c>
      <c r="K738" t="s">
        <v>297</v>
      </c>
      <c r="L738" t="s">
        <v>297</v>
      </c>
      <c r="M738" t="s">
        <v>297</v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 t="s">
        <v>297</v>
      </c>
      <c r="H739" t="s">
        <v>297</v>
      </c>
      <c r="I739" t="s">
        <v>297</v>
      </c>
      <c r="J739" t="s">
        <v>297</v>
      </c>
      <c r="K739" t="s">
        <v>297</v>
      </c>
      <c r="L739" t="s">
        <v>297</v>
      </c>
      <c r="M739" t="s">
        <v>297</v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 t="s">
        <v>297</v>
      </c>
      <c r="H740" t="s">
        <v>297</v>
      </c>
      <c r="I740" t="s">
        <v>297</v>
      </c>
      <c r="J740" t="s">
        <v>297</v>
      </c>
      <c r="K740" t="s">
        <v>297</v>
      </c>
      <c r="L740" t="s">
        <v>297</v>
      </c>
      <c r="M740" t="s">
        <v>297</v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 t="s">
        <v>297</v>
      </c>
      <c r="H741" t="s">
        <v>297</v>
      </c>
      <c r="I741" t="s">
        <v>297</v>
      </c>
      <c r="J741" t="s">
        <v>297</v>
      </c>
      <c r="K741" t="s">
        <v>297</v>
      </c>
      <c r="L741" t="s">
        <v>297</v>
      </c>
      <c r="M741" t="s">
        <v>297</v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 t="s">
        <v>297</v>
      </c>
      <c r="H742" t="s">
        <v>297</v>
      </c>
      <c r="I742" t="s">
        <v>297</v>
      </c>
      <c r="J742" t="s">
        <v>297</v>
      </c>
      <c r="K742" t="s">
        <v>297</v>
      </c>
      <c r="L742" t="s">
        <v>297</v>
      </c>
      <c r="M742" t="s">
        <v>297</v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 t="s">
        <v>297</v>
      </c>
      <c r="H743" t="s">
        <v>297</v>
      </c>
      <c r="I743" t="s">
        <v>297</v>
      </c>
      <c r="J743" t="s">
        <v>297</v>
      </c>
      <c r="K743" t="s">
        <v>297</v>
      </c>
      <c r="L743" t="s">
        <v>297</v>
      </c>
      <c r="M743" t="s">
        <v>297</v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 t="s">
        <v>297</v>
      </c>
      <c r="H744" t="s">
        <v>297</v>
      </c>
      <c r="I744" t="s">
        <v>297</v>
      </c>
      <c r="J744" t="s">
        <v>297</v>
      </c>
      <c r="K744" t="s">
        <v>297</v>
      </c>
      <c r="L744" t="s">
        <v>297</v>
      </c>
      <c r="M744" t="s">
        <v>297</v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 t="s">
        <v>297</v>
      </c>
      <c r="H745" t="s">
        <v>297</v>
      </c>
      <c r="I745" t="s">
        <v>297</v>
      </c>
      <c r="J745" t="s">
        <v>297</v>
      </c>
      <c r="K745" t="s">
        <v>297</v>
      </c>
      <c r="L745" t="s">
        <v>297</v>
      </c>
      <c r="M745" t="s">
        <v>297</v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 t="s">
        <v>297</v>
      </c>
      <c r="H746" t="s">
        <v>297</v>
      </c>
      <c r="I746" t="s">
        <v>297</v>
      </c>
      <c r="J746" t="s">
        <v>297</v>
      </c>
      <c r="K746" t="s">
        <v>297</v>
      </c>
      <c r="L746" t="s">
        <v>297</v>
      </c>
      <c r="M746" t="s">
        <v>297</v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 t="s">
        <v>297</v>
      </c>
      <c r="H747" t="s">
        <v>297</v>
      </c>
      <c r="I747" t="s">
        <v>297</v>
      </c>
      <c r="J747" t="s">
        <v>297</v>
      </c>
      <c r="K747" t="s">
        <v>297</v>
      </c>
      <c r="L747" t="s">
        <v>297</v>
      </c>
      <c r="M747" t="s">
        <v>297</v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 t="s">
        <v>297</v>
      </c>
      <c r="H748" t="s">
        <v>297</v>
      </c>
      <c r="I748" t="s">
        <v>297</v>
      </c>
      <c r="J748" t="s">
        <v>297</v>
      </c>
      <c r="K748" t="s">
        <v>297</v>
      </c>
      <c r="L748" t="s">
        <v>297</v>
      </c>
      <c r="M748" t="s">
        <v>297</v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 t="s">
        <v>297</v>
      </c>
      <c r="H749" t="s">
        <v>297</v>
      </c>
      <c r="I749" t="s">
        <v>297</v>
      </c>
      <c r="J749" t="s">
        <v>297</v>
      </c>
      <c r="K749" t="s">
        <v>297</v>
      </c>
      <c r="L749" t="s">
        <v>297</v>
      </c>
      <c r="M749" t="s">
        <v>297</v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 t="s">
        <v>297</v>
      </c>
      <c r="H750" t="s">
        <v>297</v>
      </c>
      <c r="I750" t="s">
        <v>297</v>
      </c>
      <c r="J750" t="s">
        <v>297</v>
      </c>
      <c r="K750" t="s">
        <v>297</v>
      </c>
      <c r="L750" t="s">
        <v>297</v>
      </c>
      <c r="M750" t="s">
        <v>297</v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 t="s">
        <v>297</v>
      </c>
      <c r="H751" t="s">
        <v>297</v>
      </c>
      <c r="I751" t="s">
        <v>297</v>
      </c>
      <c r="J751" t="s">
        <v>297</v>
      </c>
      <c r="K751" t="s">
        <v>297</v>
      </c>
      <c r="L751" t="s">
        <v>297</v>
      </c>
      <c r="M751" t="s">
        <v>297</v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 t="s">
        <v>297</v>
      </c>
      <c r="H752" t="s">
        <v>297</v>
      </c>
      <c r="I752" t="s">
        <v>297</v>
      </c>
      <c r="J752" t="s">
        <v>297</v>
      </c>
      <c r="K752" t="s">
        <v>297</v>
      </c>
      <c r="L752" t="s">
        <v>297</v>
      </c>
      <c r="M752" t="s">
        <v>297</v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 t="s">
        <v>297</v>
      </c>
      <c r="H753" t="s">
        <v>297</v>
      </c>
      <c r="I753" t="s">
        <v>297</v>
      </c>
      <c r="J753" t="s">
        <v>297</v>
      </c>
      <c r="K753" t="s">
        <v>297</v>
      </c>
      <c r="L753" t="s">
        <v>297</v>
      </c>
      <c r="M753" t="s">
        <v>297</v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 t="s">
        <v>297</v>
      </c>
      <c r="H754" t="s">
        <v>297</v>
      </c>
      <c r="I754" t="s">
        <v>297</v>
      </c>
      <c r="J754" t="s">
        <v>297</v>
      </c>
      <c r="K754" t="s">
        <v>297</v>
      </c>
      <c r="L754" t="s">
        <v>297</v>
      </c>
      <c r="M754" t="s">
        <v>297</v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 t="s">
        <v>297</v>
      </c>
      <c r="H755" t="s">
        <v>297</v>
      </c>
      <c r="I755" t="s">
        <v>297</v>
      </c>
      <c r="J755" t="s">
        <v>297</v>
      </c>
      <c r="K755" t="s">
        <v>297</v>
      </c>
      <c r="L755" t="s">
        <v>297</v>
      </c>
      <c r="M755" t="s">
        <v>297</v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 t="s">
        <v>297</v>
      </c>
      <c r="H756" t="s">
        <v>297</v>
      </c>
      <c r="I756" t="s">
        <v>297</v>
      </c>
      <c r="J756" t="s">
        <v>297</v>
      </c>
      <c r="K756" t="s">
        <v>297</v>
      </c>
      <c r="L756" t="s">
        <v>297</v>
      </c>
      <c r="M756" t="s">
        <v>297</v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 t="s">
        <v>297</v>
      </c>
      <c r="H757" t="s">
        <v>297</v>
      </c>
      <c r="I757" t="s">
        <v>297</v>
      </c>
      <c r="J757" t="s">
        <v>297</v>
      </c>
      <c r="K757" t="s">
        <v>297</v>
      </c>
      <c r="L757" t="s">
        <v>297</v>
      </c>
      <c r="M757" t="s">
        <v>297</v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 t="s">
        <v>297</v>
      </c>
      <c r="H758" t="s">
        <v>297</v>
      </c>
      <c r="I758" t="s">
        <v>297</v>
      </c>
      <c r="J758" t="s">
        <v>297</v>
      </c>
      <c r="K758" t="s">
        <v>297</v>
      </c>
      <c r="L758" t="s">
        <v>297</v>
      </c>
      <c r="M758" t="s">
        <v>297</v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 t="s">
        <v>297</v>
      </c>
      <c r="H759" t="s">
        <v>297</v>
      </c>
      <c r="I759" t="s">
        <v>297</v>
      </c>
      <c r="J759" t="s">
        <v>297</v>
      </c>
      <c r="K759" t="s">
        <v>297</v>
      </c>
      <c r="L759" t="s">
        <v>297</v>
      </c>
      <c r="M759" t="s">
        <v>297</v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 t="s">
        <v>297</v>
      </c>
      <c r="H760" t="s">
        <v>297</v>
      </c>
      <c r="I760" t="s">
        <v>297</v>
      </c>
      <c r="J760" t="s">
        <v>297</v>
      </c>
      <c r="K760" t="s">
        <v>297</v>
      </c>
      <c r="L760" t="s">
        <v>297</v>
      </c>
      <c r="M760" t="s">
        <v>297</v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 t="s">
        <v>297</v>
      </c>
      <c r="H761" t="s">
        <v>297</v>
      </c>
      <c r="I761" t="s">
        <v>297</v>
      </c>
      <c r="J761" t="s">
        <v>297</v>
      </c>
      <c r="K761" t="s">
        <v>297</v>
      </c>
      <c r="L761" t="s">
        <v>297</v>
      </c>
      <c r="M761" t="s">
        <v>297</v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 t="s">
        <v>297</v>
      </c>
      <c r="H762" t="s">
        <v>297</v>
      </c>
      <c r="I762" t="s">
        <v>297</v>
      </c>
      <c r="J762" t="s">
        <v>297</v>
      </c>
      <c r="K762" t="s">
        <v>297</v>
      </c>
      <c r="L762" t="s">
        <v>297</v>
      </c>
      <c r="M762" t="s">
        <v>297</v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 t="s">
        <v>297</v>
      </c>
      <c r="H763" t="s">
        <v>297</v>
      </c>
      <c r="I763" t="s">
        <v>297</v>
      </c>
      <c r="J763" t="s">
        <v>297</v>
      </c>
      <c r="K763" t="s">
        <v>297</v>
      </c>
      <c r="L763" t="s">
        <v>297</v>
      </c>
      <c r="M763" t="s">
        <v>297</v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 t="s">
        <v>297</v>
      </c>
      <c r="H764" t="s">
        <v>297</v>
      </c>
      <c r="I764" t="s">
        <v>297</v>
      </c>
      <c r="J764" t="s">
        <v>297</v>
      </c>
      <c r="K764" t="s">
        <v>297</v>
      </c>
      <c r="L764" t="s">
        <v>297</v>
      </c>
      <c r="M764" t="s">
        <v>297</v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 t="s">
        <v>297</v>
      </c>
      <c r="H765" t="s">
        <v>297</v>
      </c>
      <c r="I765" t="s">
        <v>297</v>
      </c>
      <c r="J765" t="s">
        <v>297</v>
      </c>
      <c r="K765" t="s">
        <v>297</v>
      </c>
      <c r="L765" t="s">
        <v>297</v>
      </c>
      <c r="M765" t="s">
        <v>297</v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 t="s">
        <v>297</v>
      </c>
      <c r="H766" t="s">
        <v>297</v>
      </c>
      <c r="I766" t="s">
        <v>297</v>
      </c>
      <c r="J766" t="s">
        <v>297</v>
      </c>
      <c r="K766" t="s">
        <v>297</v>
      </c>
      <c r="L766" t="s">
        <v>297</v>
      </c>
      <c r="M766" t="s">
        <v>297</v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 t="s">
        <v>297</v>
      </c>
      <c r="H767" t="s">
        <v>297</v>
      </c>
      <c r="I767" t="s">
        <v>297</v>
      </c>
      <c r="J767" t="s">
        <v>297</v>
      </c>
      <c r="K767" t="s">
        <v>297</v>
      </c>
      <c r="L767" t="s">
        <v>297</v>
      </c>
      <c r="M767" t="s">
        <v>297</v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 t="s">
        <v>297</v>
      </c>
      <c r="H768" t="s">
        <v>297</v>
      </c>
      <c r="I768" t="s">
        <v>297</v>
      </c>
      <c r="J768" t="s">
        <v>297</v>
      </c>
      <c r="K768" t="s">
        <v>297</v>
      </c>
      <c r="L768" t="s">
        <v>297</v>
      </c>
      <c r="M768" t="s">
        <v>297</v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 t="s">
        <v>297</v>
      </c>
      <c r="H769" t="s">
        <v>297</v>
      </c>
      <c r="I769" t="s">
        <v>297</v>
      </c>
      <c r="J769" t="s">
        <v>297</v>
      </c>
      <c r="K769" t="s">
        <v>297</v>
      </c>
      <c r="L769" t="s">
        <v>297</v>
      </c>
      <c r="M769" t="s">
        <v>297</v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 t="s">
        <v>297</v>
      </c>
      <c r="H770" t="s">
        <v>297</v>
      </c>
      <c r="I770" t="s">
        <v>297</v>
      </c>
      <c r="J770" t="s">
        <v>297</v>
      </c>
      <c r="K770" t="s">
        <v>297</v>
      </c>
      <c r="L770" t="s">
        <v>297</v>
      </c>
      <c r="M770" t="s">
        <v>297</v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 t="s">
        <v>297</v>
      </c>
      <c r="H771" t="s">
        <v>297</v>
      </c>
      <c r="I771" t="s">
        <v>297</v>
      </c>
      <c r="J771" t="s">
        <v>297</v>
      </c>
      <c r="K771" t="s">
        <v>297</v>
      </c>
      <c r="L771" t="s">
        <v>297</v>
      </c>
      <c r="M771" t="s">
        <v>297</v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 t="s">
        <v>297</v>
      </c>
      <c r="H772" t="s">
        <v>297</v>
      </c>
      <c r="I772" t="s">
        <v>297</v>
      </c>
      <c r="J772" t="s">
        <v>297</v>
      </c>
      <c r="K772" t="s">
        <v>297</v>
      </c>
      <c r="L772" t="s">
        <v>297</v>
      </c>
      <c r="M772" t="s">
        <v>297</v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 t="s">
        <v>297</v>
      </c>
      <c r="H773" t="s">
        <v>297</v>
      </c>
      <c r="I773" t="s">
        <v>297</v>
      </c>
      <c r="J773" t="s">
        <v>297</v>
      </c>
      <c r="K773" t="s">
        <v>297</v>
      </c>
      <c r="L773" t="s">
        <v>297</v>
      </c>
      <c r="M773" t="s">
        <v>297</v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 t="s">
        <v>297</v>
      </c>
      <c r="H774" t="s">
        <v>297</v>
      </c>
      <c r="I774" t="s">
        <v>297</v>
      </c>
      <c r="J774" t="s">
        <v>297</v>
      </c>
      <c r="K774" t="s">
        <v>297</v>
      </c>
      <c r="L774" t="s">
        <v>297</v>
      </c>
      <c r="M774" t="s">
        <v>297</v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 t="s">
        <v>297</v>
      </c>
      <c r="H775" t="s">
        <v>297</v>
      </c>
      <c r="I775" t="s">
        <v>297</v>
      </c>
      <c r="J775" t="s">
        <v>297</v>
      </c>
      <c r="K775" t="s">
        <v>297</v>
      </c>
      <c r="L775" t="s">
        <v>297</v>
      </c>
      <c r="M775" t="s">
        <v>297</v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 t="s">
        <v>297</v>
      </c>
      <c r="H776" t="s">
        <v>297</v>
      </c>
      <c r="I776" t="s">
        <v>297</v>
      </c>
      <c r="J776" t="s">
        <v>297</v>
      </c>
      <c r="K776" t="s">
        <v>297</v>
      </c>
      <c r="L776" t="s">
        <v>297</v>
      </c>
      <c r="M776" t="s">
        <v>297</v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 t="s">
        <v>297</v>
      </c>
      <c r="H777" t="s">
        <v>297</v>
      </c>
      <c r="I777" t="s">
        <v>297</v>
      </c>
      <c r="J777" t="s">
        <v>297</v>
      </c>
      <c r="K777" t="s">
        <v>297</v>
      </c>
      <c r="L777" t="s">
        <v>297</v>
      </c>
      <c r="M777" t="s">
        <v>297</v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 t="s">
        <v>297</v>
      </c>
      <c r="H778" t="s">
        <v>297</v>
      </c>
      <c r="I778" t="s">
        <v>297</v>
      </c>
      <c r="J778" t="s">
        <v>297</v>
      </c>
      <c r="K778" t="s">
        <v>297</v>
      </c>
      <c r="L778" t="s">
        <v>297</v>
      </c>
      <c r="M778" t="s">
        <v>297</v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 t="s">
        <v>297</v>
      </c>
      <c r="H779" t="s">
        <v>297</v>
      </c>
      <c r="I779" t="s">
        <v>297</v>
      </c>
      <c r="J779" t="s">
        <v>297</v>
      </c>
      <c r="K779" t="s">
        <v>297</v>
      </c>
      <c r="L779" t="s">
        <v>297</v>
      </c>
      <c r="M779" t="s">
        <v>297</v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 t="s">
        <v>297</v>
      </c>
      <c r="H780" t="s">
        <v>297</v>
      </c>
      <c r="I780" t="s">
        <v>297</v>
      </c>
      <c r="J780" t="s">
        <v>297</v>
      </c>
      <c r="K780" t="s">
        <v>297</v>
      </c>
      <c r="L780" t="s">
        <v>297</v>
      </c>
      <c r="M780" t="s">
        <v>297</v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 t="s">
        <v>297</v>
      </c>
      <c r="H781" t="s">
        <v>297</v>
      </c>
      <c r="I781" t="s">
        <v>297</v>
      </c>
      <c r="J781" t="s">
        <v>297</v>
      </c>
      <c r="K781" t="s">
        <v>297</v>
      </c>
      <c r="L781" t="s">
        <v>297</v>
      </c>
      <c r="M781" t="s">
        <v>297</v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 t="s">
        <v>297</v>
      </c>
      <c r="H782" t="s">
        <v>297</v>
      </c>
      <c r="I782" t="s">
        <v>297</v>
      </c>
      <c r="J782" t="s">
        <v>297</v>
      </c>
      <c r="K782" t="s">
        <v>297</v>
      </c>
      <c r="L782" t="s">
        <v>297</v>
      </c>
      <c r="M782" t="s">
        <v>297</v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 t="s">
        <v>297</v>
      </c>
      <c r="H783" t="s">
        <v>297</v>
      </c>
      <c r="I783" t="s">
        <v>297</v>
      </c>
      <c r="J783" t="s">
        <v>297</v>
      </c>
      <c r="K783" t="s">
        <v>297</v>
      </c>
      <c r="L783" t="s">
        <v>297</v>
      </c>
      <c r="M783" t="s">
        <v>297</v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 t="s">
        <v>297</v>
      </c>
      <c r="H784" t="s">
        <v>297</v>
      </c>
      <c r="I784" t="s">
        <v>297</v>
      </c>
      <c r="J784" t="s">
        <v>297</v>
      </c>
      <c r="K784" t="s">
        <v>297</v>
      </c>
      <c r="L784" t="s">
        <v>297</v>
      </c>
      <c r="M784" t="s">
        <v>297</v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 t="s">
        <v>297</v>
      </c>
      <c r="H785" t="s">
        <v>297</v>
      </c>
      <c r="I785" t="s">
        <v>297</v>
      </c>
      <c r="J785" t="s">
        <v>297</v>
      </c>
      <c r="K785" t="s">
        <v>297</v>
      </c>
      <c r="L785" t="s">
        <v>297</v>
      </c>
      <c r="M785" t="s">
        <v>297</v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 t="s">
        <v>297</v>
      </c>
      <c r="H786" t="s">
        <v>297</v>
      </c>
      <c r="I786" t="s">
        <v>297</v>
      </c>
      <c r="J786" t="s">
        <v>297</v>
      </c>
      <c r="K786" t="s">
        <v>297</v>
      </c>
      <c r="L786" t="s">
        <v>297</v>
      </c>
      <c r="M786" t="s">
        <v>297</v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 t="s">
        <v>297</v>
      </c>
      <c r="H787" t="s">
        <v>297</v>
      </c>
      <c r="I787" t="s">
        <v>297</v>
      </c>
      <c r="J787" t="s">
        <v>297</v>
      </c>
      <c r="K787" t="s">
        <v>297</v>
      </c>
      <c r="L787" t="s">
        <v>297</v>
      </c>
      <c r="M787" t="s">
        <v>297</v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 t="s">
        <v>297</v>
      </c>
      <c r="H788" t="s">
        <v>297</v>
      </c>
      <c r="I788" t="s">
        <v>297</v>
      </c>
      <c r="J788" t="s">
        <v>297</v>
      </c>
      <c r="K788" t="s">
        <v>297</v>
      </c>
      <c r="L788" t="s">
        <v>297</v>
      </c>
      <c r="M788" t="s">
        <v>297</v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 t="s">
        <v>297</v>
      </c>
      <c r="H789" t="s">
        <v>297</v>
      </c>
      <c r="I789" t="s">
        <v>297</v>
      </c>
      <c r="J789" t="s">
        <v>297</v>
      </c>
      <c r="K789" t="s">
        <v>297</v>
      </c>
      <c r="L789" t="s">
        <v>297</v>
      </c>
      <c r="M789" t="s">
        <v>297</v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 t="s">
        <v>297</v>
      </c>
      <c r="H790" t="s">
        <v>297</v>
      </c>
      <c r="I790" t="s">
        <v>297</v>
      </c>
      <c r="J790" t="s">
        <v>297</v>
      </c>
      <c r="K790" t="s">
        <v>297</v>
      </c>
      <c r="L790" t="s">
        <v>297</v>
      </c>
      <c r="M790" t="s">
        <v>297</v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 t="s">
        <v>297</v>
      </c>
      <c r="H791" t="s">
        <v>297</v>
      </c>
      <c r="I791" t="s">
        <v>297</v>
      </c>
      <c r="J791" t="s">
        <v>297</v>
      </c>
      <c r="K791" t="s">
        <v>297</v>
      </c>
      <c r="L791" t="s">
        <v>297</v>
      </c>
      <c r="M791" t="s">
        <v>297</v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 t="s">
        <v>297</v>
      </c>
      <c r="H792" t="s">
        <v>297</v>
      </c>
      <c r="I792" t="s">
        <v>297</v>
      </c>
      <c r="J792" t="s">
        <v>297</v>
      </c>
      <c r="K792" t="s">
        <v>297</v>
      </c>
      <c r="L792" t="s">
        <v>297</v>
      </c>
      <c r="M792" t="s">
        <v>297</v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 t="s">
        <v>297</v>
      </c>
      <c r="H793" t="s">
        <v>297</v>
      </c>
      <c r="I793" t="s">
        <v>297</v>
      </c>
      <c r="J793" t="s">
        <v>297</v>
      </c>
      <c r="K793" t="s">
        <v>297</v>
      </c>
      <c r="L793" t="s">
        <v>297</v>
      </c>
      <c r="M793" t="s">
        <v>297</v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 t="s">
        <v>297</v>
      </c>
      <c r="H794" t="s">
        <v>297</v>
      </c>
      <c r="I794" t="s">
        <v>297</v>
      </c>
      <c r="J794" t="s">
        <v>297</v>
      </c>
      <c r="K794" t="s">
        <v>297</v>
      </c>
      <c r="L794" t="s">
        <v>297</v>
      </c>
      <c r="M794" t="s">
        <v>297</v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 t="s">
        <v>297</v>
      </c>
      <c r="H795" t="s">
        <v>297</v>
      </c>
      <c r="I795" t="s">
        <v>297</v>
      </c>
      <c r="J795" t="s">
        <v>297</v>
      </c>
      <c r="K795" t="s">
        <v>297</v>
      </c>
      <c r="L795" t="s">
        <v>297</v>
      </c>
      <c r="M795" t="s">
        <v>297</v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 t="s">
        <v>297</v>
      </c>
      <c r="H796" t="s">
        <v>297</v>
      </c>
      <c r="I796" t="s">
        <v>297</v>
      </c>
      <c r="J796" t="s">
        <v>297</v>
      </c>
      <c r="K796" t="s">
        <v>297</v>
      </c>
      <c r="L796" t="s">
        <v>297</v>
      </c>
      <c r="M796" t="s">
        <v>297</v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 t="s">
        <v>297</v>
      </c>
      <c r="H797" t="s">
        <v>297</v>
      </c>
      <c r="I797" t="s">
        <v>297</v>
      </c>
      <c r="J797" t="s">
        <v>297</v>
      </c>
      <c r="K797" t="s">
        <v>297</v>
      </c>
      <c r="L797" t="s">
        <v>297</v>
      </c>
      <c r="M797" t="s">
        <v>297</v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 t="s">
        <v>297</v>
      </c>
      <c r="H798" t="s">
        <v>297</v>
      </c>
      <c r="I798" t="s">
        <v>297</v>
      </c>
      <c r="J798" t="s">
        <v>297</v>
      </c>
      <c r="K798" t="s">
        <v>297</v>
      </c>
      <c r="L798" t="s">
        <v>297</v>
      </c>
      <c r="M798" t="s">
        <v>297</v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 t="s">
        <v>297</v>
      </c>
      <c r="H799" t="s">
        <v>297</v>
      </c>
      <c r="I799" t="s">
        <v>297</v>
      </c>
      <c r="J799" t="s">
        <v>297</v>
      </c>
      <c r="K799" t="s">
        <v>297</v>
      </c>
      <c r="L799" t="s">
        <v>297</v>
      </c>
      <c r="M799" t="s">
        <v>297</v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 t="s">
        <v>297</v>
      </c>
      <c r="H800" t="s">
        <v>297</v>
      </c>
      <c r="I800" t="s">
        <v>297</v>
      </c>
      <c r="J800" t="s">
        <v>297</v>
      </c>
      <c r="K800" t="s">
        <v>297</v>
      </c>
      <c r="L800" t="s">
        <v>297</v>
      </c>
      <c r="M800" t="s">
        <v>297</v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 t="s">
        <v>297</v>
      </c>
      <c r="H801" t="s">
        <v>297</v>
      </c>
      <c r="I801" t="s">
        <v>297</v>
      </c>
      <c r="J801" t="s">
        <v>297</v>
      </c>
      <c r="K801" t="s">
        <v>297</v>
      </c>
      <c r="L801" t="s">
        <v>297</v>
      </c>
      <c r="M801" t="s">
        <v>297</v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 t="s">
        <v>297</v>
      </c>
      <c r="H802" t="s">
        <v>297</v>
      </c>
      <c r="I802" t="s">
        <v>297</v>
      </c>
      <c r="J802" t="s">
        <v>297</v>
      </c>
      <c r="K802" t="s">
        <v>297</v>
      </c>
      <c r="L802" t="s">
        <v>297</v>
      </c>
      <c r="M802" t="s">
        <v>297</v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 t="s">
        <v>297</v>
      </c>
      <c r="H803" t="s">
        <v>297</v>
      </c>
      <c r="I803" t="s">
        <v>297</v>
      </c>
      <c r="J803" t="s">
        <v>297</v>
      </c>
      <c r="K803" t="s">
        <v>297</v>
      </c>
      <c r="L803" t="s">
        <v>297</v>
      </c>
      <c r="M803" t="s">
        <v>297</v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 t="s">
        <v>297</v>
      </c>
      <c r="H804" t="s">
        <v>297</v>
      </c>
      <c r="I804" t="s">
        <v>297</v>
      </c>
      <c r="J804" t="s">
        <v>297</v>
      </c>
      <c r="K804" t="s">
        <v>297</v>
      </c>
      <c r="L804" t="s">
        <v>297</v>
      </c>
      <c r="M804" t="s">
        <v>297</v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 t="s">
        <v>297</v>
      </c>
      <c r="H805" t="s">
        <v>297</v>
      </c>
      <c r="I805" t="s">
        <v>297</v>
      </c>
      <c r="J805" t="s">
        <v>297</v>
      </c>
      <c r="K805" t="s">
        <v>297</v>
      </c>
      <c r="L805" t="s">
        <v>297</v>
      </c>
      <c r="M805" t="s">
        <v>297</v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 t="s">
        <v>297</v>
      </c>
      <c r="H806" t="s">
        <v>297</v>
      </c>
      <c r="I806" t="s">
        <v>297</v>
      </c>
      <c r="J806" t="s">
        <v>297</v>
      </c>
      <c r="K806" t="s">
        <v>297</v>
      </c>
      <c r="L806" t="s">
        <v>297</v>
      </c>
      <c r="M806" t="s">
        <v>297</v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 t="s">
        <v>297</v>
      </c>
      <c r="H807" t="s">
        <v>297</v>
      </c>
      <c r="I807" t="s">
        <v>297</v>
      </c>
      <c r="J807" t="s">
        <v>297</v>
      </c>
      <c r="K807" t="s">
        <v>297</v>
      </c>
      <c r="L807" t="s">
        <v>297</v>
      </c>
      <c r="M807" t="s">
        <v>297</v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 t="s">
        <v>297</v>
      </c>
      <c r="H808" t="s">
        <v>297</v>
      </c>
      <c r="I808" t="s">
        <v>297</v>
      </c>
      <c r="J808" t="s">
        <v>297</v>
      </c>
      <c r="K808" t="s">
        <v>297</v>
      </c>
      <c r="L808" t="s">
        <v>297</v>
      </c>
      <c r="M808" t="s">
        <v>297</v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 t="s">
        <v>297</v>
      </c>
      <c r="H809" t="s">
        <v>297</v>
      </c>
      <c r="I809" t="s">
        <v>297</v>
      </c>
      <c r="J809" t="s">
        <v>297</v>
      </c>
      <c r="K809" t="s">
        <v>297</v>
      </c>
      <c r="L809" t="s">
        <v>297</v>
      </c>
      <c r="M809" t="s">
        <v>297</v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 t="s">
        <v>297</v>
      </c>
      <c r="H810" t="s">
        <v>297</v>
      </c>
      <c r="I810" t="s">
        <v>297</v>
      </c>
      <c r="J810" t="s">
        <v>297</v>
      </c>
      <c r="K810" t="s">
        <v>297</v>
      </c>
      <c r="L810" t="s">
        <v>297</v>
      </c>
      <c r="M810" t="s">
        <v>297</v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 t="s">
        <v>297</v>
      </c>
      <c r="H811" t="s">
        <v>297</v>
      </c>
      <c r="I811" t="s">
        <v>297</v>
      </c>
      <c r="J811" t="s">
        <v>297</v>
      </c>
      <c r="K811" t="s">
        <v>297</v>
      </c>
      <c r="L811" t="s">
        <v>297</v>
      </c>
      <c r="M811" t="s">
        <v>297</v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 t="s">
        <v>297</v>
      </c>
      <c r="H812" t="s">
        <v>297</v>
      </c>
      <c r="I812" t="s">
        <v>297</v>
      </c>
      <c r="J812" t="s">
        <v>297</v>
      </c>
      <c r="K812" t="s">
        <v>297</v>
      </c>
      <c r="L812" t="s">
        <v>297</v>
      </c>
      <c r="M812" t="s">
        <v>297</v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 t="s">
        <v>297</v>
      </c>
      <c r="H813" t="s">
        <v>297</v>
      </c>
      <c r="I813" t="s">
        <v>297</v>
      </c>
      <c r="J813" t="s">
        <v>297</v>
      </c>
      <c r="K813" t="s">
        <v>297</v>
      </c>
      <c r="L813" t="s">
        <v>297</v>
      </c>
      <c r="M813" t="s">
        <v>297</v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 t="s">
        <v>297</v>
      </c>
      <c r="H814" t="s">
        <v>297</v>
      </c>
      <c r="I814" t="s">
        <v>297</v>
      </c>
      <c r="J814" t="s">
        <v>297</v>
      </c>
      <c r="K814" t="s">
        <v>297</v>
      </c>
      <c r="L814" t="s">
        <v>297</v>
      </c>
      <c r="M814" t="s">
        <v>297</v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 t="s">
        <v>297</v>
      </c>
      <c r="H815" t="s">
        <v>297</v>
      </c>
      <c r="I815" t="s">
        <v>297</v>
      </c>
      <c r="J815" t="s">
        <v>297</v>
      </c>
      <c r="K815" t="s">
        <v>297</v>
      </c>
      <c r="L815" t="s">
        <v>297</v>
      </c>
      <c r="M815" t="s">
        <v>297</v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 t="s">
        <v>297</v>
      </c>
      <c r="H816" t="s">
        <v>297</v>
      </c>
      <c r="I816" t="s">
        <v>297</v>
      </c>
      <c r="J816" t="s">
        <v>297</v>
      </c>
      <c r="K816" t="s">
        <v>297</v>
      </c>
      <c r="L816" t="s">
        <v>297</v>
      </c>
      <c r="M816" t="s">
        <v>297</v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 t="s">
        <v>297</v>
      </c>
      <c r="H817" t="s">
        <v>297</v>
      </c>
      <c r="I817" t="s">
        <v>297</v>
      </c>
      <c r="J817" t="s">
        <v>297</v>
      </c>
      <c r="K817" t="s">
        <v>297</v>
      </c>
      <c r="L817" t="s">
        <v>297</v>
      </c>
      <c r="M817" t="s">
        <v>297</v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 t="s">
        <v>297</v>
      </c>
      <c r="H818" t="s">
        <v>297</v>
      </c>
      <c r="I818" t="s">
        <v>297</v>
      </c>
      <c r="J818" t="s">
        <v>297</v>
      </c>
      <c r="K818" t="s">
        <v>297</v>
      </c>
      <c r="L818" t="s">
        <v>297</v>
      </c>
      <c r="M818" t="s">
        <v>297</v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 t="s">
        <v>297</v>
      </c>
      <c r="H819" t="s">
        <v>297</v>
      </c>
      <c r="I819" t="s">
        <v>297</v>
      </c>
      <c r="J819" t="s">
        <v>297</v>
      </c>
      <c r="K819" t="s">
        <v>297</v>
      </c>
      <c r="L819" t="s">
        <v>297</v>
      </c>
      <c r="M819" t="s">
        <v>297</v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 t="s">
        <v>297</v>
      </c>
      <c r="H820" t="s">
        <v>297</v>
      </c>
      <c r="I820" t="s">
        <v>297</v>
      </c>
      <c r="J820" t="s">
        <v>297</v>
      </c>
      <c r="K820" t="s">
        <v>297</v>
      </c>
      <c r="L820" t="s">
        <v>297</v>
      </c>
      <c r="M820" t="s">
        <v>297</v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 t="s">
        <v>297</v>
      </c>
      <c r="H821" t="s">
        <v>297</v>
      </c>
      <c r="I821" t="s">
        <v>297</v>
      </c>
      <c r="J821" t="s">
        <v>297</v>
      </c>
      <c r="K821" t="s">
        <v>297</v>
      </c>
      <c r="L821" t="s">
        <v>297</v>
      </c>
      <c r="M821" t="s">
        <v>297</v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 t="s">
        <v>297</v>
      </c>
      <c r="H822" t="s">
        <v>297</v>
      </c>
      <c r="I822" t="s">
        <v>297</v>
      </c>
      <c r="J822" t="s">
        <v>297</v>
      </c>
      <c r="K822" t="s">
        <v>297</v>
      </c>
      <c r="L822" t="s">
        <v>297</v>
      </c>
      <c r="M822" t="s">
        <v>297</v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 t="s">
        <v>297</v>
      </c>
      <c r="H823" t="s">
        <v>297</v>
      </c>
      <c r="I823" t="s">
        <v>297</v>
      </c>
      <c r="J823" t="s">
        <v>297</v>
      </c>
      <c r="K823" t="s">
        <v>297</v>
      </c>
      <c r="L823" t="s">
        <v>297</v>
      </c>
      <c r="M823" t="s">
        <v>297</v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 t="s">
        <v>297</v>
      </c>
      <c r="H824" t="s">
        <v>297</v>
      </c>
      <c r="I824" t="s">
        <v>297</v>
      </c>
      <c r="J824" t="s">
        <v>297</v>
      </c>
      <c r="K824" t="s">
        <v>297</v>
      </c>
      <c r="L824" t="s">
        <v>297</v>
      </c>
      <c r="M824" t="s">
        <v>297</v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 t="s">
        <v>297</v>
      </c>
      <c r="H825" t="s">
        <v>297</v>
      </c>
      <c r="I825" t="s">
        <v>297</v>
      </c>
      <c r="J825" t="s">
        <v>297</v>
      </c>
      <c r="K825" t="s">
        <v>297</v>
      </c>
      <c r="L825" t="s">
        <v>297</v>
      </c>
      <c r="M825" t="s">
        <v>297</v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 t="s">
        <v>297</v>
      </c>
      <c r="H826" t="s">
        <v>297</v>
      </c>
      <c r="I826" t="s">
        <v>297</v>
      </c>
      <c r="J826" t="s">
        <v>297</v>
      </c>
      <c r="K826" t="s">
        <v>297</v>
      </c>
      <c r="L826" t="s">
        <v>297</v>
      </c>
      <c r="M826" t="s">
        <v>297</v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 t="s">
        <v>297</v>
      </c>
      <c r="H827" t="s">
        <v>297</v>
      </c>
      <c r="I827" t="s">
        <v>297</v>
      </c>
      <c r="J827" t="s">
        <v>297</v>
      </c>
      <c r="K827" t="s">
        <v>297</v>
      </c>
      <c r="L827" t="s">
        <v>297</v>
      </c>
      <c r="M827" t="s">
        <v>297</v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 t="s">
        <v>297</v>
      </c>
      <c r="H828" t="s">
        <v>297</v>
      </c>
      <c r="I828" t="s">
        <v>297</v>
      </c>
      <c r="J828" t="s">
        <v>297</v>
      </c>
      <c r="K828" t="s">
        <v>297</v>
      </c>
      <c r="L828" t="s">
        <v>297</v>
      </c>
      <c r="M828" t="s">
        <v>297</v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 t="s">
        <v>297</v>
      </c>
      <c r="H829" t="s">
        <v>297</v>
      </c>
      <c r="I829" t="s">
        <v>297</v>
      </c>
      <c r="J829" t="s">
        <v>297</v>
      </c>
      <c r="K829" t="s">
        <v>297</v>
      </c>
      <c r="L829" t="s">
        <v>297</v>
      </c>
      <c r="M829" t="s">
        <v>297</v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 t="s">
        <v>297</v>
      </c>
      <c r="H830" t="s">
        <v>297</v>
      </c>
      <c r="I830" t="s">
        <v>297</v>
      </c>
      <c r="J830" t="s">
        <v>297</v>
      </c>
      <c r="K830" t="s">
        <v>297</v>
      </c>
      <c r="L830" t="s">
        <v>297</v>
      </c>
      <c r="M830" t="s">
        <v>297</v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 t="s">
        <v>297</v>
      </c>
      <c r="H831" t="s">
        <v>297</v>
      </c>
      <c r="I831" t="s">
        <v>297</v>
      </c>
      <c r="J831" t="s">
        <v>297</v>
      </c>
      <c r="K831" t="s">
        <v>297</v>
      </c>
      <c r="L831" t="s">
        <v>297</v>
      </c>
      <c r="M831" t="s">
        <v>297</v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 t="s">
        <v>297</v>
      </c>
      <c r="H832" t="s">
        <v>297</v>
      </c>
      <c r="I832" t="s">
        <v>297</v>
      </c>
      <c r="J832" t="s">
        <v>297</v>
      </c>
      <c r="K832" t="s">
        <v>297</v>
      </c>
      <c r="L832" t="s">
        <v>297</v>
      </c>
      <c r="M832" t="s">
        <v>297</v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 t="s">
        <v>297</v>
      </c>
      <c r="H833" t="s">
        <v>297</v>
      </c>
      <c r="I833" t="s">
        <v>297</v>
      </c>
      <c r="J833" t="s">
        <v>297</v>
      </c>
      <c r="K833" t="s">
        <v>297</v>
      </c>
      <c r="L833" t="s">
        <v>297</v>
      </c>
      <c r="M833" t="s">
        <v>297</v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 t="s">
        <v>297</v>
      </c>
      <c r="H834" t="s">
        <v>297</v>
      </c>
      <c r="I834" t="s">
        <v>297</v>
      </c>
      <c r="J834" t="s">
        <v>297</v>
      </c>
      <c r="K834" t="s">
        <v>297</v>
      </c>
      <c r="L834" t="s">
        <v>297</v>
      </c>
      <c r="M834" t="s">
        <v>297</v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 t="s">
        <v>297</v>
      </c>
      <c r="H835" t="s">
        <v>297</v>
      </c>
      <c r="I835" t="s">
        <v>297</v>
      </c>
      <c r="J835" t="s">
        <v>297</v>
      </c>
      <c r="K835" t="s">
        <v>297</v>
      </c>
      <c r="L835" t="s">
        <v>297</v>
      </c>
      <c r="M835" t="s">
        <v>297</v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 t="s">
        <v>297</v>
      </c>
      <c r="H836" t="s">
        <v>297</v>
      </c>
      <c r="I836" t="s">
        <v>297</v>
      </c>
      <c r="J836" t="s">
        <v>297</v>
      </c>
      <c r="K836" t="s">
        <v>297</v>
      </c>
      <c r="L836" t="s">
        <v>297</v>
      </c>
      <c r="M836" t="s">
        <v>297</v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 t="s">
        <v>297</v>
      </c>
      <c r="H837" t="s">
        <v>297</v>
      </c>
      <c r="I837" t="s">
        <v>297</v>
      </c>
      <c r="J837" t="s">
        <v>297</v>
      </c>
      <c r="K837" t="s">
        <v>297</v>
      </c>
      <c r="L837" t="s">
        <v>297</v>
      </c>
      <c r="M837" t="s">
        <v>297</v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 t="s">
        <v>297</v>
      </c>
      <c r="H838" t="s">
        <v>297</v>
      </c>
      <c r="I838" t="s">
        <v>297</v>
      </c>
      <c r="J838" t="s">
        <v>297</v>
      </c>
      <c r="K838" t="s">
        <v>297</v>
      </c>
      <c r="L838" t="s">
        <v>297</v>
      </c>
      <c r="M838" t="s">
        <v>297</v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 t="s">
        <v>297</v>
      </c>
      <c r="H839" t="s">
        <v>297</v>
      </c>
      <c r="I839" t="s">
        <v>297</v>
      </c>
      <c r="J839" t="s">
        <v>297</v>
      </c>
      <c r="K839" t="s">
        <v>297</v>
      </c>
      <c r="L839" t="s">
        <v>297</v>
      </c>
      <c r="M839" t="s">
        <v>297</v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 t="s">
        <v>297</v>
      </c>
      <c r="H840" t="s">
        <v>297</v>
      </c>
      <c r="I840" t="s">
        <v>297</v>
      </c>
      <c r="J840" t="s">
        <v>297</v>
      </c>
      <c r="K840" t="s">
        <v>297</v>
      </c>
      <c r="L840" t="s">
        <v>297</v>
      </c>
      <c r="M840" t="s">
        <v>297</v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 t="s">
        <v>297</v>
      </c>
      <c r="H841" t="s">
        <v>297</v>
      </c>
      <c r="I841" t="s">
        <v>297</v>
      </c>
      <c r="J841" t="s">
        <v>297</v>
      </c>
      <c r="K841" t="s">
        <v>297</v>
      </c>
      <c r="L841" t="s">
        <v>297</v>
      </c>
      <c r="M841" t="s">
        <v>297</v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 t="s">
        <v>297</v>
      </c>
      <c r="H842" t="s">
        <v>297</v>
      </c>
      <c r="I842" t="s">
        <v>297</v>
      </c>
      <c r="J842" t="s">
        <v>297</v>
      </c>
      <c r="K842" t="s">
        <v>297</v>
      </c>
      <c r="L842" t="s">
        <v>297</v>
      </c>
      <c r="M842" t="s">
        <v>297</v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 t="s">
        <v>297</v>
      </c>
      <c r="H843" t="s">
        <v>297</v>
      </c>
      <c r="I843" t="s">
        <v>297</v>
      </c>
      <c r="J843" t="s">
        <v>297</v>
      </c>
      <c r="K843" t="s">
        <v>297</v>
      </c>
      <c r="L843" t="s">
        <v>297</v>
      </c>
      <c r="M843" t="s">
        <v>297</v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 t="s">
        <v>297</v>
      </c>
      <c r="H844" t="s">
        <v>297</v>
      </c>
      <c r="I844" t="s">
        <v>297</v>
      </c>
      <c r="J844" t="s">
        <v>297</v>
      </c>
      <c r="K844" t="s">
        <v>297</v>
      </c>
      <c r="L844" t="s">
        <v>297</v>
      </c>
      <c r="M844" t="s">
        <v>297</v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 t="s">
        <v>297</v>
      </c>
      <c r="H845" t="s">
        <v>297</v>
      </c>
      <c r="I845" t="s">
        <v>297</v>
      </c>
      <c r="J845" t="s">
        <v>297</v>
      </c>
      <c r="K845" t="s">
        <v>297</v>
      </c>
      <c r="L845" t="s">
        <v>297</v>
      </c>
      <c r="M845" t="s">
        <v>297</v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 t="s">
        <v>297</v>
      </c>
      <c r="H846" t="s">
        <v>297</v>
      </c>
      <c r="I846" t="s">
        <v>297</v>
      </c>
      <c r="J846" t="s">
        <v>297</v>
      </c>
      <c r="K846" t="s">
        <v>297</v>
      </c>
      <c r="L846" t="s">
        <v>297</v>
      </c>
      <c r="M846" t="s">
        <v>297</v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 t="s">
        <v>297</v>
      </c>
      <c r="H847" t="s">
        <v>297</v>
      </c>
      <c r="I847" t="s">
        <v>297</v>
      </c>
      <c r="J847" t="s">
        <v>297</v>
      </c>
      <c r="K847" t="s">
        <v>297</v>
      </c>
      <c r="L847" t="s">
        <v>297</v>
      </c>
      <c r="M847" t="s">
        <v>297</v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 t="s">
        <v>297</v>
      </c>
      <c r="H848" t="s">
        <v>297</v>
      </c>
      <c r="I848" t="s">
        <v>297</v>
      </c>
      <c r="J848" t="s">
        <v>297</v>
      </c>
      <c r="K848" t="s">
        <v>297</v>
      </c>
      <c r="L848" t="s">
        <v>297</v>
      </c>
      <c r="M848" t="s">
        <v>297</v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 t="s">
        <v>297</v>
      </c>
      <c r="H849" t="s">
        <v>297</v>
      </c>
      <c r="I849" t="s">
        <v>297</v>
      </c>
      <c r="J849" t="s">
        <v>297</v>
      </c>
      <c r="K849" t="s">
        <v>297</v>
      </c>
      <c r="L849" t="s">
        <v>297</v>
      </c>
      <c r="M849" t="s">
        <v>297</v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 t="s">
        <v>297</v>
      </c>
      <c r="H850" t="s">
        <v>297</v>
      </c>
      <c r="I850" t="s">
        <v>297</v>
      </c>
      <c r="J850" t="s">
        <v>297</v>
      </c>
      <c r="K850" t="s">
        <v>297</v>
      </c>
      <c r="L850" t="s">
        <v>297</v>
      </c>
      <c r="M850" t="s">
        <v>297</v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 t="s">
        <v>297</v>
      </c>
      <c r="H851" t="s">
        <v>297</v>
      </c>
      <c r="I851" t="s">
        <v>297</v>
      </c>
      <c r="J851" t="s">
        <v>297</v>
      </c>
      <c r="K851" t="s">
        <v>297</v>
      </c>
      <c r="L851" t="s">
        <v>297</v>
      </c>
      <c r="M851" t="s">
        <v>297</v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 t="s">
        <v>297</v>
      </c>
      <c r="H852" t="s">
        <v>297</v>
      </c>
      <c r="I852" t="s">
        <v>297</v>
      </c>
      <c r="J852" t="s">
        <v>297</v>
      </c>
      <c r="K852" t="s">
        <v>297</v>
      </c>
      <c r="L852" t="s">
        <v>297</v>
      </c>
      <c r="M852" t="s">
        <v>297</v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 t="s">
        <v>297</v>
      </c>
      <c r="H853" t="s">
        <v>297</v>
      </c>
      <c r="I853" t="s">
        <v>297</v>
      </c>
      <c r="J853" t="s">
        <v>297</v>
      </c>
      <c r="K853" t="s">
        <v>297</v>
      </c>
      <c r="L853" t="s">
        <v>297</v>
      </c>
      <c r="M853" t="s">
        <v>297</v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 t="s">
        <v>297</v>
      </c>
      <c r="H854" t="s">
        <v>297</v>
      </c>
      <c r="I854" t="s">
        <v>297</v>
      </c>
      <c r="J854" t="s">
        <v>297</v>
      </c>
      <c r="K854" t="s">
        <v>297</v>
      </c>
      <c r="L854" t="s">
        <v>297</v>
      </c>
      <c r="M854" t="s">
        <v>297</v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 t="s">
        <v>297</v>
      </c>
      <c r="H855" t="s">
        <v>297</v>
      </c>
      <c r="I855" t="s">
        <v>297</v>
      </c>
      <c r="J855" t="s">
        <v>297</v>
      </c>
      <c r="K855" t="s">
        <v>297</v>
      </c>
      <c r="L855" t="s">
        <v>297</v>
      </c>
      <c r="M855" t="s">
        <v>297</v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 t="s">
        <v>297</v>
      </c>
      <c r="H856" t="s">
        <v>297</v>
      </c>
      <c r="I856" t="s">
        <v>297</v>
      </c>
      <c r="J856" t="s">
        <v>297</v>
      </c>
      <c r="K856" t="s">
        <v>297</v>
      </c>
      <c r="L856" t="s">
        <v>297</v>
      </c>
      <c r="M856" t="s">
        <v>297</v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 t="s">
        <v>297</v>
      </c>
      <c r="H857" t="s">
        <v>297</v>
      </c>
      <c r="I857" t="s">
        <v>297</v>
      </c>
      <c r="J857" t="s">
        <v>297</v>
      </c>
      <c r="K857" t="s">
        <v>297</v>
      </c>
      <c r="L857" t="s">
        <v>297</v>
      </c>
      <c r="M857" t="s">
        <v>297</v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 t="s">
        <v>297</v>
      </c>
      <c r="H858" t="s">
        <v>297</v>
      </c>
      <c r="I858" t="s">
        <v>297</v>
      </c>
      <c r="J858" t="s">
        <v>297</v>
      </c>
      <c r="K858" t="s">
        <v>297</v>
      </c>
      <c r="L858" t="s">
        <v>297</v>
      </c>
      <c r="M858" t="s">
        <v>297</v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 t="s">
        <v>297</v>
      </c>
      <c r="H859" t="s">
        <v>297</v>
      </c>
      <c r="I859" t="s">
        <v>297</v>
      </c>
      <c r="J859" t="s">
        <v>297</v>
      </c>
      <c r="K859" t="s">
        <v>297</v>
      </c>
      <c r="L859" t="s">
        <v>297</v>
      </c>
      <c r="M859" t="s">
        <v>297</v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 t="s">
        <v>297</v>
      </c>
      <c r="H860" t="s">
        <v>297</v>
      </c>
      <c r="I860" t="s">
        <v>297</v>
      </c>
      <c r="J860" t="s">
        <v>297</v>
      </c>
      <c r="K860" t="s">
        <v>297</v>
      </c>
      <c r="L860" t="s">
        <v>297</v>
      </c>
      <c r="M860" t="s">
        <v>297</v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 t="s">
        <v>297</v>
      </c>
      <c r="H861" t="s">
        <v>297</v>
      </c>
      <c r="I861" t="s">
        <v>297</v>
      </c>
      <c r="J861" t="s">
        <v>297</v>
      </c>
      <c r="K861" t="s">
        <v>297</v>
      </c>
      <c r="L861" t="s">
        <v>297</v>
      </c>
      <c r="M861" t="s">
        <v>297</v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 t="s">
        <v>297</v>
      </c>
      <c r="H862" t="s">
        <v>297</v>
      </c>
      <c r="I862" t="s">
        <v>297</v>
      </c>
      <c r="J862" t="s">
        <v>297</v>
      </c>
      <c r="K862" t="s">
        <v>297</v>
      </c>
      <c r="L862" t="s">
        <v>297</v>
      </c>
      <c r="M862" t="s">
        <v>297</v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 t="s">
        <v>297</v>
      </c>
      <c r="H863" t="s">
        <v>297</v>
      </c>
      <c r="I863" t="s">
        <v>297</v>
      </c>
      <c r="J863" t="s">
        <v>297</v>
      </c>
      <c r="K863" t="s">
        <v>297</v>
      </c>
      <c r="L863" t="s">
        <v>297</v>
      </c>
      <c r="M863" t="s">
        <v>297</v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 t="s">
        <v>297</v>
      </c>
      <c r="H864" t="s">
        <v>297</v>
      </c>
      <c r="I864" t="s">
        <v>297</v>
      </c>
      <c r="J864" t="s">
        <v>297</v>
      </c>
      <c r="K864" t="s">
        <v>297</v>
      </c>
      <c r="L864" t="s">
        <v>297</v>
      </c>
      <c r="M864" t="s">
        <v>297</v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 t="s">
        <v>297</v>
      </c>
      <c r="H865" t="s">
        <v>297</v>
      </c>
      <c r="I865" t="s">
        <v>297</v>
      </c>
      <c r="J865" t="s">
        <v>297</v>
      </c>
      <c r="K865" t="s">
        <v>297</v>
      </c>
      <c r="L865" t="s">
        <v>297</v>
      </c>
      <c r="M865" t="s">
        <v>297</v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 t="s">
        <v>297</v>
      </c>
      <c r="H866" t="s">
        <v>297</v>
      </c>
      <c r="I866" t="s">
        <v>297</v>
      </c>
      <c r="J866" t="s">
        <v>297</v>
      </c>
      <c r="K866" t="s">
        <v>297</v>
      </c>
      <c r="L866" t="s">
        <v>297</v>
      </c>
      <c r="M866" t="s">
        <v>297</v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 t="s">
        <v>297</v>
      </c>
      <c r="H867" t="s">
        <v>297</v>
      </c>
      <c r="I867" t="s">
        <v>297</v>
      </c>
      <c r="J867" t="s">
        <v>297</v>
      </c>
      <c r="K867" t="s">
        <v>297</v>
      </c>
      <c r="L867" t="s">
        <v>297</v>
      </c>
      <c r="M867" t="s">
        <v>297</v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 t="s">
        <v>297</v>
      </c>
      <c r="H868" t="s">
        <v>297</v>
      </c>
      <c r="I868" t="s">
        <v>297</v>
      </c>
      <c r="J868" t="s">
        <v>297</v>
      </c>
      <c r="K868" t="s">
        <v>297</v>
      </c>
      <c r="L868" t="s">
        <v>297</v>
      </c>
      <c r="M868" t="s">
        <v>297</v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 t="s">
        <v>297</v>
      </c>
      <c r="H869" t="s">
        <v>297</v>
      </c>
      <c r="I869" t="s">
        <v>297</v>
      </c>
      <c r="J869" t="s">
        <v>297</v>
      </c>
      <c r="K869" t="s">
        <v>297</v>
      </c>
      <c r="L869" t="s">
        <v>297</v>
      </c>
      <c r="M869" t="s">
        <v>297</v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 t="s">
        <v>297</v>
      </c>
      <c r="H870" t="s">
        <v>297</v>
      </c>
      <c r="I870" t="s">
        <v>297</v>
      </c>
      <c r="J870" t="s">
        <v>297</v>
      </c>
      <c r="K870" t="s">
        <v>297</v>
      </c>
      <c r="L870" t="s">
        <v>297</v>
      </c>
      <c r="M870" t="s">
        <v>297</v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 t="s">
        <v>297</v>
      </c>
      <c r="H871" t="s">
        <v>297</v>
      </c>
      <c r="I871" t="s">
        <v>297</v>
      </c>
      <c r="J871" t="s">
        <v>297</v>
      </c>
      <c r="K871" t="s">
        <v>297</v>
      </c>
      <c r="L871" t="s">
        <v>297</v>
      </c>
      <c r="M871" t="s">
        <v>297</v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 t="s">
        <v>297</v>
      </c>
      <c r="H872" t="s">
        <v>297</v>
      </c>
      <c r="I872" t="s">
        <v>297</v>
      </c>
      <c r="J872" t="s">
        <v>297</v>
      </c>
      <c r="K872" t="s">
        <v>297</v>
      </c>
      <c r="L872" t="s">
        <v>297</v>
      </c>
      <c r="M872" t="s">
        <v>297</v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 t="s">
        <v>297</v>
      </c>
      <c r="H873" t="s">
        <v>297</v>
      </c>
      <c r="I873" t="s">
        <v>297</v>
      </c>
      <c r="J873" t="s">
        <v>297</v>
      </c>
      <c r="K873" t="s">
        <v>297</v>
      </c>
      <c r="L873" t="s">
        <v>297</v>
      </c>
      <c r="M873" t="s">
        <v>297</v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 t="s">
        <v>297</v>
      </c>
      <c r="H874" t="s">
        <v>297</v>
      </c>
      <c r="I874" t="s">
        <v>297</v>
      </c>
      <c r="J874" t="s">
        <v>297</v>
      </c>
      <c r="K874" t="s">
        <v>297</v>
      </c>
      <c r="L874" t="s">
        <v>297</v>
      </c>
      <c r="M874" t="s">
        <v>297</v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 t="s">
        <v>297</v>
      </c>
      <c r="H875" t="s">
        <v>297</v>
      </c>
      <c r="I875" t="s">
        <v>297</v>
      </c>
      <c r="J875" t="s">
        <v>297</v>
      </c>
      <c r="K875" t="s">
        <v>297</v>
      </c>
      <c r="L875" t="s">
        <v>297</v>
      </c>
      <c r="M875" t="s">
        <v>297</v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 t="s">
        <v>297</v>
      </c>
      <c r="H876" t="s">
        <v>297</v>
      </c>
      <c r="I876" t="s">
        <v>297</v>
      </c>
      <c r="J876" t="s">
        <v>297</v>
      </c>
      <c r="K876" t="s">
        <v>297</v>
      </c>
      <c r="L876" t="s">
        <v>297</v>
      </c>
      <c r="M876" t="s">
        <v>297</v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 t="s">
        <v>297</v>
      </c>
      <c r="H877" t="s">
        <v>297</v>
      </c>
      <c r="I877" t="s">
        <v>297</v>
      </c>
      <c r="J877" t="s">
        <v>297</v>
      </c>
      <c r="K877" t="s">
        <v>297</v>
      </c>
      <c r="L877" t="s">
        <v>297</v>
      </c>
      <c r="M877" t="s">
        <v>297</v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 t="s">
        <v>297</v>
      </c>
      <c r="H878" t="s">
        <v>297</v>
      </c>
      <c r="I878" t="s">
        <v>297</v>
      </c>
      <c r="J878" t="s">
        <v>297</v>
      </c>
      <c r="K878" t="s">
        <v>297</v>
      </c>
      <c r="L878" t="s">
        <v>297</v>
      </c>
      <c r="M878" t="s">
        <v>297</v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 t="s">
        <v>297</v>
      </c>
      <c r="H879" t="s">
        <v>297</v>
      </c>
      <c r="I879" t="s">
        <v>297</v>
      </c>
      <c r="J879" t="s">
        <v>297</v>
      </c>
      <c r="K879" t="s">
        <v>297</v>
      </c>
      <c r="L879" t="s">
        <v>297</v>
      </c>
      <c r="M879" t="s">
        <v>297</v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 t="s">
        <v>297</v>
      </c>
      <c r="H880" t="s">
        <v>297</v>
      </c>
      <c r="I880" t="s">
        <v>297</v>
      </c>
      <c r="J880" t="s">
        <v>297</v>
      </c>
      <c r="K880" t="s">
        <v>297</v>
      </c>
      <c r="L880" t="s">
        <v>297</v>
      </c>
      <c r="M880" t="s">
        <v>297</v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 t="s">
        <v>297</v>
      </c>
      <c r="H881" t="s">
        <v>297</v>
      </c>
      <c r="I881" t="s">
        <v>297</v>
      </c>
      <c r="J881" t="s">
        <v>297</v>
      </c>
      <c r="K881" t="s">
        <v>297</v>
      </c>
      <c r="L881" t="s">
        <v>297</v>
      </c>
      <c r="M881" t="s">
        <v>297</v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 t="s">
        <v>297</v>
      </c>
      <c r="H882" t="s">
        <v>297</v>
      </c>
      <c r="I882" t="s">
        <v>297</v>
      </c>
      <c r="J882" t="s">
        <v>297</v>
      </c>
      <c r="K882" t="s">
        <v>297</v>
      </c>
      <c r="L882" t="s">
        <v>297</v>
      </c>
      <c r="M882" t="s">
        <v>297</v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 t="s">
        <v>297</v>
      </c>
      <c r="H883" t="s">
        <v>297</v>
      </c>
      <c r="I883" t="s">
        <v>297</v>
      </c>
      <c r="J883" t="s">
        <v>297</v>
      </c>
      <c r="K883" t="s">
        <v>297</v>
      </c>
      <c r="L883" t="s">
        <v>297</v>
      </c>
      <c r="M883" t="s">
        <v>297</v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 t="s">
        <v>297</v>
      </c>
      <c r="H884" t="s">
        <v>297</v>
      </c>
      <c r="I884" t="s">
        <v>297</v>
      </c>
      <c r="J884" t="s">
        <v>297</v>
      </c>
      <c r="K884" t="s">
        <v>297</v>
      </c>
      <c r="L884" t="s">
        <v>297</v>
      </c>
      <c r="M884" t="s">
        <v>297</v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 t="s">
        <v>297</v>
      </c>
      <c r="H885" t="s">
        <v>297</v>
      </c>
      <c r="I885" t="s">
        <v>297</v>
      </c>
      <c r="J885" t="s">
        <v>297</v>
      </c>
      <c r="K885" t="s">
        <v>297</v>
      </c>
      <c r="L885" t="s">
        <v>297</v>
      </c>
      <c r="M885" t="s">
        <v>297</v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 t="s">
        <v>297</v>
      </c>
      <c r="H886" t="s">
        <v>297</v>
      </c>
      <c r="I886" t="s">
        <v>297</v>
      </c>
      <c r="J886" t="s">
        <v>297</v>
      </c>
      <c r="K886" t="s">
        <v>297</v>
      </c>
      <c r="L886" t="s">
        <v>297</v>
      </c>
      <c r="M886" t="s">
        <v>297</v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 t="s">
        <v>297</v>
      </c>
      <c r="H887" t="s">
        <v>297</v>
      </c>
      <c r="I887" t="s">
        <v>297</v>
      </c>
      <c r="J887" t="s">
        <v>297</v>
      </c>
      <c r="K887" t="s">
        <v>297</v>
      </c>
      <c r="L887" t="s">
        <v>297</v>
      </c>
      <c r="M887" t="s">
        <v>297</v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 t="s">
        <v>297</v>
      </c>
      <c r="H888" t="s">
        <v>297</v>
      </c>
      <c r="I888" t="s">
        <v>297</v>
      </c>
      <c r="J888" t="s">
        <v>297</v>
      </c>
      <c r="K888" t="s">
        <v>297</v>
      </c>
      <c r="L888" t="s">
        <v>297</v>
      </c>
      <c r="M888" t="s">
        <v>297</v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 t="s">
        <v>297</v>
      </c>
      <c r="H889" t="s">
        <v>297</v>
      </c>
      <c r="I889" t="s">
        <v>297</v>
      </c>
      <c r="J889" t="s">
        <v>297</v>
      </c>
      <c r="K889" t="s">
        <v>297</v>
      </c>
      <c r="L889" t="s">
        <v>297</v>
      </c>
      <c r="M889" t="s">
        <v>297</v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 t="s">
        <v>297</v>
      </c>
      <c r="H890" t="s">
        <v>297</v>
      </c>
      <c r="I890" t="s">
        <v>297</v>
      </c>
      <c r="J890" t="s">
        <v>297</v>
      </c>
      <c r="K890" t="s">
        <v>297</v>
      </c>
      <c r="L890" t="s">
        <v>297</v>
      </c>
      <c r="M890" t="s">
        <v>297</v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 t="s">
        <v>297</v>
      </c>
      <c r="H891" t="s">
        <v>297</v>
      </c>
      <c r="I891" t="s">
        <v>297</v>
      </c>
      <c r="J891" t="s">
        <v>297</v>
      </c>
      <c r="K891" t="s">
        <v>297</v>
      </c>
      <c r="L891" t="s">
        <v>297</v>
      </c>
      <c r="M891" t="s">
        <v>297</v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 t="s">
        <v>297</v>
      </c>
      <c r="H892" t="s">
        <v>297</v>
      </c>
      <c r="I892" t="s">
        <v>297</v>
      </c>
      <c r="J892" t="s">
        <v>297</v>
      </c>
      <c r="K892" t="s">
        <v>297</v>
      </c>
      <c r="L892" t="s">
        <v>297</v>
      </c>
      <c r="M892" t="s">
        <v>297</v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 t="s">
        <v>297</v>
      </c>
      <c r="H893" t="s">
        <v>297</v>
      </c>
      <c r="I893" t="s">
        <v>297</v>
      </c>
      <c r="J893" t="s">
        <v>297</v>
      </c>
      <c r="K893" t="s">
        <v>297</v>
      </c>
      <c r="L893" t="s">
        <v>297</v>
      </c>
      <c r="M893" t="s">
        <v>297</v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 t="s">
        <v>297</v>
      </c>
      <c r="H894" t="s">
        <v>297</v>
      </c>
      <c r="I894" t="s">
        <v>297</v>
      </c>
      <c r="J894" t="s">
        <v>297</v>
      </c>
      <c r="K894" t="s">
        <v>297</v>
      </c>
      <c r="L894" t="s">
        <v>297</v>
      </c>
      <c r="M894" t="s">
        <v>297</v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 t="s">
        <v>297</v>
      </c>
      <c r="H895" t="s">
        <v>297</v>
      </c>
      <c r="I895" t="s">
        <v>297</v>
      </c>
      <c r="J895" t="s">
        <v>297</v>
      </c>
      <c r="K895" t="s">
        <v>297</v>
      </c>
      <c r="L895" t="s">
        <v>297</v>
      </c>
      <c r="M895" t="s">
        <v>297</v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 t="s">
        <v>297</v>
      </c>
      <c r="H896" t="s">
        <v>297</v>
      </c>
      <c r="I896" t="s">
        <v>297</v>
      </c>
      <c r="J896" t="s">
        <v>297</v>
      </c>
      <c r="K896" t="s">
        <v>297</v>
      </c>
      <c r="L896" t="s">
        <v>297</v>
      </c>
      <c r="M896" t="s">
        <v>297</v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 t="s">
        <v>297</v>
      </c>
      <c r="H897" t="s">
        <v>297</v>
      </c>
      <c r="I897" t="s">
        <v>297</v>
      </c>
      <c r="J897" t="s">
        <v>297</v>
      </c>
      <c r="K897" t="s">
        <v>297</v>
      </c>
      <c r="L897" t="s">
        <v>297</v>
      </c>
      <c r="M897" t="s">
        <v>297</v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 t="s">
        <v>297</v>
      </c>
      <c r="H898" t="s">
        <v>297</v>
      </c>
      <c r="I898" t="s">
        <v>297</v>
      </c>
      <c r="J898" t="s">
        <v>297</v>
      </c>
      <c r="K898" t="s">
        <v>297</v>
      </c>
      <c r="L898" t="s">
        <v>297</v>
      </c>
      <c r="M898" t="s">
        <v>297</v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 t="s">
        <v>297</v>
      </c>
      <c r="H899" t="s">
        <v>297</v>
      </c>
      <c r="I899" t="s">
        <v>297</v>
      </c>
      <c r="J899" t="s">
        <v>297</v>
      </c>
      <c r="K899" t="s">
        <v>297</v>
      </c>
      <c r="L899" t="s">
        <v>297</v>
      </c>
      <c r="M899" t="s">
        <v>297</v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 t="s">
        <v>297</v>
      </c>
      <c r="H900" t="s">
        <v>297</v>
      </c>
      <c r="I900" t="s">
        <v>297</v>
      </c>
      <c r="J900" t="s">
        <v>297</v>
      </c>
      <c r="K900" t="s">
        <v>297</v>
      </c>
      <c r="L900" t="s">
        <v>297</v>
      </c>
      <c r="M900" t="s">
        <v>297</v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 t="s">
        <v>297</v>
      </c>
      <c r="H901" t="s">
        <v>297</v>
      </c>
      <c r="I901" t="s">
        <v>297</v>
      </c>
      <c r="J901" t="s">
        <v>297</v>
      </c>
      <c r="K901" t="s">
        <v>297</v>
      </c>
      <c r="L901" t="s">
        <v>297</v>
      </c>
      <c r="M901" t="s">
        <v>297</v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 t="s">
        <v>297</v>
      </c>
      <c r="H902" t="s">
        <v>297</v>
      </c>
      <c r="I902" t="s">
        <v>297</v>
      </c>
      <c r="J902" t="s">
        <v>297</v>
      </c>
      <c r="K902" t="s">
        <v>297</v>
      </c>
      <c r="L902" t="s">
        <v>297</v>
      </c>
      <c r="M902" t="s">
        <v>297</v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 t="s">
        <v>297</v>
      </c>
      <c r="H903" t="s">
        <v>297</v>
      </c>
      <c r="I903" t="s">
        <v>297</v>
      </c>
      <c r="J903" t="s">
        <v>297</v>
      </c>
      <c r="K903" t="s">
        <v>297</v>
      </c>
      <c r="L903" t="s">
        <v>297</v>
      </c>
      <c r="M903" t="s">
        <v>297</v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 t="s">
        <v>297</v>
      </c>
      <c r="H904" t="s">
        <v>297</v>
      </c>
      <c r="I904" t="s">
        <v>297</v>
      </c>
      <c r="J904" t="s">
        <v>297</v>
      </c>
      <c r="K904" t="s">
        <v>297</v>
      </c>
      <c r="L904" t="s">
        <v>297</v>
      </c>
      <c r="M904" t="s">
        <v>297</v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 t="s">
        <v>297</v>
      </c>
      <c r="H905" t="s">
        <v>297</v>
      </c>
      <c r="I905" t="s">
        <v>297</v>
      </c>
      <c r="J905" t="s">
        <v>297</v>
      </c>
      <c r="K905" t="s">
        <v>297</v>
      </c>
      <c r="L905" t="s">
        <v>297</v>
      </c>
      <c r="M905" t="s">
        <v>297</v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 t="s">
        <v>297</v>
      </c>
      <c r="H906" t="s">
        <v>297</v>
      </c>
      <c r="I906" t="s">
        <v>297</v>
      </c>
      <c r="J906" t="s">
        <v>297</v>
      </c>
      <c r="K906" t="s">
        <v>297</v>
      </c>
      <c r="L906" t="s">
        <v>297</v>
      </c>
      <c r="M906" t="s">
        <v>297</v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 t="s">
        <v>297</v>
      </c>
      <c r="H907" t="s">
        <v>297</v>
      </c>
      <c r="I907" t="s">
        <v>297</v>
      </c>
      <c r="J907" t="s">
        <v>297</v>
      </c>
      <c r="K907" t="s">
        <v>297</v>
      </c>
      <c r="L907" t="s">
        <v>297</v>
      </c>
      <c r="M907" t="s">
        <v>297</v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 t="s">
        <v>297</v>
      </c>
      <c r="H908" t="s">
        <v>297</v>
      </c>
      <c r="I908" t="s">
        <v>297</v>
      </c>
      <c r="J908" t="s">
        <v>297</v>
      </c>
      <c r="K908" t="s">
        <v>297</v>
      </c>
      <c r="L908" t="s">
        <v>297</v>
      </c>
      <c r="M908" t="s">
        <v>297</v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 t="s">
        <v>297</v>
      </c>
      <c r="H909" t="s">
        <v>297</v>
      </c>
      <c r="I909" t="s">
        <v>297</v>
      </c>
      <c r="J909" t="s">
        <v>297</v>
      </c>
      <c r="K909" t="s">
        <v>297</v>
      </c>
      <c r="L909" t="s">
        <v>297</v>
      </c>
      <c r="M909" t="s">
        <v>297</v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 t="s">
        <v>297</v>
      </c>
      <c r="H910" t="s">
        <v>297</v>
      </c>
      <c r="I910" t="s">
        <v>297</v>
      </c>
      <c r="J910" t="s">
        <v>297</v>
      </c>
      <c r="K910" t="s">
        <v>297</v>
      </c>
      <c r="L910" t="s">
        <v>297</v>
      </c>
      <c r="M910" t="s">
        <v>297</v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 t="s">
        <v>297</v>
      </c>
      <c r="H911" t="s">
        <v>297</v>
      </c>
      <c r="I911" t="s">
        <v>297</v>
      </c>
      <c r="J911" t="s">
        <v>297</v>
      </c>
      <c r="K911" t="s">
        <v>297</v>
      </c>
      <c r="L911" t="s">
        <v>297</v>
      </c>
      <c r="M911" t="s">
        <v>297</v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 t="s">
        <v>297</v>
      </c>
      <c r="H912" t="s">
        <v>297</v>
      </c>
      <c r="I912" t="s">
        <v>297</v>
      </c>
      <c r="J912" t="s">
        <v>297</v>
      </c>
      <c r="K912" t="s">
        <v>297</v>
      </c>
      <c r="L912" t="s">
        <v>297</v>
      </c>
      <c r="M912" t="s">
        <v>297</v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 t="s">
        <v>297</v>
      </c>
      <c r="H913" t="s">
        <v>297</v>
      </c>
      <c r="I913" t="s">
        <v>297</v>
      </c>
      <c r="J913" t="s">
        <v>297</v>
      </c>
      <c r="K913" t="s">
        <v>297</v>
      </c>
      <c r="L913" t="s">
        <v>297</v>
      </c>
      <c r="M913" t="s">
        <v>297</v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 t="s">
        <v>297</v>
      </c>
      <c r="H914" t="s">
        <v>297</v>
      </c>
      <c r="I914" t="s">
        <v>297</v>
      </c>
      <c r="J914" t="s">
        <v>297</v>
      </c>
      <c r="K914" t="s">
        <v>297</v>
      </c>
      <c r="L914" t="s">
        <v>297</v>
      </c>
      <c r="M914" t="s">
        <v>297</v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 t="s">
        <v>297</v>
      </c>
      <c r="H915" t="s">
        <v>297</v>
      </c>
      <c r="I915" t="s">
        <v>297</v>
      </c>
      <c r="J915" t="s">
        <v>297</v>
      </c>
      <c r="K915" t="s">
        <v>297</v>
      </c>
      <c r="L915" t="s">
        <v>297</v>
      </c>
      <c r="M915" t="s">
        <v>297</v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 t="s">
        <v>297</v>
      </c>
      <c r="H916" t="s">
        <v>297</v>
      </c>
      <c r="I916" t="s">
        <v>297</v>
      </c>
      <c r="J916" t="s">
        <v>297</v>
      </c>
      <c r="K916" t="s">
        <v>297</v>
      </c>
      <c r="L916" t="s">
        <v>297</v>
      </c>
      <c r="M916" t="s">
        <v>297</v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 t="s">
        <v>297</v>
      </c>
      <c r="H917" t="s">
        <v>297</v>
      </c>
      <c r="I917" t="s">
        <v>297</v>
      </c>
      <c r="J917" t="s">
        <v>297</v>
      </c>
      <c r="K917" t="s">
        <v>297</v>
      </c>
      <c r="L917" t="s">
        <v>297</v>
      </c>
      <c r="M917" t="s">
        <v>297</v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 t="s">
        <v>297</v>
      </c>
      <c r="H918" t="s">
        <v>297</v>
      </c>
      <c r="I918" t="s">
        <v>297</v>
      </c>
      <c r="J918" t="s">
        <v>297</v>
      </c>
      <c r="K918" t="s">
        <v>297</v>
      </c>
      <c r="L918" t="s">
        <v>297</v>
      </c>
      <c r="M918" t="s">
        <v>297</v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 t="s">
        <v>297</v>
      </c>
      <c r="H919" t="s">
        <v>297</v>
      </c>
      <c r="I919" t="s">
        <v>297</v>
      </c>
      <c r="J919" t="s">
        <v>297</v>
      </c>
      <c r="K919" t="s">
        <v>297</v>
      </c>
      <c r="L919" t="s">
        <v>297</v>
      </c>
      <c r="M919" t="s">
        <v>297</v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 t="s">
        <v>297</v>
      </c>
      <c r="H920" t="s">
        <v>297</v>
      </c>
      <c r="I920" t="s">
        <v>297</v>
      </c>
      <c r="J920" t="s">
        <v>297</v>
      </c>
      <c r="K920" t="s">
        <v>297</v>
      </c>
      <c r="L920" t="s">
        <v>297</v>
      </c>
      <c r="M920" t="s">
        <v>297</v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 t="s">
        <v>297</v>
      </c>
      <c r="H921" t="s">
        <v>297</v>
      </c>
      <c r="I921" t="s">
        <v>297</v>
      </c>
      <c r="J921" t="s">
        <v>297</v>
      </c>
      <c r="K921" t="s">
        <v>297</v>
      </c>
      <c r="L921" t="s">
        <v>297</v>
      </c>
      <c r="M921" t="s">
        <v>297</v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 t="s">
        <v>297</v>
      </c>
      <c r="H922" t="s">
        <v>297</v>
      </c>
      <c r="I922" t="s">
        <v>297</v>
      </c>
      <c r="J922" t="s">
        <v>297</v>
      </c>
      <c r="K922" t="s">
        <v>297</v>
      </c>
      <c r="L922" t="s">
        <v>297</v>
      </c>
      <c r="M922" t="s">
        <v>297</v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 t="s">
        <v>297</v>
      </c>
      <c r="H923" t="s">
        <v>297</v>
      </c>
      <c r="I923" t="s">
        <v>297</v>
      </c>
      <c r="J923" t="s">
        <v>297</v>
      </c>
      <c r="K923" t="s">
        <v>297</v>
      </c>
      <c r="L923" t="s">
        <v>297</v>
      </c>
      <c r="M923" t="s">
        <v>297</v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 t="s">
        <v>297</v>
      </c>
      <c r="H924" t="s">
        <v>297</v>
      </c>
      <c r="I924" t="s">
        <v>297</v>
      </c>
      <c r="J924" t="s">
        <v>297</v>
      </c>
      <c r="K924" t="s">
        <v>297</v>
      </c>
      <c r="L924" t="s">
        <v>297</v>
      </c>
      <c r="M924" t="s">
        <v>297</v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 t="s">
        <v>297</v>
      </c>
      <c r="H925" t="s">
        <v>297</v>
      </c>
      <c r="I925" t="s">
        <v>297</v>
      </c>
      <c r="J925" t="s">
        <v>297</v>
      </c>
      <c r="K925" t="s">
        <v>297</v>
      </c>
      <c r="L925" t="s">
        <v>297</v>
      </c>
      <c r="M925" t="s">
        <v>297</v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 t="s">
        <v>297</v>
      </c>
      <c r="H926" t="s">
        <v>297</v>
      </c>
      <c r="I926" t="s">
        <v>297</v>
      </c>
      <c r="J926" t="s">
        <v>297</v>
      </c>
      <c r="K926" t="s">
        <v>297</v>
      </c>
      <c r="L926" t="s">
        <v>297</v>
      </c>
      <c r="M926" t="s">
        <v>297</v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 t="s">
        <v>297</v>
      </c>
      <c r="H927" t="s">
        <v>297</v>
      </c>
      <c r="I927" t="s">
        <v>297</v>
      </c>
      <c r="J927" t="s">
        <v>297</v>
      </c>
      <c r="K927" t="s">
        <v>297</v>
      </c>
      <c r="L927" t="s">
        <v>297</v>
      </c>
      <c r="M927" t="s">
        <v>297</v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 t="s">
        <v>297</v>
      </c>
      <c r="H928" t="s">
        <v>297</v>
      </c>
      <c r="I928" t="s">
        <v>297</v>
      </c>
      <c r="J928" t="s">
        <v>297</v>
      </c>
      <c r="K928" t="s">
        <v>297</v>
      </c>
      <c r="L928" t="s">
        <v>297</v>
      </c>
      <c r="M928" t="s">
        <v>297</v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 t="s">
        <v>297</v>
      </c>
      <c r="H929" t="s">
        <v>297</v>
      </c>
      <c r="I929" t="s">
        <v>297</v>
      </c>
      <c r="J929" t="s">
        <v>297</v>
      </c>
      <c r="K929" t="s">
        <v>297</v>
      </c>
      <c r="L929" t="s">
        <v>297</v>
      </c>
      <c r="M929" t="s">
        <v>297</v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 t="s">
        <v>297</v>
      </c>
      <c r="H930" t="s">
        <v>297</v>
      </c>
      <c r="I930" t="s">
        <v>297</v>
      </c>
      <c r="J930" t="s">
        <v>297</v>
      </c>
      <c r="K930" t="s">
        <v>297</v>
      </c>
      <c r="L930" t="s">
        <v>297</v>
      </c>
      <c r="M930" t="s">
        <v>297</v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 t="s">
        <v>297</v>
      </c>
      <c r="H931" t="s">
        <v>297</v>
      </c>
      <c r="I931" t="s">
        <v>297</v>
      </c>
      <c r="J931" t="s">
        <v>297</v>
      </c>
      <c r="K931" t="s">
        <v>297</v>
      </c>
      <c r="L931" t="s">
        <v>297</v>
      </c>
      <c r="M931" t="s">
        <v>297</v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 t="s">
        <v>297</v>
      </c>
      <c r="H932" t="s">
        <v>297</v>
      </c>
      <c r="I932" t="s">
        <v>297</v>
      </c>
      <c r="J932" t="s">
        <v>297</v>
      </c>
      <c r="K932" t="s">
        <v>297</v>
      </c>
      <c r="L932" t="s">
        <v>297</v>
      </c>
      <c r="M932" t="s">
        <v>297</v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 t="s">
        <v>297</v>
      </c>
      <c r="H933" t="s">
        <v>297</v>
      </c>
      <c r="I933" t="s">
        <v>297</v>
      </c>
      <c r="J933" t="s">
        <v>297</v>
      </c>
      <c r="K933" t="s">
        <v>297</v>
      </c>
      <c r="L933" t="s">
        <v>297</v>
      </c>
      <c r="M933" t="s">
        <v>297</v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 t="s">
        <v>297</v>
      </c>
      <c r="H934" t="s">
        <v>297</v>
      </c>
      <c r="I934" t="s">
        <v>297</v>
      </c>
      <c r="J934" t="s">
        <v>297</v>
      </c>
      <c r="K934" t="s">
        <v>297</v>
      </c>
      <c r="L934" t="s">
        <v>297</v>
      </c>
      <c r="M934" t="s">
        <v>297</v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 t="s">
        <v>297</v>
      </c>
      <c r="H935" t="s">
        <v>297</v>
      </c>
      <c r="I935" t="s">
        <v>297</v>
      </c>
      <c r="J935" t="s">
        <v>297</v>
      </c>
      <c r="K935" t="s">
        <v>297</v>
      </c>
      <c r="L935" t="s">
        <v>297</v>
      </c>
      <c r="M935" t="s">
        <v>297</v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 t="s">
        <v>297</v>
      </c>
      <c r="H936" t="s">
        <v>297</v>
      </c>
      <c r="I936" t="s">
        <v>297</v>
      </c>
      <c r="J936" t="s">
        <v>297</v>
      </c>
      <c r="K936" t="s">
        <v>297</v>
      </c>
      <c r="L936" t="s">
        <v>297</v>
      </c>
      <c r="M936" t="s">
        <v>297</v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 t="s">
        <v>297</v>
      </c>
      <c r="H937" t="s">
        <v>297</v>
      </c>
      <c r="I937" t="s">
        <v>297</v>
      </c>
      <c r="J937" t="s">
        <v>297</v>
      </c>
      <c r="K937" t="s">
        <v>297</v>
      </c>
      <c r="L937" t="s">
        <v>297</v>
      </c>
      <c r="M937" t="s">
        <v>297</v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 t="s">
        <v>297</v>
      </c>
      <c r="H938" t="s">
        <v>297</v>
      </c>
      <c r="I938" t="s">
        <v>297</v>
      </c>
      <c r="J938" t="s">
        <v>297</v>
      </c>
      <c r="K938" t="s">
        <v>297</v>
      </c>
      <c r="L938" t="s">
        <v>297</v>
      </c>
      <c r="M938" t="s">
        <v>297</v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 t="s">
        <v>297</v>
      </c>
      <c r="H939" t="s">
        <v>297</v>
      </c>
      <c r="I939" t="s">
        <v>297</v>
      </c>
      <c r="J939" t="s">
        <v>297</v>
      </c>
      <c r="K939" t="s">
        <v>297</v>
      </c>
      <c r="L939" t="s">
        <v>297</v>
      </c>
      <c r="M939" t="s">
        <v>297</v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 t="s">
        <v>297</v>
      </c>
      <c r="H940" t="s">
        <v>297</v>
      </c>
      <c r="I940" t="s">
        <v>297</v>
      </c>
      <c r="J940" t="s">
        <v>297</v>
      </c>
      <c r="K940" t="s">
        <v>297</v>
      </c>
      <c r="L940" t="s">
        <v>297</v>
      </c>
      <c r="M940" t="s">
        <v>297</v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 t="s">
        <v>297</v>
      </c>
      <c r="H941" t="s">
        <v>297</v>
      </c>
      <c r="I941" t="s">
        <v>297</v>
      </c>
      <c r="J941" t="s">
        <v>297</v>
      </c>
      <c r="K941" t="s">
        <v>297</v>
      </c>
      <c r="L941" t="s">
        <v>297</v>
      </c>
      <c r="M941" t="s">
        <v>297</v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 t="s">
        <v>297</v>
      </c>
      <c r="H942" t="s">
        <v>297</v>
      </c>
      <c r="I942" t="s">
        <v>297</v>
      </c>
      <c r="J942" t="s">
        <v>297</v>
      </c>
      <c r="K942" t="s">
        <v>297</v>
      </c>
      <c r="L942" t="s">
        <v>297</v>
      </c>
      <c r="M942" t="s">
        <v>297</v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 t="s">
        <v>297</v>
      </c>
      <c r="H943" t="s">
        <v>297</v>
      </c>
      <c r="I943" t="s">
        <v>297</v>
      </c>
      <c r="J943" t="s">
        <v>297</v>
      </c>
      <c r="K943" t="s">
        <v>297</v>
      </c>
      <c r="L943" t="s">
        <v>297</v>
      </c>
      <c r="M943" t="s">
        <v>297</v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 t="s">
        <v>297</v>
      </c>
      <c r="H944" t="s">
        <v>297</v>
      </c>
      <c r="I944" t="s">
        <v>297</v>
      </c>
      <c r="J944" t="s">
        <v>297</v>
      </c>
      <c r="K944" t="s">
        <v>297</v>
      </c>
      <c r="L944" t="s">
        <v>297</v>
      </c>
      <c r="M944" t="s">
        <v>297</v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 t="s">
        <v>297</v>
      </c>
      <c r="H945" t="s">
        <v>297</v>
      </c>
      <c r="I945" t="s">
        <v>297</v>
      </c>
      <c r="J945" t="s">
        <v>297</v>
      </c>
      <c r="K945" t="s">
        <v>297</v>
      </c>
      <c r="L945" t="s">
        <v>297</v>
      </c>
      <c r="M945" t="s">
        <v>297</v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 t="s">
        <v>297</v>
      </c>
      <c r="H946" t="s">
        <v>297</v>
      </c>
      <c r="I946" t="s">
        <v>297</v>
      </c>
      <c r="J946" t="s">
        <v>297</v>
      </c>
      <c r="K946" t="s">
        <v>297</v>
      </c>
      <c r="L946" t="s">
        <v>297</v>
      </c>
      <c r="M946" t="s">
        <v>297</v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 t="s">
        <v>297</v>
      </c>
      <c r="H947" t="s">
        <v>297</v>
      </c>
      <c r="I947" t="s">
        <v>297</v>
      </c>
      <c r="J947" t="s">
        <v>297</v>
      </c>
      <c r="K947" t="s">
        <v>297</v>
      </c>
      <c r="L947" t="s">
        <v>297</v>
      </c>
      <c r="M947" t="s">
        <v>297</v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 t="s">
        <v>297</v>
      </c>
      <c r="H948" t="s">
        <v>297</v>
      </c>
      <c r="I948" t="s">
        <v>297</v>
      </c>
      <c r="J948" t="s">
        <v>297</v>
      </c>
      <c r="K948" t="s">
        <v>297</v>
      </c>
      <c r="L948" t="s">
        <v>297</v>
      </c>
      <c r="M948" t="s">
        <v>297</v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 t="s">
        <v>297</v>
      </c>
      <c r="H949" t="s">
        <v>297</v>
      </c>
      <c r="I949" t="s">
        <v>297</v>
      </c>
      <c r="J949" t="s">
        <v>297</v>
      </c>
      <c r="K949" t="s">
        <v>297</v>
      </c>
      <c r="L949" t="s">
        <v>297</v>
      </c>
      <c r="M949" t="s">
        <v>297</v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 t="s">
        <v>297</v>
      </c>
      <c r="H950" t="s">
        <v>297</v>
      </c>
      <c r="I950" t="s">
        <v>297</v>
      </c>
      <c r="J950" t="s">
        <v>297</v>
      </c>
      <c r="K950" t="s">
        <v>297</v>
      </c>
      <c r="L950" t="s">
        <v>297</v>
      </c>
      <c r="M950" t="s">
        <v>297</v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 t="s">
        <v>297</v>
      </c>
      <c r="H951" t="s">
        <v>297</v>
      </c>
      <c r="I951" t="s">
        <v>297</v>
      </c>
      <c r="J951" t="s">
        <v>297</v>
      </c>
      <c r="K951" t="s">
        <v>297</v>
      </c>
      <c r="L951" t="s">
        <v>297</v>
      </c>
      <c r="M951" t="s">
        <v>297</v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 t="s">
        <v>297</v>
      </c>
      <c r="H952" t="s">
        <v>297</v>
      </c>
      <c r="I952" t="s">
        <v>297</v>
      </c>
      <c r="J952" t="s">
        <v>297</v>
      </c>
      <c r="K952" t="s">
        <v>297</v>
      </c>
      <c r="L952" t="s">
        <v>297</v>
      </c>
      <c r="M952" t="s">
        <v>297</v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 t="s">
        <v>297</v>
      </c>
      <c r="H953" t="s">
        <v>297</v>
      </c>
      <c r="I953" t="s">
        <v>297</v>
      </c>
      <c r="J953" t="s">
        <v>297</v>
      </c>
      <c r="K953" t="s">
        <v>297</v>
      </c>
      <c r="L953" t="s">
        <v>297</v>
      </c>
      <c r="M953" t="s">
        <v>297</v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 t="s">
        <v>297</v>
      </c>
      <c r="H954" t="s">
        <v>297</v>
      </c>
      <c r="I954" t="s">
        <v>297</v>
      </c>
      <c r="J954" t="s">
        <v>297</v>
      </c>
      <c r="K954" t="s">
        <v>297</v>
      </c>
      <c r="L954" t="s">
        <v>297</v>
      </c>
      <c r="M954" t="s">
        <v>297</v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 t="s">
        <v>297</v>
      </c>
      <c r="H955" t="s">
        <v>297</v>
      </c>
      <c r="I955" t="s">
        <v>297</v>
      </c>
      <c r="J955" t="s">
        <v>297</v>
      </c>
      <c r="K955" t="s">
        <v>297</v>
      </c>
      <c r="L955" t="s">
        <v>297</v>
      </c>
      <c r="M955" t="s">
        <v>297</v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 t="s">
        <v>297</v>
      </c>
      <c r="H956" t="s">
        <v>297</v>
      </c>
      <c r="I956" t="s">
        <v>297</v>
      </c>
      <c r="J956" t="s">
        <v>297</v>
      </c>
      <c r="K956" t="s">
        <v>297</v>
      </c>
      <c r="L956" t="s">
        <v>297</v>
      </c>
      <c r="M956" t="s">
        <v>297</v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 t="s">
        <v>297</v>
      </c>
      <c r="H957" t="s">
        <v>297</v>
      </c>
      <c r="I957" t="s">
        <v>297</v>
      </c>
      <c r="J957" t="s">
        <v>297</v>
      </c>
      <c r="K957" t="s">
        <v>297</v>
      </c>
      <c r="L957" t="s">
        <v>297</v>
      </c>
      <c r="M957" t="s">
        <v>297</v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 t="s">
        <v>297</v>
      </c>
      <c r="H958" t="s">
        <v>297</v>
      </c>
      <c r="I958" t="s">
        <v>297</v>
      </c>
      <c r="J958" t="s">
        <v>297</v>
      </c>
      <c r="K958" t="s">
        <v>297</v>
      </c>
      <c r="L958" t="s">
        <v>297</v>
      </c>
      <c r="M958" t="s">
        <v>297</v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 t="s">
        <v>297</v>
      </c>
      <c r="H959" t="s">
        <v>297</v>
      </c>
      <c r="I959" t="s">
        <v>297</v>
      </c>
      <c r="J959" t="s">
        <v>297</v>
      </c>
      <c r="K959" t="s">
        <v>297</v>
      </c>
      <c r="L959" t="s">
        <v>297</v>
      </c>
      <c r="M959" t="s">
        <v>297</v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 t="s">
        <v>297</v>
      </c>
      <c r="H960" t="s">
        <v>297</v>
      </c>
      <c r="I960" t="s">
        <v>297</v>
      </c>
      <c r="J960" t="s">
        <v>297</v>
      </c>
      <c r="K960" t="s">
        <v>297</v>
      </c>
      <c r="L960" t="s">
        <v>297</v>
      </c>
      <c r="M960" t="s">
        <v>297</v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 t="s">
        <v>297</v>
      </c>
      <c r="H961" t="s">
        <v>297</v>
      </c>
      <c r="I961" t="s">
        <v>297</v>
      </c>
      <c r="J961" t="s">
        <v>297</v>
      </c>
      <c r="K961" t="s">
        <v>297</v>
      </c>
      <c r="L961" t="s">
        <v>297</v>
      </c>
      <c r="M961" t="s">
        <v>297</v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 t="s">
        <v>297</v>
      </c>
      <c r="H962" t="s">
        <v>297</v>
      </c>
      <c r="I962" t="s">
        <v>297</v>
      </c>
      <c r="J962" t="s">
        <v>297</v>
      </c>
      <c r="K962" t="s">
        <v>297</v>
      </c>
      <c r="L962" t="s">
        <v>297</v>
      </c>
      <c r="M962" t="s">
        <v>297</v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 t="s">
        <v>297</v>
      </c>
      <c r="H963" t="s">
        <v>297</v>
      </c>
      <c r="I963" t="s">
        <v>297</v>
      </c>
      <c r="J963" t="s">
        <v>297</v>
      </c>
      <c r="K963" t="s">
        <v>297</v>
      </c>
      <c r="L963" t="s">
        <v>297</v>
      </c>
      <c r="M963" t="s">
        <v>297</v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 t="s">
        <v>297</v>
      </c>
      <c r="H964" t="s">
        <v>297</v>
      </c>
      <c r="I964" t="s">
        <v>297</v>
      </c>
      <c r="J964" t="s">
        <v>297</v>
      </c>
      <c r="K964" t="s">
        <v>297</v>
      </c>
      <c r="L964" t="s">
        <v>297</v>
      </c>
      <c r="M964" t="s">
        <v>297</v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 t="s">
        <v>297</v>
      </c>
      <c r="H965" t="s">
        <v>297</v>
      </c>
      <c r="I965" t="s">
        <v>297</v>
      </c>
      <c r="J965" t="s">
        <v>297</v>
      </c>
      <c r="K965" t="s">
        <v>297</v>
      </c>
      <c r="L965" t="s">
        <v>297</v>
      </c>
      <c r="M965" t="s">
        <v>297</v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 t="s">
        <v>297</v>
      </c>
      <c r="H966" t="s">
        <v>297</v>
      </c>
      <c r="I966" t="s">
        <v>297</v>
      </c>
      <c r="J966" t="s">
        <v>297</v>
      </c>
      <c r="K966" t="s">
        <v>297</v>
      </c>
      <c r="L966" t="s">
        <v>297</v>
      </c>
      <c r="M966" t="s">
        <v>297</v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 t="s">
        <v>297</v>
      </c>
      <c r="H967" t="s">
        <v>297</v>
      </c>
      <c r="I967" t="s">
        <v>297</v>
      </c>
      <c r="J967" t="s">
        <v>297</v>
      </c>
      <c r="K967" t="s">
        <v>297</v>
      </c>
      <c r="L967" t="s">
        <v>297</v>
      </c>
      <c r="M967" t="s">
        <v>297</v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 t="s">
        <v>297</v>
      </c>
      <c r="H968" t="s">
        <v>297</v>
      </c>
      <c r="I968" t="s">
        <v>297</v>
      </c>
      <c r="J968" t="s">
        <v>297</v>
      </c>
      <c r="K968" t="s">
        <v>297</v>
      </c>
      <c r="L968" t="s">
        <v>297</v>
      </c>
      <c r="M968" t="s">
        <v>297</v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 t="s">
        <v>297</v>
      </c>
      <c r="H969" t="s">
        <v>297</v>
      </c>
      <c r="I969" t="s">
        <v>297</v>
      </c>
      <c r="J969" t="s">
        <v>297</v>
      </c>
      <c r="K969" t="s">
        <v>297</v>
      </c>
      <c r="L969" t="s">
        <v>297</v>
      </c>
      <c r="M969" t="s">
        <v>297</v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 t="s">
        <v>297</v>
      </c>
      <c r="H970" t="s">
        <v>297</v>
      </c>
      <c r="I970" t="s">
        <v>297</v>
      </c>
      <c r="J970" t="s">
        <v>297</v>
      </c>
      <c r="K970" t="s">
        <v>297</v>
      </c>
      <c r="L970" t="s">
        <v>297</v>
      </c>
      <c r="M970" t="s">
        <v>297</v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 t="s">
        <v>297</v>
      </c>
      <c r="H971" t="s">
        <v>297</v>
      </c>
      <c r="I971" t="s">
        <v>297</v>
      </c>
      <c r="J971" t="s">
        <v>297</v>
      </c>
      <c r="K971" t="s">
        <v>297</v>
      </c>
      <c r="L971" t="s">
        <v>297</v>
      </c>
      <c r="M971" t="s">
        <v>297</v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 t="s">
        <v>297</v>
      </c>
      <c r="H972" t="s">
        <v>297</v>
      </c>
      <c r="I972" t="s">
        <v>297</v>
      </c>
      <c r="J972" t="s">
        <v>297</v>
      </c>
      <c r="K972" t="s">
        <v>297</v>
      </c>
      <c r="L972" t="s">
        <v>297</v>
      </c>
      <c r="M972" t="s">
        <v>297</v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 t="s">
        <v>297</v>
      </c>
      <c r="H973" t="s">
        <v>297</v>
      </c>
      <c r="I973" t="s">
        <v>297</v>
      </c>
      <c r="J973" t="s">
        <v>297</v>
      </c>
      <c r="K973" t="s">
        <v>297</v>
      </c>
      <c r="L973" t="s">
        <v>297</v>
      </c>
      <c r="M973" t="s">
        <v>297</v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 t="s">
        <v>297</v>
      </c>
      <c r="H974" t="s">
        <v>297</v>
      </c>
      <c r="I974" t="s">
        <v>297</v>
      </c>
      <c r="J974" t="s">
        <v>297</v>
      </c>
      <c r="K974" t="s">
        <v>297</v>
      </c>
      <c r="L974" t="s">
        <v>297</v>
      </c>
      <c r="M974" t="s">
        <v>297</v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 t="s">
        <v>297</v>
      </c>
      <c r="H975" t="s">
        <v>297</v>
      </c>
      <c r="I975" t="s">
        <v>297</v>
      </c>
      <c r="J975" t="s">
        <v>297</v>
      </c>
      <c r="K975" t="s">
        <v>297</v>
      </c>
      <c r="L975" t="s">
        <v>297</v>
      </c>
      <c r="M975" t="s">
        <v>297</v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 t="s">
        <v>297</v>
      </c>
      <c r="H976" t="s">
        <v>297</v>
      </c>
      <c r="I976" t="s">
        <v>297</v>
      </c>
      <c r="J976" t="s">
        <v>297</v>
      </c>
      <c r="K976" t="s">
        <v>297</v>
      </c>
      <c r="L976" t="s">
        <v>297</v>
      </c>
      <c r="M976" t="s">
        <v>297</v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 t="s">
        <v>297</v>
      </c>
      <c r="H977" t="s">
        <v>297</v>
      </c>
      <c r="I977" t="s">
        <v>297</v>
      </c>
      <c r="J977" t="s">
        <v>297</v>
      </c>
      <c r="K977" t="s">
        <v>297</v>
      </c>
      <c r="L977" t="s">
        <v>297</v>
      </c>
      <c r="M977" t="s">
        <v>297</v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 t="s">
        <v>297</v>
      </c>
      <c r="H978" t="s">
        <v>297</v>
      </c>
      <c r="I978" t="s">
        <v>297</v>
      </c>
      <c r="J978" t="s">
        <v>297</v>
      </c>
      <c r="K978" t="s">
        <v>297</v>
      </c>
      <c r="L978" t="s">
        <v>297</v>
      </c>
      <c r="M978" t="s">
        <v>297</v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 t="s">
        <v>297</v>
      </c>
      <c r="H979" t="s">
        <v>297</v>
      </c>
      <c r="I979" t="s">
        <v>297</v>
      </c>
      <c r="J979" t="s">
        <v>297</v>
      </c>
      <c r="K979" t="s">
        <v>297</v>
      </c>
      <c r="L979" t="s">
        <v>297</v>
      </c>
      <c r="M979" t="s">
        <v>297</v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 t="s">
        <v>297</v>
      </c>
      <c r="H980" t="s">
        <v>297</v>
      </c>
      <c r="I980" t="s">
        <v>297</v>
      </c>
      <c r="J980" t="s">
        <v>297</v>
      </c>
      <c r="K980" t="s">
        <v>297</v>
      </c>
      <c r="L980" t="s">
        <v>297</v>
      </c>
      <c r="M980" t="s">
        <v>297</v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 t="s">
        <v>297</v>
      </c>
      <c r="H981" t="s">
        <v>297</v>
      </c>
      <c r="I981" t="s">
        <v>297</v>
      </c>
      <c r="J981" t="s">
        <v>297</v>
      </c>
      <c r="K981" t="s">
        <v>297</v>
      </c>
      <c r="L981" t="s">
        <v>297</v>
      </c>
      <c r="M981" t="s">
        <v>297</v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 t="s">
        <v>297</v>
      </c>
      <c r="H982" t="s">
        <v>297</v>
      </c>
      <c r="I982" t="s">
        <v>297</v>
      </c>
      <c r="J982" t="s">
        <v>297</v>
      </c>
      <c r="K982" t="s">
        <v>297</v>
      </c>
      <c r="L982" t="s">
        <v>297</v>
      </c>
      <c r="M982" t="s">
        <v>297</v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 t="s">
        <v>297</v>
      </c>
      <c r="H983" t="s">
        <v>297</v>
      </c>
      <c r="I983" t="s">
        <v>297</v>
      </c>
      <c r="J983" t="s">
        <v>297</v>
      </c>
      <c r="K983" t="s">
        <v>297</v>
      </c>
      <c r="L983" t="s">
        <v>297</v>
      </c>
      <c r="M983" t="s">
        <v>297</v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 t="s">
        <v>297</v>
      </c>
      <c r="H984" t="s">
        <v>297</v>
      </c>
      <c r="I984" t="s">
        <v>297</v>
      </c>
      <c r="J984" t="s">
        <v>297</v>
      </c>
      <c r="K984" t="s">
        <v>297</v>
      </c>
      <c r="L984" t="s">
        <v>297</v>
      </c>
      <c r="M984" t="s">
        <v>297</v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 t="s">
        <v>297</v>
      </c>
      <c r="H985" t="s">
        <v>297</v>
      </c>
      <c r="I985" t="s">
        <v>297</v>
      </c>
      <c r="J985" t="s">
        <v>297</v>
      </c>
      <c r="K985" t="s">
        <v>297</v>
      </c>
      <c r="L985" t="s">
        <v>297</v>
      </c>
      <c r="M985" t="s">
        <v>297</v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 t="s">
        <v>297</v>
      </c>
      <c r="H986" t="s">
        <v>297</v>
      </c>
      <c r="I986" t="s">
        <v>297</v>
      </c>
      <c r="J986" t="s">
        <v>297</v>
      </c>
      <c r="K986" t="s">
        <v>297</v>
      </c>
      <c r="L986" t="s">
        <v>297</v>
      </c>
      <c r="M986" t="s">
        <v>297</v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 t="s">
        <v>297</v>
      </c>
      <c r="H987" t="s">
        <v>297</v>
      </c>
      <c r="I987" t="s">
        <v>297</v>
      </c>
      <c r="J987" t="s">
        <v>297</v>
      </c>
      <c r="K987" t="s">
        <v>297</v>
      </c>
      <c r="L987" t="s">
        <v>297</v>
      </c>
      <c r="M987" t="s">
        <v>297</v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 t="s">
        <v>297</v>
      </c>
      <c r="H988" t="s">
        <v>297</v>
      </c>
      <c r="I988" t="s">
        <v>297</v>
      </c>
      <c r="J988" t="s">
        <v>297</v>
      </c>
      <c r="K988" t="s">
        <v>297</v>
      </c>
      <c r="L988" t="s">
        <v>297</v>
      </c>
      <c r="M988" t="s">
        <v>297</v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 t="s">
        <v>297</v>
      </c>
      <c r="H989" t="s">
        <v>297</v>
      </c>
      <c r="I989" t="s">
        <v>297</v>
      </c>
      <c r="J989" t="s">
        <v>297</v>
      </c>
      <c r="K989" t="s">
        <v>297</v>
      </c>
      <c r="L989" t="s">
        <v>297</v>
      </c>
      <c r="M989" t="s">
        <v>297</v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 t="s">
        <v>297</v>
      </c>
      <c r="H990" t="s">
        <v>297</v>
      </c>
      <c r="I990" t="s">
        <v>297</v>
      </c>
      <c r="J990" t="s">
        <v>297</v>
      </c>
      <c r="K990" t="s">
        <v>297</v>
      </c>
      <c r="L990" t="s">
        <v>297</v>
      </c>
      <c r="M990" t="s">
        <v>297</v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 t="s">
        <v>297</v>
      </c>
      <c r="H991" t="s">
        <v>297</v>
      </c>
      <c r="I991" t="s">
        <v>297</v>
      </c>
      <c r="J991" t="s">
        <v>297</v>
      </c>
      <c r="K991" t="s">
        <v>297</v>
      </c>
      <c r="L991" t="s">
        <v>297</v>
      </c>
      <c r="M991" t="s">
        <v>297</v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 t="s">
        <v>297</v>
      </c>
      <c r="H992" t="s">
        <v>297</v>
      </c>
      <c r="I992" t="s">
        <v>297</v>
      </c>
      <c r="J992" t="s">
        <v>297</v>
      </c>
      <c r="K992" t="s">
        <v>297</v>
      </c>
      <c r="L992" t="s">
        <v>297</v>
      </c>
      <c r="M992" t="s">
        <v>297</v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 t="s">
        <v>297</v>
      </c>
      <c r="H993" t="s">
        <v>297</v>
      </c>
      <c r="I993" t="s">
        <v>297</v>
      </c>
      <c r="J993" t="s">
        <v>297</v>
      </c>
      <c r="K993" t="s">
        <v>297</v>
      </c>
      <c r="L993" t="s">
        <v>297</v>
      </c>
      <c r="M993" t="s">
        <v>297</v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 t="s">
        <v>297</v>
      </c>
      <c r="H994" t="s">
        <v>297</v>
      </c>
      <c r="I994" t="s">
        <v>297</v>
      </c>
      <c r="J994" t="s">
        <v>297</v>
      </c>
      <c r="K994" t="s">
        <v>297</v>
      </c>
      <c r="L994" t="s">
        <v>297</v>
      </c>
      <c r="M994" t="s">
        <v>297</v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 t="s">
        <v>297</v>
      </c>
      <c r="H995" t="s">
        <v>297</v>
      </c>
      <c r="I995" t="s">
        <v>297</v>
      </c>
      <c r="J995" t="s">
        <v>297</v>
      </c>
      <c r="K995" t="s">
        <v>297</v>
      </c>
      <c r="L995" t="s">
        <v>297</v>
      </c>
      <c r="M995" t="s">
        <v>297</v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 t="s">
        <v>297</v>
      </c>
      <c r="H996" t="s">
        <v>297</v>
      </c>
      <c r="I996" t="s">
        <v>297</v>
      </c>
      <c r="J996" t="s">
        <v>297</v>
      </c>
      <c r="K996" t="s">
        <v>297</v>
      </c>
      <c r="L996" t="s">
        <v>297</v>
      </c>
      <c r="M996" t="s">
        <v>297</v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 t="s">
        <v>297</v>
      </c>
      <c r="H997" t="s">
        <v>297</v>
      </c>
      <c r="I997" t="s">
        <v>297</v>
      </c>
      <c r="J997" t="s">
        <v>297</v>
      </c>
      <c r="K997" t="s">
        <v>297</v>
      </c>
      <c r="L997" t="s">
        <v>297</v>
      </c>
      <c r="M997" t="s">
        <v>297</v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 t="s">
        <v>297</v>
      </c>
      <c r="H998" t="s">
        <v>297</v>
      </c>
      <c r="I998" t="s">
        <v>297</v>
      </c>
      <c r="J998" t="s">
        <v>297</v>
      </c>
      <c r="K998" t="s">
        <v>297</v>
      </c>
      <c r="L998" t="s">
        <v>297</v>
      </c>
      <c r="M998" t="s">
        <v>297</v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 t="s">
        <v>297</v>
      </c>
      <c r="H999" t="s">
        <v>297</v>
      </c>
      <c r="I999" t="s">
        <v>297</v>
      </c>
      <c r="J999" t="s">
        <v>297</v>
      </c>
      <c r="K999" t="s">
        <v>297</v>
      </c>
      <c r="L999" t="s">
        <v>297</v>
      </c>
      <c r="M999" t="s">
        <v>297</v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 t="s">
        <v>297</v>
      </c>
      <c r="H1000" t="s">
        <v>297</v>
      </c>
      <c r="I1000" t="s">
        <v>297</v>
      </c>
      <c r="J1000" t="s">
        <v>297</v>
      </c>
      <c r="K1000" t="s">
        <v>297</v>
      </c>
      <c r="L1000" t="s">
        <v>297</v>
      </c>
      <c r="M1000" t="s">
        <v>297</v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 t="s">
        <v>297</v>
      </c>
      <c r="H1001" t="s">
        <v>297</v>
      </c>
      <c r="I1001" t="s">
        <v>297</v>
      </c>
      <c r="J1001" t="s">
        <v>297</v>
      </c>
      <c r="K1001" t="s">
        <v>297</v>
      </c>
      <c r="L1001" t="s">
        <v>297</v>
      </c>
      <c r="M1001" t="s">
        <v>297</v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 t="s">
        <v>297</v>
      </c>
      <c r="H1002" t="s">
        <v>297</v>
      </c>
      <c r="I1002" t="s">
        <v>297</v>
      </c>
      <c r="J1002" t="s">
        <v>297</v>
      </c>
      <c r="K1002" t="s">
        <v>297</v>
      </c>
      <c r="L1002" t="s">
        <v>297</v>
      </c>
      <c r="M1002" t="s">
        <v>297</v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 t="s">
        <v>297</v>
      </c>
      <c r="H1003" t="s">
        <v>297</v>
      </c>
      <c r="I1003" t="s">
        <v>297</v>
      </c>
      <c r="J1003" t="s">
        <v>297</v>
      </c>
      <c r="K1003" t="s">
        <v>297</v>
      </c>
      <c r="L1003" t="s">
        <v>297</v>
      </c>
      <c r="M1003" t="s">
        <v>297</v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 t="s">
        <v>297</v>
      </c>
      <c r="H1004" t="s">
        <v>297</v>
      </c>
      <c r="I1004" t="s">
        <v>297</v>
      </c>
      <c r="J1004" t="s">
        <v>297</v>
      </c>
      <c r="K1004" t="s">
        <v>297</v>
      </c>
      <c r="L1004" t="s">
        <v>297</v>
      </c>
      <c r="M1004" t="s">
        <v>297</v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 t="s">
        <v>297</v>
      </c>
      <c r="H1005" t="s">
        <v>297</v>
      </c>
      <c r="I1005" t="s">
        <v>297</v>
      </c>
      <c r="J1005" t="s">
        <v>297</v>
      </c>
      <c r="K1005" t="s">
        <v>297</v>
      </c>
      <c r="L1005" t="s">
        <v>297</v>
      </c>
      <c r="M1005" t="s">
        <v>297</v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 t="s">
        <v>297</v>
      </c>
      <c r="H1006" t="s">
        <v>297</v>
      </c>
      <c r="I1006" t="s">
        <v>297</v>
      </c>
      <c r="J1006" t="s">
        <v>297</v>
      </c>
      <c r="K1006" t="s">
        <v>297</v>
      </c>
      <c r="L1006" t="s">
        <v>297</v>
      </c>
      <c r="M1006" t="s">
        <v>297</v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 t="s">
        <v>297</v>
      </c>
      <c r="H1007" t="s">
        <v>297</v>
      </c>
      <c r="I1007" t="s">
        <v>297</v>
      </c>
      <c r="J1007" t="s">
        <v>297</v>
      </c>
      <c r="K1007" t="s">
        <v>297</v>
      </c>
      <c r="L1007" t="s">
        <v>297</v>
      </c>
      <c r="M1007" t="s">
        <v>297</v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 t="s">
        <v>297</v>
      </c>
      <c r="H1008" t="s">
        <v>297</v>
      </c>
      <c r="I1008" t="s">
        <v>297</v>
      </c>
      <c r="J1008" t="s">
        <v>297</v>
      </c>
      <c r="K1008" t="s">
        <v>297</v>
      </c>
      <c r="L1008" t="s">
        <v>297</v>
      </c>
      <c r="M1008" t="s">
        <v>297</v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 t="s">
        <v>297</v>
      </c>
      <c r="H1009" t="s">
        <v>297</v>
      </c>
      <c r="I1009" t="s">
        <v>297</v>
      </c>
      <c r="J1009" t="s">
        <v>297</v>
      </c>
      <c r="K1009" t="s">
        <v>297</v>
      </c>
      <c r="L1009" t="s">
        <v>297</v>
      </c>
      <c r="M1009" t="s">
        <v>297</v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 t="s">
        <v>297</v>
      </c>
      <c r="H1010" t="s">
        <v>297</v>
      </c>
      <c r="I1010" t="s">
        <v>297</v>
      </c>
      <c r="J1010" t="s">
        <v>297</v>
      </c>
      <c r="K1010" t="s">
        <v>297</v>
      </c>
      <c r="L1010" t="s">
        <v>297</v>
      </c>
      <c r="M1010" t="s">
        <v>297</v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 t="s">
        <v>297</v>
      </c>
      <c r="H1011" t="s">
        <v>297</v>
      </c>
      <c r="I1011" t="s">
        <v>297</v>
      </c>
      <c r="J1011" t="s">
        <v>297</v>
      </c>
      <c r="K1011" t="s">
        <v>297</v>
      </c>
      <c r="L1011" t="s">
        <v>297</v>
      </c>
      <c r="M1011" t="s">
        <v>297</v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 t="s">
        <v>297</v>
      </c>
      <c r="H1012" t="s">
        <v>297</v>
      </c>
      <c r="I1012" t="s">
        <v>297</v>
      </c>
      <c r="J1012" t="s">
        <v>297</v>
      </c>
      <c r="K1012" t="s">
        <v>297</v>
      </c>
      <c r="L1012" t="s">
        <v>297</v>
      </c>
      <c r="M1012" t="s">
        <v>297</v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 t="s">
        <v>297</v>
      </c>
      <c r="H1013" t="s">
        <v>297</v>
      </c>
      <c r="I1013" t="s">
        <v>297</v>
      </c>
      <c r="J1013" t="s">
        <v>297</v>
      </c>
      <c r="K1013" t="s">
        <v>297</v>
      </c>
      <c r="L1013" t="s">
        <v>297</v>
      </c>
      <c r="M1013" t="s">
        <v>297</v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 t="s">
        <v>297</v>
      </c>
      <c r="H1014" t="s">
        <v>297</v>
      </c>
      <c r="I1014" t="s">
        <v>297</v>
      </c>
      <c r="J1014" t="s">
        <v>297</v>
      </c>
      <c r="K1014" t="s">
        <v>297</v>
      </c>
      <c r="L1014" t="s">
        <v>297</v>
      </c>
      <c r="M1014" t="s">
        <v>297</v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 t="s">
        <v>297</v>
      </c>
      <c r="H1015" t="s">
        <v>297</v>
      </c>
      <c r="I1015" t="s">
        <v>297</v>
      </c>
      <c r="J1015" t="s">
        <v>297</v>
      </c>
      <c r="K1015" t="s">
        <v>297</v>
      </c>
      <c r="L1015" t="s">
        <v>297</v>
      </c>
      <c r="M1015" t="s">
        <v>297</v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 t="s">
        <v>297</v>
      </c>
      <c r="H1016" t="s">
        <v>297</v>
      </c>
      <c r="I1016" t="s">
        <v>297</v>
      </c>
      <c r="J1016" t="s">
        <v>297</v>
      </c>
      <c r="K1016" t="s">
        <v>297</v>
      </c>
      <c r="L1016" t="s">
        <v>297</v>
      </c>
      <c r="M1016" t="s">
        <v>297</v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 t="s">
        <v>297</v>
      </c>
      <c r="H1017" t="s">
        <v>297</v>
      </c>
      <c r="I1017" t="s">
        <v>297</v>
      </c>
      <c r="J1017" t="s">
        <v>297</v>
      </c>
      <c r="K1017" t="s">
        <v>297</v>
      </c>
      <c r="L1017" t="s">
        <v>297</v>
      </c>
      <c r="M1017" t="s">
        <v>297</v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 t="s">
        <v>297</v>
      </c>
      <c r="H1018" t="s">
        <v>297</v>
      </c>
      <c r="I1018" t="s">
        <v>297</v>
      </c>
      <c r="J1018" t="s">
        <v>297</v>
      </c>
      <c r="K1018" t="s">
        <v>297</v>
      </c>
      <c r="L1018" t="s">
        <v>297</v>
      </c>
      <c r="M1018" t="s">
        <v>297</v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 t="s">
        <v>297</v>
      </c>
      <c r="H1019" t="s">
        <v>297</v>
      </c>
      <c r="I1019" t="s">
        <v>297</v>
      </c>
      <c r="J1019" t="s">
        <v>297</v>
      </c>
      <c r="K1019" t="s">
        <v>297</v>
      </c>
      <c r="L1019" t="s">
        <v>297</v>
      </c>
      <c r="M1019" t="s">
        <v>297</v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 t="s">
        <v>297</v>
      </c>
      <c r="H1020" t="s">
        <v>297</v>
      </c>
      <c r="I1020" t="s">
        <v>297</v>
      </c>
      <c r="J1020" t="s">
        <v>297</v>
      </c>
      <c r="K1020" t="s">
        <v>297</v>
      </c>
      <c r="L1020" t="s">
        <v>297</v>
      </c>
      <c r="M1020" t="s">
        <v>297</v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 t="s">
        <v>297</v>
      </c>
      <c r="H1021" t="s">
        <v>297</v>
      </c>
      <c r="I1021" t="s">
        <v>297</v>
      </c>
      <c r="J1021" t="s">
        <v>297</v>
      </c>
      <c r="K1021" t="s">
        <v>297</v>
      </c>
      <c r="L1021" t="s">
        <v>297</v>
      </c>
      <c r="M1021" t="s">
        <v>297</v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 t="s">
        <v>297</v>
      </c>
      <c r="H1022" t="s">
        <v>297</v>
      </c>
      <c r="I1022" t="s">
        <v>297</v>
      </c>
      <c r="J1022" t="s">
        <v>297</v>
      </c>
      <c r="K1022" t="s">
        <v>297</v>
      </c>
      <c r="L1022" t="s">
        <v>297</v>
      </c>
      <c r="M1022" t="s">
        <v>297</v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 t="s">
        <v>297</v>
      </c>
      <c r="H1023" t="s">
        <v>297</v>
      </c>
      <c r="I1023" t="s">
        <v>297</v>
      </c>
      <c r="J1023" t="s">
        <v>297</v>
      </c>
      <c r="K1023" t="s">
        <v>297</v>
      </c>
      <c r="L1023" t="s">
        <v>297</v>
      </c>
      <c r="M1023" t="s">
        <v>297</v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 t="s">
        <v>297</v>
      </c>
      <c r="H1024" t="s">
        <v>297</v>
      </c>
      <c r="I1024" t="s">
        <v>297</v>
      </c>
      <c r="J1024" t="s">
        <v>297</v>
      </c>
      <c r="K1024" t="s">
        <v>297</v>
      </c>
      <c r="L1024" t="s">
        <v>297</v>
      </c>
      <c r="M1024" t="s">
        <v>297</v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 t="s">
        <v>297</v>
      </c>
      <c r="H1025" t="s">
        <v>297</v>
      </c>
      <c r="I1025" t="s">
        <v>297</v>
      </c>
      <c r="J1025" t="s">
        <v>297</v>
      </c>
      <c r="K1025" t="s">
        <v>297</v>
      </c>
      <c r="L1025" t="s">
        <v>297</v>
      </c>
      <c r="M1025" t="s">
        <v>297</v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 t="s">
        <v>297</v>
      </c>
      <c r="H1026" t="s">
        <v>297</v>
      </c>
      <c r="I1026" t="s">
        <v>297</v>
      </c>
      <c r="J1026" t="s">
        <v>297</v>
      </c>
      <c r="K1026" t="s">
        <v>297</v>
      </c>
      <c r="L1026" t="s">
        <v>297</v>
      </c>
      <c r="M1026" t="s">
        <v>297</v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 t="s">
        <v>297</v>
      </c>
      <c r="H1027" t="s">
        <v>297</v>
      </c>
      <c r="I1027" t="s">
        <v>297</v>
      </c>
      <c r="J1027" t="s">
        <v>297</v>
      </c>
      <c r="K1027" t="s">
        <v>297</v>
      </c>
      <c r="L1027" t="s">
        <v>297</v>
      </c>
      <c r="M1027" t="s">
        <v>297</v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 t="s">
        <v>297</v>
      </c>
      <c r="H1028" t="s">
        <v>297</v>
      </c>
      <c r="I1028" t="s">
        <v>297</v>
      </c>
      <c r="J1028" t="s">
        <v>297</v>
      </c>
      <c r="K1028" t="s">
        <v>297</v>
      </c>
      <c r="L1028" t="s">
        <v>297</v>
      </c>
      <c r="M1028" t="s">
        <v>297</v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 t="s">
        <v>297</v>
      </c>
      <c r="H1029" t="s">
        <v>297</v>
      </c>
      <c r="I1029" t="s">
        <v>297</v>
      </c>
      <c r="J1029" t="s">
        <v>297</v>
      </c>
      <c r="K1029" t="s">
        <v>297</v>
      </c>
      <c r="L1029" t="s">
        <v>297</v>
      </c>
      <c r="M1029" t="s">
        <v>297</v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 t="s">
        <v>297</v>
      </c>
      <c r="H1030" t="s">
        <v>297</v>
      </c>
      <c r="I1030" t="s">
        <v>297</v>
      </c>
      <c r="J1030" t="s">
        <v>297</v>
      </c>
      <c r="K1030" t="s">
        <v>297</v>
      </c>
      <c r="L1030" t="s">
        <v>297</v>
      </c>
      <c r="M1030" t="s">
        <v>297</v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 t="s">
        <v>297</v>
      </c>
      <c r="H1031" t="s">
        <v>297</v>
      </c>
      <c r="I1031" t="s">
        <v>297</v>
      </c>
      <c r="J1031" t="s">
        <v>297</v>
      </c>
      <c r="K1031" t="s">
        <v>297</v>
      </c>
      <c r="L1031" t="s">
        <v>297</v>
      </c>
      <c r="M1031" t="s">
        <v>297</v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 t="s">
        <v>297</v>
      </c>
      <c r="H1032" t="s">
        <v>297</v>
      </c>
      <c r="I1032" t="s">
        <v>297</v>
      </c>
      <c r="J1032" t="s">
        <v>297</v>
      </c>
      <c r="K1032" t="s">
        <v>297</v>
      </c>
      <c r="L1032" t="s">
        <v>297</v>
      </c>
      <c r="M1032" t="s">
        <v>297</v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 t="s">
        <v>297</v>
      </c>
      <c r="H1033" t="s">
        <v>297</v>
      </c>
      <c r="I1033" t="s">
        <v>297</v>
      </c>
      <c r="J1033" t="s">
        <v>297</v>
      </c>
      <c r="K1033" t="s">
        <v>297</v>
      </c>
      <c r="L1033" t="s">
        <v>297</v>
      </c>
      <c r="M1033" t="s">
        <v>297</v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 t="s">
        <v>297</v>
      </c>
      <c r="H1034" t="s">
        <v>297</v>
      </c>
      <c r="I1034" t="s">
        <v>297</v>
      </c>
      <c r="J1034" t="s">
        <v>297</v>
      </c>
      <c r="K1034" t="s">
        <v>297</v>
      </c>
      <c r="L1034" t="s">
        <v>297</v>
      </c>
      <c r="M1034" t="s">
        <v>297</v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 t="s">
        <v>297</v>
      </c>
      <c r="H1035" t="s">
        <v>297</v>
      </c>
      <c r="I1035" t="s">
        <v>297</v>
      </c>
      <c r="J1035" t="s">
        <v>297</v>
      </c>
      <c r="K1035" t="s">
        <v>297</v>
      </c>
      <c r="L1035" t="s">
        <v>297</v>
      </c>
      <c r="M1035" t="s">
        <v>297</v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 t="s">
        <v>297</v>
      </c>
      <c r="H1036" t="s">
        <v>297</v>
      </c>
      <c r="I1036" t="s">
        <v>297</v>
      </c>
      <c r="J1036" t="s">
        <v>297</v>
      </c>
      <c r="K1036" t="s">
        <v>297</v>
      </c>
      <c r="L1036" t="s">
        <v>297</v>
      </c>
      <c r="M1036" t="s">
        <v>297</v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 t="s">
        <v>297</v>
      </c>
      <c r="H1037" t="s">
        <v>297</v>
      </c>
      <c r="I1037" t="s">
        <v>297</v>
      </c>
      <c r="J1037" t="s">
        <v>297</v>
      </c>
      <c r="K1037" t="s">
        <v>297</v>
      </c>
      <c r="L1037" t="s">
        <v>297</v>
      </c>
      <c r="M1037" t="s">
        <v>297</v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 t="s">
        <v>297</v>
      </c>
      <c r="H1038" t="s">
        <v>297</v>
      </c>
      <c r="I1038" t="s">
        <v>297</v>
      </c>
      <c r="J1038" t="s">
        <v>297</v>
      </c>
      <c r="K1038" t="s">
        <v>297</v>
      </c>
      <c r="L1038" t="s">
        <v>297</v>
      </c>
      <c r="M1038" t="s">
        <v>297</v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 t="s">
        <v>297</v>
      </c>
      <c r="H1039" t="s">
        <v>297</v>
      </c>
      <c r="I1039" t="s">
        <v>297</v>
      </c>
      <c r="J1039" t="s">
        <v>297</v>
      </c>
      <c r="K1039" t="s">
        <v>297</v>
      </c>
      <c r="L1039" t="s">
        <v>297</v>
      </c>
      <c r="M1039" t="s">
        <v>297</v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 t="s">
        <v>297</v>
      </c>
      <c r="H1040" t="s">
        <v>297</v>
      </c>
      <c r="I1040" t="s">
        <v>297</v>
      </c>
      <c r="J1040" t="s">
        <v>297</v>
      </c>
      <c r="K1040" t="s">
        <v>297</v>
      </c>
      <c r="L1040" t="s">
        <v>297</v>
      </c>
      <c r="M1040" t="s">
        <v>297</v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 t="s">
        <v>297</v>
      </c>
      <c r="H1041" t="s">
        <v>297</v>
      </c>
      <c r="I1041" t="s">
        <v>297</v>
      </c>
      <c r="J1041" t="s">
        <v>297</v>
      </c>
      <c r="K1041" t="s">
        <v>297</v>
      </c>
      <c r="L1041" t="s">
        <v>297</v>
      </c>
      <c r="M1041" t="s">
        <v>297</v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 t="s">
        <v>297</v>
      </c>
      <c r="H1042" t="s">
        <v>297</v>
      </c>
      <c r="I1042" t="s">
        <v>297</v>
      </c>
      <c r="J1042" t="s">
        <v>297</v>
      </c>
      <c r="K1042" t="s">
        <v>297</v>
      </c>
      <c r="L1042" t="s">
        <v>297</v>
      </c>
      <c r="M1042" t="s">
        <v>297</v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 t="s">
        <v>297</v>
      </c>
      <c r="H1043" t="s">
        <v>297</v>
      </c>
      <c r="I1043" t="s">
        <v>297</v>
      </c>
      <c r="J1043" t="s">
        <v>297</v>
      </c>
      <c r="K1043" t="s">
        <v>297</v>
      </c>
      <c r="L1043" t="s">
        <v>297</v>
      </c>
      <c r="M1043" t="s">
        <v>297</v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 t="s">
        <v>297</v>
      </c>
      <c r="H1044" t="s">
        <v>297</v>
      </c>
      <c r="I1044" t="s">
        <v>297</v>
      </c>
      <c r="J1044" t="s">
        <v>297</v>
      </c>
      <c r="K1044" t="s">
        <v>297</v>
      </c>
      <c r="L1044" t="s">
        <v>297</v>
      </c>
      <c r="M1044" t="s">
        <v>297</v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 t="s">
        <v>297</v>
      </c>
      <c r="H1045" t="s">
        <v>297</v>
      </c>
      <c r="I1045" t="s">
        <v>297</v>
      </c>
      <c r="J1045" t="s">
        <v>297</v>
      </c>
      <c r="K1045" t="s">
        <v>297</v>
      </c>
      <c r="L1045" t="s">
        <v>297</v>
      </c>
      <c r="M1045" t="s">
        <v>297</v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 t="s">
        <v>297</v>
      </c>
      <c r="H1046" t="s">
        <v>297</v>
      </c>
      <c r="I1046" t="s">
        <v>297</v>
      </c>
      <c r="J1046" t="s">
        <v>297</v>
      </c>
      <c r="K1046" t="s">
        <v>297</v>
      </c>
      <c r="L1046" t="s">
        <v>297</v>
      </c>
      <c r="M1046" t="s">
        <v>297</v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 t="s">
        <v>297</v>
      </c>
      <c r="H1047" t="s">
        <v>297</v>
      </c>
      <c r="I1047" t="s">
        <v>297</v>
      </c>
      <c r="J1047" t="s">
        <v>297</v>
      </c>
      <c r="K1047" t="s">
        <v>297</v>
      </c>
      <c r="L1047" t="s">
        <v>297</v>
      </c>
      <c r="M1047" t="s">
        <v>297</v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 t="s">
        <v>297</v>
      </c>
      <c r="H1048" t="s">
        <v>297</v>
      </c>
      <c r="I1048" t="s">
        <v>297</v>
      </c>
      <c r="J1048" t="s">
        <v>297</v>
      </c>
      <c r="K1048" t="s">
        <v>297</v>
      </c>
      <c r="L1048" t="s">
        <v>297</v>
      </c>
      <c r="M1048" t="s">
        <v>297</v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 t="s">
        <v>297</v>
      </c>
      <c r="H1049" t="s">
        <v>297</v>
      </c>
      <c r="I1049" t="s">
        <v>297</v>
      </c>
      <c r="J1049" t="s">
        <v>297</v>
      </c>
      <c r="K1049" t="s">
        <v>297</v>
      </c>
      <c r="L1049" t="s">
        <v>297</v>
      </c>
      <c r="M1049" t="s">
        <v>297</v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 t="s">
        <v>297</v>
      </c>
      <c r="H1050" t="s">
        <v>297</v>
      </c>
      <c r="I1050" t="s">
        <v>297</v>
      </c>
      <c r="J1050" t="s">
        <v>297</v>
      </c>
      <c r="K1050" t="s">
        <v>297</v>
      </c>
      <c r="L1050" t="s">
        <v>297</v>
      </c>
      <c r="M1050" t="s">
        <v>297</v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 t="s">
        <v>297</v>
      </c>
      <c r="H1051" t="s">
        <v>297</v>
      </c>
      <c r="I1051" t="s">
        <v>297</v>
      </c>
      <c r="J1051" t="s">
        <v>297</v>
      </c>
      <c r="K1051" t="s">
        <v>297</v>
      </c>
      <c r="L1051" t="s">
        <v>297</v>
      </c>
      <c r="M1051" t="s">
        <v>297</v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 t="s">
        <v>297</v>
      </c>
      <c r="H1052" t="s">
        <v>297</v>
      </c>
      <c r="I1052" t="s">
        <v>297</v>
      </c>
      <c r="J1052" t="s">
        <v>297</v>
      </c>
      <c r="K1052" t="s">
        <v>297</v>
      </c>
      <c r="L1052" t="s">
        <v>297</v>
      </c>
      <c r="M1052" t="s">
        <v>297</v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 t="s">
        <v>297</v>
      </c>
      <c r="H1053" t="s">
        <v>297</v>
      </c>
      <c r="I1053" t="s">
        <v>297</v>
      </c>
      <c r="J1053" t="s">
        <v>297</v>
      </c>
      <c r="K1053" t="s">
        <v>297</v>
      </c>
      <c r="L1053" t="s">
        <v>297</v>
      </c>
      <c r="M1053" t="s">
        <v>297</v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 t="s">
        <v>297</v>
      </c>
      <c r="H1054" t="s">
        <v>297</v>
      </c>
      <c r="I1054" t="s">
        <v>297</v>
      </c>
      <c r="J1054" t="s">
        <v>297</v>
      </c>
      <c r="K1054" t="s">
        <v>297</v>
      </c>
      <c r="L1054" t="s">
        <v>297</v>
      </c>
      <c r="M1054" t="s">
        <v>297</v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 t="s">
        <v>297</v>
      </c>
      <c r="H1055" t="s">
        <v>297</v>
      </c>
      <c r="I1055" t="s">
        <v>297</v>
      </c>
      <c r="J1055" t="s">
        <v>297</v>
      </c>
      <c r="K1055" t="s">
        <v>297</v>
      </c>
      <c r="L1055" t="s">
        <v>297</v>
      </c>
      <c r="M1055" t="s">
        <v>297</v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 t="s">
        <v>297</v>
      </c>
      <c r="H1056" t="s">
        <v>297</v>
      </c>
      <c r="I1056" t="s">
        <v>297</v>
      </c>
      <c r="J1056" t="s">
        <v>297</v>
      </c>
      <c r="K1056" t="s">
        <v>297</v>
      </c>
      <c r="L1056" t="s">
        <v>297</v>
      </c>
      <c r="M1056" t="s">
        <v>297</v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 t="s">
        <v>297</v>
      </c>
      <c r="H1057" t="s">
        <v>297</v>
      </c>
      <c r="I1057" t="s">
        <v>297</v>
      </c>
      <c r="J1057" t="s">
        <v>297</v>
      </c>
      <c r="K1057" t="s">
        <v>297</v>
      </c>
      <c r="L1057" t="s">
        <v>297</v>
      </c>
      <c r="M1057" t="s">
        <v>297</v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 t="s">
        <v>297</v>
      </c>
      <c r="H1058" t="s">
        <v>297</v>
      </c>
      <c r="I1058" t="s">
        <v>297</v>
      </c>
      <c r="J1058" t="s">
        <v>297</v>
      </c>
      <c r="K1058" t="s">
        <v>297</v>
      </c>
      <c r="L1058" t="s">
        <v>297</v>
      </c>
      <c r="M1058" t="s">
        <v>297</v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 t="s">
        <v>297</v>
      </c>
      <c r="H1059" t="s">
        <v>297</v>
      </c>
      <c r="I1059" t="s">
        <v>297</v>
      </c>
      <c r="J1059" t="s">
        <v>297</v>
      </c>
      <c r="K1059" t="s">
        <v>297</v>
      </c>
      <c r="L1059" t="s">
        <v>297</v>
      </c>
      <c r="M1059" t="s">
        <v>297</v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 t="s">
        <v>297</v>
      </c>
      <c r="H1060" t="s">
        <v>297</v>
      </c>
      <c r="I1060" t="s">
        <v>297</v>
      </c>
      <c r="J1060" t="s">
        <v>297</v>
      </c>
      <c r="K1060" t="s">
        <v>297</v>
      </c>
      <c r="L1060" t="s">
        <v>297</v>
      </c>
      <c r="M1060" t="s">
        <v>297</v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 t="s">
        <v>297</v>
      </c>
      <c r="H1061" t="s">
        <v>297</v>
      </c>
      <c r="I1061" t="s">
        <v>297</v>
      </c>
      <c r="J1061" t="s">
        <v>297</v>
      </c>
      <c r="K1061" t="s">
        <v>297</v>
      </c>
      <c r="L1061" t="s">
        <v>297</v>
      </c>
      <c r="M1061" t="s">
        <v>297</v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 t="s">
        <v>297</v>
      </c>
      <c r="H1062" t="s">
        <v>297</v>
      </c>
      <c r="I1062" t="s">
        <v>297</v>
      </c>
      <c r="J1062" t="s">
        <v>297</v>
      </c>
      <c r="K1062" t="s">
        <v>297</v>
      </c>
      <c r="L1062" t="s">
        <v>297</v>
      </c>
      <c r="M1062" t="s">
        <v>297</v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 t="s">
        <v>297</v>
      </c>
      <c r="H1063" t="s">
        <v>297</v>
      </c>
      <c r="I1063" t="s">
        <v>297</v>
      </c>
      <c r="J1063" t="s">
        <v>297</v>
      </c>
      <c r="K1063" t="s">
        <v>297</v>
      </c>
      <c r="L1063" t="s">
        <v>297</v>
      </c>
      <c r="M1063" t="s">
        <v>297</v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 t="s">
        <v>297</v>
      </c>
      <c r="H1064" t="s">
        <v>297</v>
      </c>
      <c r="I1064" t="s">
        <v>297</v>
      </c>
      <c r="J1064" t="s">
        <v>297</v>
      </c>
      <c r="K1064" t="s">
        <v>297</v>
      </c>
      <c r="L1064" t="s">
        <v>297</v>
      </c>
      <c r="M1064" t="s">
        <v>297</v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 t="s">
        <v>297</v>
      </c>
      <c r="H1065" t="s">
        <v>297</v>
      </c>
      <c r="I1065" t="s">
        <v>297</v>
      </c>
      <c r="J1065" t="s">
        <v>297</v>
      </c>
      <c r="K1065" t="s">
        <v>297</v>
      </c>
      <c r="L1065" t="s">
        <v>297</v>
      </c>
      <c r="M1065" t="s">
        <v>297</v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 t="s">
        <v>297</v>
      </c>
      <c r="H1066" t="s">
        <v>297</v>
      </c>
      <c r="I1066" t="s">
        <v>297</v>
      </c>
      <c r="J1066" t="s">
        <v>297</v>
      </c>
      <c r="K1066" t="s">
        <v>297</v>
      </c>
      <c r="L1066" t="s">
        <v>297</v>
      </c>
      <c r="M1066" t="s">
        <v>297</v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 t="s">
        <v>297</v>
      </c>
      <c r="H1067" t="s">
        <v>297</v>
      </c>
      <c r="I1067" t="s">
        <v>297</v>
      </c>
      <c r="J1067" t="s">
        <v>297</v>
      </c>
      <c r="K1067" t="s">
        <v>297</v>
      </c>
      <c r="L1067" t="s">
        <v>297</v>
      </c>
      <c r="M1067" t="s">
        <v>297</v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 t="s">
        <v>297</v>
      </c>
      <c r="H1068" t="s">
        <v>297</v>
      </c>
      <c r="I1068" t="s">
        <v>297</v>
      </c>
      <c r="J1068" t="s">
        <v>297</v>
      </c>
      <c r="K1068" t="s">
        <v>297</v>
      </c>
      <c r="L1068" t="s">
        <v>297</v>
      </c>
      <c r="M1068" t="s">
        <v>297</v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 t="s">
        <v>297</v>
      </c>
      <c r="H1069" t="s">
        <v>297</v>
      </c>
      <c r="I1069" t="s">
        <v>297</v>
      </c>
      <c r="J1069" t="s">
        <v>297</v>
      </c>
      <c r="K1069" t="s">
        <v>297</v>
      </c>
      <c r="L1069" t="s">
        <v>297</v>
      </c>
      <c r="M1069" t="s">
        <v>297</v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 t="s">
        <v>297</v>
      </c>
      <c r="H1070" t="s">
        <v>297</v>
      </c>
      <c r="I1070" t="s">
        <v>297</v>
      </c>
      <c r="J1070" t="s">
        <v>297</v>
      </c>
      <c r="K1070" t="s">
        <v>297</v>
      </c>
      <c r="L1070" t="s">
        <v>297</v>
      </c>
      <c r="M1070" t="s">
        <v>297</v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 t="s">
        <v>297</v>
      </c>
      <c r="H1071" t="s">
        <v>297</v>
      </c>
      <c r="I1071" t="s">
        <v>297</v>
      </c>
      <c r="J1071" t="s">
        <v>297</v>
      </c>
      <c r="K1071" t="s">
        <v>297</v>
      </c>
      <c r="L1071" t="s">
        <v>297</v>
      </c>
      <c r="M1071" t="s">
        <v>297</v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 t="s">
        <v>297</v>
      </c>
      <c r="H1072" t="s">
        <v>297</v>
      </c>
      <c r="I1072" t="s">
        <v>297</v>
      </c>
      <c r="J1072" t="s">
        <v>297</v>
      </c>
      <c r="K1072" t="s">
        <v>297</v>
      </c>
      <c r="L1072" t="s">
        <v>297</v>
      </c>
      <c r="M1072" t="s">
        <v>297</v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 t="s">
        <v>297</v>
      </c>
      <c r="H1073" t="s">
        <v>297</v>
      </c>
      <c r="I1073" t="s">
        <v>297</v>
      </c>
      <c r="J1073" t="s">
        <v>297</v>
      </c>
      <c r="K1073" t="s">
        <v>297</v>
      </c>
      <c r="L1073" t="s">
        <v>297</v>
      </c>
      <c r="M1073" t="s">
        <v>297</v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 t="s">
        <v>297</v>
      </c>
      <c r="H1074" t="s">
        <v>297</v>
      </c>
      <c r="I1074" t="s">
        <v>297</v>
      </c>
      <c r="J1074" t="s">
        <v>297</v>
      </c>
      <c r="K1074" t="s">
        <v>297</v>
      </c>
      <c r="L1074" t="s">
        <v>297</v>
      </c>
      <c r="M1074" t="s">
        <v>297</v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 t="s">
        <v>297</v>
      </c>
      <c r="H1075" t="s">
        <v>297</v>
      </c>
      <c r="I1075" t="s">
        <v>297</v>
      </c>
      <c r="J1075" t="s">
        <v>297</v>
      </c>
      <c r="K1075" t="s">
        <v>297</v>
      </c>
      <c r="L1075" t="s">
        <v>297</v>
      </c>
      <c r="M1075" t="s">
        <v>297</v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 t="s">
        <v>297</v>
      </c>
      <c r="H1076" t="s">
        <v>297</v>
      </c>
      <c r="I1076" t="s">
        <v>297</v>
      </c>
      <c r="J1076" t="s">
        <v>297</v>
      </c>
      <c r="K1076" t="s">
        <v>297</v>
      </c>
      <c r="L1076" t="s">
        <v>297</v>
      </c>
      <c r="M1076" t="s">
        <v>297</v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 t="s">
        <v>297</v>
      </c>
      <c r="H1077" t="s">
        <v>297</v>
      </c>
      <c r="I1077" t="s">
        <v>297</v>
      </c>
      <c r="J1077" t="s">
        <v>297</v>
      </c>
      <c r="K1077" t="s">
        <v>297</v>
      </c>
      <c r="L1077" t="s">
        <v>297</v>
      </c>
      <c r="M1077" t="s">
        <v>297</v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 t="s">
        <v>297</v>
      </c>
      <c r="H1078" t="s">
        <v>297</v>
      </c>
      <c r="I1078" t="s">
        <v>297</v>
      </c>
      <c r="J1078" t="s">
        <v>297</v>
      </c>
      <c r="K1078" t="s">
        <v>297</v>
      </c>
      <c r="L1078" t="s">
        <v>297</v>
      </c>
      <c r="M1078" t="s">
        <v>297</v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 t="s">
        <v>297</v>
      </c>
      <c r="H1079" t="s">
        <v>297</v>
      </c>
      <c r="I1079" t="s">
        <v>297</v>
      </c>
      <c r="J1079" t="s">
        <v>297</v>
      </c>
      <c r="K1079" t="s">
        <v>297</v>
      </c>
      <c r="L1079" t="s">
        <v>297</v>
      </c>
      <c r="M1079" t="s">
        <v>297</v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 t="s">
        <v>297</v>
      </c>
      <c r="H1080" t="s">
        <v>297</v>
      </c>
      <c r="I1080" t="s">
        <v>297</v>
      </c>
      <c r="J1080" t="s">
        <v>297</v>
      </c>
      <c r="K1080" t="s">
        <v>297</v>
      </c>
      <c r="L1080" t="s">
        <v>297</v>
      </c>
      <c r="M1080" t="s">
        <v>297</v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 t="s">
        <v>297</v>
      </c>
      <c r="H1081" t="s">
        <v>297</v>
      </c>
      <c r="I1081" t="s">
        <v>297</v>
      </c>
      <c r="J1081" t="s">
        <v>297</v>
      </c>
      <c r="K1081" t="s">
        <v>297</v>
      </c>
      <c r="L1081" t="s">
        <v>297</v>
      </c>
      <c r="M1081" t="s">
        <v>297</v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 t="s">
        <v>297</v>
      </c>
      <c r="H1082" t="s">
        <v>297</v>
      </c>
      <c r="I1082" t="s">
        <v>297</v>
      </c>
      <c r="J1082" t="s">
        <v>297</v>
      </c>
      <c r="K1082" t="s">
        <v>297</v>
      </c>
      <c r="L1082" t="s">
        <v>297</v>
      </c>
      <c r="M1082" t="s">
        <v>297</v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 t="s">
        <v>297</v>
      </c>
      <c r="H1083" t="s">
        <v>297</v>
      </c>
      <c r="I1083" t="s">
        <v>297</v>
      </c>
      <c r="J1083" t="s">
        <v>297</v>
      </c>
      <c r="K1083" t="s">
        <v>297</v>
      </c>
      <c r="L1083" t="s">
        <v>297</v>
      </c>
      <c r="M1083" t="s">
        <v>297</v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 t="s">
        <v>297</v>
      </c>
      <c r="H1084" t="s">
        <v>297</v>
      </c>
      <c r="I1084" t="s">
        <v>297</v>
      </c>
      <c r="J1084" t="s">
        <v>297</v>
      </c>
      <c r="K1084" t="s">
        <v>297</v>
      </c>
      <c r="L1084" t="s">
        <v>297</v>
      </c>
      <c r="M1084" t="s">
        <v>297</v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 t="s">
        <v>297</v>
      </c>
      <c r="H1085" t="s">
        <v>297</v>
      </c>
      <c r="I1085" t="s">
        <v>297</v>
      </c>
      <c r="J1085" t="s">
        <v>297</v>
      </c>
      <c r="K1085" t="s">
        <v>297</v>
      </c>
      <c r="L1085" t="s">
        <v>297</v>
      </c>
      <c r="M1085" t="s">
        <v>297</v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 t="s">
        <v>297</v>
      </c>
      <c r="H1086" t="s">
        <v>297</v>
      </c>
      <c r="I1086" t="s">
        <v>297</v>
      </c>
      <c r="J1086" t="s">
        <v>297</v>
      </c>
      <c r="K1086" t="s">
        <v>297</v>
      </c>
      <c r="L1086" t="s">
        <v>297</v>
      </c>
      <c r="M1086" t="s">
        <v>297</v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 t="s">
        <v>297</v>
      </c>
      <c r="H1087" t="s">
        <v>297</v>
      </c>
      <c r="I1087" t="s">
        <v>297</v>
      </c>
      <c r="J1087" t="s">
        <v>297</v>
      </c>
      <c r="K1087" t="s">
        <v>297</v>
      </c>
      <c r="L1087" t="s">
        <v>297</v>
      </c>
      <c r="M1087" t="s">
        <v>297</v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 t="s">
        <v>297</v>
      </c>
      <c r="H1088" t="s">
        <v>297</v>
      </c>
      <c r="I1088" t="s">
        <v>297</v>
      </c>
      <c r="J1088" t="s">
        <v>297</v>
      </c>
      <c r="K1088" t="s">
        <v>297</v>
      </c>
      <c r="L1088" t="s">
        <v>297</v>
      </c>
      <c r="M1088" t="s">
        <v>297</v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 t="s">
        <v>297</v>
      </c>
      <c r="H1089" t="s">
        <v>297</v>
      </c>
      <c r="I1089" t="s">
        <v>297</v>
      </c>
      <c r="J1089" t="s">
        <v>297</v>
      </c>
      <c r="K1089" t="s">
        <v>297</v>
      </c>
      <c r="L1089" t="s">
        <v>297</v>
      </c>
      <c r="M1089" t="s">
        <v>297</v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 t="s">
        <v>297</v>
      </c>
      <c r="H1090" t="s">
        <v>297</v>
      </c>
      <c r="I1090" t="s">
        <v>297</v>
      </c>
      <c r="J1090" t="s">
        <v>297</v>
      </c>
      <c r="K1090" t="s">
        <v>297</v>
      </c>
      <c r="L1090" t="s">
        <v>297</v>
      </c>
      <c r="M1090" t="s">
        <v>297</v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 t="s">
        <v>297</v>
      </c>
      <c r="H1091" t="s">
        <v>297</v>
      </c>
      <c r="I1091" t="s">
        <v>297</v>
      </c>
      <c r="J1091" t="s">
        <v>297</v>
      </c>
      <c r="K1091" t="s">
        <v>297</v>
      </c>
      <c r="L1091" t="s">
        <v>297</v>
      </c>
      <c r="M1091" t="s">
        <v>297</v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 t="s">
        <v>297</v>
      </c>
      <c r="H1092" t="s">
        <v>297</v>
      </c>
      <c r="I1092" t="s">
        <v>297</v>
      </c>
      <c r="J1092" t="s">
        <v>297</v>
      </c>
      <c r="K1092" t="s">
        <v>297</v>
      </c>
      <c r="L1092" t="s">
        <v>297</v>
      </c>
      <c r="M1092" t="s">
        <v>297</v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 t="s">
        <v>297</v>
      </c>
      <c r="H1093" t="s">
        <v>297</v>
      </c>
      <c r="I1093" t="s">
        <v>297</v>
      </c>
      <c r="J1093" t="s">
        <v>297</v>
      </c>
      <c r="K1093" t="s">
        <v>297</v>
      </c>
      <c r="L1093" t="s">
        <v>297</v>
      </c>
      <c r="M1093" t="s">
        <v>297</v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 t="s">
        <v>297</v>
      </c>
      <c r="H1094" t="s">
        <v>297</v>
      </c>
      <c r="I1094" t="s">
        <v>297</v>
      </c>
      <c r="J1094" t="s">
        <v>297</v>
      </c>
      <c r="K1094" t="s">
        <v>297</v>
      </c>
      <c r="L1094" t="s">
        <v>297</v>
      </c>
      <c r="M1094" t="s">
        <v>297</v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 t="s">
        <v>297</v>
      </c>
      <c r="H1095" t="s">
        <v>297</v>
      </c>
      <c r="I1095" t="s">
        <v>297</v>
      </c>
      <c r="J1095" t="s">
        <v>297</v>
      </c>
      <c r="K1095" t="s">
        <v>297</v>
      </c>
      <c r="L1095" t="s">
        <v>297</v>
      </c>
      <c r="M1095" t="s">
        <v>297</v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 t="s">
        <v>297</v>
      </c>
      <c r="H1096" t="s">
        <v>297</v>
      </c>
      <c r="I1096" t="s">
        <v>297</v>
      </c>
      <c r="J1096" t="s">
        <v>297</v>
      </c>
      <c r="K1096" t="s">
        <v>297</v>
      </c>
      <c r="L1096" t="s">
        <v>297</v>
      </c>
      <c r="M1096" t="s">
        <v>297</v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 t="s">
        <v>297</v>
      </c>
      <c r="H1097" t="s">
        <v>297</v>
      </c>
      <c r="I1097" t="s">
        <v>297</v>
      </c>
      <c r="J1097" t="s">
        <v>297</v>
      </c>
      <c r="K1097" t="s">
        <v>297</v>
      </c>
      <c r="L1097" t="s">
        <v>297</v>
      </c>
      <c r="M1097" t="s">
        <v>297</v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 t="s">
        <v>297</v>
      </c>
      <c r="H1098" t="s">
        <v>297</v>
      </c>
      <c r="I1098" t="s">
        <v>297</v>
      </c>
      <c r="J1098" t="s">
        <v>297</v>
      </c>
      <c r="K1098" t="s">
        <v>297</v>
      </c>
      <c r="L1098" t="s">
        <v>297</v>
      </c>
      <c r="M1098" t="s">
        <v>297</v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 t="s">
        <v>297</v>
      </c>
      <c r="H1099" t="s">
        <v>297</v>
      </c>
      <c r="I1099" t="s">
        <v>297</v>
      </c>
      <c r="J1099" t="s">
        <v>297</v>
      </c>
      <c r="K1099" t="s">
        <v>297</v>
      </c>
      <c r="L1099" t="s">
        <v>297</v>
      </c>
      <c r="M1099" t="s">
        <v>297</v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 t="s">
        <v>297</v>
      </c>
      <c r="H1100" t="s">
        <v>297</v>
      </c>
      <c r="I1100" t="s">
        <v>297</v>
      </c>
      <c r="J1100" t="s">
        <v>297</v>
      </c>
      <c r="K1100" t="s">
        <v>297</v>
      </c>
      <c r="L1100" t="s">
        <v>297</v>
      </c>
      <c r="M1100" t="s">
        <v>297</v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 t="s">
        <v>297</v>
      </c>
      <c r="H1101" t="s">
        <v>297</v>
      </c>
      <c r="I1101" t="s">
        <v>297</v>
      </c>
      <c r="J1101" t="s">
        <v>297</v>
      </c>
      <c r="K1101" t="s">
        <v>297</v>
      </c>
      <c r="L1101" t="s">
        <v>297</v>
      </c>
      <c r="M1101" t="s">
        <v>297</v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 t="s">
        <v>297</v>
      </c>
      <c r="H1102" t="s">
        <v>297</v>
      </c>
      <c r="I1102" t="s">
        <v>297</v>
      </c>
      <c r="J1102" t="s">
        <v>297</v>
      </c>
      <c r="K1102" t="s">
        <v>297</v>
      </c>
      <c r="L1102" t="s">
        <v>297</v>
      </c>
      <c r="M1102" t="s">
        <v>297</v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 t="s">
        <v>297</v>
      </c>
      <c r="H1103" t="s">
        <v>297</v>
      </c>
      <c r="I1103" t="s">
        <v>297</v>
      </c>
      <c r="J1103" t="s">
        <v>297</v>
      </c>
      <c r="K1103" t="s">
        <v>297</v>
      </c>
      <c r="L1103" t="s">
        <v>297</v>
      </c>
      <c r="M1103" t="s">
        <v>297</v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 t="s">
        <v>297</v>
      </c>
      <c r="H1104" t="s">
        <v>297</v>
      </c>
      <c r="I1104" t="s">
        <v>297</v>
      </c>
      <c r="J1104" t="s">
        <v>297</v>
      </c>
      <c r="K1104" t="s">
        <v>297</v>
      </c>
      <c r="L1104" t="s">
        <v>297</v>
      </c>
      <c r="M1104" t="s">
        <v>297</v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 t="s">
        <v>297</v>
      </c>
      <c r="H1105" t="s">
        <v>297</v>
      </c>
      <c r="I1105" t="s">
        <v>297</v>
      </c>
      <c r="J1105" t="s">
        <v>297</v>
      </c>
      <c r="K1105" t="s">
        <v>297</v>
      </c>
      <c r="L1105" t="s">
        <v>297</v>
      </c>
      <c r="M1105" t="s">
        <v>297</v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 t="s">
        <v>297</v>
      </c>
      <c r="H1106" t="s">
        <v>297</v>
      </c>
      <c r="I1106" t="s">
        <v>297</v>
      </c>
      <c r="J1106" t="s">
        <v>297</v>
      </c>
      <c r="K1106" t="s">
        <v>297</v>
      </c>
      <c r="L1106" t="s">
        <v>297</v>
      </c>
      <c r="M1106" t="s">
        <v>297</v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 t="s">
        <v>297</v>
      </c>
      <c r="H1107" t="s">
        <v>297</v>
      </c>
      <c r="I1107" t="s">
        <v>297</v>
      </c>
      <c r="J1107" t="s">
        <v>297</v>
      </c>
      <c r="K1107" t="s">
        <v>297</v>
      </c>
      <c r="L1107" t="s">
        <v>297</v>
      </c>
      <c r="M1107" t="s">
        <v>297</v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 t="s">
        <v>297</v>
      </c>
      <c r="H1108" t="s">
        <v>297</v>
      </c>
      <c r="I1108" t="s">
        <v>297</v>
      </c>
      <c r="J1108" t="s">
        <v>297</v>
      </c>
      <c r="K1108" t="s">
        <v>297</v>
      </c>
      <c r="L1108" t="s">
        <v>297</v>
      </c>
      <c r="M1108" t="s">
        <v>297</v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 t="s">
        <v>297</v>
      </c>
      <c r="H1109" t="s">
        <v>297</v>
      </c>
      <c r="I1109" t="s">
        <v>297</v>
      </c>
      <c r="J1109" t="s">
        <v>297</v>
      </c>
      <c r="K1109" t="s">
        <v>297</v>
      </c>
      <c r="L1109" t="s">
        <v>297</v>
      </c>
      <c r="M1109" t="s">
        <v>297</v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 t="s">
        <v>297</v>
      </c>
      <c r="H1110" t="s">
        <v>297</v>
      </c>
      <c r="I1110" t="s">
        <v>297</v>
      </c>
      <c r="J1110" t="s">
        <v>297</v>
      </c>
      <c r="K1110" t="s">
        <v>297</v>
      </c>
      <c r="L1110" t="s">
        <v>297</v>
      </c>
      <c r="M1110" t="s">
        <v>297</v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 t="s">
        <v>297</v>
      </c>
      <c r="H1111" t="s">
        <v>297</v>
      </c>
      <c r="I1111" t="s">
        <v>297</v>
      </c>
      <c r="J1111" t="s">
        <v>297</v>
      </c>
      <c r="K1111" t="s">
        <v>297</v>
      </c>
      <c r="L1111" t="s">
        <v>297</v>
      </c>
      <c r="M1111" t="s">
        <v>297</v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 t="s">
        <v>297</v>
      </c>
      <c r="H1112" t="s">
        <v>297</v>
      </c>
      <c r="I1112" t="s">
        <v>297</v>
      </c>
      <c r="J1112" t="s">
        <v>297</v>
      </c>
      <c r="K1112" t="s">
        <v>297</v>
      </c>
      <c r="L1112" t="s">
        <v>297</v>
      </c>
      <c r="M1112" t="s">
        <v>297</v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 t="s">
        <v>297</v>
      </c>
      <c r="H1113" t="s">
        <v>297</v>
      </c>
      <c r="I1113" t="s">
        <v>297</v>
      </c>
      <c r="J1113" t="s">
        <v>297</v>
      </c>
      <c r="K1113" t="s">
        <v>297</v>
      </c>
      <c r="L1113" t="s">
        <v>297</v>
      </c>
      <c r="M1113" t="s">
        <v>297</v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 t="s">
        <v>297</v>
      </c>
      <c r="H1114" t="s">
        <v>297</v>
      </c>
      <c r="I1114" t="s">
        <v>297</v>
      </c>
      <c r="J1114" t="s">
        <v>297</v>
      </c>
      <c r="K1114" t="s">
        <v>297</v>
      </c>
      <c r="L1114" t="s">
        <v>297</v>
      </c>
      <c r="M1114" t="s">
        <v>297</v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 t="s">
        <v>297</v>
      </c>
      <c r="H1115" t="s">
        <v>297</v>
      </c>
      <c r="I1115" t="s">
        <v>297</v>
      </c>
      <c r="J1115" t="s">
        <v>297</v>
      </c>
      <c r="K1115" t="s">
        <v>297</v>
      </c>
      <c r="L1115" t="s">
        <v>297</v>
      </c>
      <c r="M1115" t="s">
        <v>297</v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 t="s">
        <v>297</v>
      </c>
      <c r="H1116" t="s">
        <v>297</v>
      </c>
      <c r="I1116" t="s">
        <v>297</v>
      </c>
      <c r="J1116" t="s">
        <v>297</v>
      </c>
      <c r="K1116" t="s">
        <v>297</v>
      </c>
      <c r="L1116" t="s">
        <v>297</v>
      </c>
      <c r="M1116" t="s">
        <v>297</v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 t="s">
        <v>297</v>
      </c>
      <c r="H1117" t="s">
        <v>297</v>
      </c>
      <c r="I1117" t="s">
        <v>297</v>
      </c>
      <c r="J1117" t="s">
        <v>297</v>
      </c>
      <c r="K1117" t="s">
        <v>297</v>
      </c>
      <c r="L1117" t="s">
        <v>297</v>
      </c>
      <c r="M1117" t="s">
        <v>297</v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 t="s">
        <v>297</v>
      </c>
      <c r="H1118" t="s">
        <v>297</v>
      </c>
      <c r="I1118" t="s">
        <v>297</v>
      </c>
      <c r="J1118" t="s">
        <v>297</v>
      </c>
      <c r="K1118" t="s">
        <v>297</v>
      </c>
      <c r="L1118" t="s">
        <v>297</v>
      </c>
      <c r="M1118" t="s">
        <v>297</v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 t="s">
        <v>297</v>
      </c>
      <c r="H1119" t="s">
        <v>297</v>
      </c>
      <c r="I1119" t="s">
        <v>297</v>
      </c>
      <c r="J1119" t="s">
        <v>297</v>
      </c>
      <c r="K1119" t="s">
        <v>297</v>
      </c>
      <c r="L1119" t="s">
        <v>297</v>
      </c>
      <c r="M1119" t="s">
        <v>297</v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 t="s">
        <v>297</v>
      </c>
      <c r="H1120" t="s">
        <v>297</v>
      </c>
      <c r="I1120" t="s">
        <v>297</v>
      </c>
      <c r="J1120" t="s">
        <v>297</v>
      </c>
      <c r="K1120" t="s">
        <v>297</v>
      </c>
      <c r="L1120" t="s">
        <v>297</v>
      </c>
      <c r="M1120" t="s">
        <v>297</v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 t="s">
        <v>297</v>
      </c>
      <c r="H1121" t="s">
        <v>297</v>
      </c>
      <c r="I1121" t="s">
        <v>297</v>
      </c>
      <c r="J1121" t="s">
        <v>297</v>
      </c>
      <c r="K1121" t="s">
        <v>297</v>
      </c>
      <c r="L1121" t="s">
        <v>297</v>
      </c>
      <c r="M1121" t="s">
        <v>297</v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 t="s">
        <v>297</v>
      </c>
      <c r="H1122" t="s">
        <v>297</v>
      </c>
      <c r="I1122" t="s">
        <v>297</v>
      </c>
      <c r="J1122" t="s">
        <v>297</v>
      </c>
      <c r="K1122" t="s">
        <v>297</v>
      </c>
      <c r="L1122" t="s">
        <v>297</v>
      </c>
      <c r="M1122" t="s">
        <v>297</v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 t="s">
        <v>297</v>
      </c>
      <c r="H1123" t="s">
        <v>297</v>
      </c>
      <c r="I1123" t="s">
        <v>297</v>
      </c>
      <c r="J1123" t="s">
        <v>297</v>
      </c>
      <c r="K1123" t="s">
        <v>297</v>
      </c>
      <c r="L1123" t="s">
        <v>297</v>
      </c>
      <c r="M1123" t="s">
        <v>297</v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 t="s">
        <v>297</v>
      </c>
      <c r="H1124" t="s">
        <v>297</v>
      </c>
      <c r="I1124" t="s">
        <v>297</v>
      </c>
      <c r="J1124" t="s">
        <v>297</v>
      </c>
      <c r="K1124" t="s">
        <v>297</v>
      </c>
      <c r="L1124" t="s">
        <v>297</v>
      </c>
      <c r="M1124" t="s">
        <v>297</v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 t="s">
        <v>297</v>
      </c>
      <c r="H1125" t="s">
        <v>297</v>
      </c>
      <c r="I1125" t="s">
        <v>297</v>
      </c>
      <c r="J1125" t="s">
        <v>297</v>
      </c>
      <c r="K1125" t="s">
        <v>297</v>
      </c>
      <c r="L1125" t="s">
        <v>297</v>
      </c>
      <c r="M1125" t="s">
        <v>297</v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 t="s">
        <v>297</v>
      </c>
      <c r="H1126" t="s">
        <v>297</v>
      </c>
      <c r="I1126" t="s">
        <v>297</v>
      </c>
      <c r="J1126" t="s">
        <v>297</v>
      </c>
      <c r="K1126" t="s">
        <v>297</v>
      </c>
      <c r="L1126" t="s">
        <v>297</v>
      </c>
      <c r="M1126" t="s">
        <v>297</v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 t="s">
        <v>297</v>
      </c>
      <c r="H1127" t="s">
        <v>297</v>
      </c>
      <c r="I1127" t="s">
        <v>297</v>
      </c>
      <c r="J1127" t="s">
        <v>297</v>
      </c>
      <c r="K1127" t="s">
        <v>297</v>
      </c>
      <c r="L1127" t="s">
        <v>297</v>
      </c>
      <c r="M1127" t="s">
        <v>297</v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 t="s">
        <v>297</v>
      </c>
      <c r="H1128" t="s">
        <v>297</v>
      </c>
      <c r="I1128" t="s">
        <v>297</v>
      </c>
      <c r="J1128" t="s">
        <v>297</v>
      </c>
      <c r="K1128" t="s">
        <v>297</v>
      </c>
      <c r="L1128" t="s">
        <v>297</v>
      </c>
      <c r="M1128" t="s">
        <v>297</v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 t="s">
        <v>297</v>
      </c>
      <c r="H1129" t="s">
        <v>297</v>
      </c>
      <c r="I1129" t="s">
        <v>297</v>
      </c>
      <c r="J1129" t="s">
        <v>297</v>
      </c>
      <c r="K1129" t="s">
        <v>297</v>
      </c>
      <c r="L1129" t="s">
        <v>297</v>
      </c>
      <c r="M1129" t="s">
        <v>297</v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 t="s">
        <v>297</v>
      </c>
      <c r="H1130" t="s">
        <v>297</v>
      </c>
      <c r="I1130" t="s">
        <v>297</v>
      </c>
      <c r="J1130" t="s">
        <v>297</v>
      </c>
      <c r="K1130" t="s">
        <v>297</v>
      </c>
      <c r="L1130" t="s">
        <v>297</v>
      </c>
      <c r="M1130" t="s">
        <v>297</v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 t="s">
        <v>297</v>
      </c>
      <c r="H1131" t="s">
        <v>297</v>
      </c>
      <c r="I1131" t="s">
        <v>297</v>
      </c>
      <c r="J1131" t="s">
        <v>297</v>
      </c>
      <c r="K1131" t="s">
        <v>297</v>
      </c>
      <c r="L1131" t="s">
        <v>297</v>
      </c>
      <c r="M1131" t="s">
        <v>297</v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 t="s">
        <v>297</v>
      </c>
      <c r="H1132" t="s">
        <v>297</v>
      </c>
      <c r="I1132" t="s">
        <v>297</v>
      </c>
      <c r="J1132" t="s">
        <v>297</v>
      </c>
      <c r="K1132" t="s">
        <v>297</v>
      </c>
      <c r="L1132" t="s">
        <v>297</v>
      </c>
      <c r="M1132" t="s">
        <v>297</v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 t="s">
        <v>297</v>
      </c>
      <c r="H1133" t="s">
        <v>297</v>
      </c>
      <c r="I1133" t="s">
        <v>297</v>
      </c>
      <c r="J1133" t="s">
        <v>297</v>
      </c>
      <c r="K1133" t="s">
        <v>297</v>
      </c>
      <c r="L1133" t="s">
        <v>297</v>
      </c>
      <c r="M1133" t="s">
        <v>297</v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 t="s">
        <v>297</v>
      </c>
      <c r="H1134" t="s">
        <v>297</v>
      </c>
      <c r="I1134" t="s">
        <v>297</v>
      </c>
      <c r="J1134" t="s">
        <v>297</v>
      </c>
      <c r="K1134" t="s">
        <v>297</v>
      </c>
      <c r="L1134" t="s">
        <v>297</v>
      </c>
      <c r="M1134" t="s">
        <v>297</v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 t="s">
        <v>297</v>
      </c>
      <c r="H1135" t="s">
        <v>297</v>
      </c>
      <c r="I1135" t="s">
        <v>297</v>
      </c>
      <c r="J1135" t="s">
        <v>297</v>
      </c>
      <c r="K1135" t="s">
        <v>297</v>
      </c>
      <c r="L1135" t="s">
        <v>297</v>
      </c>
      <c r="M1135" t="s">
        <v>297</v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 t="s">
        <v>297</v>
      </c>
      <c r="H1136" t="s">
        <v>297</v>
      </c>
      <c r="I1136" t="s">
        <v>297</v>
      </c>
      <c r="J1136" t="s">
        <v>297</v>
      </c>
      <c r="K1136" t="s">
        <v>297</v>
      </c>
      <c r="L1136" t="s">
        <v>297</v>
      </c>
      <c r="M1136" t="s">
        <v>297</v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 t="s">
        <v>297</v>
      </c>
      <c r="H1137" t="s">
        <v>297</v>
      </c>
      <c r="I1137" t="s">
        <v>297</v>
      </c>
      <c r="J1137" t="s">
        <v>297</v>
      </c>
      <c r="K1137" t="s">
        <v>297</v>
      </c>
      <c r="L1137" t="s">
        <v>297</v>
      </c>
      <c r="M1137" t="s">
        <v>297</v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 t="s">
        <v>297</v>
      </c>
      <c r="H1138" t="s">
        <v>297</v>
      </c>
      <c r="I1138" t="s">
        <v>297</v>
      </c>
      <c r="J1138" t="s">
        <v>297</v>
      </c>
      <c r="K1138" t="s">
        <v>297</v>
      </c>
      <c r="L1138" t="s">
        <v>297</v>
      </c>
      <c r="M1138" t="s">
        <v>297</v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 t="s">
        <v>297</v>
      </c>
      <c r="H1139" t="s">
        <v>297</v>
      </c>
      <c r="I1139" t="s">
        <v>297</v>
      </c>
      <c r="J1139" t="s">
        <v>297</v>
      </c>
      <c r="K1139" t="s">
        <v>297</v>
      </c>
      <c r="L1139" t="s">
        <v>297</v>
      </c>
      <c r="M1139" t="s">
        <v>297</v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 t="s">
        <v>297</v>
      </c>
      <c r="H1140" t="s">
        <v>297</v>
      </c>
      <c r="I1140" t="s">
        <v>297</v>
      </c>
      <c r="J1140" t="s">
        <v>297</v>
      </c>
      <c r="K1140" t="s">
        <v>297</v>
      </c>
      <c r="L1140" t="s">
        <v>297</v>
      </c>
      <c r="M1140" t="s">
        <v>297</v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 t="s">
        <v>297</v>
      </c>
      <c r="H1141" t="s">
        <v>297</v>
      </c>
      <c r="I1141" t="s">
        <v>297</v>
      </c>
      <c r="J1141" t="s">
        <v>297</v>
      </c>
      <c r="K1141" t="s">
        <v>297</v>
      </c>
      <c r="L1141" t="s">
        <v>297</v>
      </c>
      <c r="M1141" t="s">
        <v>297</v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 t="s">
        <v>297</v>
      </c>
      <c r="H1142" t="s">
        <v>297</v>
      </c>
      <c r="I1142" t="s">
        <v>297</v>
      </c>
      <c r="J1142" t="s">
        <v>297</v>
      </c>
      <c r="K1142" t="s">
        <v>297</v>
      </c>
      <c r="L1142" t="s">
        <v>297</v>
      </c>
      <c r="M1142" t="s">
        <v>297</v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 t="s">
        <v>297</v>
      </c>
      <c r="H1143" t="s">
        <v>297</v>
      </c>
      <c r="I1143" t="s">
        <v>297</v>
      </c>
      <c r="J1143" t="s">
        <v>297</v>
      </c>
      <c r="K1143" t="s">
        <v>297</v>
      </c>
      <c r="L1143" t="s">
        <v>297</v>
      </c>
      <c r="M1143" t="s">
        <v>297</v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 t="s">
        <v>297</v>
      </c>
      <c r="H1144" t="s">
        <v>297</v>
      </c>
      <c r="I1144" t="s">
        <v>297</v>
      </c>
      <c r="J1144" t="s">
        <v>297</v>
      </c>
      <c r="K1144" t="s">
        <v>297</v>
      </c>
      <c r="L1144" t="s">
        <v>297</v>
      </c>
      <c r="M1144" t="s">
        <v>297</v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 t="s">
        <v>297</v>
      </c>
      <c r="H1145" t="s">
        <v>297</v>
      </c>
      <c r="I1145" t="s">
        <v>297</v>
      </c>
      <c r="J1145" t="s">
        <v>297</v>
      </c>
      <c r="K1145" t="s">
        <v>297</v>
      </c>
      <c r="L1145" t="s">
        <v>297</v>
      </c>
      <c r="M1145" t="s">
        <v>297</v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 t="s">
        <v>297</v>
      </c>
      <c r="H1146" t="s">
        <v>297</v>
      </c>
      <c r="I1146" t="s">
        <v>297</v>
      </c>
      <c r="J1146" t="s">
        <v>297</v>
      </c>
      <c r="K1146" t="s">
        <v>297</v>
      </c>
      <c r="L1146" t="s">
        <v>297</v>
      </c>
      <c r="M1146" t="s">
        <v>297</v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 t="s">
        <v>297</v>
      </c>
      <c r="H1147" t="s">
        <v>297</v>
      </c>
      <c r="I1147" t="s">
        <v>297</v>
      </c>
      <c r="J1147" t="s">
        <v>297</v>
      </c>
      <c r="K1147" t="s">
        <v>297</v>
      </c>
      <c r="L1147" t="s">
        <v>297</v>
      </c>
      <c r="M1147" t="s">
        <v>297</v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 t="s">
        <v>297</v>
      </c>
      <c r="H1148" t="s">
        <v>297</v>
      </c>
      <c r="I1148" t="s">
        <v>297</v>
      </c>
      <c r="J1148" t="s">
        <v>297</v>
      </c>
      <c r="K1148" t="s">
        <v>297</v>
      </c>
      <c r="L1148" t="s">
        <v>297</v>
      </c>
      <c r="M1148" t="s">
        <v>297</v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 t="s">
        <v>297</v>
      </c>
      <c r="H1149" t="s">
        <v>297</v>
      </c>
      <c r="I1149" t="s">
        <v>297</v>
      </c>
      <c r="J1149" t="s">
        <v>297</v>
      </c>
      <c r="K1149" t="s">
        <v>297</v>
      </c>
      <c r="L1149" t="s">
        <v>297</v>
      </c>
      <c r="M1149" t="s">
        <v>297</v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 t="s">
        <v>297</v>
      </c>
      <c r="H1150" t="s">
        <v>297</v>
      </c>
      <c r="I1150" t="s">
        <v>297</v>
      </c>
      <c r="J1150" t="s">
        <v>297</v>
      </c>
      <c r="K1150" t="s">
        <v>297</v>
      </c>
      <c r="L1150" t="s">
        <v>297</v>
      </c>
      <c r="M1150" t="s">
        <v>297</v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 t="s">
        <v>297</v>
      </c>
      <c r="H1151" t="s">
        <v>297</v>
      </c>
      <c r="I1151" t="s">
        <v>297</v>
      </c>
      <c r="J1151" t="s">
        <v>297</v>
      </c>
      <c r="K1151" t="s">
        <v>297</v>
      </c>
      <c r="L1151" t="s">
        <v>297</v>
      </c>
      <c r="M1151" t="s">
        <v>297</v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 t="s">
        <v>297</v>
      </c>
      <c r="H1152" t="s">
        <v>297</v>
      </c>
      <c r="I1152" t="s">
        <v>297</v>
      </c>
      <c r="J1152" t="s">
        <v>297</v>
      </c>
      <c r="K1152" t="s">
        <v>297</v>
      </c>
      <c r="L1152" t="s">
        <v>297</v>
      </c>
      <c r="M1152" t="s">
        <v>297</v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 t="s">
        <v>297</v>
      </c>
      <c r="H1153" t="s">
        <v>297</v>
      </c>
      <c r="I1153" t="s">
        <v>297</v>
      </c>
      <c r="J1153" t="s">
        <v>297</v>
      </c>
      <c r="K1153" t="s">
        <v>297</v>
      </c>
      <c r="L1153" t="s">
        <v>297</v>
      </c>
      <c r="M1153" t="s">
        <v>297</v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 t="s">
        <v>297</v>
      </c>
      <c r="H1154" t="s">
        <v>297</v>
      </c>
      <c r="I1154" t="s">
        <v>297</v>
      </c>
      <c r="J1154" t="s">
        <v>297</v>
      </c>
      <c r="K1154" t="s">
        <v>297</v>
      </c>
      <c r="L1154" t="s">
        <v>297</v>
      </c>
      <c r="M1154" t="s">
        <v>297</v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 t="s">
        <v>297</v>
      </c>
      <c r="H1155" t="s">
        <v>297</v>
      </c>
      <c r="I1155" t="s">
        <v>297</v>
      </c>
      <c r="J1155" t="s">
        <v>297</v>
      </c>
      <c r="K1155" t="s">
        <v>297</v>
      </c>
      <c r="L1155" t="s">
        <v>297</v>
      </c>
      <c r="M1155" t="s">
        <v>297</v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 t="s">
        <v>297</v>
      </c>
      <c r="H1156" t="s">
        <v>297</v>
      </c>
      <c r="I1156" t="s">
        <v>297</v>
      </c>
      <c r="J1156" t="s">
        <v>297</v>
      </c>
      <c r="K1156" t="s">
        <v>297</v>
      </c>
      <c r="L1156" t="s">
        <v>297</v>
      </c>
      <c r="M1156" t="s">
        <v>297</v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 t="s">
        <v>297</v>
      </c>
      <c r="H1157" t="s">
        <v>297</v>
      </c>
      <c r="I1157" t="s">
        <v>297</v>
      </c>
      <c r="J1157" t="s">
        <v>297</v>
      </c>
      <c r="K1157" t="s">
        <v>297</v>
      </c>
      <c r="L1157" t="s">
        <v>297</v>
      </c>
      <c r="M1157" t="s">
        <v>297</v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 t="s">
        <v>297</v>
      </c>
      <c r="H1158" t="s">
        <v>297</v>
      </c>
      <c r="I1158" t="s">
        <v>297</v>
      </c>
      <c r="J1158" t="s">
        <v>297</v>
      </c>
      <c r="K1158" t="s">
        <v>297</v>
      </c>
      <c r="L1158" t="s">
        <v>297</v>
      </c>
      <c r="M1158" t="s">
        <v>297</v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 t="s">
        <v>297</v>
      </c>
      <c r="H1159" t="s">
        <v>297</v>
      </c>
      <c r="I1159" t="s">
        <v>297</v>
      </c>
      <c r="J1159" t="s">
        <v>297</v>
      </c>
      <c r="K1159" t="s">
        <v>297</v>
      </c>
      <c r="L1159" t="s">
        <v>297</v>
      </c>
      <c r="M1159" t="s">
        <v>297</v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 t="s">
        <v>297</v>
      </c>
      <c r="H1160" t="s">
        <v>297</v>
      </c>
      <c r="I1160" t="s">
        <v>297</v>
      </c>
      <c r="J1160" t="s">
        <v>297</v>
      </c>
      <c r="K1160" t="s">
        <v>297</v>
      </c>
      <c r="L1160" t="s">
        <v>297</v>
      </c>
      <c r="M1160" t="s">
        <v>297</v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 t="s">
        <v>297</v>
      </c>
      <c r="H1161" t="s">
        <v>297</v>
      </c>
      <c r="I1161" t="s">
        <v>297</v>
      </c>
      <c r="J1161" t="s">
        <v>297</v>
      </c>
      <c r="K1161" t="s">
        <v>297</v>
      </c>
      <c r="L1161" t="s">
        <v>297</v>
      </c>
      <c r="M1161" t="s">
        <v>297</v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 t="s">
        <v>297</v>
      </c>
      <c r="H1162" t="s">
        <v>297</v>
      </c>
      <c r="I1162" t="s">
        <v>297</v>
      </c>
      <c r="J1162" t="s">
        <v>297</v>
      </c>
      <c r="K1162" t="s">
        <v>297</v>
      </c>
      <c r="L1162" t="s">
        <v>297</v>
      </c>
      <c r="M1162" t="s">
        <v>297</v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 t="s">
        <v>297</v>
      </c>
      <c r="H1163" t="s">
        <v>297</v>
      </c>
      <c r="I1163" t="s">
        <v>297</v>
      </c>
      <c r="J1163" t="s">
        <v>297</v>
      </c>
      <c r="K1163" t="s">
        <v>297</v>
      </c>
      <c r="L1163" t="s">
        <v>297</v>
      </c>
      <c r="M1163" t="s">
        <v>297</v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 t="s">
        <v>297</v>
      </c>
      <c r="H1164" t="s">
        <v>297</v>
      </c>
      <c r="I1164" t="s">
        <v>297</v>
      </c>
      <c r="J1164" t="s">
        <v>297</v>
      </c>
      <c r="K1164" t="s">
        <v>297</v>
      </c>
      <c r="L1164" t="s">
        <v>297</v>
      </c>
      <c r="M1164" t="s">
        <v>297</v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 t="s">
        <v>297</v>
      </c>
      <c r="H1165" t="s">
        <v>297</v>
      </c>
      <c r="I1165" t="s">
        <v>297</v>
      </c>
      <c r="J1165" t="s">
        <v>297</v>
      </c>
      <c r="K1165" t="s">
        <v>297</v>
      </c>
      <c r="L1165" t="s">
        <v>297</v>
      </c>
      <c r="M1165" t="s">
        <v>297</v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 t="s">
        <v>297</v>
      </c>
      <c r="H1166" t="s">
        <v>297</v>
      </c>
      <c r="I1166" t="s">
        <v>297</v>
      </c>
      <c r="J1166" t="s">
        <v>297</v>
      </c>
      <c r="K1166" t="s">
        <v>297</v>
      </c>
      <c r="L1166" t="s">
        <v>297</v>
      </c>
      <c r="M1166" t="s">
        <v>297</v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 t="s">
        <v>297</v>
      </c>
      <c r="H1167" t="s">
        <v>297</v>
      </c>
      <c r="I1167" t="s">
        <v>297</v>
      </c>
      <c r="J1167" t="s">
        <v>297</v>
      </c>
      <c r="K1167" t="s">
        <v>297</v>
      </c>
      <c r="L1167" t="s">
        <v>297</v>
      </c>
      <c r="M1167" t="s">
        <v>297</v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 t="s">
        <v>297</v>
      </c>
      <c r="H1168" t="s">
        <v>297</v>
      </c>
      <c r="I1168" t="s">
        <v>297</v>
      </c>
      <c r="J1168" t="s">
        <v>297</v>
      </c>
      <c r="K1168" t="s">
        <v>297</v>
      </c>
      <c r="L1168" t="s">
        <v>297</v>
      </c>
      <c r="M1168" t="s">
        <v>297</v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 t="s">
        <v>297</v>
      </c>
      <c r="H1169" t="s">
        <v>297</v>
      </c>
      <c r="I1169" t="s">
        <v>297</v>
      </c>
      <c r="J1169" t="s">
        <v>297</v>
      </c>
      <c r="K1169" t="s">
        <v>297</v>
      </c>
      <c r="L1169" t="s">
        <v>297</v>
      </c>
      <c r="M1169" t="s">
        <v>297</v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 t="s">
        <v>297</v>
      </c>
      <c r="H1170" t="s">
        <v>297</v>
      </c>
      <c r="I1170" t="s">
        <v>297</v>
      </c>
      <c r="J1170" t="s">
        <v>297</v>
      </c>
      <c r="K1170" t="s">
        <v>297</v>
      </c>
      <c r="L1170" t="s">
        <v>297</v>
      </c>
      <c r="M1170" t="s">
        <v>297</v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 t="s">
        <v>297</v>
      </c>
      <c r="H1171" t="s">
        <v>297</v>
      </c>
      <c r="I1171" t="s">
        <v>297</v>
      </c>
      <c r="J1171" t="s">
        <v>297</v>
      </c>
      <c r="K1171" t="s">
        <v>297</v>
      </c>
      <c r="L1171" t="s">
        <v>297</v>
      </c>
      <c r="M1171" t="s">
        <v>297</v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 t="s">
        <v>297</v>
      </c>
      <c r="H1172" t="s">
        <v>297</v>
      </c>
      <c r="I1172" t="s">
        <v>297</v>
      </c>
      <c r="J1172" t="s">
        <v>297</v>
      </c>
      <c r="K1172" t="s">
        <v>297</v>
      </c>
      <c r="L1172" t="s">
        <v>297</v>
      </c>
      <c r="M1172" t="s">
        <v>297</v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 t="s">
        <v>297</v>
      </c>
      <c r="H1173" t="s">
        <v>297</v>
      </c>
      <c r="I1173" t="s">
        <v>297</v>
      </c>
      <c r="J1173" t="s">
        <v>297</v>
      </c>
      <c r="K1173" t="s">
        <v>297</v>
      </c>
      <c r="L1173" t="s">
        <v>297</v>
      </c>
      <c r="M1173" t="s">
        <v>297</v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 t="s">
        <v>297</v>
      </c>
      <c r="H1174" t="s">
        <v>297</v>
      </c>
      <c r="I1174" t="s">
        <v>297</v>
      </c>
      <c r="J1174" t="s">
        <v>297</v>
      </c>
      <c r="K1174" t="s">
        <v>297</v>
      </c>
      <c r="L1174" t="s">
        <v>297</v>
      </c>
      <c r="M1174" t="s">
        <v>297</v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 t="s">
        <v>297</v>
      </c>
      <c r="H1175" t="s">
        <v>297</v>
      </c>
      <c r="I1175" t="s">
        <v>297</v>
      </c>
      <c r="J1175" t="s">
        <v>297</v>
      </c>
      <c r="K1175" t="s">
        <v>297</v>
      </c>
      <c r="L1175" t="s">
        <v>297</v>
      </c>
      <c r="M1175" t="s">
        <v>297</v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 t="s">
        <v>297</v>
      </c>
      <c r="H1176" t="s">
        <v>297</v>
      </c>
      <c r="I1176" t="s">
        <v>297</v>
      </c>
      <c r="J1176" t="s">
        <v>297</v>
      </c>
      <c r="K1176" t="s">
        <v>297</v>
      </c>
      <c r="L1176" t="s">
        <v>297</v>
      </c>
      <c r="M1176" t="s">
        <v>297</v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 t="s">
        <v>297</v>
      </c>
      <c r="H1177" t="s">
        <v>297</v>
      </c>
      <c r="I1177" t="s">
        <v>297</v>
      </c>
      <c r="J1177" t="s">
        <v>297</v>
      </c>
      <c r="K1177" t="s">
        <v>297</v>
      </c>
      <c r="L1177" t="s">
        <v>297</v>
      </c>
      <c r="M1177" t="s">
        <v>297</v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 t="s">
        <v>297</v>
      </c>
      <c r="H1178" t="s">
        <v>297</v>
      </c>
      <c r="I1178" t="s">
        <v>297</v>
      </c>
      <c r="J1178" t="s">
        <v>297</v>
      </c>
      <c r="K1178" t="s">
        <v>297</v>
      </c>
      <c r="L1178" t="s">
        <v>297</v>
      </c>
      <c r="M1178" t="s">
        <v>297</v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 t="s">
        <v>297</v>
      </c>
      <c r="H1179" t="s">
        <v>297</v>
      </c>
      <c r="I1179" t="s">
        <v>297</v>
      </c>
      <c r="J1179" t="s">
        <v>297</v>
      </c>
      <c r="K1179" t="s">
        <v>297</v>
      </c>
      <c r="L1179" t="s">
        <v>297</v>
      </c>
      <c r="M1179" t="s">
        <v>297</v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 t="s">
        <v>297</v>
      </c>
      <c r="H1180" t="s">
        <v>297</v>
      </c>
      <c r="I1180" t="s">
        <v>297</v>
      </c>
      <c r="J1180" t="s">
        <v>297</v>
      </c>
      <c r="K1180" t="s">
        <v>297</v>
      </c>
      <c r="L1180" t="s">
        <v>297</v>
      </c>
      <c r="M1180" t="s">
        <v>297</v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 t="s">
        <v>297</v>
      </c>
      <c r="H1181" t="s">
        <v>297</v>
      </c>
      <c r="I1181" t="s">
        <v>297</v>
      </c>
      <c r="J1181" t="s">
        <v>297</v>
      </c>
      <c r="K1181" t="s">
        <v>297</v>
      </c>
      <c r="L1181" t="s">
        <v>297</v>
      </c>
      <c r="M1181" t="s">
        <v>297</v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 t="s">
        <v>297</v>
      </c>
      <c r="H1182" t="s">
        <v>297</v>
      </c>
      <c r="I1182" t="s">
        <v>297</v>
      </c>
      <c r="J1182" t="s">
        <v>297</v>
      </c>
      <c r="K1182" t="s">
        <v>297</v>
      </c>
      <c r="L1182" t="s">
        <v>297</v>
      </c>
      <c r="M1182" t="s">
        <v>297</v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 t="s">
        <v>297</v>
      </c>
      <c r="H1183" t="s">
        <v>297</v>
      </c>
      <c r="I1183" t="s">
        <v>297</v>
      </c>
      <c r="J1183" t="s">
        <v>297</v>
      </c>
      <c r="K1183" t="s">
        <v>297</v>
      </c>
      <c r="L1183" t="s">
        <v>297</v>
      </c>
      <c r="M1183" t="s">
        <v>297</v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 t="s">
        <v>297</v>
      </c>
      <c r="H1184" t="s">
        <v>297</v>
      </c>
      <c r="I1184" t="s">
        <v>297</v>
      </c>
      <c r="J1184" t="s">
        <v>297</v>
      </c>
      <c r="K1184" t="s">
        <v>297</v>
      </c>
      <c r="L1184" t="s">
        <v>297</v>
      </c>
      <c r="M1184" t="s">
        <v>297</v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 t="s">
        <v>297</v>
      </c>
      <c r="H1185" t="s">
        <v>297</v>
      </c>
      <c r="I1185" t="s">
        <v>297</v>
      </c>
      <c r="J1185" t="s">
        <v>297</v>
      </c>
      <c r="K1185" t="s">
        <v>297</v>
      </c>
      <c r="L1185" t="s">
        <v>297</v>
      </c>
      <c r="M1185" t="s">
        <v>297</v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 t="s">
        <v>297</v>
      </c>
      <c r="H1186" t="s">
        <v>297</v>
      </c>
      <c r="I1186" t="s">
        <v>297</v>
      </c>
      <c r="J1186" t="s">
        <v>297</v>
      </c>
      <c r="K1186" t="s">
        <v>297</v>
      </c>
      <c r="L1186" t="s">
        <v>297</v>
      </c>
      <c r="M1186" t="s">
        <v>297</v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 t="s">
        <v>297</v>
      </c>
      <c r="H1187" t="s">
        <v>297</v>
      </c>
      <c r="I1187" t="s">
        <v>297</v>
      </c>
      <c r="J1187" t="s">
        <v>297</v>
      </c>
      <c r="K1187" t="s">
        <v>297</v>
      </c>
      <c r="L1187" t="s">
        <v>297</v>
      </c>
      <c r="M1187" t="s">
        <v>297</v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 t="s">
        <v>297</v>
      </c>
      <c r="H1188" t="s">
        <v>297</v>
      </c>
      <c r="I1188" t="s">
        <v>297</v>
      </c>
      <c r="J1188" t="s">
        <v>297</v>
      </c>
      <c r="K1188" t="s">
        <v>297</v>
      </c>
      <c r="L1188" t="s">
        <v>297</v>
      </c>
      <c r="M1188" t="s">
        <v>297</v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 t="s">
        <v>297</v>
      </c>
      <c r="H1189" t="s">
        <v>297</v>
      </c>
      <c r="I1189" t="s">
        <v>297</v>
      </c>
      <c r="J1189" t="s">
        <v>297</v>
      </c>
      <c r="K1189" t="s">
        <v>297</v>
      </c>
      <c r="L1189" t="s">
        <v>297</v>
      </c>
      <c r="M1189" t="s">
        <v>297</v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 t="s">
        <v>297</v>
      </c>
      <c r="H1190" t="s">
        <v>297</v>
      </c>
      <c r="I1190" t="s">
        <v>297</v>
      </c>
      <c r="J1190" t="s">
        <v>297</v>
      </c>
      <c r="K1190" t="s">
        <v>297</v>
      </c>
      <c r="L1190" t="s">
        <v>297</v>
      </c>
      <c r="M1190" t="s">
        <v>297</v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 t="s">
        <v>297</v>
      </c>
      <c r="H1191" t="s">
        <v>297</v>
      </c>
      <c r="I1191" t="s">
        <v>297</v>
      </c>
      <c r="J1191" t="s">
        <v>297</v>
      </c>
      <c r="K1191" t="s">
        <v>297</v>
      </c>
      <c r="L1191" t="s">
        <v>297</v>
      </c>
      <c r="M1191" t="s">
        <v>297</v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 t="s">
        <v>297</v>
      </c>
      <c r="H1192" t="s">
        <v>297</v>
      </c>
      <c r="I1192" t="s">
        <v>297</v>
      </c>
      <c r="J1192" t="s">
        <v>297</v>
      </c>
      <c r="K1192" t="s">
        <v>297</v>
      </c>
      <c r="L1192" t="s">
        <v>297</v>
      </c>
      <c r="M1192" t="s">
        <v>297</v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 t="s">
        <v>297</v>
      </c>
      <c r="H1193" t="s">
        <v>297</v>
      </c>
      <c r="I1193" t="s">
        <v>297</v>
      </c>
      <c r="J1193" t="s">
        <v>297</v>
      </c>
      <c r="K1193" t="s">
        <v>297</v>
      </c>
      <c r="L1193" t="s">
        <v>297</v>
      </c>
      <c r="M1193" t="s">
        <v>297</v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 t="s">
        <v>297</v>
      </c>
      <c r="H1194" t="s">
        <v>297</v>
      </c>
      <c r="I1194" t="s">
        <v>297</v>
      </c>
      <c r="J1194" t="s">
        <v>297</v>
      </c>
      <c r="K1194" t="s">
        <v>297</v>
      </c>
      <c r="L1194" t="s">
        <v>297</v>
      </c>
      <c r="M1194" t="s">
        <v>297</v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 t="s">
        <v>297</v>
      </c>
      <c r="H1195" t="s">
        <v>297</v>
      </c>
      <c r="I1195" t="s">
        <v>297</v>
      </c>
      <c r="J1195" t="s">
        <v>297</v>
      </c>
      <c r="K1195" t="s">
        <v>297</v>
      </c>
      <c r="L1195" t="s">
        <v>297</v>
      </c>
      <c r="M1195" t="s">
        <v>297</v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 t="s">
        <v>297</v>
      </c>
      <c r="H1196" t="s">
        <v>297</v>
      </c>
      <c r="I1196" t="s">
        <v>297</v>
      </c>
      <c r="J1196" t="s">
        <v>297</v>
      </c>
      <c r="K1196" t="s">
        <v>297</v>
      </c>
      <c r="L1196" t="s">
        <v>297</v>
      </c>
      <c r="M1196" t="s">
        <v>297</v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 t="s">
        <v>297</v>
      </c>
      <c r="H1197" t="s">
        <v>297</v>
      </c>
      <c r="I1197" t="s">
        <v>297</v>
      </c>
      <c r="J1197" t="s">
        <v>297</v>
      </c>
      <c r="K1197" t="s">
        <v>297</v>
      </c>
      <c r="L1197" t="s">
        <v>297</v>
      </c>
      <c r="M1197" t="s">
        <v>297</v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 t="s">
        <v>297</v>
      </c>
      <c r="H1198" t="s">
        <v>297</v>
      </c>
      <c r="I1198" t="s">
        <v>297</v>
      </c>
      <c r="J1198" t="s">
        <v>297</v>
      </c>
      <c r="K1198" t="s">
        <v>297</v>
      </c>
      <c r="L1198" t="s">
        <v>297</v>
      </c>
      <c r="M1198" t="s">
        <v>297</v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 t="s">
        <v>297</v>
      </c>
      <c r="H1199" t="s">
        <v>297</v>
      </c>
      <c r="I1199" t="s">
        <v>297</v>
      </c>
      <c r="J1199" t="s">
        <v>297</v>
      </c>
      <c r="K1199" t="s">
        <v>297</v>
      </c>
      <c r="L1199" t="s">
        <v>297</v>
      </c>
      <c r="M1199" t="s">
        <v>297</v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 t="s">
        <v>297</v>
      </c>
      <c r="H1200" t="s">
        <v>297</v>
      </c>
      <c r="I1200" t="s">
        <v>297</v>
      </c>
      <c r="J1200" t="s">
        <v>297</v>
      </c>
      <c r="K1200" t="s">
        <v>297</v>
      </c>
      <c r="L1200" t="s">
        <v>297</v>
      </c>
      <c r="M1200" t="s">
        <v>297</v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 t="s">
        <v>297</v>
      </c>
      <c r="H1201" t="s">
        <v>297</v>
      </c>
      <c r="I1201" t="s">
        <v>297</v>
      </c>
      <c r="J1201" t="s">
        <v>297</v>
      </c>
      <c r="K1201" t="s">
        <v>297</v>
      </c>
      <c r="L1201" t="s">
        <v>297</v>
      </c>
      <c r="M1201" t="s">
        <v>297</v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 t="s">
        <v>297</v>
      </c>
      <c r="H1202" t="s">
        <v>297</v>
      </c>
      <c r="I1202" t="s">
        <v>297</v>
      </c>
      <c r="J1202" t="s">
        <v>297</v>
      </c>
      <c r="K1202" t="s">
        <v>297</v>
      </c>
      <c r="L1202" t="s">
        <v>297</v>
      </c>
      <c r="M1202" t="s">
        <v>297</v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 t="s">
        <v>297</v>
      </c>
      <c r="H1203" t="s">
        <v>297</v>
      </c>
      <c r="I1203" t="s">
        <v>297</v>
      </c>
      <c r="J1203" t="s">
        <v>297</v>
      </c>
      <c r="K1203" t="s">
        <v>297</v>
      </c>
      <c r="L1203" t="s">
        <v>297</v>
      </c>
      <c r="M1203" t="s">
        <v>297</v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 t="s">
        <v>297</v>
      </c>
      <c r="H1204" t="s">
        <v>297</v>
      </c>
      <c r="I1204" t="s">
        <v>297</v>
      </c>
      <c r="J1204" t="s">
        <v>297</v>
      </c>
      <c r="K1204" t="s">
        <v>297</v>
      </c>
      <c r="L1204" t="s">
        <v>297</v>
      </c>
      <c r="M1204" t="s">
        <v>297</v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 t="s">
        <v>297</v>
      </c>
      <c r="H1205" t="s">
        <v>297</v>
      </c>
      <c r="I1205" t="s">
        <v>297</v>
      </c>
      <c r="J1205" t="s">
        <v>297</v>
      </c>
      <c r="K1205" t="s">
        <v>297</v>
      </c>
      <c r="L1205" t="s">
        <v>297</v>
      </c>
      <c r="M1205" t="s">
        <v>297</v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 t="s">
        <v>297</v>
      </c>
      <c r="H1206" t="s">
        <v>297</v>
      </c>
      <c r="I1206" t="s">
        <v>297</v>
      </c>
      <c r="J1206" t="s">
        <v>297</v>
      </c>
      <c r="K1206" t="s">
        <v>297</v>
      </c>
      <c r="L1206" t="s">
        <v>297</v>
      </c>
      <c r="M1206" t="s">
        <v>297</v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 t="s">
        <v>297</v>
      </c>
      <c r="H1207" t="s">
        <v>297</v>
      </c>
      <c r="I1207" t="s">
        <v>297</v>
      </c>
      <c r="J1207" t="s">
        <v>297</v>
      </c>
      <c r="K1207" t="s">
        <v>297</v>
      </c>
      <c r="L1207" t="s">
        <v>297</v>
      </c>
      <c r="M1207" t="s">
        <v>297</v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 t="s">
        <v>297</v>
      </c>
      <c r="H1208" t="s">
        <v>297</v>
      </c>
      <c r="I1208" t="s">
        <v>297</v>
      </c>
      <c r="J1208" t="s">
        <v>297</v>
      </c>
      <c r="K1208" t="s">
        <v>297</v>
      </c>
      <c r="L1208" t="s">
        <v>297</v>
      </c>
      <c r="M1208" t="s">
        <v>297</v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 t="s">
        <v>297</v>
      </c>
      <c r="H1209" t="s">
        <v>297</v>
      </c>
      <c r="I1209" t="s">
        <v>297</v>
      </c>
      <c r="J1209" t="s">
        <v>297</v>
      </c>
      <c r="K1209" t="s">
        <v>297</v>
      </c>
      <c r="L1209" t="s">
        <v>297</v>
      </c>
      <c r="M1209" t="s">
        <v>297</v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 t="s">
        <v>297</v>
      </c>
      <c r="H1210" t="s">
        <v>297</v>
      </c>
      <c r="I1210" t="s">
        <v>297</v>
      </c>
      <c r="J1210" t="s">
        <v>297</v>
      </c>
      <c r="K1210" t="s">
        <v>297</v>
      </c>
      <c r="L1210" t="s">
        <v>297</v>
      </c>
      <c r="M1210" t="s">
        <v>297</v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 t="s">
        <v>297</v>
      </c>
      <c r="H1211" t="s">
        <v>297</v>
      </c>
      <c r="I1211" t="s">
        <v>297</v>
      </c>
      <c r="J1211" t="s">
        <v>297</v>
      </c>
      <c r="K1211" t="s">
        <v>297</v>
      </c>
      <c r="L1211" t="s">
        <v>297</v>
      </c>
      <c r="M1211" t="s">
        <v>297</v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 t="s">
        <v>297</v>
      </c>
      <c r="H1212" t="s">
        <v>297</v>
      </c>
      <c r="I1212" t="s">
        <v>297</v>
      </c>
      <c r="J1212" t="s">
        <v>297</v>
      </c>
      <c r="K1212" t="s">
        <v>297</v>
      </c>
      <c r="L1212" t="s">
        <v>297</v>
      </c>
      <c r="M1212" t="s">
        <v>297</v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 t="s">
        <v>297</v>
      </c>
      <c r="H1213" t="s">
        <v>297</v>
      </c>
      <c r="I1213" t="s">
        <v>297</v>
      </c>
      <c r="J1213" t="s">
        <v>297</v>
      </c>
      <c r="K1213" t="s">
        <v>297</v>
      </c>
      <c r="L1213" t="s">
        <v>297</v>
      </c>
      <c r="M1213" t="s">
        <v>297</v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 t="s">
        <v>297</v>
      </c>
      <c r="H1214" t="s">
        <v>297</v>
      </c>
      <c r="I1214" t="s">
        <v>297</v>
      </c>
      <c r="J1214" t="s">
        <v>297</v>
      </c>
      <c r="K1214" t="s">
        <v>297</v>
      </c>
      <c r="L1214" t="s">
        <v>297</v>
      </c>
      <c r="M1214" t="s">
        <v>297</v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 t="s">
        <v>297</v>
      </c>
      <c r="H1215" t="s">
        <v>297</v>
      </c>
      <c r="I1215" t="s">
        <v>297</v>
      </c>
      <c r="J1215" t="s">
        <v>297</v>
      </c>
      <c r="K1215" t="s">
        <v>297</v>
      </c>
      <c r="L1215" t="s">
        <v>297</v>
      </c>
      <c r="M1215" t="s">
        <v>297</v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 t="s">
        <v>297</v>
      </c>
      <c r="H1216" t="s">
        <v>297</v>
      </c>
      <c r="I1216" t="s">
        <v>297</v>
      </c>
      <c r="J1216" t="s">
        <v>297</v>
      </c>
      <c r="K1216" t="s">
        <v>297</v>
      </c>
      <c r="L1216" t="s">
        <v>297</v>
      </c>
      <c r="M1216" t="s">
        <v>297</v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 t="s">
        <v>297</v>
      </c>
      <c r="H1217" t="s">
        <v>297</v>
      </c>
      <c r="I1217" t="s">
        <v>297</v>
      </c>
      <c r="J1217" t="s">
        <v>297</v>
      </c>
      <c r="K1217" t="s">
        <v>297</v>
      </c>
      <c r="L1217" t="s">
        <v>297</v>
      </c>
      <c r="M1217" t="s">
        <v>297</v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 t="s">
        <v>297</v>
      </c>
      <c r="H1218" t="s">
        <v>297</v>
      </c>
      <c r="I1218" t="s">
        <v>297</v>
      </c>
      <c r="J1218" t="s">
        <v>297</v>
      </c>
      <c r="K1218" t="s">
        <v>297</v>
      </c>
      <c r="L1218" t="s">
        <v>297</v>
      </c>
      <c r="M1218" t="s">
        <v>297</v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 t="s">
        <v>297</v>
      </c>
      <c r="H1219" t="s">
        <v>297</v>
      </c>
      <c r="I1219" t="s">
        <v>297</v>
      </c>
      <c r="J1219" t="s">
        <v>297</v>
      </c>
      <c r="K1219" t="s">
        <v>297</v>
      </c>
      <c r="L1219" t="s">
        <v>297</v>
      </c>
      <c r="M1219" t="s">
        <v>297</v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 t="s">
        <v>297</v>
      </c>
      <c r="H1220" t="s">
        <v>297</v>
      </c>
      <c r="I1220" t="s">
        <v>297</v>
      </c>
      <c r="J1220" t="s">
        <v>297</v>
      </c>
      <c r="K1220" t="s">
        <v>297</v>
      </c>
      <c r="L1220" t="s">
        <v>297</v>
      </c>
      <c r="M1220" t="s">
        <v>297</v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 t="s">
        <v>297</v>
      </c>
      <c r="H1221" t="s">
        <v>297</v>
      </c>
      <c r="I1221" t="s">
        <v>297</v>
      </c>
      <c r="J1221" t="s">
        <v>297</v>
      </c>
      <c r="K1221" t="s">
        <v>297</v>
      </c>
      <c r="L1221" t="s">
        <v>297</v>
      </c>
      <c r="M1221" t="s">
        <v>297</v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 t="s">
        <v>297</v>
      </c>
      <c r="H1222" t="s">
        <v>297</v>
      </c>
      <c r="I1222" t="s">
        <v>297</v>
      </c>
      <c r="J1222" t="s">
        <v>297</v>
      </c>
      <c r="K1222" t="s">
        <v>297</v>
      </c>
      <c r="L1222" t="s">
        <v>297</v>
      </c>
      <c r="M1222" t="s">
        <v>297</v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 t="s">
        <v>297</v>
      </c>
      <c r="H1223" t="s">
        <v>297</v>
      </c>
      <c r="I1223" t="s">
        <v>297</v>
      </c>
      <c r="J1223" t="s">
        <v>297</v>
      </c>
      <c r="K1223" t="s">
        <v>297</v>
      </c>
      <c r="L1223" t="s">
        <v>297</v>
      </c>
      <c r="M1223" t="s">
        <v>297</v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 t="s">
        <v>297</v>
      </c>
      <c r="H1224" t="s">
        <v>297</v>
      </c>
      <c r="I1224" t="s">
        <v>297</v>
      </c>
      <c r="J1224" t="s">
        <v>297</v>
      </c>
      <c r="K1224" t="s">
        <v>297</v>
      </c>
      <c r="L1224" t="s">
        <v>297</v>
      </c>
      <c r="M1224" t="s">
        <v>297</v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 t="s">
        <v>297</v>
      </c>
      <c r="H1225" t="s">
        <v>297</v>
      </c>
      <c r="I1225" t="s">
        <v>297</v>
      </c>
      <c r="J1225" t="s">
        <v>297</v>
      </c>
      <c r="K1225" t="s">
        <v>297</v>
      </c>
      <c r="L1225" t="s">
        <v>297</v>
      </c>
      <c r="M1225" t="s">
        <v>297</v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 t="s">
        <v>297</v>
      </c>
      <c r="H1226" t="s">
        <v>297</v>
      </c>
      <c r="I1226" t="s">
        <v>297</v>
      </c>
      <c r="J1226" t="s">
        <v>297</v>
      </c>
      <c r="K1226" t="s">
        <v>297</v>
      </c>
      <c r="L1226" t="s">
        <v>297</v>
      </c>
      <c r="M1226" t="s">
        <v>297</v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 t="s">
        <v>297</v>
      </c>
      <c r="H1227" t="s">
        <v>297</v>
      </c>
      <c r="I1227" t="s">
        <v>297</v>
      </c>
      <c r="J1227" t="s">
        <v>297</v>
      </c>
      <c r="K1227" t="s">
        <v>297</v>
      </c>
      <c r="L1227" t="s">
        <v>297</v>
      </c>
      <c r="M1227" t="s">
        <v>297</v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 t="s">
        <v>297</v>
      </c>
      <c r="H1228" t="s">
        <v>297</v>
      </c>
      <c r="I1228" t="s">
        <v>297</v>
      </c>
      <c r="J1228" t="s">
        <v>297</v>
      </c>
      <c r="K1228" t="s">
        <v>297</v>
      </c>
      <c r="L1228" t="s">
        <v>297</v>
      </c>
      <c r="M1228" t="s">
        <v>297</v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 t="s">
        <v>297</v>
      </c>
      <c r="H1229" t="s">
        <v>297</v>
      </c>
      <c r="I1229" t="s">
        <v>297</v>
      </c>
      <c r="J1229" t="s">
        <v>297</v>
      </c>
      <c r="K1229" t="s">
        <v>297</v>
      </c>
      <c r="L1229" t="s">
        <v>297</v>
      </c>
      <c r="M1229" t="s">
        <v>297</v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 t="s">
        <v>297</v>
      </c>
      <c r="H1230" t="s">
        <v>297</v>
      </c>
      <c r="I1230" t="s">
        <v>297</v>
      </c>
      <c r="J1230" t="s">
        <v>297</v>
      </c>
      <c r="K1230" t="s">
        <v>297</v>
      </c>
      <c r="L1230" t="s">
        <v>297</v>
      </c>
      <c r="M1230" t="s">
        <v>297</v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 t="s">
        <v>297</v>
      </c>
      <c r="H1231" t="s">
        <v>297</v>
      </c>
      <c r="I1231" t="s">
        <v>297</v>
      </c>
      <c r="J1231" t="s">
        <v>297</v>
      </c>
      <c r="K1231" t="s">
        <v>297</v>
      </c>
      <c r="L1231" t="s">
        <v>297</v>
      </c>
      <c r="M1231" t="s">
        <v>297</v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 t="s">
        <v>297</v>
      </c>
      <c r="H1232" t="s">
        <v>297</v>
      </c>
      <c r="I1232" t="s">
        <v>297</v>
      </c>
      <c r="J1232" t="s">
        <v>297</v>
      </c>
      <c r="K1232" t="s">
        <v>297</v>
      </c>
      <c r="L1232" t="s">
        <v>297</v>
      </c>
      <c r="M1232" t="s">
        <v>297</v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 t="s">
        <v>297</v>
      </c>
      <c r="H1233" t="s">
        <v>297</v>
      </c>
      <c r="I1233" t="s">
        <v>297</v>
      </c>
      <c r="J1233" t="s">
        <v>297</v>
      </c>
      <c r="K1233" t="s">
        <v>297</v>
      </c>
      <c r="L1233" t="s">
        <v>297</v>
      </c>
      <c r="M1233" t="s">
        <v>297</v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 t="s">
        <v>297</v>
      </c>
      <c r="H1234" t="s">
        <v>297</v>
      </c>
      <c r="I1234" t="s">
        <v>297</v>
      </c>
      <c r="J1234" t="s">
        <v>297</v>
      </c>
      <c r="K1234" t="s">
        <v>297</v>
      </c>
      <c r="L1234" t="s">
        <v>297</v>
      </c>
      <c r="M1234" t="s">
        <v>297</v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 t="s">
        <v>297</v>
      </c>
      <c r="H1235" t="s">
        <v>297</v>
      </c>
      <c r="I1235" t="s">
        <v>297</v>
      </c>
      <c r="J1235" t="s">
        <v>297</v>
      </c>
      <c r="K1235" t="s">
        <v>297</v>
      </c>
      <c r="L1235" t="s">
        <v>297</v>
      </c>
      <c r="M1235" t="s">
        <v>297</v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 t="s">
        <v>297</v>
      </c>
      <c r="H1236" t="s">
        <v>297</v>
      </c>
      <c r="I1236" t="s">
        <v>297</v>
      </c>
      <c r="J1236" t="s">
        <v>297</v>
      </c>
      <c r="K1236" t="s">
        <v>297</v>
      </c>
      <c r="L1236" t="s">
        <v>297</v>
      </c>
      <c r="M1236" t="s">
        <v>297</v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 t="s">
        <v>297</v>
      </c>
      <c r="H1237" t="s">
        <v>297</v>
      </c>
      <c r="I1237" t="s">
        <v>297</v>
      </c>
      <c r="J1237" t="s">
        <v>297</v>
      </c>
      <c r="K1237" t="s">
        <v>297</v>
      </c>
      <c r="L1237" t="s">
        <v>297</v>
      </c>
      <c r="M1237" t="s">
        <v>297</v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 t="s">
        <v>297</v>
      </c>
      <c r="H1238" t="s">
        <v>297</v>
      </c>
      <c r="I1238" t="s">
        <v>297</v>
      </c>
      <c r="J1238" t="s">
        <v>297</v>
      </c>
      <c r="K1238" t="s">
        <v>297</v>
      </c>
      <c r="L1238" t="s">
        <v>297</v>
      </c>
      <c r="M1238" t="s">
        <v>297</v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 t="s">
        <v>297</v>
      </c>
      <c r="H1239" t="s">
        <v>297</v>
      </c>
      <c r="I1239" t="s">
        <v>297</v>
      </c>
      <c r="J1239" t="s">
        <v>297</v>
      </c>
      <c r="K1239" t="s">
        <v>297</v>
      </c>
      <c r="L1239" t="s">
        <v>297</v>
      </c>
      <c r="M1239" t="s">
        <v>297</v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 t="s">
        <v>297</v>
      </c>
      <c r="H1240" t="s">
        <v>297</v>
      </c>
      <c r="I1240" t="s">
        <v>297</v>
      </c>
      <c r="J1240" t="s">
        <v>297</v>
      </c>
      <c r="K1240" t="s">
        <v>297</v>
      </c>
      <c r="L1240" t="s">
        <v>297</v>
      </c>
      <c r="M1240" t="s">
        <v>297</v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 t="s">
        <v>297</v>
      </c>
      <c r="H1241" t="s">
        <v>297</v>
      </c>
      <c r="I1241" t="s">
        <v>297</v>
      </c>
      <c r="J1241" t="s">
        <v>297</v>
      </c>
      <c r="K1241" t="s">
        <v>297</v>
      </c>
      <c r="L1241" t="s">
        <v>297</v>
      </c>
      <c r="M1241" t="s">
        <v>297</v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 t="s">
        <v>297</v>
      </c>
      <c r="H1242" t="s">
        <v>297</v>
      </c>
      <c r="I1242" t="s">
        <v>297</v>
      </c>
      <c r="J1242" t="s">
        <v>297</v>
      </c>
      <c r="K1242" t="s">
        <v>297</v>
      </c>
      <c r="L1242" t="s">
        <v>297</v>
      </c>
      <c r="M1242" t="s">
        <v>297</v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 t="s">
        <v>297</v>
      </c>
      <c r="H1243" t="s">
        <v>297</v>
      </c>
      <c r="I1243" t="s">
        <v>297</v>
      </c>
      <c r="J1243" t="s">
        <v>297</v>
      </c>
      <c r="K1243" t="s">
        <v>297</v>
      </c>
      <c r="L1243" t="s">
        <v>297</v>
      </c>
      <c r="M1243" t="s">
        <v>297</v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 t="s">
        <v>297</v>
      </c>
      <c r="H1244" t="s">
        <v>297</v>
      </c>
      <c r="I1244" t="s">
        <v>297</v>
      </c>
      <c r="J1244" t="s">
        <v>297</v>
      </c>
      <c r="K1244" t="s">
        <v>297</v>
      </c>
      <c r="L1244" t="s">
        <v>297</v>
      </c>
      <c r="M1244" t="s">
        <v>297</v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 t="s">
        <v>297</v>
      </c>
      <c r="H1245" t="s">
        <v>297</v>
      </c>
      <c r="I1245" t="s">
        <v>297</v>
      </c>
      <c r="J1245" t="s">
        <v>297</v>
      </c>
      <c r="K1245" t="s">
        <v>297</v>
      </c>
      <c r="L1245" t="s">
        <v>297</v>
      </c>
      <c r="M1245" t="s">
        <v>297</v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 t="s">
        <v>297</v>
      </c>
      <c r="H1246" t="s">
        <v>297</v>
      </c>
      <c r="I1246" t="s">
        <v>297</v>
      </c>
      <c r="J1246" t="s">
        <v>297</v>
      </c>
      <c r="K1246" t="s">
        <v>297</v>
      </c>
      <c r="L1246" t="s">
        <v>297</v>
      </c>
      <c r="M1246" t="s">
        <v>297</v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 t="s">
        <v>297</v>
      </c>
      <c r="H1247" t="s">
        <v>297</v>
      </c>
      <c r="I1247" t="s">
        <v>297</v>
      </c>
      <c r="J1247" t="s">
        <v>297</v>
      </c>
      <c r="K1247" t="s">
        <v>297</v>
      </c>
      <c r="L1247" t="s">
        <v>297</v>
      </c>
      <c r="M1247" t="s">
        <v>297</v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 t="s">
        <v>297</v>
      </c>
      <c r="H1248" t="s">
        <v>297</v>
      </c>
      <c r="I1248" t="s">
        <v>297</v>
      </c>
      <c r="J1248" t="s">
        <v>297</v>
      </c>
      <c r="K1248" t="s">
        <v>297</v>
      </c>
      <c r="L1248" t="s">
        <v>297</v>
      </c>
      <c r="M1248" t="s">
        <v>297</v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 t="s">
        <v>297</v>
      </c>
      <c r="H1249" t="s">
        <v>297</v>
      </c>
      <c r="I1249" t="s">
        <v>297</v>
      </c>
      <c r="J1249" t="s">
        <v>297</v>
      </c>
      <c r="K1249" t="s">
        <v>297</v>
      </c>
      <c r="L1249" t="s">
        <v>297</v>
      </c>
      <c r="M1249" t="s">
        <v>297</v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 t="s">
        <v>297</v>
      </c>
      <c r="H1250" t="s">
        <v>297</v>
      </c>
      <c r="I1250" t="s">
        <v>297</v>
      </c>
      <c r="J1250" t="s">
        <v>297</v>
      </c>
      <c r="K1250" t="s">
        <v>297</v>
      </c>
      <c r="L1250" t="s">
        <v>297</v>
      </c>
      <c r="M1250" t="s">
        <v>297</v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 t="s">
        <v>297</v>
      </c>
      <c r="H1251" t="s">
        <v>297</v>
      </c>
      <c r="I1251" t="s">
        <v>297</v>
      </c>
      <c r="J1251" t="s">
        <v>297</v>
      </c>
      <c r="K1251" t="s">
        <v>297</v>
      </c>
      <c r="L1251" t="s">
        <v>297</v>
      </c>
      <c r="M1251" t="s">
        <v>297</v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 t="s">
        <v>297</v>
      </c>
      <c r="H1252" t="s">
        <v>297</v>
      </c>
      <c r="I1252" t="s">
        <v>297</v>
      </c>
      <c r="J1252" t="s">
        <v>297</v>
      </c>
      <c r="K1252" t="s">
        <v>297</v>
      </c>
      <c r="L1252" t="s">
        <v>297</v>
      </c>
      <c r="M1252" t="s">
        <v>297</v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 t="s">
        <v>297</v>
      </c>
      <c r="H1253" t="s">
        <v>297</v>
      </c>
      <c r="I1253" t="s">
        <v>297</v>
      </c>
      <c r="J1253" t="s">
        <v>297</v>
      </c>
      <c r="K1253" t="s">
        <v>297</v>
      </c>
      <c r="L1253" t="s">
        <v>297</v>
      </c>
      <c r="M1253" t="s">
        <v>297</v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 t="s">
        <v>297</v>
      </c>
      <c r="H1254" t="s">
        <v>297</v>
      </c>
      <c r="I1254" t="s">
        <v>297</v>
      </c>
      <c r="J1254" t="s">
        <v>297</v>
      </c>
      <c r="K1254" t="s">
        <v>297</v>
      </c>
      <c r="L1254" t="s">
        <v>297</v>
      </c>
      <c r="M1254" t="s">
        <v>297</v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 t="s">
        <v>297</v>
      </c>
      <c r="H1255" t="s">
        <v>297</v>
      </c>
      <c r="I1255" t="s">
        <v>297</v>
      </c>
      <c r="J1255" t="s">
        <v>297</v>
      </c>
      <c r="K1255" t="s">
        <v>297</v>
      </c>
      <c r="L1255" t="s">
        <v>297</v>
      </c>
      <c r="M1255" t="s">
        <v>297</v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 t="s">
        <v>297</v>
      </c>
      <c r="H1256" t="s">
        <v>297</v>
      </c>
      <c r="I1256" t="s">
        <v>297</v>
      </c>
      <c r="J1256" t="s">
        <v>297</v>
      </c>
      <c r="K1256" t="s">
        <v>297</v>
      </c>
      <c r="L1256" t="s">
        <v>297</v>
      </c>
      <c r="M1256" t="s">
        <v>297</v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 t="s">
        <v>297</v>
      </c>
      <c r="H1257" t="s">
        <v>297</v>
      </c>
      <c r="I1257" t="s">
        <v>297</v>
      </c>
      <c r="J1257" t="s">
        <v>297</v>
      </c>
      <c r="K1257" t="s">
        <v>297</v>
      </c>
      <c r="L1257" t="s">
        <v>297</v>
      </c>
      <c r="M1257" t="s">
        <v>297</v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 t="s">
        <v>297</v>
      </c>
      <c r="H1258" t="s">
        <v>297</v>
      </c>
      <c r="I1258" t="s">
        <v>297</v>
      </c>
      <c r="J1258" t="s">
        <v>297</v>
      </c>
      <c r="K1258" t="s">
        <v>297</v>
      </c>
      <c r="L1258" t="s">
        <v>297</v>
      </c>
      <c r="M1258" t="s">
        <v>297</v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 t="s">
        <v>297</v>
      </c>
      <c r="H1259" t="s">
        <v>297</v>
      </c>
      <c r="I1259" t="s">
        <v>297</v>
      </c>
      <c r="J1259" t="s">
        <v>297</v>
      </c>
      <c r="K1259" t="s">
        <v>297</v>
      </c>
      <c r="L1259" t="s">
        <v>297</v>
      </c>
      <c r="M1259" t="s">
        <v>297</v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 t="s">
        <v>297</v>
      </c>
      <c r="H1260" t="s">
        <v>297</v>
      </c>
      <c r="I1260" t="s">
        <v>297</v>
      </c>
      <c r="J1260" t="s">
        <v>297</v>
      </c>
      <c r="K1260" t="s">
        <v>297</v>
      </c>
      <c r="L1260" t="s">
        <v>297</v>
      </c>
      <c r="M1260" t="s">
        <v>297</v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 t="s">
        <v>297</v>
      </c>
      <c r="H1261" t="s">
        <v>297</v>
      </c>
      <c r="I1261" t="s">
        <v>297</v>
      </c>
      <c r="J1261" t="s">
        <v>297</v>
      </c>
      <c r="K1261" t="s">
        <v>297</v>
      </c>
      <c r="L1261" t="s">
        <v>297</v>
      </c>
      <c r="M1261" t="s">
        <v>297</v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 t="s">
        <v>297</v>
      </c>
      <c r="H1262" t="s">
        <v>297</v>
      </c>
      <c r="I1262" t="s">
        <v>297</v>
      </c>
      <c r="J1262" t="s">
        <v>297</v>
      </c>
      <c r="K1262" t="s">
        <v>297</v>
      </c>
      <c r="L1262" t="s">
        <v>297</v>
      </c>
      <c r="M1262" t="s">
        <v>297</v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 t="s">
        <v>297</v>
      </c>
      <c r="H1263" t="s">
        <v>297</v>
      </c>
      <c r="I1263" t="s">
        <v>297</v>
      </c>
      <c r="J1263" t="s">
        <v>297</v>
      </c>
      <c r="K1263" t="s">
        <v>297</v>
      </c>
      <c r="L1263" t="s">
        <v>297</v>
      </c>
      <c r="M1263" t="s">
        <v>297</v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 t="s">
        <v>297</v>
      </c>
      <c r="H1264" t="s">
        <v>297</v>
      </c>
      <c r="I1264" t="s">
        <v>297</v>
      </c>
      <c r="J1264" t="s">
        <v>297</v>
      </c>
      <c r="K1264" t="s">
        <v>297</v>
      </c>
      <c r="L1264" t="s">
        <v>297</v>
      </c>
      <c r="M1264" t="s">
        <v>297</v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 t="s">
        <v>297</v>
      </c>
      <c r="H1265" t="s">
        <v>297</v>
      </c>
      <c r="I1265" t="s">
        <v>297</v>
      </c>
      <c r="J1265" t="s">
        <v>297</v>
      </c>
      <c r="K1265" t="s">
        <v>297</v>
      </c>
      <c r="L1265" t="s">
        <v>297</v>
      </c>
      <c r="M1265" t="s">
        <v>297</v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 t="s">
        <v>297</v>
      </c>
      <c r="H1266" t="s">
        <v>297</v>
      </c>
      <c r="I1266" t="s">
        <v>297</v>
      </c>
      <c r="J1266" t="s">
        <v>297</v>
      </c>
      <c r="K1266" t="s">
        <v>297</v>
      </c>
      <c r="L1266" t="s">
        <v>297</v>
      </c>
      <c r="M1266" t="s">
        <v>297</v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 t="s">
        <v>297</v>
      </c>
      <c r="H1267" t="s">
        <v>297</v>
      </c>
      <c r="I1267" t="s">
        <v>297</v>
      </c>
      <c r="J1267" t="s">
        <v>297</v>
      </c>
      <c r="K1267" t="s">
        <v>297</v>
      </c>
      <c r="L1267" t="s">
        <v>297</v>
      </c>
      <c r="M1267" t="s">
        <v>297</v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 t="s">
        <v>297</v>
      </c>
      <c r="H1268" t="s">
        <v>297</v>
      </c>
      <c r="I1268" t="s">
        <v>297</v>
      </c>
      <c r="J1268" t="s">
        <v>297</v>
      </c>
      <c r="K1268" t="s">
        <v>297</v>
      </c>
      <c r="L1268" t="s">
        <v>297</v>
      </c>
      <c r="M1268" t="s">
        <v>297</v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 t="s">
        <v>297</v>
      </c>
      <c r="H1269" t="s">
        <v>297</v>
      </c>
      <c r="I1269" t="s">
        <v>297</v>
      </c>
      <c r="J1269" t="s">
        <v>297</v>
      </c>
      <c r="K1269" t="s">
        <v>297</v>
      </c>
      <c r="L1269" t="s">
        <v>297</v>
      </c>
      <c r="M1269" t="s">
        <v>297</v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 t="s">
        <v>297</v>
      </c>
      <c r="H1270" t="s">
        <v>297</v>
      </c>
      <c r="I1270" t="s">
        <v>297</v>
      </c>
      <c r="J1270" t="s">
        <v>297</v>
      </c>
      <c r="K1270" t="s">
        <v>297</v>
      </c>
      <c r="L1270" t="s">
        <v>297</v>
      </c>
      <c r="M1270" t="s">
        <v>297</v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 t="s">
        <v>297</v>
      </c>
      <c r="H1271" t="s">
        <v>297</v>
      </c>
      <c r="I1271" t="s">
        <v>297</v>
      </c>
      <c r="J1271" t="s">
        <v>297</v>
      </c>
      <c r="K1271" t="s">
        <v>297</v>
      </c>
      <c r="L1271" t="s">
        <v>297</v>
      </c>
      <c r="M1271" t="s">
        <v>297</v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 t="s">
        <v>297</v>
      </c>
      <c r="H1272" t="s">
        <v>297</v>
      </c>
      <c r="I1272" t="s">
        <v>297</v>
      </c>
      <c r="J1272" t="s">
        <v>297</v>
      </c>
      <c r="K1272" t="s">
        <v>297</v>
      </c>
      <c r="L1272" t="s">
        <v>297</v>
      </c>
      <c r="M1272" t="s">
        <v>297</v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 t="s">
        <v>297</v>
      </c>
      <c r="H1273" t="s">
        <v>297</v>
      </c>
      <c r="I1273" t="s">
        <v>297</v>
      </c>
      <c r="J1273" t="s">
        <v>297</v>
      </c>
      <c r="K1273" t="s">
        <v>297</v>
      </c>
      <c r="L1273" t="s">
        <v>297</v>
      </c>
      <c r="M1273" t="s">
        <v>297</v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 t="s">
        <v>297</v>
      </c>
      <c r="H1274" t="s">
        <v>297</v>
      </c>
      <c r="I1274" t="s">
        <v>297</v>
      </c>
      <c r="J1274" t="s">
        <v>297</v>
      </c>
      <c r="K1274" t="s">
        <v>297</v>
      </c>
      <c r="L1274" t="s">
        <v>297</v>
      </c>
      <c r="M1274" t="s">
        <v>297</v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 t="s">
        <v>297</v>
      </c>
      <c r="H1275" t="s">
        <v>297</v>
      </c>
      <c r="I1275" t="s">
        <v>297</v>
      </c>
      <c r="J1275" t="s">
        <v>297</v>
      </c>
      <c r="K1275" t="s">
        <v>297</v>
      </c>
      <c r="L1275" t="s">
        <v>297</v>
      </c>
      <c r="M1275" t="s">
        <v>297</v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 t="s">
        <v>297</v>
      </c>
      <c r="H1276" t="s">
        <v>297</v>
      </c>
      <c r="I1276" t="s">
        <v>297</v>
      </c>
      <c r="J1276" t="s">
        <v>297</v>
      </c>
      <c r="K1276" t="s">
        <v>297</v>
      </c>
      <c r="L1276" t="s">
        <v>297</v>
      </c>
      <c r="M1276" t="s">
        <v>297</v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 t="s">
        <v>297</v>
      </c>
      <c r="H1277" t="s">
        <v>297</v>
      </c>
      <c r="I1277" t="s">
        <v>297</v>
      </c>
      <c r="J1277" t="s">
        <v>297</v>
      </c>
      <c r="K1277" t="s">
        <v>297</v>
      </c>
      <c r="L1277" t="s">
        <v>297</v>
      </c>
      <c r="M1277" t="s">
        <v>297</v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 t="s">
        <v>297</v>
      </c>
      <c r="H1278" t="s">
        <v>297</v>
      </c>
      <c r="I1278" t="s">
        <v>297</v>
      </c>
      <c r="J1278" t="s">
        <v>297</v>
      </c>
      <c r="K1278" t="s">
        <v>297</v>
      </c>
      <c r="L1278" t="s">
        <v>297</v>
      </c>
      <c r="M1278" t="s">
        <v>297</v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 t="s">
        <v>297</v>
      </c>
      <c r="H1279" t="s">
        <v>297</v>
      </c>
      <c r="I1279" t="s">
        <v>297</v>
      </c>
      <c r="J1279" t="s">
        <v>297</v>
      </c>
      <c r="K1279" t="s">
        <v>297</v>
      </c>
      <c r="L1279" t="s">
        <v>297</v>
      </c>
      <c r="M1279" t="s">
        <v>297</v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 t="s">
        <v>297</v>
      </c>
      <c r="H1280" t="s">
        <v>297</v>
      </c>
      <c r="I1280" t="s">
        <v>297</v>
      </c>
      <c r="J1280" t="s">
        <v>297</v>
      </c>
      <c r="K1280" t="s">
        <v>297</v>
      </c>
      <c r="L1280" t="s">
        <v>297</v>
      </c>
      <c r="M1280" t="s">
        <v>297</v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 t="s">
        <v>297</v>
      </c>
      <c r="H1281" t="s">
        <v>297</v>
      </c>
      <c r="I1281" t="s">
        <v>297</v>
      </c>
      <c r="J1281" t="s">
        <v>297</v>
      </c>
      <c r="K1281" t="s">
        <v>297</v>
      </c>
      <c r="L1281" t="s">
        <v>297</v>
      </c>
      <c r="M1281" t="s">
        <v>297</v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 t="s">
        <v>297</v>
      </c>
      <c r="H1282" t="s">
        <v>297</v>
      </c>
      <c r="I1282" t="s">
        <v>297</v>
      </c>
      <c r="J1282" t="s">
        <v>297</v>
      </c>
      <c r="K1282" t="s">
        <v>297</v>
      </c>
      <c r="L1282" t="s">
        <v>297</v>
      </c>
      <c r="M1282" t="s">
        <v>297</v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 t="s">
        <v>297</v>
      </c>
      <c r="H1283" t="s">
        <v>297</v>
      </c>
      <c r="I1283" t="s">
        <v>297</v>
      </c>
      <c r="J1283" t="s">
        <v>297</v>
      </c>
      <c r="K1283" t="s">
        <v>297</v>
      </c>
      <c r="L1283" t="s">
        <v>297</v>
      </c>
      <c r="M1283" t="s">
        <v>297</v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 t="s">
        <v>297</v>
      </c>
      <c r="H1284" t="s">
        <v>297</v>
      </c>
      <c r="I1284" t="s">
        <v>297</v>
      </c>
      <c r="J1284" t="s">
        <v>297</v>
      </c>
      <c r="K1284" t="s">
        <v>297</v>
      </c>
      <c r="L1284" t="s">
        <v>297</v>
      </c>
      <c r="M1284" t="s">
        <v>297</v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 t="s">
        <v>297</v>
      </c>
      <c r="H1285" t="s">
        <v>297</v>
      </c>
      <c r="I1285" t="s">
        <v>297</v>
      </c>
      <c r="J1285" t="s">
        <v>297</v>
      </c>
      <c r="K1285" t="s">
        <v>297</v>
      </c>
      <c r="L1285" t="s">
        <v>297</v>
      </c>
      <c r="M1285" t="s">
        <v>297</v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 t="s">
        <v>297</v>
      </c>
      <c r="H1286" t="s">
        <v>297</v>
      </c>
      <c r="I1286" t="s">
        <v>297</v>
      </c>
      <c r="J1286" t="s">
        <v>297</v>
      </c>
      <c r="K1286" t="s">
        <v>297</v>
      </c>
      <c r="L1286" t="s">
        <v>297</v>
      </c>
      <c r="M1286" t="s">
        <v>297</v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 t="s">
        <v>297</v>
      </c>
      <c r="H1287" t="s">
        <v>297</v>
      </c>
      <c r="I1287" t="s">
        <v>297</v>
      </c>
      <c r="J1287" t="s">
        <v>297</v>
      </c>
      <c r="K1287" t="s">
        <v>297</v>
      </c>
      <c r="L1287" t="s">
        <v>297</v>
      </c>
      <c r="M1287" t="s">
        <v>297</v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 t="s">
        <v>297</v>
      </c>
      <c r="H1288" t="s">
        <v>297</v>
      </c>
      <c r="I1288" t="s">
        <v>297</v>
      </c>
      <c r="J1288" t="s">
        <v>297</v>
      </c>
      <c r="K1288" t="s">
        <v>297</v>
      </c>
      <c r="L1288" t="s">
        <v>297</v>
      </c>
      <c r="M1288" t="s">
        <v>297</v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 t="s">
        <v>297</v>
      </c>
      <c r="H1289" t="s">
        <v>297</v>
      </c>
      <c r="I1289" t="s">
        <v>297</v>
      </c>
      <c r="J1289" t="s">
        <v>297</v>
      </c>
      <c r="K1289" t="s">
        <v>297</v>
      </c>
      <c r="L1289" t="s">
        <v>297</v>
      </c>
      <c r="M1289" t="s">
        <v>297</v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 t="s">
        <v>297</v>
      </c>
      <c r="H1290" t="s">
        <v>297</v>
      </c>
      <c r="I1290" t="s">
        <v>297</v>
      </c>
      <c r="J1290" t="s">
        <v>297</v>
      </c>
      <c r="K1290" t="s">
        <v>297</v>
      </c>
      <c r="L1290" t="s">
        <v>297</v>
      </c>
      <c r="M1290" t="s">
        <v>297</v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 t="s">
        <v>297</v>
      </c>
      <c r="H1291" t="s">
        <v>297</v>
      </c>
      <c r="I1291" t="s">
        <v>297</v>
      </c>
      <c r="J1291" t="s">
        <v>297</v>
      </c>
      <c r="K1291" t="s">
        <v>297</v>
      </c>
      <c r="L1291" t="s">
        <v>297</v>
      </c>
      <c r="M1291" t="s">
        <v>297</v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 t="s">
        <v>297</v>
      </c>
      <c r="H1292" t="s">
        <v>297</v>
      </c>
      <c r="I1292" t="s">
        <v>297</v>
      </c>
      <c r="J1292" t="s">
        <v>297</v>
      </c>
      <c r="K1292" t="s">
        <v>297</v>
      </c>
      <c r="L1292" t="s">
        <v>297</v>
      </c>
      <c r="M1292" t="s">
        <v>297</v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 t="s">
        <v>297</v>
      </c>
      <c r="H1293" t="s">
        <v>297</v>
      </c>
      <c r="I1293" t="s">
        <v>297</v>
      </c>
      <c r="J1293" t="s">
        <v>297</v>
      </c>
      <c r="K1293" t="s">
        <v>297</v>
      </c>
      <c r="L1293" t="s">
        <v>297</v>
      </c>
      <c r="M1293" t="s">
        <v>297</v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 t="s">
        <v>297</v>
      </c>
      <c r="H1294" t="s">
        <v>297</v>
      </c>
      <c r="I1294" t="s">
        <v>297</v>
      </c>
      <c r="J1294" t="s">
        <v>297</v>
      </c>
      <c r="K1294" t="s">
        <v>297</v>
      </c>
      <c r="L1294" t="s">
        <v>297</v>
      </c>
      <c r="M1294" t="s">
        <v>297</v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 t="s">
        <v>297</v>
      </c>
      <c r="H1295" t="s">
        <v>297</v>
      </c>
      <c r="I1295" t="s">
        <v>297</v>
      </c>
      <c r="J1295" t="s">
        <v>297</v>
      </c>
      <c r="K1295" t="s">
        <v>297</v>
      </c>
      <c r="L1295" t="s">
        <v>297</v>
      </c>
      <c r="M1295" t="s">
        <v>297</v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 t="s">
        <v>297</v>
      </c>
      <c r="H1296" t="s">
        <v>297</v>
      </c>
      <c r="I1296" t="s">
        <v>297</v>
      </c>
      <c r="J1296" t="s">
        <v>297</v>
      </c>
      <c r="K1296" t="s">
        <v>297</v>
      </c>
      <c r="L1296" t="s">
        <v>297</v>
      </c>
      <c r="M1296" t="s">
        <v>297</v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 t="s">
        <v>297</v>
      </c>
      <c r="H1297" t="s">
        <v>297</v>
      </c>
      <c r="I1297" t="s">
        <v>297</v>
      </c>
      <c r="J1297" t="s">
        <v>297</v>
      </c>
      <c r="K1297" t="s">
        <v>297</v>
      </c>
      <c r="L1297" t="s">
        <v>297</v>
      </c>
      <c r="M1297" t="s">
        <v>297</v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 t="s">
        <v>297</v>
      </c>
      <c r="H1298" t="s">
        <v>297</v>
      </c>
      <c r="I1298" t="s">
        <v>297</v>
      </c>
      <c r="J1298" t="s">
        <v>297</v>
      </c>
      <c r="K1298" t="s">
        <v>297</v>
      </c>
      <c r="L1298" t="s">
        <v>297</v>
      </c>
      <c r="M1298" t="s">
        <v>297</v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 t="s">
        <v>297</v>
      </c>
      <c r="H1299" t="s">
        <v>297</v>
      </c>
      <c r="I1299" t="s">
        <v>297</v>
      </c>
      <c r="J1299" t="s">
        <v>297</v>
      </c>
      <c r="K1299" t="s">
        <v>297</v>
      </c>
      <c r="L1299" t="s">
        <v>297</v>
      </c>
      <c r="M1299" t="s">
        <v>297</v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 t="s">
        <v>297</v>
      </c>
      <c r="H1300" t="s">
        <v>297</v>
      </c>
      <c r="I1300" t="s">
        <v>297</v>
      </c>
      <c r="J1300" t="s">
        <v>297</v>
      </c>
      <c r="K1300" t="s">
        <v>297</v>
      </c>
      <c r="L1300" t="s">
        <v>297</v>
      </c>
      <c r="M1300" t="s">
        <v>297</v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 t="s">
        <v>297</v>
      </c>
      <c r="H1301" t="s">
        <v>297</v>
      </c>
      <c r="I1301" t="s">
        <v>297</v>
      </c>
      <c r="J1301" t="s">
        <v>297</v>
      </c>
      <c r="K1301" t="s">
        <v>297</v>
      </c>
      <c r="L1301" t="s">
        <v>297</v>
      </c>
      <c r="M1301" t="s">
        <v>297</v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 t="s">
        <v>297</v>
      </c>
      <c r="H1302" t="s">
        <v>297</v>
      </c>
      <c r="I1302" t="s">
        <v>297</v>
      </c>
      <c r="J1302" t="s">
        <v>297</v>
      </c>
      <c r="K1302" t="s">
        <v>297</v>
      </c>
      <c r="L1302" t="s">
        <v>297</v>
      </c>
      <c r="M1302" t="s">
        <v>297</v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 t="s">
        <v>297</v>
      </c>
      <c r="H1303" t="s">
        <v>297</v>
      </c>
      <c r="I1303" t="s">
        <v>297</v>
      </c>
      <c r="J1303" t="s">
        <v>297</v>
      </c>
      <c r="K1303" t="s">
        <v>297</v>
      </c>
      <c r="L1303" t="s">
        <v>297</v>
      </c>
      <c r="M1303" t="s">
        <v>297</v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 t="s">
        <v>297</v>
      </c>
      <c r="H1304" t="s">
        <v>297</v>
      </c>
      <c r="I1304" t="s">
        <v>297</v>
      </c>
      <c r="J1304" t="s">
        <v>297</v>
      </c>
      <c r="K1304" t="s">
        <v>297</v>
      </c>
      <c r="L1304" t="s">
        <v>297</v>
      </c>
      <c r="M1304" t="s">
        <v>297</v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 t="s">
        <v>297</v>
      </c>
      <c r="H1305" t="s">
        <v>297</v>
      </c>
      <c r="I1305" t="s">
        <v>297</v>
      </c>
      <c r="J1305" t="s">
        <v>297</v>
      </c>
      <c r="K1305" t="s">
        <v>297</v>
      </c>
      <c r="L1305" t="s">
        <v>297</v>
      </c>
      <c r="M1305" t="s">
        <v>297</v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 t="s">
        <v>297</v>
      </c>
      <c r="H1306" t="s">
        <v>297</v>
      </c>
      <c r="I1306" t="s">
        <v>297</v>
      </c>
      <c r="J1306" t="s">
        <v>297</v>
      </c>
      <c r="K1306" t="s">
        <v>297</v>
      </c>
      <c r="L1306" t="s">
        <v>297</v>
      </c>
      <c r="M1306" t="s">
        <v>297</v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 t="s">
        <v>297</v>
      </c>
      <c r="H1307" t="s">
        <v>297</v>
      </c>
      <c r="I1307" t="s">
        <v>297</v>
      </c>
      <c r="J1307" t="s">
        <v>297</v>
      </c>
      <c r="K1307" t="s">
        <v>297</v>
      </c>
      <c r="L1307" t="s">
        <v>297</v>
      </c>
      <c r="M1307" t="s">
        <v>297</v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 t="s">
        <v>297</v>
      </c>
      <c r="H1308" t="s">
        <v>297</v>
      </c>
      <c r="I1308" t="s">
        <v>297</v>
      </c>
      <c r="J1308" t="s">
        <v>297</v>
      </c>
      <c r="K1308" t="s">
        <v>297</v>
      </c>
      <c r="L1308" t="s">
        <v>297</v>
      </c>
      <c r="M1308" t="s">
        <v>297</v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 t="s">
        <v>297</v>
      </c>
      <c r="H1309" t="s">
        <v>297</v>
      </c>
      <c r="I1309" t="s">
        <v>297</v>
      </c>
      <c r="J1309" t="s">
        <v>297</v>
      </c>
      <c r="K1309" t="s">
        <v>297</v>
      </c>
      <c r="L1309" t="s">
        <v>297</v>
      </c>
      <c r="M1309" t="s">
        <v>297</v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 t="s">
        <v>297</v>
      </c>
      <c r="H1310" t="s">
        <v>297</v>
      </c>
      <c r="I1310" t="s">
        <v>297</v>
      </c>
      <c r="J1310" t="s">
        <v>297</v>
      </c>
      <c r="K1310" t="s">
        <v>297</v>
      </c>
      <c r="L1310" t="s">
        <v>297</v>
      </c>
      <c r="M1310" t="s">
        <v>297</v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 t="s">
        <v>297</v>
      </c>
      <c r="H1311" t="s">
        <v>297</v>
      </c>
      <c r="I1311" t="s">
        <v>297</v>
      </c>
      <c r="J1311" t="s">
        <v>297</v>
      </c>
      <c r="K1311" t="s">
        <v>297</v>
      </c>
      <c r="L1311" t="s">
        <v>297</v>
      </c>
      <c r="M1311" t="s">
        <v>297</v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 t="s">
        <v>297</v>
      </c>
      <c r="H1312" t="s">
        <v>297</v>
      </c>
      <c r="I1312" t="s">
        <v>297</v>
      </c>
      <c r="J1312" t="s">
        <v>297</v>
      </c>
      <c r="K1312" t="s">
        <v>297</v>
      </c>
      <c r="L1312" t="s">
        <v>297</v>
      </c>
      <c r="M1312" t="s">
        <v>297</v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 t="s">
        <v>297</v>
      </c>
      <c r="H1313" t="s">
        <v>297</v>
      </c>
      <c r="I1313" t="s">
        <v>297</v>
      </c>
      <c r="J1313" t="s">
        <v>297</v>
      </c>
      <c r="K1313" t="s">
        <v>297</v>
      </c>
      <c r="L1313" t="s">
        <v>297</v>
      </c>
      <c r="M1313" t="s">
        <v>297</v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 t="s">
        <v>297</v>
      </c>
      <c r="H1314" t="s">
        <v>297</v>
      </c>
      <c r="I1314" t="s">
        <v>297</v>
      </c>
      <c r="J1314" t="s">
        <v>297</v>
      </c>
      <c r="K1314" t="s">
        <v>297</v>
      </c>
      <c r="L1314" t="s">
        <v>297</v>
      </c>
      <c r="M1314" t="s">
        <v>297</v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 t="s">
        <v>297</v>
      </c>
      <c r="H1315" t="s">
        <v>297</v>
      </c>
      <c r="I1315" t="s">
        <v>297</v>
      </c>
      <c r="J1315" t="s">
        <v>297</v>
      </c>
      <c r="K1315" t="s">
        <v>297</v>
      </c>
      <c r="L1315" t="s">
        <v>297</v>
      </c>
      <c r="M1315" t="s">
        <v>297</v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 t="s">
        <v>297</v>
      </c>
      <c r="H1316" t="s">
        <v>297</v>
      </c>
      <c r="I1316" t="s">
        <v>297</v>
      </c>
      <c r="J1316" t="s">
        <v>297</v>
      </c>
      <c r="K1316" t="s">
        <v>297</v>
      </c>
      <c r="L1316" t="s">
        <v>297</v>
      </c>
      <c r="M1316" t="s">
        <v>297</v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 t="s">
        <v>297</v>
      </c>
      <c r="H1317" t="s">
        <v>297</v>
      </c>
      <c r="I1317" t="s">
        <v>297</v>
      </c>
      <c r="J1317" t="s">
        <v>297</v>
      </c>
      <c r="K1317" t="s">
        <v>297</v>
      </c>
      <c r="L1317" t="s">
        <v>297</v>
      </c>
      <c r="M1317" t="s">
        <v>297</v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 t="s">
        <v>297</v>
      </c>
      <c r="H1318" t="s">
        <v>297</v>
      </c>
      <c r="I1318" t="s">
        <v>297</v>
      </c>
      <c r="J1318" t="s">
        <v>297</v>
      </c>
      <c r="K1318" t="s">
        <v>297</v>
      </c>
      <c r="L1318" t="s">
        <v>297</v>
      </c>
      <c r="M1318" t="s">
        <v>297</v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 t="s">
        <v>297</v>
      </c>
      <c r="H1319" t="s">
        <v>297</v>
      </c>
      <c r="I1319" t="s">
        <v>297</v>
      </c>
      <c r="J1319" t="s">
        <v>297</v>
      </c>
      <c r="K1319" t="s">
        <v>297</v>
      </c>
      <c r="L1319" t="s">
        <v>297</v>
      </c>
      <c r="M1319" t="s">
        <v>297</v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 t="s">
        <v>297</v>
      </c>
      <c r="H1320" t="s">
        <v>297</v>
      </c>
      <c r="I1320" t="s">
        <v>297</v>
      </c>
      <c r="J1320" t="s">
        <v>297</v>
      </c>
      <c r="K1320" t="s">
        <v>297</v>
      </c>
      <c r="L1320" t="s">
        <v>297</v>
      </c>
      <c r="M1320" t="s">
        <v>297</v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 t="s">
        <v>297</v>
      </c>
      <c r="H1321" t="s">
        <v>297</v>
      </c>
      <c r="I1321" t="s">
        <v>297</v>
      </c>
      <c r="J1321" t="s">
        <v>297</v>
      </c>
      <c r="K1321" t="s">
        <v>297</v>
      </c>
      <c r="L1321" t="s">
        <v>297</v>
      </c>
      <c r="M1321" t="s">
        <v>297</v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 t="s">
        <v>297</v>
      </c>
      <c r="H1322" t="s">
        <v>297</v>
      </c>
      <c r="I1322" t="s">
        <v>297</v>
      </c>
      <c r="J1322" t="s">
        <v>297</v>
      </c>
      <c r="K1322" t="s">
        <v>297</v>
      </c>
      <c r="L1322" t="s">
        <v>297</v>
      </c>
      <c r="M1322" t="s">
        <v>297</v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 t="s">
        <v>297</v>
      </c>
      <c r="H1323" t="s">
        <v>297</v>
      </c>
      <c r="I1323" t="s">
        <v>297</v>
      </c>
      <c r="J1323" t="s">
        <v>297</v>
      </c>
      <c r="K1323" t="s">
        <v>297</v>
      </c>
      <c r="L1323" t="s">
        <v>297</v>
      </c>
      <c r="M1323" t="s">
        <v>297</v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 t="s">
        <v>297</v>
      </c>
      <c r="H1324" t="s">
        <v>297</v>
      </c>
      <c r="I1324" t="s">
        <v>297</v>
      </c>
      <c r="J1324" t="s">
        <v>297</v>
      </c>
      <c r="K1324" t="s">
        <v>297</v>
      </c>
      <c r="L1324" t="s">
        <v>297</v>
      </c>
      <c r="M1324" t="s">
        <v>297</v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 t="s">
        <v>297</v>
      </c>
      <c r="H1325" t="s">
        <v>297</v>
      </c>
      <c r="I1325" t="s">
        <v>297</v>
      </c>
      <c r="J1325" t="s">
        <v>297</v>
      </c>
      <c r="K1325" t="s">
        <v>297</v>
      </c>
      <c r="L1325" t="s">
        <v>297</v>
      </c>
      <c r="M1325" t="s">
        <v>297</v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 t="s">
        <v>297</v>
      </c>
      <c r="H1326" t="s">
        <v>297</v>
      </c>
      <c r="I1326" t="s">
        <v>297</v>
      </c>
      <c r="J1326" t="s">
        <v>297</v>
      </c>
      <c r="K1326" t="s">
        <v>297</v>
      </c>
      <c r="L1326" t="s">
        <v>297</v>
      </c>
      <c r="M1326" t="s">
        <v>297</v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 t="s">
        <v>297</v>
      </c>
      <c r="H1327" t="s">
        <v>297</v>
      </c>
      <c r="I1327" t="s">
        <v>297</v>
      </c>
      <c r="J1327" t="s">
        <v>297</v>
      </c>
      <c r="K1327" t="s">
        <v>297</v>
      </c>
      <c r="L1327" t="s">
        <v>297</v>
      </c>
      <c r="M1327" t="s">
        <v>297</v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 t="s">
        <v>297</v>
      </c>
      <c r="H1328" t="s">
        <v>297</v>
      </c>
      <c r="I1328" t="s">
        <v>297</v>
      </c>
      <c r="J1328" t="s">
        <v>297</v>
      </c>
      <c r="K1328" t="s">
        <v>297</v>
      </c>
      <c r="L1328" t="s">
        <v>297</v>
      </c>
      <c r="M1328" t="s">
        <v>297</v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 t="s">
        <v>297</v>
      </c>
      <c r="H1329" t="s">
        <v>297</v>
      </c>
      <c r="I1329" t="s">
        <v>297</v>
      </c>
      <c r="J1329" t="s">
        <v>297</v>
      </c>
      <c r="K1329" t="s">
        <v>297</v>
      </c>
      <c r="L1329" t="s">
        <v>297</v>
      </c>
      <c r="M1329" t="s">
        <v>297</v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 t="s">
        <v>297</v>
      </c>
      <c r="H1330" t="s">
        <v>297</v>
      </c>
      <c r="I1330" t="s">
        <v>297</v>
      </c>
      <c r="J1330" t="s">
        <v>297</v>
      </c>
      <c r="K1330" t="s">
        <v>297</v>
      </c>
      <c r="L1330" t="s">
        <v>297</v>
      </c>
      <c r="M1330" t="s">
        <v>297</v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 t="s">
        <v>297</v>
      </c>
      <c r="H1331" t="s">
        <v>297</v>
      </c>
      <c r="I1331" t="s">
        <v>297</v>
      </c>
      <c r="J1331" t="s">
        <v>297</v>
      </c>
      <c r="K1331" t="s">
        <v>297</v>
      </c>
      <c r="L1331" t="s">
        <v>297</v>
      </c>
      <c r="M1331" t="s">
        <v>297</v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 t="s">
        <v>297</v>
      </c>
      <c r="H1332" t="s">
        <v>297</v>
      </c>
      <c r="I1332" t="s">
        <v>297</v>
      </c>
      <c r="J1332" t="s">
        <v>297</v>
      </c>
      <c r="K1332" t="s">
        <v>297</v>
      </c>
      <c r="L1332" t="s">
        <v>297</v>
      </c>
      <c r="M1332" t="s">
        <v>297</v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 t="s">
        <v>297</v>
      </c>
      <c r="H1333" t="s">
        <v>297</v>
      </c>
      <c r="I1333" t="s">
        <v>297</v>
      </c>
      <c r="J1333" t="s">
        <v>297</v>
      </c>
      <c r="K1333" t="s">
        <v>297</v>
      </c>
      <c r="L1333" t="s">
        <v>297</v>
      </c>
      <c r="M1333" t="s">
        <v>297</v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 t="s">
        <v>297</v>
      </c>
      <c r="H1334" t="s">
        <v>297</v>
      </c>
      <c r="I1334" t="s">
        <v>297</v>
      </c>
      <c r="J1334" t="s">
        <v>297</v>
      </c>
      <c r="K1334" t="s">
        <v>297</v>
      </c>
      <c r="L1334" t="s">
        <v>297</v>
      </c>
      <c r="M1334" t="s">
        <v>297</v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 t="s">
        <v>297</v>
      </c>
      <c r="H1335" t="s">
        <v>297</v>
      </c>
      <c r="I1335" t="s">
        <v>297</v>
      </c>
      <c r="J1335" t="s">
        <v>297</v>
      </c>
      <c r="K1335" t="s">
        <v>297</v>
      </c>
      <c r="L1335" t="s">
        <v>297</v>
      </c>
      <c r="M1335" t="s">
        <v>297</v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 t="s">
        <v>297</v>
      </c>
      <c r="H1336" t="s">
        <v>297</v>
      </c>
      <c r="I1336" t="s">
        <v>297</v>
      </c>
      <c r="J1336" t="s">
        <v>297</v>
      </c>
      <c r="K1336" t="s">
        <v>297</v>
      </c>
      <c r="L1336" t="s">
        <v>297</v>
      </c>
      <c r="M1336" t="s">
        <v>297</v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 t="s">
        <v>297</v>
      </c>
      <c r="H1337" t="s">
        <v>297</v>
      </c>
      <c r="I1337" t="s">
        <v>297</v>
      </c>
      <c r="J1337" t="s">
        <v>297</v>
      </c>
      <c r="K1337" t="s">
        <v>297</v>
      </c>
      <c r="L1337" t="s">
        <v>297</v>
      </c>
      <c r="M1337" t="s">
        <v>297</v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 t="s">
        <v>297</v>
      </c>
      <c r="H1338" t="s">
        <v>297</v>
      </c>
      <c r="I1338" t="s">
        <v>297</v>
      </c>
      <c r="J1338" t="s">
        <v>297</v>
      </c>
      <c r="K1338" t="s">
        <v>297</v>
      </c>
      <c r="L1338" t="s">
        <v>297</v>
      </c>
      <c r="M1338" t="s">
        <v>297</v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 t="s">
        <v>297</v>
      </c>
      <c r="H1339" t="s">
        <v>297</v>
      </c>
      <c r="I1339" t="s">
        <v>297</v>
      </c>
      <c r="J1339" t="s">
        <v>297</v>
      </c>
      <c r="K1339" t="s">
        <v>297</v>
      </c>
      <c r="L1339" t="s">
        <v>297</v>
      </c>
      <c r="M1339" t="s">
        <v>297</v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 t="s">
        <v>297</v>
      </c>
      <c r="H1340" t="s">
        <v>297</v>
      </c>
      <c r="I1340" t="s">
        <v>297</v>
      </c>
      <c r="J1340" t="s">
        <v>297</v>
      </c>
      <c r="K1340" t="s">
        <v>297</v>
      </c>
      <c r="L1340" t="s">
        <v>297</v>
      </c>
      <c r="M1340" t="s">
        <v>297</v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 t="s">
        <v>297</v>
      </c>
      <c r="H1341" t="s">
        <v>297</v>
      </c>
      <c r="I1341" t="s">
        <v>297</v>
      </c>
      <c r="J1341" t="s">
        <v>297</v>
      </c>
      <c r="K1341" t="s">
        <v>297</v>
      </c>
      <c r="L1341" t="s">
        <v>297</v>
      </c>
      <c r="M1341" t="s">
        <v>297</v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 t="s">
        <v>297</v>
      </c>
      <c r="H1342" t="s">
        <v>297</v>
      </c>
      <c r="I1342" t="s">
        <v>297</v>
      </c>
      <c r="J1342" t="s">
        <v>297</v>
      </c>
      <c r="K1342" t="s">
        <v>297</v>
      </c>
      <c r="L1342" t="s">
        <v>297</v>
      </c>
      <c r="M1342" t="s">
        <v>297</v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 t="s">
        <v>297</v>
      </c>
      <c r="H1343" t="s">
        <v>297</v>
      </c>
      <c r="I1343" t="s">
        <v>297</v>
      </c>
      <c r="J1343" t="s">
        <v>297</v>
      </c>
      <c r="K1343" t="s">
        <v>297</v>
      </c>
      <c r="L1343" t="s">
        <v>297</v>
      </c>
      <c r="M1343" t="s">
        <v>297</v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 t="s">
        <v>297</v>
      </c>
      <c r="H1344" t="s">
        <v>297</v>
      </c>
      <c r="I1344" t="s">
        <v>297</v>
      </c>
      <c r="J1344" t="s">
        <v>297</v>
      </c>
      <c r="K1344" t="s">
        <v>297</v>
      </c>
      <c r="L1344" t="s">
        <v>297</v>
      </c>
      <c r="M1344" t="s">
        <v>297</v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 t="s">
        <v>297</v>
      </c>
      <c r="H1345" t="s">
        <v>297</v>
      </c>
      <c r="I1345" t="s">
        <v>297</v>
      </c>
      <c r="J1345" t="s">
        <v>297</v>
      </c>
      <c r="K1345" t="s">
        <v>297</v>
      </c>
      <c r="L1345" t="s">
        <v>297</v>
      </c>
      <c r="M1345" t="s">
        <v>297</v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 t="s">
        <v>297</v>
      </c>
      <c r="H1346" t="s">
        <v>297</v>
      </c>
      <c r="I1346" t="s">
        <v>297</v>
      </c>
      <c r="J1346" t="s">
        <v>297</v>
      </c>
      <c r="K1346" t="s">
        <v>297</v>
      </c>
      <c r="L1346" t="s">
        <v>297</v>
      </c>
      <c r="M1346" t="s">
        <v>297</v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 t="s">
        <v>297</v>
      </c>
      <c r="H1347" t="s">
        <v>297</v>
      </c>
      <c r="I1347" t="s">
        <v>297</v>
      </c>
      <c r="J1347" t="s">
        <v>297</v>
      </c>
      <c r="K1347" t="s">
        <v>297</v>
      </c>
      <c r="L1347" t="s">
        <v>297</v>
      </c>
      <c r="M1347" t="s">
        <v>297</v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IF($A2="","",SUMIFS(Socle!$K$1:$K$175,Socle!$C$1:$C$175,$B2,Socle!$D$1:$D$175,$D2,Socle!$E$1:$E$175,$E2,Socle!$F$1:$F$175,$F2,Socle!$G$1:$G$175,$A2))</f>
        <v>0</v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IF($A2="","",SUMIFS(Allocation!$I$1:$I$175,Allocation!$C$1:$C$175,$A2,Allocation!$D$1:$D$175,$B2))</f>
        <v>1000</v>
      </c>
      <c r="M2">
        <f>IF($A2="","",SUMIFS(Allocation!$J$1:$J$175,Allocation!$C$1:$C$175,$A2,Allocation!$D$1:$D$175,$B2))</f>
        <v>1000</v>
      </c>
      <c r="N2">
        <f>IF($A2="","",SUMIFS(Allocation!$K$1:$K$175,Allocation!$C$1:$C$175,$A2,Allocation!$D$1:$D$175,$B2))</f>
        <v>1000</v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IF($A2="","",SUMIFS(Allocation!$I$1:$I$175,Allocation!$C$1:$C$175,$A2,Allocation!$E$1:$E$175,$C2))</f>
        <v>1000</v>
      </c>
      <c r="R2">
        <f>IF($A2="","",SUMIFS(Allocation!$J$1:$J$175,Allocation!$C$1:$C$175,$A2,Allocation!$E$1:$E$175,$C2))</f>
        <v>1000</v>
      </c>
      <c r="S2">
        <f>IF($A2="","",SUMIFS(Allocation!$K$1:$K$175,Allocation!$C$1:$C$175,$A2,Allocation!$E$1:$E$175,$C2))</f>
        <v>1000</v>
      </c>
      <c r="T2">
        <f>IF($A2="","",SUMIFS(Allocation!$I$1:$I$175,Allocation!$C$1:$C$175,$A2))</f>
        <v>1000</v>
      </c>
      <c r="U2">
        <f>IF($A2="","",SUMIFS(Allocation!$J$1:$J$175,Allocation!$C$1:$C$175,$A2))</f>
        <v>1000</v>
      </c>
      <c r="V2">
        <f>IF($A2="","",SUMIFS(Allocation!$K$1:$K$175,Allocation!$C$1:$C$175,$A2))</f>
        <v>1000</v>
      </c>
      <c r="W2">
        <f>IF($A2="","",SUMIFS(Compta!$F$1:$F$675,Compta!$A$1:$A$675,$B2,Compta!$B$1:$B$675,"621",Compta!$C$1:$C$675,$A2))</f>
        <v>0</v>
      </c>
      <c r="X2">
        <f>IF($A2="","",SUMIFS(Compta!$F$1:$F$675,Compta!$A$1:$A$675,$B2,Compta!$B$1:$B$675,"6411",Compta!$C$1:$C$675,$A2))</f>
        <v>0</v>
      </c>
      <c r="Y2">
        <f>IF($A2="","",SUMIFS(Compta!$F$1:$F$675,Compta!$A$1:$A$675,$B2,Compta!$B$1:$B$675,"604",Compta!$C$1:$C$675,$A2)+SUMIFS(Compta!$F$1:$F$675,Compta!$A$1:$A$675,$B2,Compta!$B$1:$B$675,"6063",Compta!$C$1:$C$675,$A2))</f>
        <v>0</v>
      </c>
      <c r="Z2">
        <f>IF($A2="","",SUMIFS(Compta!$F$1:$F$675,Compta!$A$1:$A$675,$B2,Compta!$B$1:$B$675,"6231",Compta!$C$1:$C$675,$A2))</f>
        <v>0</v>
      </c>
      <c r="AA2">
        <f>IF($A2="",""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</f>
        <v>0</v>
      </c>
      <c r="AB2">
        <f>IF($A2="",""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</f>
        <v>0</v>
      </c>
      <c r="AC2">
        <v>1000</v>
      </c>
      <c r="AD2">
        <v>1000</v>
      </c>
      <c r="AE2">
        <v>1000</v>
      </c>
      <c r="AF2">
        <v>1000</v>
      </c>
      <c r="AG2">
        <v>1000</v>
      </c>
      <c r="AH2">
        <v>1000</v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IF($A2="","",SUMIFS(Compta!$F$1:$F$675,Compta!$A$1:$A$675,"GRP",Compta!$B$1:$B$675,"6236",Compta!$C$1:$C$675,$A2))</f>
        <v>0</v>
      </c>
      <c r="AP2">
        <v>1000</v>
      </c>
      <c r="AQ2">
        <v>1000</v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IF($A3="","",SUMIFS(Socle!$K$1:$K$175,Socle!$C$1:$C$175,$B3,Socle!$D$1:$D$175,$D3,Socle!$E$1:$E$175,$E3,Socle!$F$1:$F$175,$F3,Socle!$G$1:$G$175,$A3))</f>
        <v/>
      </c>
      <c r="K3" t="str">
        <f t="shared" si="0"/>
        <v/>
      </c>
      <c r="L3" t="str">
        <f>IF($A3="","",SUMIFS(Allocation!$I$1:$I$175,Allocation!$C$1:$C$175,$A3,Allocation!$D$1:$D$175,$B3))</f>
        <v/>
      </c>
      <c r="M3" t="str">
        <f>IF($A3="","",SUMIFS(Allocation!$J$1:$J$175,Allocation!$C$1:$C$175,$A3,Allocation!$D$1:$D$175,$B3))</f>
        <v/>
      </c>
      <c r="N3" t="str">
        <f>IF($A3="","",SUMIFS(Allocation!$K$1:$K$175,Allocation!$C$1:$C$175,$A3,Allocation!$D$1:$D$175,$B3))</f>
        <v/>
      </c>
      <c r="O3" t="str">
        <f t="shared" si="1"/>
        <v/>
      </c>
      <c r="P3" t="str">
        <f t="shared" si="2"/>
        <v/>
      </c>
      <c r="Q3" t="str">
        <f>IF($A3="","",SUMIFS(Allocation!$I$1:$I$175,Allocation!$C$1:$C$175,$A3,Allocation!$E$1:$E$175,$C3))</f>
        <v/>
      </c>
      <c r="R3" t="str">
        <f>IF($A3="","",SUMIFS(Allocation!$J$1:$J$175,Allocation!$C$1:$C$175,$A3,Allocation!$E$1:$E$175,$C3))</f>
        <v/>
      </c>
      <c r="S3" t="str">
        <f>IF($A3="","",SUMIFS(Allocation!$K$1:$K$175,Allocation!$C$1:$C$175,$A3,Allocation!$E$1:$E$175,$C3))</f>
        <v/>
      </c>
      <c r="T3" t="str">
        <f>IF($A3="","",SUMIFS(Allocation!$I$1:$I$175,Allocation!$C$1:$C$175,$A3))</f>
        <v/>
      </c>
      <c r="U3" t="str">
        <f>IF($A3="","",SUMIFS(Allocation!$J$1:$J$175,Allocation!$C$1:$C$175,$A3))</f>
        <v/>
      </c>
      <c r="V3" t="str">
        <f>IF($A3="","",SUMIFS(Allocation!$K$1:$K$175,Allocation!$C$1:$C$175,$A3))</f>
        <v/>
      </c>
      <c r="W3" t="str">
        <f>IF($A3="","",SUMIFS(Compta!$F$1:$F$675,Compta!$A$1:$A$675,$B3,Compta!$B$1:$B$675,"621",Compta!$C$1:$C$675,$A3))</f>
        <v/>
      </c>
      <c r="X3" t="str">
        <f>IF($A3="","",SUMIFS(Compta!$F$1:$F$675,Compta!$A$1:$A$675,$B3,Compta!$B$1:$B$675,"6411",Compta!$C$1:$C$675,$A3))</f>
        <v/>
      </c>
      <c r="Y3" t="str">
        <f>IF($A3="","",SUMIFS(Compta!$F$1:$F$675,Compta!$A$1:$A$675,$B3,Compta!$B$1:$B$675,"604",Compta!$C$1:$C$675,$A3)+SUMIFS(Compta!$F$1:$F$675,Compta!$A$1:$A$675,$B3,Compta!$B$1:$B$675,"6063",Compta!$C$1:$C$675,$A3))</f>
        <v/>
      </c>
      <c r="Z3" t="str">
        <f>IF($A3="","",SUMIFS(Compta!$F$1:$F$675,Compta!$A$1:$A$675,$B3,Compta!$B$1:$B$675,"6231",Compta!$C$1:$C$675,$A3))</f>
        <v/>
      </c>
      <c r="AA3" t="str">
        <f>IF($A3="",""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</f>
        <v/>
      </c>
      <c r="AB3" t="str">
        <f>IF($A3="",""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</f>
        <v/>
      </c>
      <c r="AC3" t="s">
        <v>297</v>
      </c>
      <c r="AD3" t="s">
        <v>297</v>
      </c>
      <c r="AE3" t="s">
        <v>297</v>
      </c>
      <c r="AF3" t="s">
        <v>297</v>
      </c>
      <c r="AG3" t="s">
        <v>297</v>
      </c>
      <c r="AH3" t="s">
        <v>297</v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 t="str">
        <f>IF($A3="","",SUMIFS(Compta!$F$1:$F$675,Compta!$A$1:$A$675,"GRP",Compta!$B$1:$B$675,"6236",Compta!$C$1:$C$675,$A3))</f>
        <v/>
      </c>
      <c r="AP3" t="s">
        <v>297</v>
      </c>
      <c r="AQ3" t="s">
        <v>297</v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IF($A4="","",SUMIFS(Socle!$K$1:$K$175,Socle!$C$1:$C$175,$B4,Socle!$D$1:$D$175,$D4,Socle!$E$1:$E$175,$E4,Socle!$F$1:$F$175,$F4,Socle!$G$1:$G$175,$A4))</f>
        <v/>
      </c>
      <c r="K4" t="str">
        <f t="shared" si="0"/>
        <v/>
      </c>
      <c r="L4" t="str">
        <f>IF($A4="","",SUMIFS(Allocation!$I$1:$I$175,Allocation!$C$1:$C$175,$A4,Allocation!$D$1:$D$175,$B4))</f>
        <v/>
      </c>
      <c r="M4" t="str">
        <f>IF($A4="","",SUMIFS(Allocation!$J$1:$J$175,Allocation!$C$1:$C$175,$A4,Allocation!$D$1:$D$175,$B4))</f>
        <v/>
      </c>
      <c r="N4" t="str">
        <f>IF($A4="","",SUMIFS(Allocation!$K$1:$K$175,Allocation!$C$1:$C$175,$A4,Allocation!$D$1:$D$175,$B4))</f>
        <v/>
      </c>
      <c r="O4" t="str">
        <f t="shared" si="1"/>
        <v/>
      </c>
      <c r="P4" t="str">
        <f t="shared" si="2"/>
        <v/>
      </c>
      <c r="Q4" t="str">
        <f>IF($A4="","",SUMIFS(Allocation!$I$1:$I$175,Allocation!$C$1:$C$175,$A4,Allocation!$E$1:$E$175,$C4))</f>
        <v/>
      </c>
      <c r="R4" t="str">
        <f>IF($A4="","",SUMIFS(Allocation!$J$1:$J$175,Allocation!$C$1:$C$175,$A4,Allocation!$E$1:$E$175,$C4))</f>
        <v/>
      </c>
      <c r="S4" t="str">
        <f>IF($A4="","",SUMIFS(Allocation!$K$1:$K$175,Allocation!$C$1:$C$175,$A4,Allocation!$E$1:$E$175,$C4))</f>
        <v/>
      </c>
      <c r="T4" t="str">
        <f>IF($A4="","",SUMIFS(Allocation!$I$1:$I$175,Allocation!$C$1:$C$175,$A4))</f>
        <v/>
      </c>
      <c r="U4" t="str">
        <f>IF($A4="","",SUMIFS(Allocation!$J$1:$J$175,Allocation!$C$1:$C$175,$A4))</f>
        <v/>
      </c>
      <c r="V4" t="str">
        <f>IF($A4="","",SUMIFS(Allocation!$K$1:$K$175,Allocation!$C$1:$C$175,$A4))</f>
        <v/>
      </c>
      <c r="W4" t="str">
        <f>IF($A4="","",SUMIFS(Compta!$F$1:$F$675,Compta!$A$1:$A$675,$B4,Compta!$B$1:$B$675,"621",Compta!$C$1:$C$675,$A4))</f>
        <v/>
      </c>
      <c r="X4" t="str">
        <f>IF($A4="","",SUMIFS(Compta!$F$1:$F$675,Compta!$A$1:$A$675,$B4,Compta!$B$1:$B$675,"6411",Compta!$C$1:$C$675,$A4))</f>
        <v/>
      </c>
      <c r="Y4" t="str">
        <f>IF($A4="","",SUMIFS(Compta!$F$1:$F$675,Compta!$A$1:$A$675,$B4,Compta!$B$1:$B$675,"604",Compta!$C$1:$C$675,$A4)+SUMIFS(Compta!$F$1:$F$675,Compta!$A$1:$A$675,$B4,Compta!$B$1:$B$675,"6063",Compta!$C$1:$C$675,$A4))</f>
        <v/>
      </c>
      <c r="Z4" t="str">
        <f>IF($A4="","",SUMIFS(Compta!$F$1:$F$675,Compta!$A$1:$A$675,$B4,Compta!$B$1:$B$675,"6231",Compta!$C$1:$C$675,$A4))</f>
        <v/>
      </c>
      <c r="AA4" t="str">
        <f>IF($A4="",""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</f>
        <v/>
      </c>
      <c r="AB4" t="str">
        <f>IF($A4="",""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</f>
        <v/>
      </c>
      <c r="AC4" t="s">
        <v>297</v>
      </c>
      <c r="AD4" t="s">
        <v>297</v>
      </c>
      <c r="AE4" t="s">
        <v>297</v>
      </c>
      <c r="AF4" t="s">
        <v>297</v>
      </c>
      <c r="AG4" t="s">
        <v>297</v>
      </c>
      <c r="AH4" t="s">
        <v>297</v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 t="str">
        <f>IF($A4="","",SUMIFS(Compta!$F$1:$F$675,Compta!$A$1:$A$675,"GRP",Compta!$B$1:$B$675,"6236",Compta!$C$1:$C$675,$A4))</f>
        <v/>
      </c>
      <c r="AP4" t="s">
        <v>297</v>
      </c>
      <c r="AQ4" t="s">
        <v>297</v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IF($A5="","",SUMIFS(Socle!$K$1:$K$175,Socle!$C$1:$C$175,$B5,Socle!$D$1:$D$175,$D5,Socle!$E$1:$E$175,$E5,Socle!$F$1:$F$175,$F5,Socle!$G$1:$G$175,$A5))</f>
        <v/>
      </c>
      <c r="K5" t="str">
        <f t="shared" si="0"/>
        <v/>
      </c>
      <c r="L5" t="str">
        <f>IF($A5="","",SUMIFS(Allocation!$I$1:$I$175,Allocation!$C$1:$C$175,$A5,Allocation!$D$1:$D$175,$B5))</f>
        <v/>
      </c>
      <c r="M5" t="str">
        <f>IF($A5="","",SUMIFS(Allocation!$J$1:$J$175,Allocation!$C$1:$C$175,$A5,Allocation!$D$1:$D$175,$B5))</f>
        <v/>
      </c>
      <c r="N5" t="str">
        <f>IF($A5="","",SUMIFS(Allocation!$K$1:$K$175,Allocation!$C$1:$C$175,$A5,Allocation!$D$1:$D$175,$B5))</f>
        <v/>
      </c>
      <c r="O5" t="str">
        <f t="shared" si="1"/>
        <v/>
      </c>
      <c r="P5" t="str">
        <f t="shared" si="2"/>
        <v/>
      </c>
      <c r="Q5" t="str">
        <f>IF($A5="","",SUMIFS(Allocation!$I$1:$I$175,Allocation!$C$1:$C$175,$A5,Allocation!$E$1:$E$175,$C5))</f>
        <v/>
      </c>
      <c r="R5" t="str">
        <f>IF($A5="","",SUMIFS(Allocation!$J$1:$J$175,Allocation!$C$1:$C$175,$A5,Allocation!$E$1:$E$175,$C5))</f>
        <v/>
      </c>
      <c r="S5" t="str">
        <f>IF($A5="","",SUMIFS(Allocation!$K$1:$K$175,Allocation!$C$1:$C$175,$A5,Allocation!$E$1:$E$175,$C5))</f>
        <v/>
      </c>
      <c r="T5" t="str">
        <f>IF($A5="","",SUMIFS(Allocation!$I$1:$I$175,Allocation!$C$1:$C$175,$A5))</f>
        <v/>
      </c>
      <c r="U5" t="str">
        <f>IF($A5="","",SUMIFS(Allocation!$J$1:$J$175,Allocation!$C$1:$C$175,$A5))</f>
        <v/>
      </c>
      <c r="V5" t="str">
        <f>IF($A5="","",SUMIFS(Allocation!$K$1:$K$175,Allocation!$C$1:$C$175,$A5))</f>
        <v/>
      </c>
      <c r="W5" t="str">
        <f>IF($A5="","",SUMIFS(Compta!$F$1:$F$675,Compta!$A$1:$A$675,$B5,Compta!$B$1:$B$675,"621",Compta!$C$1:$C$675,$A5))</f>
        <v/>
      </c>
      <c r="X5" t="str">
        <f>IF($A5="","",SUMIFS(Compta!$F$1:$F$675,Compta!$A$1:$A$675,$B5,Compta!$B$1:$B$675,"6411",Compta!$C$1:$C$675,$A5))</f>
        <v/>
      </c>
      <c r="Y5" t="str">
        <f>IF($A5="","",SUMIFS(Compta!$F$1:$F$675,Compta!$A$1:$A$675,$B5,Compta!$B$1:$B$675,"604",Compta!$C$1:$C$675,$A5)+SUMIFS(Compta!$F$1:$F$675,Compta!$A$1:$A$675,$B5,Compta!$B$1:$B$675,"6063",Compta!$C$1:$C$675,$A5))</f>
        <v/>
      </c>
      <c r="Z5" t="str">
        <f>IF($A5="","",SUMIFS(Compta!$F$1:$F$675,Compta!$A$1:$A$675,$B5,Compta!$B$1:$B$675,"6231",Compta!$C$1:$C$675,$A5))</f>
        <v/>
      </c>
      <c r="AA5" t="str">
        <f>IF($A5="",""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</f>
        <v/>
      </c>
      <c r="AB5" t="str">
        <f>IF($A5="",""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</f>
        <v/>
      </c>
      <c r="AC5" t="s">
        <v>297</v>
      </c>
      <c r="AD5" t="s">
        <v>297</v>
      </c>
      <c r="AE5" t="s">
        <v>297</v>
      </c>
      <c r="AF5" t="s">
        <v>297</v>
      </c>
      <c r="AG5" t="s">
        <v>297</v>
      </c>
      <c r="AH5" t="s">
        <v>297</v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 t="str">
        <f>IF($A5="","",SUMIFS(Compta!$F$1:$F$675,Compta!$A$1:$A$675,"GRP",Compta!$B$1:$B$675,"6236",Compta!$C$1:$C$675,$A5))</f>
        <v/>
      </c>
      <c r="AP5" t="s">
        <v>297</v>
      </c>
      <c r="AQ5" t="s">
        <v>297</v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IF($A6="","",SUMIFS(Socle!$K$1:$K$175,Socle!$C$1:$C$175,$B6,Socle!$D$1:$D$175,$D6,Socle!$E$1:$E$175,$E6,Socle!$F$1:$F$175,$F6,Socle!$G$1:$G$175,$A6))</f>
        <v/>
      </c>
      <c r="K6" t="str">
        <f t="shared" si="0"/>
        <v/>
      </c>
      <c r="L6" t="str">
        <f>IF($A6="","",SUMIFS(Allocation!$I$1:$I$175,Allocation!$C$1:$C$175,$A6,Allocation!$D$1:$D$175,$B6))</f>
        <v/>
      </c>
      <c r="M6" t="str">
        <f>IF($A6="","",SUMIFS(Allocation!$J$1:$J$175,Allocation!$C$1:$C$175,$A6,Allocation!$D$1:$D$175,$B6))</f>
        <v/>
      </c>
      <c r="N6" t="str">
        <f>IF($A6="","",SUMIFS(Allocation!$K$1:$K$175,Allocation!$C$1:$C$175,$A6,Allocation!$D$1:$D$175,$B6))</f>
        <v/>
      </c>
      <c r="O6" t="str">
        <f t="shared" si="1"/>
        <v/>
      </c>
      <c r="P6" t="str">
        <f t="shared" si="2"/>
        <v/>
      </c>
      <c r="Q6" t="str">
        <f>IF($A6="","",SUMIFS(Allocation!$I$1:$I$175,Allocation!$C$1:$C$175,$A6,Allocation!$E$1:$E$175,$C6))</f>
        <v/>
      </c>
      <c r="R6" t="str">
        <f>IF($A6="","",SUMIFS(Allocation!$J$1:$J$175,Allocation!$C$1:$C$175,$A6,Allocation!$E$1:$E$175,$C6))</f>
        <v/>
      </c>
      <c r="S6" t="str">
        <f>IF($A6="","",SUMIFS(Allocation!$K$1:$K$175,Allocation!$C$1:$C$175,$A6,Allocation!$E$1:$E$175,$C6))</f>
        <v/>
      </c>
      <c r="T6" t="str">
        <f>IF($A6="","",SUMIFS(Allocation!$I$1:$I$175,Allocation!$C$1:$C$175,$A6))</f>
        <v/>
      </c>
      <c r="U6" t="str">
        <f>IF($A6="","",SUMIFS(Allocation!$J$1:$J$175,Allocation!$C$1:$C$175,$A6))</f>
        <v/>
      </c>
      <c r="V6" t="str">
        <f>IF($A6="","",SUMIFS(Allocation!$K$1:$K$175,Allocation!$C$1:$C$175,$A6))</f>
        <v/>
      </c>
      <c r="W6" t="str">
        <f>IF($A6="","",SUMIFS(Compta!$F$1:$F$675,Compta!$A$1:$A$675,$B6,Compta!$B$1:$B$675,"621",Compta!$C$1:$C$675,$A6))</f>
        <v/>
      </c>
      <c r="X6" t="str">
        <f>IF($A6="","",SUMIFS(Compta!$F$1:$F$675,Compta!$A$1:$A$675,$B6,Compta!$B$1:$B$675,"6411",Compta!$C$1:$C$675,$A6))</f>
        <v/>
      </c>
      <c r="Y6" t="str">
        <f>IF($A6="","",SUMIFS(Compta!$F$1:$F$675,Compta!$A$1:$A$675,$B6,Compta!$B$1:$B$675,"604",Compta!$C$1:$C$675,$A6)+SUMIFS(Compta!$F$1:$F$675,Compta!$A$1:$A$675,$B6,Compta!$B$1:$B$675,"6063",Compta!$C$1:$C$675,$A6))</f>
        <v/>
      </c>
      <c r="Z6" t="str">
        <f>IF($A6="","",SUMIFS(Compta!$F$1:$F$675,Compta!$A$1:$A$675,$B6,Compta!$B$1:$B$675,"6231",Compta!$C$1:$C$675,$A6))</f>
        <v/>
      </c>
      <c r="AA6" t="str">
        <f>IF($A6="",""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</f>
        <v/>
      </c>
      <c r="AB6" t="str">
        <f>IF($A6="",""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</f>
        <v/>
      </c>
      <c r="AC6" t="s">
        <v>297</v>
      </c>
      <c r="AD6" t="s">
        <v>297</v>
      </c>
      <c r="AE6" t="s">
        <v>297</v>
      </c>
      <c r="AF6" t="s">
        <v>297</v>
      </c>
      <c r="AG6" t="s">
        <v>297</v>
      </c>
      <c r="AH6" t="s">
        <v>297</v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 t="str">
        <f>IF($A6="","",SUMIFS(Compta!$F$1:$F$675,Compta!$A$1:$A$675,"GRP",Compta!$B$1:$B$675,"6236",Compta!$C$1:$C$675,$A6))</f>
        <v/>
      </c>
      <c r="AP6" t="s">
        <v>297</v>
      </c>
      <c r="AQ6" t="s">
        <v>297</v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IF($A7="","",SUMIFS(Socle!$K$1:$K$175,Socle!$C$1:$C$175,$B7,Socle!$D$1:$D$175,$D7,Socle!$E$1:$E$175,$E7,Socle!$F$1:$F$175,$F7,Socle!$G$1:$G$175,$A7))</f>
        <v/>
      </c>
      <c r="K7" t="str">
        <f t="shared" si="0"/>
        <v/>
      </c>
      <c r="L7" t="str">
        <f>IF($A7="","",SUMIFS(Allocation!$I$1:$I$175,Allocation!$C$1:$C$175,$A7,Allocation!$D$1:$D$175,$B7))</f>
        <v/>
      </c>
      <c r="M7" t="str">
        <f>IF($A7="","",SUMIFS(Allocation!$J$1:$J$175,Allocation!$C$1:$C$175,$A7,Allocation!$D$1:$D$175,$B7))</f>
        <v/>
      </c>
      <c r="N7" t="str">
        <f>IF($A7="","",SUMIFS(Allocation!$K$1:$K$175,Allocation!$C$1:$C$175,$A7,Allocation!$D$1:$D$175,$B7))</f>
        <v/>
      </c>
      <c r="O7" t="str">
        <f t="shared" si="1"/>
        <v/>
      </c>
      <c r="P7" t="str">
        <f t="shared" si="2"/>
        <v/>
      </c>
      <c r="Q7" t="str">
        <f>IF($A7="","",SUMIFS(Allocation!$I$1:$I$175,Allocation!$C$1:$C$175,$A7,Allocation!$E$1:$E$175,$C7))</f>
        <v/>
      </c>
      <c r="R7" t="str">
        <f>IF($A7="","",SUMIFS(Allocation!$J$1:$J$175,Allocation!$C$1:$C$175,$A7,Allocation!$E$1:$E$175,$C7))</f>
        <v/>
      </c>
      <c r="S7" t="str">
        <f>IF($A7="","",SUMIFS(Allocation!$K$1:$K$175,Allocation!$C$1:$C$175,$A7,Allocation!$E$1:$E$175,$C7))</f>
        <v/>
      </c>
      <c r="T7" t="str">
        <f>IF($A7="","",SUMIFS(Allocation!$I$1:$I$175,Allocation!$C$1:$C$175,$A7))</f>
        <v/>
      </c>
      <c r="U7" t="str">
        <f>IF($A7="","",SUMIFS(Allocation!$J$1:$J$175,Allocation!$C$1:$C$175,$A7))</f>
        <v/>
      </c>
      <c r="V7" t="str">
        <f>IF($A7="","",SUMIFS(Allocation!$K$1:$K$175,Allocation!$C$1:$C$175,$A7))</f>
        <v/>
      </c>
      <c r="W7" t="str">
        <f>IF($A7="","",SUMIFS(Compta!$F$1:$F$675,Compta!$A$1:$A$675,$B7,Compta!$B$1:$B$675,"621",Compta!$C$1:$C$675,$A7))</f>
        <v/>
      </c>
      <c r="X7" t="str">
        <f>IF($A7="","",SUMIFS(Compta!$F$1:$F$675,Compta!$A$1:$A$675,$B7,Compta!$B$1:$B$675,"6411",Compta!$C$1:$C$675,$A7))</f>
        <v/>
      </c>
      <c r="Y7" t="str">
        <f>IF($A7="","",SUMIFS(Compta!$F$1:$F$675,Compta!$A$1:$A$675,$B7,Compta!$B$1:$B$675,"604",Compta!$C$1:$C$675,$A7)+SUMIFS(Compta!$F$1:$F$675,Compta!$A$1:$A$675,$B7,Compta!$B$1:$B$675,"6063",Compta!$C$1:$C$675,$A7))</f>
        <v/>
      </c>
      <c r="Z7" t="str">
        <f>IF($A7="","",SUMIFS(Compta!$F$1:$F$675,Compta!$A$1:$A$675,$B7,Compta!$B$1:$B$675,"6231",Compta!$C$1:$C$675,$A7))</f>
        <v/>
      </c>
      <c r="AA7" t="str">
        <f>IF($A7="",""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</f>
        <v/>
      </c>
      <c r="AB7" t="str">
        <f>IF($A7="",""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</f>
        <v/>
      </c>
      <c r="AC7" t="s">
        <v>297</v>
      </c>
      <c r="AD7" t="s">
        <v>297</v>
      </c>
      <c r="AE7" t="s">
        <v>297</v>
      </c>
      <c r="AF7" t="s">
        <v>297</v>
      </c>
      <c r="AG7" t="s">
        <v>297</v>
      </c>
      <c r="AH7" t="s">
        <v>297</v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 t="str">
        <f>IF($A7="","",SUMIFS(Compta!$F$1:$F$675,Compta!$A$1:$A$675,"GRP",Compta!$B$1:$B$675,"6236",Compta!$C$1:$C$675,$A7))</f>
        <v/>
      </c>
      <c r="AP7" t="s">
        <v>297</v>
      </c>
      <c r="AQ7" t="s">
        <v>297</v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IF($A8="","",SUMIFS(Socle!$K$1:$K$175,Socle!$C$1:$C$175,$B8,Socle!$D$1:$D$175,$D8,Socle!$E$1:$E$175,$E8,Socle!$F$1:$F$175,$F8,Socle!$G$1:$G$175,$A8))</f>
        <v/>
      </c>
      <c r="K8" t="str">
        <f t="shared" si="0"/>
        <v/>
      </c>
      <c r="L8" t="str">
        <f>IF($A8="","",SUMIFS(Allocation!$I$1:$I$175,Allocation!$C$1:$C$175,$A8,Allocation!$D$1:$D$175,$B8))</f>
        <v/>
      </c>
      <c r="M8" t="str">
        <f>IF($A8="","",SUMIFS(Allocation!$J$1:$J$175,Allocation!$C$1:$C$175,$A8,Allocation!$D$1:$D$175,$B8))</f>
        <v/>
      </c>
      <c r="N8" t="str">
        <f>IF($A8="","",SUMIFS(Allocation!$K$1:$K$175,Allocation!$C$1:$C$175,$A8,Allocation!$D$1:$D$175,$B8))</f>
        <v/>
      </c>
      <c r="O8" t="str">
        <f t="shared" si="1"/>
        <v/>
      </c>
      <c r="P8" t="str">
        <f t="shared" si="2"/>
        <v/>
      </c>
      <c r="Q8" t="str">
        <f>IF($A8="","",SUMIFS(Allocation!$I$1:$I$175,Allocation!$C$1:$C$175,$A8,Allocation!$E$1:$E$175,$C8))</f>
        <v/>
      </c>
      <c r="R8" t="str">
        <f>IF($A8="","",SUMIFS(Allocation!$J$1:$J$175,Allocation!$C$1:$C$175,$A8,Allocation!$E$1:$E$175,$C8))</f>
        <v/>
      </c>
      <c r="S8" t="str">
        <f>IF($A8="","",SUMIFS(Allocation!$K$1:$K$175,Allocation!$C$1:$C$175,$A8,Allocation!$E$1:$E$175,$C8))</f>
        <v/>
      </c>
      <c r="T8" t="str">
        <f>IF($A8="","",SUMIFS(Allocation!$I$1:$I$175,Allocation!$C$1:$C$175,$A8))</f>
        <v/>
      </c>
      <c r="U8" t="str">
        <f>IF($A8="","",SUMIFS(Allocation!$J$1:$J$175,Allocation!$C$1:$C$175,$A8))</f>
        <v/>
      </c>
      <c r="V8" t="str">
        <f>IF($A8="","",SUMIFS(Allocation!$K$1:$K$175,Allocation!$C$1:$C$175,$A8))</f>
        <v/>
      </c>
      <c r="W8" t="str">
        <f>IF($A8="","",SUMIFS(Compta!$F$1:$F$675,Compta!$A$1:$A$675,$B8,Compta!$B$1:$B$675,"621",Compta!$C$1:$C$675,$A8))</f>
        <v/>
      </c>
      <c r="X8" t="str">
        <f>IF($A8="","",SUMIFS(Compta!$F$1:$F$675,Compta!$A$1:$A$675,$B8,Compta!$B$1:$B$675,"6411",Compta!$C$1:$C$675,$A8))</f>
        <v/>
      </c>
      <c r="Y8" t="str">
        <f>IF($A8="","",SUMIFS(Compta!$F$1:$F$675,Compta!$A$1:$A$675,$B8,Compta!$B$1:$B$675,"604",Compta!$C$1:$C$675,$A8)+SUMIFS(Compta!$F$1:$F$675,Compta!$A$1:$A$675,$B8,Compta!$B$1:$B$675,"6063",Compta!$C$1:$C$675,$A8))</f>
        <v/>
      </c>
      <c r="Z8" t="str">
        <f>IF($A8="","",SUMIFS(Compta!$F$1:$F$675,Compta!$A$1:$A$675,$B8,Compta!$B$1:$B$675,"6231",Compta!$C$1:$C$675,$A8))</f>
        <v/>
      </c>
      <c r="AA8" t="str">
        <f>IF($A8="",""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</f>
        <v/>
      </c>
      <c r="AB8" t="str">
        <f>IF($A8="",""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</f>
        <v/>
      </c>
      <c r="AC8" t="s">
        <v>297</v>
      </c>
      <c r="AD8" t="s">
        <v>297</v>
      </c>
      <c r="AE8" t="s">
        <v>297</v>
      </c>
      <c r="AF8" t="s">
        <v>297</v>
      </c>
      <c r="AG8" t="s">
        <v>297</v>
      </c>
      <c r="AH8" t="s">
        <v>297</v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 t="str">
        <f>IF($A8="","",SUMIFS(Compta!$F$1:$F$675,Compta!$A$1:$A$675,"GRP",Compta!$B$1:$B$675,"6236",Compta!$C$1:$C$675,$A8))</f>
        <v/>
      </c>
      <c r="AP8" t="s">
        <v>297</v>
      </c>
      <c r="AQ8" t="s">
        <v>297</v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IF($A9="","",SUMIFS(Socle!$K$1:$K$175,Socle!$C$1:$C$175,$B9,Socle!$D$1:$D$175,$D9,Socle!$E$1:$E$175,$E9,Socle!$F$1:$F$175,$F9,Socle!$G$1:$G$175,$A9))</f>
        <v/>
      </c>
      <c r="K9" t="str">
        <f t="shared" si="0"/>
        <v/>
      </c>
      <c r="L9" t="str">
        <f>IF($A9="","",SUMIFS(Allocation!$I$1:$I$175,Allocation!$C$1:$C$175,$A9,Allocation!$D$1:$D$175,$B9))</f>
        <v/>
      </c>
      <c r="M9" t="str">
        <f>IF($A9="","",SUMIFS(Allocation!$J$1:$J$175,Allocation!$C$1:$C$175,$A9,Allocation!$D$1:$D$175,$B9))</f>
        <v/>
      </c>
      <c r="N9" t="str">
        <f>IF($A9="","",SUMIFS(Allocation!$K$1:$K$175,Allocation!$C$1:$C$175,$A9,Allocation!$D$1:$D$175,$B9))</f>
        <v/>
      </c>
      <c r="O9" t="str">
        <f t="shared" si="1"/>
        <v/>
      </c>
      <c r="P9" t="str">
        <f t="shared" si="2"/>
        <v/>
      </c>
      <c r="Q9" t="str">
        <f>IF($A9="","",SUMIFS(Allocation!$I$1:$I$175,Allocation!$C$1:$C$175,$A9,Allocation!$E$1:$E$175,$C9))</f>
        <v/>
      </c>
      <c r="R9" t="str">
        <f>IF($A9="","",SUMIFS(Allocation!$J$1:$J$175,Allocation!$C$1:$C$175,$A9,Allocation!$E$1:$E$175,$C9))</f>
        <v/>
      </c>
      <c r="S9" t="str">
        <f>IF($A9="","",SUMIFS(Allocation!$K$1:$K$175,Allocation!$C$1:$C$175,$A9,Allocation!$E$1:$E$175,$C9))</f>
        <v/>
      </c>
      <c r="T9" t="str">
        <f>IF($A9="","",SUMIFS(Allocation!$I$1:$I$175,Allocation!$C$1:$C$175,$A9))</f>
        <v/>
      </c>
      <c r="U9" t="str">
        <f>IF($A9="","",SUMIFS(Allocation!$J$1:$J$175,Allocation!$C$1:$C$175,$A9))</f>
        <v/>
      </c>
      <c r="V9" t="str">
        <f>IF($A9="","",SUMIFS(Allocation!$K$1:$K$175,Allocation!$C$1:$C$175,$A9))</f>
        <v/>
      </c>
      <c r="W9" t="str">
        <f>IF($A9="","",SUMIFS(Compta!$F$1:$F$675,Compta!$A$1:$A$675,$B9,Compta!$B$1:$B$675,"621",Compta!$C$1:$C$675,$A9))</f>
        <v/>
      </c>
      <c r="X9" t="str">
        <f>IF($A9="","",SUMIFS(Compta!$F$1:$F$675,Compta!$A$1:$A$675,$B9,Compta!$B$1:$B$675,"6411",Compta!$C$1:$C$675,$A9))</f>
        <v/>
      </c>
      <c r="Y9" t="str">
        <f>IF($A9="","",SUMIFS(Compta!$F$1:$F$675,Compta!$A$1:$A$675,$B9,Compta!$B$1:$B$675,"604",Compta!$C$1:$C$675,$A9)+SUMIFS(Compta!$F$1:$F$675,Compta!$A$1:$A$675,$B9,Compta!$B$1:$B$675,"6063",Compta!$C$1:$C$675,$A9))</f>
        <v/>
      </c>
      <c r="Z9" t="str">
        <f>IF($A9="","",SUMIFS(Compta!$F$1:$F$675,Compta!$A$1:$A$675,$B9,Compta!$B$1:$B$675,"6231",Compta!$C$1:$C$675,$A9))</f>
        <v/>
      </c>
      <c r="AA9" t="str">
        <f>IF($A9="",""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</f>
        <v/>
      </c>
      <c r="AB9" t="str">
        <f>IF($A9="",""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</f>
        <v/>
      </c>
      <c r="AC9" t="s">
        <v>297</v>
      </c>
      <c r="AD9" t="s">
        <v>297</v>
      </c>
      <c r="AE9" t="s">
        <v>297</v>
      </c>
      <c r="AF9" t="s">
        <v>297</v>
      </c>
      <c r="AG9" t="s">
        <v>297</v>
      </c>
      <c r="AH9" t="s">
        <v>297</v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 t="str">
        <f>IF($A9="","",SUMIFS(Compta!$F$1:$F$675,Compta!$A$1:$A$675,"GRP",Compta!$B$1:$B$675,"6236",Compta!$C$1:$C$675,$A9))</f>
        <v/>
      </c>
      <c r="AP9" t="s">
        <v>297</v>
      </c>
      <c r="AQ9" t="s">
        <v>297</v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IF($A10="","",SUMIFS(Socle!$K$1:$K$175,Socle!$C$1:$C$175,$B10,Socle!$D$1:$D$175,$D10,Socle!$E$1:$E$175,$E10,Socle!$F$1:$F$175,$F10,Socle!$G$1:$G$175,$A10))</f>
        <v/>
      </c>
      <c r="K10" t="str">
        <f t="shared" si="0"/>
        <v/>
      </c>
      <c r="L10" t="str">
        <f>IF($A10="","",SUMIFS(Allocation!$I$1:$I$175,Allocation!$C$1:$C$175,$A10,Allocation!$D$1:$D$175,$B10))</f>
        <v/>
      </c>
      <c r="M10" t="str">
        <f>IF($A10="","",SUMIFS(Allocation!$J$1:$J$175,Allocation!$C$1:$C$175,$A10,Allocation!$D$1:$D$175,$B10))</f>
        <v/>
      </c>
      <c r="N10" t="str">
        <f>IF($A10="","",SUMIFS(Allocation!$K$1:$K$175,Allocation!$C$1:$C$175,$A10,Allocation!$D$1:$D$175,$B10))</f>
        <v/>
      </c>
      <c r="O10" t="str">
        <f t="shared" si="1"/>
        <v/>
      </c>
      <c r="P10" t="str">
        <f t="shared" si="2"/>
        <v/>
      </c>
      <c r="Q10" t="str">
        <f>IF($A10="","",SUMIFS(Allocation!$I$1:$I$175,Allocation!$C$1:$C$175,$A10,Allocation!$E$1:$E$175,$C10))</f>
        <v/>
      </c>
      <c r="R10" t="str">
        <f>IF($A10="","",SUMIFS(Allocation!$J$1:$J$175,Allocation!$C$1:$C$175,$A10,Allocation!$E$1:$E$175,$C10))</f>
        <v/>
      </c>
      <c r="S10" t="str">
        <f>IF($A10="","",SUMIFS(Allocation!$K$1:$K$175,Allocation!$C$1:$C$175,$A10,Allocation!$E$1:$E$175,$C10))</f>
        <v/>
      </c>
      <c r="T10" t="str">
        <f>IF($A10="","",SUMIFS(Allocation!$I$1:$I$175,Allocation!$C$1:$C$175,$A10))</f>
        <v/>
      </c>
      <c r="U10" t="str">
        <f>IF($A10="","",SUMIFS(Allocation!$J$1:$J$175,Allocation!$C$1:$C$175,$A10))</f>
        <v/>
      </c>
      <c r="V10" t="str">
        <f>IF($A10="","",SUMIFS(Allocation!$K$1:$K$175,Allocation!$C$1:$C$175,$A10))</f>
        <v/>
      </c>
      <c r="W10" t="str">
        <f>IF($A10="","",SUMIFS(Compta!$F$1:$F$675,Compta!$A$1:$A$675,$B10,Compta!$B$1:$B$675,"621",Compta!$C$1:$C$675,$A10))</f>
        <v/>
      </c>
      <c r="X10" t="str">
        <f>IF($A10="","",SUMIFS(Compta!$F$1:$F$675,Compta!$A$1:$A$675,$B10,Compta!$B$1:$B$675,"6411",Compta!$C$1:$C$675,$A10))</f>
        <v/>
      </c>
      <c r="Y10" t="str">
        <f>IF($A10="","",SUMIFS(Compta!$F$1:$F$675,Compta!$A$1:$A$675,$B10,Compta!$B$1:$B$675,"604",Compta!$C$1:$C$675,$A10)+SUMIFS(Compta!$F$1:$F$675,Compta!$A$1:$A$675,$B10,Compta!$B$1:$B$675,"6063",Compta!$C$1:$C$675,$A10))</f>
        <v/>
      </c>
      <c r="Z10" t="str">
        <f>IF($A10="","",SUMIFS(Compta!$F$1:$F$675,Compta!$A$1:$A$675,$B10,Compta!$B$1:$B$675,"6231",Compta!$C$1:$C$675,$A10))</f>
        <v/>
      </c>
      <c r="AA10" t="str">
        <f>IF($A10="",""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</f>
        <v/>
      </c>
      <c r="AB10" t="str">
        <f>IF($A10="",""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</f>
        <v/>
      </c>
      <c r="AC10" t="s">
        <v>297</v>
      </c>
      <c r="AD10" t="s">
        <v>297</v>
      </c>
      <c r="AE10" t="s">
        <v>297</v>
      </c>
      <c r="AF10" t="s">
        <v>297</v>
      </c>
      <c r="AG10" t="s">
        <v>297</v>
      </c>
      <c r="AH10" t="s">
        <v>297</v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 t="str">
        <f>IF($A10="","",SUMIFS(Compta!$F$1:$F$675,Compta!$A$1:$A$675,"GRP",Compta!$B$1:$B$675,"6236",Compta!$C$1:$C$675,$A10))</f>
        <v/>
      </c>
      <c r="AP10" t="s">
        <v>297</v>
      </c>
      <c r="AQ10" t="s">
        <v>297</v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IF($A11="","",SUMIFS(Socle!$K$1:$K$175,Socle!$C$1:$C$175,$B11,Socle!$D$1:$D$175,$D11,Socle!$E$1:$E$175,$E11,Socle!$F$1:$F$175,$F11,Socle!$G$1:$G$175,$A11))</f>
        <v/>
      </c>
      <c r="K11" t="str">
        <f t="shared" si="0"/>
        <v/>
      </c>
      <c r="L11" t="str">
        <f>IF($A11="","",SUMIFS(Allocation!$I$1:$I$175,Allocation!$C$1:$C$175,$A11,Allocation!$D$1:$D$175,$B11))</f>
        <v/>
      </c>
      <c r="M11" t="str">
        <f>IF($A11="","",SUMIFS(Allocation!$J$1:$J$175,Allocation!$C$1:$C$175,$A11,Allocation!$D$1:$D$175,$B11))</f>
        <v/>
      </c>
      <c r="N11" t="str">
        <f>IF($A11="","",SUMIFS(Allocation!$K$1:$K$175,Allocation!$C$1:$C$175,$A11,Allocation!$D$1:$D$175,$B11))</f>
        <v/>
      </c>
      <c r="O11" t="str">
        <f t="shared" si="1"/>
        <v/>
      </c>
      <c r="P11" t="str">
        <f t="shared" si="2"/>
        <v/>
      </c>
      <c r="Q11" t="str">
        <f>IF($A11="","",SUMIFS(Allocation!$I$1:$I$175,Allocation!$C$1:$C$175,$A11,Allocation!$E$1:$E$175,$C11))</f>
        <v/>
      </c>
      <c r="R11" t="str">
        <f>IF($A11="","",SUMIFS(Allocation!$J$1:$J$175,Allocation!$C$1:$C$175,$A11,Allocation!$E$1:$E$175,$C11))</f>
        <v/>
      </c>
      <c r="S11" t="str">
        <f>IF($A11="","",SUMIFS(Allocation!$K$1:$K$175,Allocation!$C$1:$C$175,$A11,Allocation!$E$1:$E$175,$C11))</f>
        <v/>
      </c>
      <c r="T11" t="str">
        <f>IF($A11="","",SUMIFS(Allocation!$I$1:$I$175,Allocation!$C$1:$C$175,$A11))</f>
        <v/>
      </c>
      <c r="U11" t="str">
        <f>IF($A11="","",SUMIFS(Allocation!$J$1:$J$175,Allocation!$C$1:$C$175,$A11))</f>
        <v/>
      </c>
      <c r="V11" t="str">
        <f>IF($A11="","",SUMIFS(Allocation!$K$1:$K$175,Allocation!$C$1:$C$175,$A11))</f>
        <v/>
      </c>
      <c r="W11" t="str">
        <f>IF($A11="","",SUMIFS(Compta!$F$1:$F$675,Compta!$A$1:$A$675,$B11,Compta!$B$1:$B$675,"621",Compta!$C$1:$C$675,$A11))</f>
        <v/>
      </c>
      <c r="X11" t="str">
        <f>IF($A11="","",SUMIFS(Compta!$F$1:$F$675,Compta!$A$1:$A$675,$B11,Compta!$B$1:$B$675,"6411",Compta!$C$1:$C$675,$A11))</f>
        <v/>
      </c>
      <c r="Y11" t="str">
        <f>IF($A11="","",SUMIFS(Compta!$F$1:$F$675,Compta!$A$1:$A$675,$B11,Compta!$B$1:$B$675,"604",Compta!$C$1:$C$675,$A11)+SUMIFS(Compta!$F$1:$F$675,Compta!$A$1:$A$675,$B11,Compta!$B$1:$B$675,"6063",Compta!$C$1:$C$675,$A11))</f>
        <v/>
      </c>
      <c r="Z11" t="str">
        <f>IF($A11="","",SUMIFS(Compta!$F$1:$F$675,Compta!$A$1:$A$675,$B11,Compta!$B$1:$B$675,"6231",Compta!$C$1:$C$675,$A11))</f>
        <v/>
      </c>
      <c r="AA11" t="str">
        <f>IF($A11="",""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</f>
        <v/>
      </c>
      <c r="AB11" t="str">
        <f>IF($A11="",""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</f>
        <v/>
      </c>
      <c r="AC11" t="s">
        <v>297</v>
      </c>
      <c r="AD11" t="s">
        <v>297</v>
      </c>
      <c r="AE11" t="s">
        <v>297</v>
      </c>
      <c r="AF11" t="s">
        <v>297</v>
      </c>
      <c r="AG11" t="s">
        <v>297</v>
      </c>
      <c r="AH11" t="s">
        <v>297</v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 t="str">
        <f>IF($A11="","",SUMIFS(Compta!$F$1:$F$675,Compta!$A$1:$A$675,"GRP",Compta!$B$1:$B$675,"6236",Compta!$C$1:$C$675,$A11))</f>
        <v/>
      </c>
      <c r="AP11" t="s">
        <v>297</v>
      </c>
      <c r="AQ11" t="s">
        <v>297</v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IF($A12="","",SUMIFS(Socle!$K$1:$K$175,Socle!$C$1:$C$175,$B12,Socle!$D$1:$D$175,$D12,Socle!$E$1:$E$175,$E12,Socle!$F$1:$F$175,$F12,Socle!$G$1:$G$175,$A12))</f>
        <v/>
      </c>
      <c r="K12" t="str">
        <f t="shared" si="0"/>
        <v/>
      </c>
      <c r="L12" t="str">
        <f>IF($A12="","",SUMIFS(Allocation!$I$1:$I$175,Allocation!$C$1:$C$175,$A12,Allocation!$D$1:$D$175,$B12))</f>
        <v/>
      </c>
      <c r="M12" t="str">
        <f>IF($A12="","",SUMIFS(Allocation!$J$1:$J$175,Allocation!$C$1:$C$175,$A12,Allocation!$D$1:$D$175,$B12))</f>
        <v/>
      </c>
      <c r="N12" t="str">
        <f>IF($A12="","",SUMIFS(Allocation!$K$1:$K$175,Allocation!$C$1:$C$175,$A12,Allocation!$D$1:$D$175,$B12))</f>
        <v/>
      </c>
      <c r="O12" t="str">
        <f t="shared" si="1"/>
        <v/>
      </c>
      <c r="P12" t="str">
        <f t="shared" si="2"/>
        <v/>
      </c>
      <c r="Q12" t="str">
        <f>IF($A12="","",SUMIFS(Allocation!$I$1:$I$175,Allocation!$C$1:$C$175,$A12,Allocation!$E$1:$E$175,$C12))</f>
        <v/>
      </c>
      <c r="R12" t="str">
        <f>IF($A12="","",SUMIFS(Allocation!$J$1:$J$175,Allocation!$C$1:$C$175,$A12,Allocation!$E$1:$E$175,$C12))</f>
        <v/>
      </c>
      <c r="S12" t="str">
        <f>IF($A12="","",SUMIFS(Allocation!$K$1:$K$175,Allocation!$C$1:$C$175,$A12,Allocation!$E$1:$E$175,$C12))</f>
        <v/>
      </c>
      <c r="T12" t="str">
        <f>IF($A12="","",SUMIFS(Allocation!$I$1:$I$175,Allocation!$C$1:$C$175,$A12))</f>
        <v/>
      </c>
      <c r="U12" t="str">
        <f>IF($A12="","",SUMIFS(Allocation!$J$1:$J$175,Allocation!$C$1:$C$175,$A12))</f>
        <v/>
      </c>
      <c r="V12" t="str">
        <f>IF($A12="","",SUMIFS(Allocation!$K$1:$K$175,Allocation!$C$1:$C$175,$A12))</f>
        <v/>
      </c>
      <c r="W12" t="str">
        <f>IF($A12="","",SUMIFS(Compta!$F$1:$F$675,Compta!$A$1:$A$675,$B12,Compta!$B$1:$B$675,"621",Compta!$C$1:$C$675,$A12))</f>
        <v/>
      </c>
      <c r="X12" t="str">
        <f>IF($A12="","",SUMIFS(Compta!$F$1:$F$675,Compta!$A$1:$A$675,$B12,Compta!$B$1:$B$675,"6411",Compta!$C$1:$C$675,$A12))</f>
        <v/>
      </c>
      <c r="Y12" t="str">
        <f>IF($A12="","",SUMIFS(Compta!$F$1:$F$675,Compta!$A$1:$A$675,$B12,Compta!$B$1:$B$675,"604",Compta!$C$1:$C$675,$A12)+SUMIFS(Compta!$F$1:$F$675,Compta!$A$1:$A$675,$B12,Compta!$B$1:$B$675,"6063",Compta!$C$1:$C$675,$A12))</f>
        <v/>
      </c>
      <c r="Z12" t="str">
        <f>IF($A12="","",SUMIFS(Compta!$F$1:$F$675,Compta!$A$1:$A$675,$B12,Compta!$B$1:$B$675,"6231",Compta!$C$1:$C$675,$A12))</f>
        <v/>
      </c>
      <c r="AA12" t="str">
        <f>IF($A12="",""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</f>
        <v/>
      </c>
      <c r="AB12" t="str">
        <f>IF($A12="",""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</f>
        <v/>
      </c>
      <c r="AC12" t="s">
        <v>297</v>
      </c>
      <c r="AD12" t="s">
        <v>297</v>
      </c>
      <c r="AE12" t="s">
        <v>297</v>
      </c>
      <c r="AF12" t="s">
        <v>297</v>
      </c>
      <c r="AG12" t="s">
        <v>297</v>
      </c>
      <c r="AH12" t="s">
        <v>297</v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 t="str">
        <f>IF($A12="","",SUMIFS(Compta!$F$1:$F$675,Compta!$A$1:$A$675,"GRP",Compta!$B$1:$B$675,"6236",Compta!$C$1:$C$675,$A12))</f>
        <v/>
      </c>
      <c r="AP12" t="s">
        <v>297</v>
      </c>
      <c r="AQ12" t="s">
        <v>297</v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IF($A13="","",SUMIFS(Socle!$K$1:$K$175,Socle!$C$1:$C$175,$B13,Socle!$D$1:$D$175,$D13,Socle!$E$1:$E$175,$E13,Socle!$F$1:$F$175,$F13,Socle!$G$1:$G$175,$A13))</f>
        <v/>
      </c>
      <c r="K13" t="str">
        <f t="shared" si="0"/>
        <v/>
      </c>
      <c r="L13" t="str">
        <f>IF($A13="","",SUMIFS(Allocation!$I$1:$I$175,Allocation!$C$1:$C$175,$A13,Allocation!$D$1:$D$175,$B13))</f>
        <v/>
      </c>
      <c r="M13" t="str">
        <f>IF($A13="","",SUMIFS(Allocation!$J$1:$J$175,Allocation!$C$1:$C$175,$A13,Allocation!$D$1:$D$175,$B13))</f>
        <v/>
      </c>
      <c r="N13" t="str">
        <f>IF($A13="","",SUMIFS(Allocation!$K$1:$K$175,Allocation!$C$1:$C$175,$A13,Allocation!$D$1:$D$175,$B13))</f>
        <v/>
      </c>
      <c r="O13" t="str">
        <f t="shared" si="1"/>
        <v/>
      </c>
      <c r="P13" t="str">
        <f t="shared" si="2"/>
        <v/>
      </c>
      <c r="Q13" t="str">
        <f>IF($A13="","",SUMIFS(Allocation!$I$1:$I$175,Allocation!$C$1:$C$175,$A13,Allocation!$E$1:$E$175,$C13))</f>
        <v/>
      </c>
      <c r="R13" t="str">
        <f>IF($A13="","",SUMIFS(Allocation!$J$1:$J$175,Allocation!$C$1:$C$175,$A13,Allocation!$E$1:$E$175,$C13))</f>
        <v/>
      </c>
      <c r="S13" t="str">
        <f>IF($A13="","",SUMIFS(Allocation!$K$1:$K$175,Allocation!$C$1:$C$175,$A13,Allocation!$E$1:$E$175,$C13))</f>
        <v/>
      </c>
      <c r="T13" t="str">
        <f>IF($A13="","",SUMIFS(Allocation!$I$1:$I$175,Allocation!$C$1:$C$175,$A13))</f>
        <v/>
      </c>
      <c r="U13" t="str">
        <f>IF($A13="","",SUMIFS(Allocation!$J$1:$J$175,Allocation!$C$1:$C$175,$A13))</f>
        <v/>
      </c>
      <c r="V13" t="str">
        <f>IF($A13="","",SUMIFS(Allocation!$K$1:$K$175,Allocation!$C$1:$C$175,$A13))</f>
        <v/>
      </c>
      <c r="W13" t="str">
        <f>IF($A13="","",SUMIFS(Compta!$F$1:$F$675,Compta!$A$1:$A$675,$B13,Compta!$B$1:$B$675,"621",Compta!$C$1:$C$675,$A13))</f>
        <v/>
      </c>
      <c r="X13" t="str">
        <f>IF($A13="","",SUMIFS(Compta!$F$1:$F$675,Compta!$A$1:$A$675,$B13,Compta!$B$1:$B$675,"6411",Compta!$C$1:$C$675,$A13))</f>
        <v/>
      </c>
      <c r="Y13" t="str">
        <f>IF($A13="","",SUMIFS(Compta!$F$1:$F$675,Compta!$A$1:$A$675,$B13,Compta!$B$1:$B$675,"604",Compta!$C$1:$C$675,$A13)+SUMIFS(Compta!$F$1:$F$675,Compta!$A$1:$A$675,$B13,Compta!$B$1:$B$675,"6063",Compta!$C$1:$C$675,$A13))</f>
        <v/>
      </c>
      <c r="Z13" t="str">
        <f>IF($A13="","",SUMIFS(Compta!$F$1:$F$675,Compta!$A$1:$A$675,$B13,Compta!$B$1:$B$675,"6231",Compta!$C$1:$C$675,$A13))</f>
        <v/>
      </c>
      <c r="AA13" t="str">
        <f>IF($A13="",""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</f>
        <v/>
      </c>
      <c r="AB13" t="str">
        <f>IF($A13="",""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</f>
        <v/>
      </c>
      <c r="AC13" t="s">
        <v>297</v>
      </c>
      <c r="AD13" t="s">
        <v>297</v>
      </c>
      <c r="AE13" t="s">
        <v>297</v>
      </c>
      <c r="AF13" t="s">
        <v>297</v>
      </c>
      <c r="AG13" t="s">
        <v>297</v>
      </c>
      <c r="AH13" t="s">
        <v>297</v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 t="str">
        <f>IF($A13="","",SUMIFS(Compta!$F$1:$F$675,Compta!$A$1:$A$675,"GRP",Compta!$B$1:$B$675,"6236",Compta!$C$1:$C$675,$A13))</f>
        <v/>
      </c>
      <c r="AP13" t="s">
        <v>297</v>
      </c>
      <c r="AQ13" t="s">
        <v>297</v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IF($A14="","",SUMIFS(Socle!$K$1:$K$175,Socle!$C$1:$C$175,$B14,Socle!$D$1:$D$175,$D14,Socle!$E$1:$E$175,$E14,Socle!$F$1:$F$175,$F14,Socle!$G$1:$G$175,$A14))</f>
        <v/>
      </c>
      <c r="K14" t="str">
        <f t="shared" si="0"/>
        <v/>
      </c>
      <c r="L14" t="str">
        <f>IF($A14="","",SUMIFS(Allocation!$I$1:$I$175,Allocation!$C$1:$C$175,$A14,Allocation!$D$1:$D$175,$B14))</f>
        <v/>
      </c>
      <c r="M14" t="str">
        <f>IF($A14="","",SUMIFS(Allocation!$J$1:$J$175,Allocation!$C$1:$C$175,$A14,Allocation!$D$1:$D$175,$B14))</f>
        <v/>
      </c>
      <c r="N14" t="str">
        <f>IF($A14="","",SUMIFS(Allocation!$K$1:$K$175,Allocation!$C$1:$C$175,$A14,Allocation!$D$1:$D$175,$B14))</f>
        <v/>
      </c>
      <c r="O14" t="str">
        <f t="shared" si="1"/>
        <v/>
      </c>
      <c r="P14" t="str">
        <f t="shared" si="2"/>
        <v/>
      </c>
      <c r="Q14" t="str">
        <f>IF($A14="","",SUMIFS(Allocation!$I$1:$I$175,Allocation!$C$1:$C$175,$A14,Allocation!$E$1:$E$175,$C14))</f>
        <v/>
      </c>
      <c r="R14" t="str">
        <f>IF($A14="","",SUMIFS(Allocation!$J$1:$J$175,Allocation!$C$1:$C$175,$A14,Allocation!$E$1:$E$175,$C14))</f>
        <v/>
      </c>
      <c r="S14" t="str">
        <f>IF($A14="","",SUMIFS(Allocation!$K$1:$K$175,Allocation!$C$1:$C$175,$A14,Allocation!$E$1:$E$175,$C14))</f>
        <v/>
      </c>
      <c r="T14" t="str">
        <f>IF($A14="","",SUMIFS(Allocation!$I$1:$I$175,Allocation!$C$1:$C$175,$A14))</f>
        <v/>
      </c>
      <c r="U14" t="str">
        <f>IF($A14="","",SUMIFS(Allocation!$J$1:$J$175,Allocation!$C$1:$C$175,$A14))</f>
        <v/>
      </c>
      <c r="V14" t="str">
        <f>IF($A14="","",SUMIFS(Allocation!$K$1:$K$175,Allocation!$C$1:$C$175,$A14))</f>
        <v/>
      </c>
      <c r="W14" t="str">
        <f>IF($A14="","",SUMIFS(Compta!$F$1:$F$675,Compta!$A$1:$A$675,$B14,Compta!$B$1:$B$675,"621",Compta!$C$1:$C$675,$A14))</f>
        <v/>
      </c>
      <c r="X14" t="str">
        <f>IF($A14="","",SUMIFS(Compta!$F$1:$F$675,Compta!$A$1:$A$675,$B14,Compta!$B$1:$B$675,"6411",Compta!$C$1:$C$675,$A14))</f>
        <v/>
      </c>
      <c r="Y14" t="str">
        <f>IF($A14="","",SUMIFS(Compta!$F$1:$F$675,Compta!$A$1:$A$675,$B14,Compta!$B$1:$B$675,"604",Compta!$C$1:$C$675,$A14)+SUMIFS(Compta!$F$1:$F$675,Compta!$A$1:$A$675,$B14,Compta!$B$1:$B$675,"6063",Compta!$C$1:$C$675,$A14))</f>
        <v/>
      </c>
      <c r="Z14" t="str">
        <f>IF($A14="","",SUMIFS(Compta!$F$1:$F$675,Compta!$A$1:$A$675,$B14,Compta!$B$1:$B$675,"6231",Compta!$C$1:$C$675,$A14))</f>
        <v/>
      </c>
      <c r="AA14" t="str">
        <f>IF($A14="",""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</f>
        <v/>
      </c>
      <c r="AB14" t="str">
        <f>IF($A14="",""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</f>
        <v/>
      </c>
      <c r="AC14" t="s">
        <v>297</v>
      </c>
      <c r="AD14" t="s">
        <v>297</v>
      </c>
      <c r="AE14" t="s">
        <v>297</v>
      </c>
      <c r="AF14" t="s">
        <v>297</v>
      </c>
      <c r="AG14" t="s">
        <v>297</v>
      </c>
      <c r="AH14" t="s">
        <v>297</v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 t="str">
        <f>IF($A14="","",SUMIFS(Compta!$F$1:$F$675,Compta!$A$1:$A$675,"GRP",Compta!$B$1:$B$675,"6236",Compta!$C$1:$C$675,$A14))</f>
        <v/>
      </c>
      <c r="AP14" t="s">
        <v>297</v>
      </c>
      <c r="AQ14" t="s">
        <v>297</v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IF($A15="","",SUMIFS(Socle!$K$1:$K$175,Socle!$C$1:$C$175,$B15,Socle!$D$1:$D$175,$D15,Socle!$E$1:$E$175,$E15,Socle!$F$1:$F$175,$F15,Socle!$G$1:$G$175,$A15))</f>
        <v/>
      </c>
      <c r="K15" t="str">
        <f t="shared" si="0"/>
        <v/>
      </c>
      <c r="L15" t="str">
        <f>IF($A15="","",SUMIFS(Allocation!$I$1:$I$175,Allocation!$C$1:$C$175,$A15,Allocation!$D$1:$D$175,$B15))</f>
        <v/>
      </c>
      <c r="M15" t="str">
        <f>IF($A15="","",SUMIFS(Allocation!$J$1:$J$175,Allocation!$C$1:$C$175,$A15,Allocation!$D$1:$D$175,$B15))</f>
        <v/>
      </c>
      <c r="N15" t="str">
        <f>IF($A15="","",SUMIFS(Allocation!$K$1:$K$175,Allocation!$C$1:$C$175,$A15,Allocation!$D$1:$D$175,$B15))</f>
        <v/>
      </c>
      <c r="O15" t="str">
        <f t="shared" si="1"/>
        <v/>
      </c>
      <c r="P15" t="str">
        <f t="shared" si="2"/>
        <v/>
      </c>
      <c r="Q15" t="str">
        <f>IF($A15="","",SUMIFS(Allocation!$I$1:$I$175,Allocation!$C$1:$C$175,$A15,Allocation!$E$1:$E$175,$C15))</f>
        <v/>
      </c>
      <c r="R15" t="str">
        <f>IF($A15="","",SUMIFS(Allocation!$J$1:$J$175,Allocation!$C$1:$C$175,$A15,Allocation!$E$1:$E$175,$C15))</f>
        <v/>
      </c>
      <c r="S15" t="str">
        <f>IF($A15="","",SUMIFS(Allocation!$K$1:$K$175,Allocation!$C$1:$C$175,$A15,Allocation!$E$1:$E$175,$C15))</f>
        <v/>
      </c>
      <c r="T15" t="str">
        <f>IF($A15="","",SUMIFS(Allocation!$I$1:$I$175,Allocation!$C$1:$C$175,$A15))</f>
        <v/>
      </c>
      <c r="U15" t="str">
        <f>IF($A15="","",SUMIFS(Allocation!$J$1:$J$175,Allocation!$C$1:$C$175,$A15))</f>
        <v/>
      </c>
      <c r="V15" t="str">
        <f>IF($A15="","",SUMIFS(Allocation!$K$1:$K$175,Allocation!$C$1:$C$175,$A15))</f>
        <v/>
      </c>
      <c r="W15" t="str">
        <f>IF($A15="","",SUMIFS(Compta!$F$1:$F$675,Compta!$A$1:$A$675,$B15,Compta!$B$1:$B$675,"621",Compta!$C$1:$C$675,$A15))</f>
        <v/>
      </c>
      <c r="X15" t="str">
        <f>IF($A15="","",SUMIFS(Compta!$F$1:$F$675,Compta!$A$1:$A$675,$B15,Compta!$B$1:$B$675,"6411",Compta!$C$1:$C$675,$A15))</f>
        <v/>
      </c>
      <c r="Y15" t="str">
        <f>IF($A15="","",SUMIFS(Compta!$F$1:$F$675,Compta!$A$1:$A$675,$B15,Compta!$B$1:$B$675,"604",Compta!$C$1:$C$675,$A15)+SUMIFS(Compta!$F$1:$F$675,Compta!$A$1:$A$675,$B15,Compta!$B$1:$B$675,"6063",Compta!$C$1:$C$675,$A15))</f>
        <v/>
      </c>
      <c r="Z15" t="str">
        <f>IF($A15="","",SUMIFS(Compta!$F$1:$F$675,Compta!$A$1:$A$675,$B15,Compta!$B$1:$B$675,"6231",Compta!$C$1:$C$675,$A15))</f>
        <v/>
      </c>
      <c r="AA15" t="str">
        <f>IF($A15="",""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</f>
        <v/>
      </c>
      <c r="AB15" t="str">
        <f>IF($A15="",""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</f>
        <v/>
      </c>
      <c r="AC15" t="s">
        <v>297</v>
      </c>
      <c r="AD15" t="s">
        <v>297</v>
      </c>
      <c r="AE15" t="s">
        <v>297</v>
      </c>
      <c r="AF15" t="s">
        <v>297</v>
      </c>
      <c r="AG15" t="s">
        <v>297</v>
      </c>
      <c r="AH15" t="s">
        <v>297</v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 t="str">
        <f>IF($A15="","",SUMIFS(Compta!$F$1:$F$675,Compta!$A$1:$A$675,"GRP",Compta!$B$1:$B$675,"6236",Compta!$C$1:$C$675,$A15))</f>
        <v/>
      </c>
      <c r="AP15" t="s">
        <v>297</v>
      </c>
      <c r="AQ15" t="s">
        <v>297</v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IF($A16="","",SUMIFS(Socle!$K$1:$K$175,Socle!$C$1:$C$175,$B16,Socle!$D$1:$D$175,$D16,Socle!$E$1:$E$175,$E16,Socle!$F$1:$F$175,$F16,Socle!$G$1:$G$175,$A16))</f>
        <v/>
      </c>
      <c r="K16" t="str">
        <f t="shared" si="0"/>
        <v/>
      </c>
      <c r="L16" t="str">
        <f>IF($A16="","",SUMIFS(Allocation!$I$1:$I$175,Allocation!$C$1:$C$175,$A16,Allocation!$D$1:$D$175,$B16))</f>
        <v/>
      </c>
      <c r="M16" t="str">
        <f>IF($A16="","",SUMIFS(Allocation!$J$1:$J$175,Allocation!$C$1:$C$175,$A16,Allocation!$D$1:$D$175,$B16))</f>
        <v/>
      </c>
      <c r="N16" t="str">
        <f>IF($A16="","",SUMIFS(Allocation!$K$1:$K$175,Allocation!$C$1:$C$175,$A16,Allocation!$D$1:$D$175,$B16))</f>
        <v/>
      </c>
      <c r="O16" t="str">
        <f t="shared" si="1"/>
        <v/>
      </c>
      <c r="P16" t="str">
        <f t="shared" si="2"/>
        <v/>
      </c>
      <c r="Q16" t="str">
        <f>IF($A16="","",SUMIFS(Allocation!$I$1:$I$175,Allocation!$C$1:$C$175,$A16,Allocation!$E$1:$E$175,$C16))</f>
        <v/>
      </c>
      <c r="R16" t="str">
        <f>IF($A16="","",SUMIFS(Allocation!$J$1:$J$175,Allocation!$C$1:$C$175,$A16,Allocation!$E$1:$E$175,$C16))</f>
        <v/>
      </c>
      <c r="S16" t="str">
        <f>IF($A16="","",SUMIFS(Allocation!$K$1:$K$175,Allocation!$C$1:$C$175,$A16,Allocation!$E$1:$E$175,$C16))</f>
        <v/>
      </c>
      <c r="T16" t="str">
        <f>IF($A16="","",SUMIFS(Allocation!$I$1:$I$175,Allocation!$C$1:$C$175,$A16))</f>
        <v/>
      </c>
      <c r="U16" t="str">
        <f>IF($A16="","",SUMIFS(Allocation!$J$1:$J$175,Allocation!$C$1:$C$175,$A16))</f>
        <v/>
      </c>
      <c r="V16" t="str">
        <f>IF($A16="","",SUMIFS(Allocation!$K$1:$K$175,Allocation!$C$1:$C$175,$A16))</f>
        <v/>
      </c>
      <c r="W16" t="str">
        <f>IF($A16="","",SUMIFS(Compta!$F$1:$F$675,Compta!$A$1:$A$675,$B16,Compta!$B$1:$B$675,"621",Compta!$C$1:$C$675,$A16))</f>
        <v/>
      </c>
      <c r="X16" t="str">
        <f>IF($A16="","",SUMIFS(Compta!$F$1:$F$675,Compta!$A$1:$A$675,$B16,Compta!$B$1:$B$675,"6411",Compta!$C$1:$C$675,$A16))</f>
        <v/>
      </c>
      <c r="Y16" t="str">
        <f>IF($A16="","",SUMIFS(Compta!$F$1:$F$675,Compta!$A$1:$A$675,$B16,Compta!$B$1:$B$675,"604",Compta!$C$1:$C$675,$A16)+SUMIFS(Compta!$F$1:$F$675,Compta!$A$1:$A$675,$B16,Compta!$B$1:$B$675,"6063",Compta!$C$1:$C$675,$A16))</f>
        <v/>
      </c>
      <c r="Z16" t="str">
        <f>IF($A16="","",SUMIFS(Compta!$F$1:$F$675,Compta!$A$1:$A$675,$B16,Compta!$B$1:$B$675,"6231",Compta!$C$1:$C$675,$A16))</f>
        <v/>
      </c>
      <c r="AA16" t="str">
        <f>IF($A16="",""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</f>
        <v/>
      </c>
      <c r="AB16" t="str">
        <f>IF($A16="",""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</f>
        <v/>
      </c>
      <c r="AC16" t="s">
        <v>297</v>
      </c>
      <c r="AD16" t="s">
        <v>297</v>
      </c>
      <c r="AE16" t="s">
        <v>297</v>
      </c>
      <c r="AF16" t="s">
        <v>297</v>
      </c>
      <c r="AG16" t="s">
        <v>297</v>
      </c>
      <c r="AH16" t="s">
        <v>297</v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 t="str">
        <f>IF($A16="","",SUMIFS(Compta!$F$1:$F$675,Compta!$A$1:$A$675,"GRP",Compta!$B$1:$B$675,"6236",Compta!$C$1:$C$675,$A16))</f>
        <v/>
      </c>
      <c r="AP16" t="s">
        <v>297</v>
      </c>
      <c r="AQ16" t="s">
        <v>297</v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IF($A17="","",SUMIFS(Socle!$K$1:$K$175,Socle!$C$1:$C$175,$B17,Socle!$D$1:$D$175,$D17,Socle!$E$1:$E$175,$E17,Socle!$F$1:$F$175,$F17,Socle!$G$1:$G$175,$A17))</f>
        <v/>
      </c>
      <c r="K17" t="str">
        <f t="shared" si="0"/>
        <v/>
      </c>
      <c r="L17" t="str">
        <f>IF($A17="","",SUMIFS(Allocation!$I$1:$I$175,Allocation!$C$1:$C$175,$A17,Allocation!$D$1:$D$175,$B17))</f>
        <v/>
      </c>
      <c r="M17" t="str">
        <f>IF($A17="","",SUMIFS(Allocation!$J$1:$J$175,Allocation!$C$1:$C$175,$A17,Allocation!$D$1:$D$175,$B17))</f>
        <v/>
      </c>
      <c r="N17" t="str">
        <f>IF($A17="","",SUMIFS(Allocation!$K$1:$K$175,Allocation!$C$1:$C$175,$A17,Allocation!$D$1:$D$175,$B17))</f>
        <v/>
      </c>
      <c r="O17" t="str">
        <f t="shared" si="1"/>
        <v/>
      </c>
      <c r="P17" t="str">
        <f t="shared" si="2"/>
        <v/>
      </c>
      <c r="Q17" t="str">
        <f>IF($A17="","",SUMIFS(Allocation!$I$1:$I$175,Allocation!$C$1:$C$175,$A17,Allocation!$E$1:$E$175,$C17))</f>
        <v/>
      </c>
      <c r="R17" t="str">
        <f>IF($A17="","",SUMIFS(Allocation!$J$1:$J$175,Allocation!$C$1:$C$175,$A17,Allocation!$E$1:$E$175,$C17))</f>
        <v/>
      </c>
      <c r="S17" t="str">
        <f>IF($A17="","",SUMIFS(Allocation!$K$1:$K$175,Allocation!$C$1:$C$175,$A17,Allocation!$E$1:$E$175,$C17))</f>
        <v/>
      </c>
      <c r="T17" t="str">
        <f>IF($A17="","",SUMIFS(Allocation!$I$1:$I$175,Allocation!$C$1:$C$175,$A17))</f>
        <v/>
      </c>
      <c r="U17" t="str">
        <f>IF($A17="","",SUMIFS(Allocation!$J$1:$J$175,Allocation!$C$1:$C$175,$A17))</f>
        <v/>
      </c>
      <c r="V17" t="str">
        <f>IF($A17="","",SUMIFS(Allocation!$K$1:$K$175,Allocation!$C$1:$C$175,$A17))</f>
        <v/>
      </c>
      <c r="W17" t="str">
        <f>IF($A17="","",SUMIFS(Compta!$F$1:$F$675,Compta!$A$1:$A$675,$B17,Compta!$B$1:$B$675,"621",Compta!$C$1:$C$675,$A17))</f>
        <v/>
      </c>
      <c r="X17" t="str">
        <f>IF($A17="","",SUMIFS(Compta!$F$1:$F$675,Compta!$A$1:$A$675,$B17,Compta!$B$1:$B$675,"6411",Compta!$C$1:$C$675,$A17))</f>
        <v/>
      </c>
      <c r="Y17" t="str">
        <f>IF($A17="","",SUMIFS(Compta!$F$1:$F$675,Compta!$A$1:$A$675,$B17,Compta!$B$1:$B$675,"604",Compta!$C$1:$C$675,$A17)+SUMIFS(Compta!$F$1:$F$675,Compta!$A$1:$A$675,$B17,Compta!$B$1:$B$675,"6063",Compta!$C$1:$C$675,$A17))</f>
        <v/>
      </c>
      <c r="Z17" t="str">
        <f>IF($A17="","",SUMIFS(Compta!$F$1:$F$675,Compta!$A$1:$A$675,$B17,Compta!$B$1:$B$675,"6231",Compta!$C$1:$C$675,$A17))</f>
        <v/>
      </c>
      <c r="AA17" t="str">
        <f>IF($A17="",""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</f>
        <v/>
      </c>
      <c r="AB17" t="str">
        <f>IF($A17="",""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</f>
        <v/>
      </c>
      <c r="AC17" t="s">
        <v>297</v>
      </c>
      <c r="AD17" t="s">
        <v>297</v>
      </c>
      <c r="AE17" t="s">
        <v>297</v>
      </c>
      <c r="AF17" t="s">
        <v>297</v>
      </c>
      <c r="AG17" t="s">
        <v>297</v>
      </c>
      <c r="AH17" t="s">
        <v>297</v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 t="str">
        <f>IF($A17="","",SUMIFS(Compta!$F$1:$F$675,Compta!$A$1:$A$675,"GRP",Compta!$B$1:$B$675,"6236",Compta!$C$1:$C$675,$A17))</f>
        <v/>
      </c>
      <c r="AP17" t="s">
        <v>297</v>
      </c>
      <c r="AQ17" t="s">
        <v>297</v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IF($A18="","",SUMIFS(Socle!$K$1:$K$175,Socle!$C$1:$C$175,$B18,Socle!$D$1:$D$175,$D18,Socle!$E$1:$E$175,$E18,Socle!$F$1:$F$175,$F18,Socle!$G$1:$G$175,$A18))</f>
        <v/>
      </c>
      <c r="K18" t="str">
        <f t="shared" si="0"/>
        <v/>
      </c>
      <c r="L18" t="str">
        <f>IF($A18="","",SUMIFS(Allocation!$I$1:$I$175,Allocation!$C$1:$C$175,$A18,Allocation!$D$1:$D$175,$B18))</f>
        <v/>
      </c>
      <c r="M18" t="str">
        <f>IF($A18="","",SUMIFS(Allocation!$J$1:$J$175,Allocation!$C$1:$C$175,$A18,Allocation!$D$1:$D$175,$B18))</f>
        <v/>
      </c>
      <c r="N18" t="str">
        <f>IF($A18="","",SUMIFS(Allocation!$K$1:$K$175,Allocation!$C$1:$C$175,$A18,Allocation!$D$1:$D$175,$B18))</f>
        <v/>
      </c>
      <c r="O18" t="str">
        <f t="shared" si="1"/>
        <v/>
      </c>
      <c r="P18" t="str">
        <f t="shared" si="2"/>
        <v/>
      </c>
      <c r="Q18" t="str">
        <f>IF($A18="","",SUMIFS(Allocation!$I$1:$I$175,Allocation!$C$1:$C$175,$A18,Allocation!$E$1:$E$175,$C18))</f>
        <v/>
      </c>
      <c r="R18" t="str">
        <f>IF($A18="","",SUMIFS(Allocation!$J$1:$J$175,Allocation!$C$1:$C$175,$A18,Allocation!$E$1:$E$175,$C18))</f>
        <v/>
      </c>
      <c r="S18" t="str">
        <f>IF($A18="","",SUMIFS(Allocation!$K$1:$K$175,Allocation!$C$1:$C$175,$A18,Allocation!$E$1:$E$175,$C18))</f>
        <v/>
      </c>
      <c r="T18" t="str">
        <f>IF($A18="","",SUMIFS(Allocation!$I$1:$I$175,Allocation!$C$1:$C$175,$A18))</f>
        <v/>
      </c>
      <c r="U18" t="str">
        <f>IF($A18="","",SUMIFS(Allocation!$J$1:$J$175,Allocation!$C$1:$C$175,$A18))</f>
        <v/>
      </c>
      <c r="V18" t="str">
        <f>IF($A18="","",SUMIFS(Allocation!$K$1:$K$175,Allocation!$C$1:$C$175,$A18))</f>
        <v/>
      </c>
      <c r="W18" t="str">
        <f>IF($A18="","",SUMIFS(Compta!$F$1:$F$675,Compta!$A$1:$A$675,$B18,Compta!$B$1:$B$675,"621",Compta!$C$1:$C$675,$A18))</f>
        <v/>
      </c>
      <c r="X18" t="str">
        <f>IF($A18="","",SUMIFS(Compta!$F$1:$F$675,Compta!$A$1:$A$675,$B18,Compta!$B$1:$B$675,"6411",Compta!$C$1:$C$675,$A18))</f>
        <v/>
      </c>
      <c r="Y18" t="str">
        <f>IF($A18="","",SUMIFS(Compta!$F$1:$F$675,Compta!$A$1:$A$675,$B18,Compta!$B$1:$B$675,"604",Compta!$C$1:$C$675,$A18)+SUMIFS(Compta!$F$1:$F$675,Compta!$A$1:$A$675,$B18,Compta!$B$1:$B$675,"6063",Compta!$C$1:$C$675,$A18))</f>
        <v/>
      </c>
      <c r="Z18" t="str">
        <f>IF($A18="","",SUMIFS(Compta!$F$1:$F$675,Compta!$A$1:$A$675,$B18,Compta!$B$1:$B$675,"6231",Compta!$C$1:$C$675,$A18))</f>
        <v/>
      </c>
      <c r="AA18" t="str">
        <f>IF($A18="",""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</f>
        <v/>
      </c>
      <c r="AB18" t="str">
        <f>IF($A18="",""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</f>
        <v/>
      </c>
      <c r="AC18" t="s">
        <v>297</v>
      </c>
      <c r="AD18" t="s">
        <v>297</v>
      </c>
      <c r="AE18" t="s">
        <v>297</v>
      </c>
      <c r="AF18" t="s">
        <v>297</v>
      </c>
      <c r="AG18" t="s">
        <v>297</v>
      </c>
      <c r="AH18" t="s">
        <v>297</v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 t="str">
        <f>IF($A18="","",SUMIFS(Compta!$F$1:$F$675,Compta!$A$1:$A$675,"GRP",Compta!$B$1:$B$675,"6236",Compta!$C$1:$C$675,$A18))</f>
        <v/>
      </c>
      <c r="AP18" t="s">
        <v>297</v>
      </c>
      <c r="AQ18" t="s">
        <v>297</v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IF($A19="","",SUMIFS(Socle!$K$1:$K$175,Socle!$C$1:$C$175,$B19,Socle!$D$1:$D$175,$D19,Socle!$E$1:$E$175,$E19,Socle!$F$1:$F$175,$F19,Socle!$G$1:$G$175,$A19))</f>
        <v/>
      </c>
      <c r="K19" t="str">
        <f t="shared" si="0"/>
        <v/>
      </c>
      <c r="L19" t="str">
        <f>IF($A19="","",SUMIFS(Allocation!$I$1:$I$175,Allocation!$C$1:$C$175,$A19,Allocation!$D$1:$D$175,$B19))</f>
        <v/>
      </c>
      <c r="M19" t="str">
        <f>IF($A19="","",SUMIFS(Allocation!$J$1:$J$175,Allocation!$C$1:$C$175,$A19,Allocation!$D$1:$D$175,$B19))</f>
        <v/>
      </c>
      <c r="N19" t="str">
        <f>IF($A19="","",SUMIFS(Allocation!$K$1:$K$175,Allocation!$C$1:$C$175,$A19,Allocation!$D$1:$D$175,$B19))</f>
        <v/>
      </c>
      <c r="O19" t="str">
        <f t="shared" si="1"/>
        <v/>
      </c>
      <c r="P19" t="str">
        <f t="shared" si="2"/>
        <v/>
      </c>
      <c r="Q19" t="str">
        <f>IF($A19="","",SUMIFS(Allocation!$I$1:$I$175,Allocation!$C$1:$C$175,$A19,Allocation!$E$1:$E$175,$C19))</f>
        <v/>
      </c>
      <c r="R19" t="str">
        <f>IF($A19="","",SUMIFS(Allocation!$J$1:$J$175,Allocation!$C$1:$C$175,$A19,Allocation!$E$1:$E$175,$C19))</f>
        <v/>
      </c>
      <c r="S19" t="str">
        <f>IF($A19="","",SUMIFS(Allocation!$K$1:$K$175,Allocation!$C$1:$C$175,$A19,Allocation!$E$1:$E$175,$C19))</f>
        <v/>
      </c>
      <c r="T19" t="str">
        <f>IF($A19="","",SUMIFS(Allocation!$I$1:$I$175,Allocation!$C$1:$C$175,$A19))</f>
        <v/>
      </c>
      <c r="U19" t="str">
        <f>IF($A19="","",SUMIFS(Allocation!$J$1:$J$175,Allocation!$C$1:$C$175,$A19))</f>
        <v/>
      </c>
      <c r="V19" t="str">
        <f>IF($A19="","",SUMIFS(Allocation!$K$1:$K$175,Allocation!$C$1:$C$175,$A19))</f>
        <v/>
      </c>
      <c r="W19" t="str">
        <f>IF($A19="","",SUMIFS(Compta!$F$1:$F$675,Compta!$A$1:$A$675,$B19,Compta!$B$1:$B$675,"621",Compta!$C$1:$C$675,$A19))</f>
        <v/>
      </c>
      <c r="X19" t="str">
        <f>IF($A19="","",SUMIFS(Compta!$F$1:$F$675,Compta!$A$1:$A$675,$B19,Compta!$B$1:$B$675,"6411",Compta!$C$1:$C$675,$A19))</f>
        <v/>
      </c>
      <c r="Y19" t="str">
        <f>IF($A19="","",SUMIFS(Compta!$F$1:$F$675,Compta!$A$1:$A$675,$B19,Compta!$B$1:$B$675,"604",Compta!$C$1:$C$675,$A19)+SUMIFS(Compta!$F$1:$F$675,Compta!$A$1:$A$675,$B19,Compta!$B$1:$B$675,"6063",Compta!$C$1:$C$675,$A19))</f>
        <v/>
      </c>
      <c r="Z19" t="str">
        <f>IF($A19="","",SUMIFS(Compta!$F$1:$F$675,Compta!$A$1:$A$675,$B19,Compta!$B$1:$B$675,"6231",Compta!$C$1:$C$675,$A19))</f>
        <v/>
      </c>
      <c r="AA19" t="str">
        <f>IF($A19="",""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</f>
        <v/>
      </c>
      <c r="AB19" t="str">
        <f>IF($A19="",""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</f>
        <v/>
      </c>
      <c r="AC19" t="s">
        <v>297</v>
      </c>
      <c r="AD19" t="s">
        <v>297</v>
      </c>
      <c r="AE19" t="s">
        <v>297</v>
      </c>
      <c r="AF19" t="s">
        <v>297</v>
      </c>
      <c r="AG19" t="s">
        <v>297</v>
      </c>
      <c r="AH19" t="s">
        <v>297</v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 t="str">
        <f>IF($A19="","",SUMIFS(Compta!$F$1:$F$675,Compta!$A$1:$A$675,"GRP",Compta!$B$1:$B$675,"6236",Compta!$C$1:$C$675,$A19))</f>
        <v/>
      </c>
      <c r="AP19" t="s">
        <v>297</v>
      </c>
      <c r="AQ19" t="s">
        <v>297</v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IF($A20="","",SUMIFS(Socle!$K$1:$K$175,Socle!$C$1:$C$175,$B20,Socle!$D$1:$D$175,$D20,Socle!$E$1:$E$175,$E20,Socle!$F$1:$F$175,$F20,Socle!$G$1:$G$175,$A20))</f>
        <v/>
      </c>
      <c r="K20" t="str">
        <f t="shared" si="0"/>
        <v/>
      </c>
      <c r="L20" t="str">
        <f>IF($A20="","",SUMIFS(Allocation!$I$1:$I$175,Allocation!$C$1:$C$175,$A20,Allocation!$D$1:$D$175,$B20))</f>
        <v/>
      </c>
      <c r="M20" t="str">
        <f>IF($A20="","",SUMIFS(Allocation!$J$1:$J$175,Allocation!$C$1:$C$175,$A20,Allocation!$D$1:$D$175,$B20))</f>
        <v/>
      </c>
      <c r="N20" t="str">
        <f>IF($A20="","",SUMIFS(Allocation!$K$1:$K$175,Allocation!$C$1:$C$175,$A20,Allocation!$D$1:$D$175,$B20))</f>
        <v/>
      </c>
      <c r="O20" t="str">
        <f t="shared" si="1"/>
        <v/>
      </c>
      <c r="P20" t="str">
        <f t="shared" si="2"/>
        <v/>
      </c>
      <c r="Q20" t="str">
        <f>IF($A20="","",SUMIFS(Allocation!$I$1:$I$175,Allocation!$C$1:$C$175,$A20,Allocation!$E$1:$E$175,$C20))</f>
        <v/>
      </c>
      <c r="R20" t="str">
        <f>IF($A20="","",SUMIFS(Allocation!$J$1:$J$175,Allocation!$C$1:$C$175,$A20,Allocation!$E$1:$E$175,$C20))</f>
        <v/>
      </c>
      <c r="S20" t="str">
        <f>IF($A20="","",SUMIFS(Allocation!$K$1:$K$175,Allocation!$C$1:$C$175,$A20,Allocation!$E$1:$E$175,$C20))</f>
        <v/>
      </c>
      <c r="T20" t="str">
        <f>IF($A20="","",SUMIFS(Allocation!$I$1:$I$175,Allocation!$C$1:$C$175,$A20))</f>
        <v/>
      </c>
      <c r="U20" t="str">
        <f>IF($A20="","",SUMIFS(Allocation!$J$1:$J$175,Allocation!$C$1:$C$175,$A20))</f>
        <v/>
      </c>
      <c r="V20" t="str">
        <f>IF($A20="","",SUMIFS(Allocation!$K$1:$K$175,Allocation!$C$1:$C$175,$A20))</f>
        <v/>
      </c>
      <c r="W20" t="str">
        <f>IF($A20="","",SUMIFS(Compta!$F$1:$F$675,Compta!$A$1:$A$675,$B20,Compta!$B$1:$B$675,"621",Compta!$C$1:$C$675,$A20))</f>
        <v/>
      </c>
      <c r="X20" t="str">
        <f>IF($A20="","",SUMIFS(Compta!$F$1:$F$675,Compta!$A$1:$A$675,$B20,Compta!$B$1:$B$675,"6411",Compta!$C$1:$C$675,$A20))</f>
        <v/>
      </c>
      <c r="Y20" t="str">
        <f>IF($A20="","",SUMIFS(Compta!$F$1:$F$675,Compta!$A$1:$A$675,$B20,Compta!$B$1:$B$675,"604",Compta!$C$1:$C$675,$A20)+SUMIFS(Compta!$F$1:$F$675,Compta!$A$1:$A$675,$B20,Compta!$B$1:$B$675,"6063",Compta!$C$1:$C$675,$A20))</f>
        <v/>
      </c>
      <c r="Z20" t="str">
        <f>IF($A20="","",SUMIFS(Compta!$F$1:$F$675,Compta!$A$1:$A$675,$B20,Compta!$B$1:$B$675,"6231",Compta!$C$1:$C$675,$A20))</f>
        <v/>
      </c>
      <c r="AA20" t="str">
        <f>IF($A20="",""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</f>
        <v/>
      </c>
      <c r="AB20" t="str">
        <f>IF($A20="",""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</f>
        <v/>
      </c>
      <c r="AC20" t="s">
        <v>297</v>
      </c>
      <c r="AD20" t="s">
        <v>297</v>
      </c>
      <c r="AE20" t="s">
        <v>297</v>
      </c>
      <c r="AF20" t="s">
        <v>297</v>
      </c>
      <c r="AG20" t="s">
        <v>297</v>
      </c>
      <c r="AH20" t="s">
        <v>297</v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 t="str">
        <f>IF($A20="","",SUMIFS(Compta!$F$1:$F$675,Compta!$A$1:$A$675,"GRP",Compta!$B$1:$B$675,"6236",Compta!$C$1:$C$675,$A20))</f>
        <v/>
      </c>
      <c r="AP20" t="s">
        <v>297</v>
      </c>
      <c r="AQ20" t="s">
        <v>297</v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IF($A21="","",SUMIFS(Socle!$K$1:$K$175,Socle!$C$1:$C$175,$B21,Socle!$D$1:$D$175,$D21,Socle!$E$1:$E$175,$E21,Socle!$F$1:$F$175,$F21,Socle!$G$1:$G$175,$A21))</f>
        <v/>
      </c>
      <c r="K21" t="str">
        <f t="shared" si="0"/>
        <v/>
      </c>
      <c r="L21" t="str">
        <f>IF($A21="","",SUMIFS(Allocation!$I$1:$I$175,Allocation!$C$1:$C$175,$A21,Allocation!$D$1:$D$175,$B21))</f>
        <v/>
      </c>
      <c r="M21" t="str">
        <f>IF($A21="","",SUMIFS(Allocation!$J$1:$J$175,Allocation!$C$1:$C$175,$A21,Allocation!$D$1:$D$175,$B21))</f>
        <v/>
      </c>
      <c r="N21" t="str">
        <f>IF($A21="","",SUMIFS(Allocation!$K$1:$K$175,Allocation!$C$1:$C$175,$A21,Allocation!$D$1:$D$175,$B21))</f>
        <v/>
      </c>
      <c r="O21" t="str">
        <f t="shared" si="1"/>
        <v/>
      </c>
      <c r="P21" t="str">
        <f t="shared" si="2"/>
        <v/>
      </c>
      <c r="Q21" t="str">
        <f>IF($A21="","",SUMIFS(Allocation!$I$1:$I$175,Allocation!$C$1:$C$175,$A21,Allocation!$E$1:$E$175,$C21))</f>
        <v/>
      </c>
      <c r="R21" t="str">
        <f>IF($A21="","",SUMIFS(Allocation!$J$1:$J$175,Allocation!$C$1:$C$175,$A21,Allocation!$E$1:$E$175,$C21))</f>
        <v/>
      </c>
      <c r="S21" t="str">
        <f>IF($A21="","",SUMIFS(Allocation!$K$1:$K$175,Allocation!$C$1:$C$175,$A21,Allocation!$E$1:$E$175,$C21))</f>
        <v/>
      </c>
      <c r="T21" t="str">
        <f>IF($A21="","",SUMIFS(Allocation!$I$1:$I$175,Allocation!$C$1:$C$175,$A21))</f>
        <v/>
      </c>
      <c r="U21" t="str">
        <f>IF($A21="","",SUMIFS(Allocation!$J$1:$J$175,Allocation!$C$1:$C$175,$A21))</f>
        <v/>
      </c>
      <c r="V21" t="str">
        <f>IF($A21="","",SUMIFS(Allocation!$K$1:$K$175,Allocation!$C$1:$C$175,$A21))</f>
        <v/>
      </c>
      <c r="W21" t="str">
        <f>IF($A21="","",SUMIFS(Compta!$F$1:$F$675,Compta!$A$1:$A$675,$B21,Compta!$B$1:$B$675,"621",Compta!$C$1:$C$675,$A21))</f>
        <v/>
      </c>
      <c r="X21" t="str">
        <f>IF($A21="","",SUMIFS(Compta!$F$1:$F$675,Compta!$A$1:$A$675,$B21,Compta!$B$1:$B$675,"6411",Compta!$C$1:$C$675,$A21))</f>
        <v/>
      </c>
      <c r="Y21" t="str">
        <f>IF($A21="","",SUMIFS(Compta!$F$1:$F$675,Compta!$A$1:$A$675,$B21,Compta!$B$1:$B$675,"604",Compta!$C$1:$C$675,$A21)+SUMIFS(Compta!$F$1:$F$675,Compta!$A$1:$A$675,$B21,Compta!$B$1:$B$675,"6063",Compta!$C$1:$C$675,$A21))</f>
        <v/>
      </c>
      <c r="Z21" t="str">
        <f>IF($A21="","",SUMIFS(Compta!$F$1:$F$675,Compta!$A$1:$A$675,$B21,Compta!$B$1:$B$675,"6231",Compta!$C$1:$C$675,$A21))</f>
        <v/>
      </c>
      <c r="AA21" t="str">
        <f>IF($A21="",""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</f>
        <v/>
      </c>
      <c r="AB21" t="str">
        <f>IF($A21="",""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</f>
        <v/>
      </c>
      <c r="AC21" t="s">
        <v>297</v>
      </c>
      <c r="AD21" t="s">
        <v>297</v>
      </c>
      <c r="AE21" t="s">
        <v>297</v>
      </c>
      <c r="AF21" t="s">
        <v>297</v>
      </c>
      <c r="AG21" t="s">
        <v>297</v>
      </c>
      <c r="AH21" t="s">
        <v>297</v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 t="str">
        <f>IF($A21="","",SUMIFS(Compta!$F$1:$F$675,Compta!$A$1:$A$675,"GRP",Compta!$B$1:$B$675,"6236",Compta!$C$1:$C$675,$A21))</f>
        <v/>
      </c>
      <c r="AP21" t="s">
        <v>297</v>
      </c>
      <c r="AQ21" t="s">
        <v>297</v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IF($A22="","",SUMIFS(Socle!$K$1:$K$175,Socle!$C$1:$C$175,$B22,Socle!$D$1:$D$175,$D22,Socle!$E$1:$E$175,$E22,Socle!$F$1:$F$175,$F22,Socle!$G$1:$G$175,$A22))</f>
        <v/>
      </c>
      <c r="K22" t="str">
        <f t="shared" si="0"/>
        <v/>
      </c>
      <c r="L22" t="str">
        <f>IF($A22="","",SUMIFS(Allocation!$I$1:$I$175,Allocation!$C$1:$C$175,$A22,Allocation!$D$1:$D$175,$B22))</f>
        <v/>
      </c>
      <c r="M22" t="str">
        <f>IF($A22="","",SUMIFS(Allocation!$J$1:$J$175,Allocation!$C$1:$C$175,$A22,Allocation!$D$1:$D$175,$B22))</f>
        <v/>
      </c>
      <c r="N22" t="str">
        <f>IF($A22="","",SUMIFS(Allocation!$K$1:$K$175,Allocation!$C$1:$C$175,$A22,Allocation!$D$1:$D$175,$B22))</f>
        <v/>
      </c>
      <c r="O22" t="str">
        <f t="shared" si="1"/>
        <v/>
      </c>
      <c r="P22" t="str">
        <f t="shared" si="2"/>
        <v/>
      </c>
      <c r="Q22" t="str">
        <f>IF($A22="","",SUMIFS(Allocation!$I$1:$I$175,Allocation!$C$1:$C$175,$A22,Allocation!$E$1:$E$175,$C22))</f>
        <v/>
      </c>
      <c r="R22" t="str">
        <f>IF($A22="","",SUMIFS(Allocation!$J$1:$J$175,Allocation!$C$1:$C$175,$A22,Allocation!$E$1:$E$175,$C22))</f>
        <v/>
      </c>
      <c r="S22" t="str">
        <f>IF($A22="","",SUMIFS(Allocation!$K$1:$K$175,Allocation!$C$1:$C$175,$A22,Allocation!$E$1:$E$175,$C22))</f>
        <v/>
      </c>
      <c r="T22" t="str">
        <f>IF($A22="","",SUMIFS(Allocation!$I$1:$I$175,Allocation!$C$1:$C$175,$A22))</f>
        <v/>
      </c>
      <c r="U22" t="str">
        <f>IF($A22="","",SUMIFS(Allocation!$J$1:$J$175,Allocation!$C$1:$C$175,$A22))</f>
        <v/>
      </c>
      <c r="V22" t="str">
        <f>IF($A22="","",SUMIFS(Allocation!$K$1:$K$175,Allocation!$C$1:$C$175,$A22))</f>
        <v/>
      </c>
      <c r="W22" t="str">
        <f>IF($A22="","",SUMIFS(Compta!$F$1:$F$675,Compta!$A$1:$A$675,$B22,Compta!$B$1:$B$675,"621",Compta!$C$1:$C$675,$A22))</f>
        <v/>
      </c>
      <c r="X22" t="str">
        <f>IF($A22="","",SUMIFS(Compta!$F$1:$F$675,Compta!$A$1:$A$675,$B22,Compta!$B$1:$B$675,"6411",Compta!$C$1:$C$675,$A22))</f>
        <v/>
      </c>
      <c r="Y22" t="str">
        <f>IF($A22="","",SUMIFS(Compta!$F$1:$F$675,Compta!$A$1:$A$675,$B22,Compta!$B$1:$B$675,"604",Compta!$C$1:$C$675,$A22)+SUMIFS(Compta!$F$1:$F$675,Compta!$A$1:$A$675,$B22,Compta!$B$1:$B$675,"6063",Compta!$C$1:$C$675,$A22))</f>
        <v/>
      </c>
      <c r="Z22" t="str">
        <f>IF($A22="","",SUMIFS(Compta!$F$1:$F$675,Compta!$A$1:$A$675,$B22,Compta!$B$1:$B$675,"6231",Compta!$C$1:$C$675,$A22))</f>
        <v/>
      </c>
      <c r="AA22" t="str">
        <f>IF($A22="",""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</f>
        <v/>
      </c>
      <c r="AB22" t="str">
        <f>IF($A22="",""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</f>
        <v/>
      </c>
      <c r="AC22" t="s">
        <v>297</v>
      </c>
      <c r="AD22" t="s">
        <v>297</v>
      </c>
      <c r="AE22" t="s">
        <v>297</v>
      </c>
      <c r="AF22" t="s">
        <v>297</v>
      </c>
      <c r="AG22" t="s">
        <v>297</v>
      </c>
      <c r="AH22" t="s">
        <v>297</v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 t="str">
        <f>IF($A22="","",SUMIFS(Compta!$F$1:$F$675,Compta!$A$1:$A$675,"GRP",Compta!$B$1:$B$675,"6236",Compta!$C$1:$C$675,$A22))</f>
        <v/>
      </c>
      <c r="AP22" t="s">
        <v>297</v>
      </c>
      <c r="AQ22" t="s">
        <v>297</v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IF($A23="","",SUMIFS(Socle!$K$1:$K$175,Socle!$C$1:$C$175,$B23,Socle!$D$1:$D$175,$D23,Socle!$E$1:$E$175,$E23,Socle!$F$1:$F$175,$F23,Socle!$G$1:$G$175,$A23))</f>
        <v/>
      </c>
      <c r="K23" t="str">
        <f t="shared" si="0"/>
        <v/>
      </c>
      <c r="L23" t="str">
        <f>IF($A23="","",SUMIFS(Allocation!$I$1:$I$175,Allocation!$C$1:$C$175,$A23,Allocation!$D$1:$D$175,$B23))</f>
        <v/>
      </c>
      <c r="M23" t="str">
        <f>IF($A23="","",SUMIFS(Allocation!$J$1:$J$175,Allocation!$C$1:$C$175,$A23,Allocation!$D$1:$D$175,$B23))</f>
        <v/>
      </c>
      <c r="N23" t="str">
        <f>IF($A23="","",SUMIFS(Allocation!$K$1:$K$175,Allocation!$C$1:$C$175,$A23,Allocation!$D$1:$D$175,$B23))</f>
        <v/>
      </c>
      <c r="O23" t="str">
        <f t="shared" si="1"/>
        <v/>
      </c>
      <c r="P23" t="str">
        <f t="shared" si="2"/>
        <v/>
      </c>
      <c r="Q23" t="str">
        <f>IF($A23="","",SUMIFS(Allocation!$I$1:$I$175,Allocation!$C$1:$C$175,$A23,Allocation!$E$1:$E$175,$C23))</f>
        <v/>
      </c>
      <c r="R23" t="str">
        <f>IF($A23="","",SUMIFS(Allocation!$J$1:$J$175,Allocation!$C$1:$C$175,$A23,Allocation!$E$1:$E$175,$C23))</f>
        <v/>
      </c>
      <c r="S23" t="str">
        <f>IF($A23="","",SUMIFS(Allocation!$K$1:$K$175,Allocation!$C$1:$C$175,$A23,Allocation!$E$1:$E$175,$C23))</f>
        <v/>
      </c>
      <c r="T23" t="str">
        <f>IF($A23="","",SUMIFS(Allocation!$I$1:$I$175,Allocation!$C$1:$C$175,$A23))</f>
        <v/>
      </c>
      <c r="U23" t="str">
        <f>IF($A23="","",SUMIFS(Allocation!$J$1:$J$175,Allocation!$C$1:$C$175,$A23))</f>
        <v/>
      </c>
      <c r="V23" t="str">
        <f>IF($A23="","",SUMIFS(Allocation!$K$1:$K$175,Allocation!$C$1:$C$175,$A23))</f>
        <v/>
      </c>
      <c r="W23" t="str">
        <f>IF($A23="","",SUMIFS(Compta!$F$1:$F$675,Compta!$A$1:$A$675,$B23,Compta!$B$1:$B$675,"621",Compta!$C$1:$C$675,$A23))</f>
        <v/>
      </c>
      <c r="X23" t="str">
        <f>IF($A23="","",SUMIFS(Compta!$F$1:$F$675,Compta!$A$1:$A$675,$B23,Compta!$B$1:$B$675,"6411",Compta!$C$1:$C$675,$A23))</f>
        <v/>
      </c>
      <c r="Y23" t="str">
        <f>IF($A23="","",SUMIFS(Compta!$F$1:$F$675,Compta!$A$1:$A$675,$B23,Compta!$B$1:$B$675,"604",Compta!$C$1:$C$675,$A23)+SUMIFS(Compta!$F$1:$F$675,Compta!$A$1:$A$675,$B23,Compta!$B$1:$B$675,"6063",Compta!$C$1:$C$675,$A23))</f>
        <v/>
      </c>
      <c r="Z23" t="str">
        <f>IF($A23="","",SUMIFS(Compta!$F$1:$F$675,Compta!$A$1:$A$675,$B23,Compta!$B$1:$B$675,"6231",Compta!$C$1:$C$675,$A23))</f>
        <v/>
      </c>
      <c r="AA23" t="str">
        <f>IF($A23="",""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</f>
        <v/>
      </c>
      <c r="AB23" t="str">
        <f>IF($A23="",""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</f>
        <v/>
      </c>
      <c r="AC23" t="s">
        <v>297</v>
      </c>
      <c r="AD23" t="s">
        <v>297</v>
      </c>
      <c r="AE23" t="s">
        <v>297</v>
      </c>
      <c r="AF23" t="s">
        <v>297</v>
      </c>
      <c r="AG23" t="s">
        <v>297</v>
      </c>
      <c r="AH23" t="s">
        <v>297</v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 t="str">
        <f>IF($A23="","",SUMIFS(Compta!$F$1:$F$675,Compta!$A$1:$A$675,"GRP",Compta!$B$1:$B$675,"6236",Compta!$C$1:$C$675,$A23))</f>
        <v/>
      </c>
      <c r="AP23" t="s">
        <v>297</v>
      </c>
      <c r="AQ23" t="s">
        <v>297</v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IF($A24="","",SUMIFS(Socle!$K$1:$K$175,Socle!$C$1:$C$175,$B24,Socle!$D$1:$D$175,$D24,Socle!$E$1:$E$175,$E24,Socle!$F$1:$F$175,$F24,Socle!$G$1:$G$175,$A24))</f>
        <v/>
      </c>
      <c r="K24" t="str">
        <f t="shared" si="0"/>
        <v/>
      </c>
      <c r="L24" t="str">
        <f>IF($A24="","",SUMIFS(Allocation!$I$1:$I$175,Allocation!$C$1:$C$175,$A24,Allocation!$D$1:$D$175,$B24))</f>
        <v/>
      </c>
      <c r="M24" t="str">
        <f>IF($A24="","",SUMIFS(Allocation!$J$1:$J$175,Allocation!$C$1:$C$175,$A24,Allocation!$D$1:$D$175,$B24))</f>
        <v/>
      </c>
      <c r="N24" t="str">
        <f>IF($A24="","",SUMIFS(Allocation!$K$1:$K$175,Allocation!$C$1:$C$175,$A24,Allocation!$D$1:$D$175,$B24))</f>
        <v/>
      </c>
      <c r="O24" t="str">
        <f t="shared" si="1"/>
        <v/>
      </c>
      <c r="P24" t="str">
        <f t="shared" si="2"/>
        <v/>
      </c>
      <c r="Q24" t="str">
        <f>IF($A24="","",SUMIFS(Allocation!$I$1:$I$175,Allocation!$C$1:$C$175,$A24,Allocation!$E$1:$E$175,$C24))</f>
        <v/>
      </c>
      <c r="R24" t="str">
        <f>IF($A24="","",SUMIFS(Allocation!$J$1:$J$175,Allocation!$C$1:$C$175,$A24,Allocation!$E$1:$E$175,$C24))</f>
        <v/>
      </c>
      <c r="S24" t="str">
        <f>IF($A24="","",SUMIFS(Allocation!$K$1:$K$175,Allocation!$C$1:$C$175,$A24,Allocation!$E$1:$E$175,$C24))</f>
        <v/>
      </c>
      <c r="T24" t="str">
        <f>IF($A24="","",SUMIFS(Allocation!$I$1:$I$175,Allocation!$C$1:$C$175,$A24))</f>
        <v/>
      </c>
      <c r="U24" t="str">
        <f>IF($A24="","",SUMIFS(Allocation!$J$1:$J$175,Allocation!$C$1:$C$175,$A24))</f>
        <v/>
      </c>
      <c r="V24" t="str">
        <f>IF($A24="","",SUMIFS(Allocation!$K$1:$K$175,Allocation!$C$1:$C$175,$A24))</f>
        <v/>
      </c>
      <c r="W24" t="str">
        <f>IF($A24="","",SUMIFS(Compta!$F$1:$F$675,Compta!$A$1:$A$675,$B24,Compta!$B$1:$B$675,"621",Compta!$C$1:$C$675,$A24))</f>
        <v/>
      </c>
      <c r="X24" t="str">
        <f>IF($A24="","",SUMIFS(Compta!$F$1:$F$675,Compta!$A$1:$A$675,$B24,Compta!$B$1:$B$675,"6411",Compta!$C$1:$C$675,$A24))</f>
        <v/>
      </c>
      <c r="Y24" t="str">
        <f>IF($A24="","",SUMIFS(Compta!$F$1:$F$675,Compta!$A$1:$A$675,$B24,Compta!$B$1:$B$675,"604",Compta!$C$1:$C$675,$A24)+SUMIFS(Compta!$F$1:$F$675,Compta!$A$1:$A$675,$B24,Compta!$B$1:$B$675,"6063",Compta!$C$1:$C$675,$A24))</f>
        <v/>
      </c>
      <c r="Z24" t="str">
        <f>IF($A24="","",SUMIFS(Compta!$F$1:$F$675,Compta!$A$1:$A$675,$B24,Compta!$B$1:$B$675,"6231",Compta!$C$1:$C$675,$A24))</f>
        <v/>
      </c>
      <c r="AA24" t="str">
        <f>IF($A24="",""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</f>
        <v/>
      </c>
      <c r="AB24" t="str">
        <f>IF($A24="",""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</f>
        <v/>
      </c>
      <c r="AC24" t="s">
        <v>297</v>
      </c>
      <c r="AD24" t="s">
        <v>297</v>
      </c>
      <c r="AE24" t="s">
        <v>297</v>
      </c>
      <c r="AF24" t="s">
        <v>297</v>
      </c>
      <c r="AG24" t="s">
        <v>297</v>
      </c>
      <c r="AH24" t="s">
        <v>297</v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 t="str">
        <f>IF($A24="","",SUMIFS(Compta!$F$1:$F$675,Compta!$A$1:$A$675,"GRP",Compta!$B$1:$B$675,"6236",Compta!$C$1:$C$675,$A24))</f>
        <v/>
      </c>
      <c r="AP24" t="s">
        <v>297</v>
      </c>
      <c r="AQ24" t="s">
        <v>297</v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IF($A25="","",SUMIFS(Socle!$K$1:$K$175,Socle!$C$1:$C$175,$B25,Socle!$D$1:$D$175,$D25,Socle!$E$1:$E$175,$E25,Socle!$F$1:$F$175,$F25,Socle!$G$1:$G$175,$A25))</f>
        <v/>
      </c>
      <c r="K25" t="str">
        <f t="shared" si="0"/>
        <v/>
      </c>
      <c r="L25" t="str">
        <f>IF($A25="","",SUMIFS(Allocation!$I$1:$I$175,Allocation!$C$1:$C$175,$A25,Allocation!$D$1:$D$175,$B25))</f>
        <v/>
      </c>
      <c r="M25" t="str">
        <f>IF($A25="","",SUMIFS(Allocation!$J$1:$J$175,Allocation!$C$1:$C$175,$A25,Allocation!$D$1:$D$175,$B25))</f>
        <v/>
      </c>
      <c r="N25" t="str">
        <f>IF($A25="","",SUMIFS(Allocation!$K$1:$K$175,Allocation!$C$1:$C$175,$A25,Allocation!$D$1:$D$175,$B25))</f>
        <v/>
      </c>
      <c r="O25" t="str">
        <f t="shared" si="1"/>
        <v/>
      </c>
      <c r="P25" t="str">
        <f t="shared" si="2"/>
        <v/>
      </c>
      <c r="Q25" t="str">
        <f>IF($A25="","",SUMIFS(Allocation!$I$1:$I$175,Allocation!$C$1:$C$175,$A25,Allocation!$E$1:$E$175,$C25))</f>
        <v/>
      </c>
      <c r="R25" t="str">
        <f>IF($A25="","",SUMIFS(Allocation!$J$1:$J$175,Allocation!$C$1:$C$175,$A25,Allocation!$E$1:$E$175,$C25))</f>
        <v/>
      </c>
      <c r="S25" t="str">
        <f>IF($A25="","",SUMIFS(Allocation!$K$1:$K$175,Allocation!$C$1:$C$175,$A25,Allocation!$E$1:$E$175,$C25))</f>
        <v/>
      </c>
      <c r="T25" t="str">
        <f>IF($A25="","",SUMIFS(Allocation!$I$1:$I$175,Allocation!$C$1:$C$175,$A25))</f>
        <v/>
      </c>
      <c r="U25" t="str">
        <f>IF($A25="","",SUMIFS(Allocation!$J$1:$J$175,Allocation!$C$1:$C$175,$A25))</f>
        <v/>
      </c>
      <c r="V25" t="str">
        <f>IF($A25="","",SUMIFS(Allocation!$K$1:$K$175,Allocation!$C$1:$C$175,$A25))</f>
        <v/>
      </c>
      <c r="W25" t="str">
        <f>IF($A25="","",SUMIFS(Compta!$F$1:$F$675,Compta!$A$1:$A$675,$B25,Compta!$B$1:$B$675,"621",Compta!$C$1:$C$675,$A25))</f>
        <v/>
      </c>
      <c r="X25" t="str">
        <f>IF($A25="","",SUMIFS(Compta!$F$1:$F$675,Compta!$A$1:$A$675,$B25,Compta!$B$1:$B$675,"6411",Compta!$C$1:$C$675,$A25))</f>
        <v/>
      </c>
      <c r="Y25" t="str">
        <f>IF($A25="","",SUMIFS(Compta!$F$1:$F$675,Compta!$A$1:$A$675,$B25,Compta!$B$1:$B$675,"604",Compta!$C$1:$C$675,$A25)+SUMIFS(Compta!$F$1:$F$675,Compta!$A$1:$A$675,$B25,Compta!$B$1:$B$675,"6063",Compta!$C$1:$C$675,$A25))</f>
        <v/>
      </c>
      <c r="Z25" t="str">
        <f>IF($A25="","",SUMIFS(Compta!$F$1:$F$675,Compta!$A$1:$A$675,$B25,Compta!$B$1:$B$675,"6231",Compta!$C$1:$C$675,$A25))</f>
        <v/>
      </c>
      <c r="AA25" t="str">
        <f>IF($A25="",""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</f>
        <v/>
      </c>
      <c r="AB25" t="str">
        <f>IF($A25="",""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</f>
        <v/>
      </c>
      <c r="AC25" t="s">
        <v>297</v>
      </c>
      <c r="AD25" t="s">
        <v>297</v>
      </c>
      <c r="AE25" t="s">
        <v>297</v>
      </c>
      <c r="AF25" t="s">
        <v>297</v>
      </c>
      <c r="AG25" t="s">
        <v>297</v>
      </c>
      <c r="AH25" t="s">
        <v>297</v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 t="str">
        <f>IF($A25="","",SUMIFS(Compta!$F$1:$F$675,Compta!$A$1:$A$675,"GRP",Compta!$B$1:$B$675,"6236",Compta!$C$1:$C$675,$A25))</f>
        <v/>
      </c>
      <c r="AP25" t="s">
        <v>297</v>
      </c>
      <c r="AQ25" t="s">
        <v>297</v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IF($A26="","",SUMIFS(Socle!$K$1:$K$175,Socle!$C$1:$C$175,$B26,Socle!$D$1:$D$175,$D26,Socle!$E$1:$E$175,$E26,Socle!$F$1:$F$175,$F26,Socle!$G$1:$G$175,$A26))</f>
        <v/>
      </c>
      <c r="K26" t="str">
        <f t="shared" si="0"/>
        <v/>
      </c>
      <c r="L26" t="str">
        <f>IF($A26="","",SUMIFS(Allocation!$I$1:$I$175,Allocation!$C$1:$C$175,$A26,Allocation!$D$1:$D$175,$B26))</f>
        <v/>
      </c>
      <c r="M26" t="str">
        <f>IF($A26="","",SUMIFS(Allocation!$J$1:$J$175,Allocation!$C$1:$C$175,$A26,Allocation!$D$1:$D$175,$B26))</f>
        <v/>
      </c>
      <c r="N26" t="str">
        <f>IF($A26="","",SUMIFS(Allocation!$K$1:$K$175,Allocation!$C$1:$C$175,$A26,Allocation!$D$1:$D$175,$B26))</f>
        <v/>
      </c>
      <c r="O26" t="str">
        <f t="shared" si="1"/>
        <v/>
      </c>
      <c r="P26" t="str">
        <f t="shared" si="2"/>
        <v/>
      </c>
      <c r="Q26" t="str">
        <f>IF($A26="","",SUMIFS(Allocation!$I$1:$I$175,Allocation!$C$1:$C$175,$A26,Allocation!$E$1:$E$175,$C26))</f>
        <v/>
      </c>
      <c r="R26" t="str">
        <f>IF($A26="","",SUMIFS(Allocation!$J$1:$J$175,Allocation!$C$1:$C$175,$A26,Allocation!$E$1:$E$175,$C26))</f>
        <v/>
      </c>
      <c r="S26" t="str">
        <f>IF($A26="","",SUMIFS(Allocation!$K$1:$K$175,Allocation!$C$1:$C$175,$A26,Allocation!$E$1:$E$175,$C26))</f>
        <v/>
      </c>
      <c r="T26" t="str">
        <f>IF($A26="","",SUMIFS(Allocation!$I$1:$I$175,Allocation!$C$1:$C$175,$A26))</f>
        <v/>
      </c>
      <c r="U26" t="str">
        <f>IF($A26="","",SUMIFS(Allocation!$J$1:$J$175,Allocation!$C$1:$C$175,$A26))</f>
        <v/>
      </c>
      <c r="V26" t="str">
        <f>IF($A26="","",SUMIFS(Allocation!$K$1:$K$175,Allocation!$C$1:$C$175,$A26))</f>
        <v/>
      </c>
      <c r="W26" t="str">
        <f>IF($A26="","",SUMIFS(Compta!$F$1:$F$675,Compta!$A$1:$A$675,$B26,Compta!$B$1:$B$675,"621",Compta!$C$1:$C$675,$A26))</f>
        <v/>
      </c>
      <c r="X26" t="str">
        <f>IF($A26="","",SUMIFS(Compta!$F$1:$F$675,Compta!$A$1:$A$675,$B26,Compta!$B$1:$B$675,"6411",Compta!$C$1:$C$675,$A26))</f>
        <v/>
      </c>
      <c r="Y26" t="str">
        <f>IF($A26="","",SUMIFS(Compta!$F$1:$F$675,Compta!$A$1:$A$675,$B26,Compta!$B$1:$B$675,"604",Compta!$C$1:$C$675,$A26)+SUMIFS(Compta!$F$1:$F$675,Compta!$A$1:$A$675,$B26,Compta!$B$1:$B$675,"6063",Compta!$C$1:$C$675,$A26))</f>
        <v/>
      </c>
      <c r="Z26" t="str">
        <f>IF($A26="","",SUMIFS(Compta!$F$1:$F$675,Compta!$A$1:$A$675,$B26,Compta!$B$1:$B$675,"6231",Compta!$C$1:$C$675,$A26))</f>
        <v/>
      </c>
      <c r="AA26" t="str">
        <f>IF($A26="",""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</f>
        <v/>
      </c>
      <c r="AB26" t="str">
        <f>IF($A26="",""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</f>
        <v/>
      </c>
      <c r="AC26" t="s">
        <v>297</v>
      </c>
      <c r="AD26" t="s">
        <v>297</v>
      </c>
      <c r="AE26" t="s">
        <v>297</v>
      </c>
      <c r="AF26" t="s">
        <v>297</v>
      </c>
      <c r="AG26" t="s">
        <v>297</v>
      </c>
      <c r="AH26" t="s">
        <v>297</v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 t="str">
        <f>IF($A26="","",SUMIFS(Compta!$F$1:$F$675,Compta!$A$1:$A$675,"GRP",Compta!$B$1:$B$675,"6236",Compta!$C$1:$C$675,$A26))</f>
        <v/>
      </c>
      <c r="AP26" t="s">
        <v>297</v>
      </c>
      <c r="AQ26" t="s">
        <v>297</v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IF($A27="","",SUMIFS(Socle!$K$1:$K$175,Socle!$C$1:$C$175,$B27,Socle!$D$1:$D$175,$D27,Socle!$E$1:$E$175,$E27,Socle!$F$1:$F$175,$F27,Socle!$G$1:$G$175,$A27))</f>
        <v/>
      </c>
      <c r="K27" t="str">
        <f t="shared" si="0"/>
        <v/>
      </c>
      <c r="L27" t="str">
        <f>IF($A27="","",SUMIFS(Allocation!$I$1:$I$175,Allocation!$C$1:$C$175,$A27,Allocation!$D$1:$D$175,$B27))</f>
        <v/>
      </c>
      <c r="M27" t="str">
        <f>IF($A27="","",SUMIFS(Allocation!$J$1:$J$175,Allocation!$C$1:$C$175,$A27,Allocation!$D$1:$D$175,$B27))</f>
        <v/>
      </c>
      <c r="N27" t="str">
        <f>IF($A27="","",SUMIFS(Allocation!$K$1:$K$175,Allocation!$C$1:$C$175,$A27,Allocation!$D$1:$D$175,$B27))</f>
        <v/>
      </c>
      <c r="O27" t="str">
        <f t="shared" si="1"/>
        <v/>
      </c>
      <c r="P27" t="str">
        <f t="shared" si="2"/>
        <v/>
      </c>
      <c r="Q27" t="str">
        <f>IF($A27="","",SUMIFS(Allocation!$I$1:$I$175,Allocation!$C$1:$C$175,$A27,Allocation!$E$1:$E$175,$C27))</f>
        <v/>
      </c>
      <c r="R27" t="str">
        <f>IF($A27="","",SUMIFS(Allocation!$J$1:$J$175,Allocation!$C$1:$C$175,$A27,Allocation!$E$1:$E$175,$C27))</f>
        <v/>
      </c>
      <c r="S27" t="str">
        <f>IF($A27="","",SUMIFS(Allocation!$K$1:$K$175,Allocation!$C$1:$C$175,$A27,Allocation!$E$1:$E$175,$C27))</f>
        <v/>
      </c>
      <c r="T27" t="str">
        <f>IF($A27="","",SUMIFS(Allocation!$I$1:$I$175,Allocation!$C$1:$C$175,$A27))</f>
        <v/>
      </c>
      <c r="U27" t="str">
        <f>IF($A27="","",SUMIFS(Allocation!$J$1:$J$175,Allocation!$C$1:$C$175,$A27))</f>
        <v/>
      </c>
      <c r="V27" t="str">
        <f>IF($A27="","",SUMIFS(Allocation!$K$1:$K$175,Allocation!$C$1:$C$175,$A27))</f>
        <v/>
      </c>
      <c r="W27" t="str">
        <f>IF($A27="","",SUMIFS(Compta!$F$1:$F$675,Compta!$A$1:$A$675,$B27,Compta!$B$1:$B$675,"621",Compta!$C$1:$C$675,$A27))</f>
        <v/>
      </c>
      <c r="X27" t="str">
        <f>IF($A27="","",SUMIFS(Compta!$F$1:$F$675,Compta!$A$1:$A$675,$B27,Compta!$B$1:$B$675,"6411",Compta!$C$1:$C$675,$A27))</f>
        <v/>
      </c>
      <c r="Y27" t="str">
        <f>IF($A27="","",SUMIFS(Compta!$F$1:$F$675,Compta!$A$1:$A$675,$B27,Compta!$B$1:$B$675,"604",Compta!$C$1:$C$675,$A27)+SUMIFS(Compta!$F$1:$F$675,Compta!$A$1:$A$675,$B27,Compta!$B$1:$B$675,"6063",Compta!$C$1:$C$675,$A27))</f>
        <v/>
      </c>
      <c r="Z27" t="str">
        <f>IF($A27="","",SUMIFS(Compta!$F$1:$F$675,Compta!$A$1:$A$675,$B27,Compta!$B$1:$B$675,"6231",Compta!$C$1:$C$675,$A27))</f>
        <v/>
      </c>
      <c r="AA27" t="str">
        <f>IF($A27="",""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</f>
        <v/>
      </c>
      <c r="AB27" t="str">
        <f>IF($A27="",""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</f>
        <v/>
      </c>
      <c r="AC27" t="s">
        <v>297</v>
      </c>
      <c r="AD27" t="s">
        <v>297</v>
      </c>
      <c r="AE27" t="s">
        <v>297</v>
      </c>
      <c r="AF27" t="s">
        <v>297</v>
      </c>
      <c r="AG27" t="s">
        <v>297</v>
      </c>
      <c r="AH27" t="s">
        <v>297</v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 t="str">
        <f>IF($A27="","",SUMIFS(Compta!$F$1:$F$675,Compta!$A$1:$A$675,"GRP",Compta!$B$1:$B$675,"6236",Compta!$C$1:$C$675,$A27))</f>
        <v/>
      </c>
      <c r="AP27" t="s">
        <v>297</v>
      </c>
      <c r="AQ27" t="s">
        <v>297</v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IF($A28="","",SUMIFS(Socle!$K$1:$K$175,Socle!$C$1:$C$175,$B28,Socle!$D$1:$D$175,$D28,Socle!$E$1:$E$175,$E28,Socle!$F$1:$F$175,$F28,Socle!$G$1:$G$175,$A28))</f>
        <v/>
      </c>
      <c r="K28" t="str">
        <f t="shared" si="0"/>
        <v/>
      </c>
      <c r="L28" t="str">
        <f>IF($A28="","",SUMIFS(Allocation!$I$1:$I$175,Allocation!$C$1:$C$175,$A28,Allocation!$D$1:$D$175,$B28))</f>
        <v/>
      </c>
      <c r="M28" t="str">
        <f>IF($A28="","",SUMIFS(Allocation!$J$1:$J$175,Allocation!$C$1:$C$175,$A28,Allocation!$D$1:$D$175,$B28))</f>
        <v/>
      </c>
      <c r="N28" t="str">
        <f>IF($A28="","",SUMIFS(Allocation!$K$1:$K$175,Allocation!$C$1:$C$175,$A28,Allocation!$D$1:$D$175,$B28))</f>
        <v/>
      </c>
      <c r="O28" t="str">
        <f t="shared" si="1"/>
        <v/>
      </c>
      <c r="P28" t="str">
        <f t="shared" si="2"/>
        <v/>
      </c>
      <c r="Q28" t="str">
        <f>IF($A28="","",SUMIFS(Allocation!$I$1:$I$175,Allocation!$C$1:$C$175,$A28,Allocation!$E$1:$E$175,$C28))</f>
        <v/>
      </c>
      <c r="R28" t="str">
        <f>IF($A28="","",SUMIFS(Allocation!$J$1:$J$175,Allocation!$C$1:$C$175,$A28,Allocation!$E$1:$E$175,$C28))</f>
        <v/>
      </c>
      <c r="S28" t="str">
        <f>IF($A28="","",SUMIFS(Allocation!$K$1:$K$175,Allocation!$C$1:$C$175,$A28,Allocation!$E$1:$E$175,$C28))</f>
        <v/>
      </c>
      <c r="T28" t="str">
        <f>IF($A28="","",SUMIFS(Allocation!$I$1:$I$175,Allocation!$C$1:$C$175,$A28))</f>
        <v/>
      </c>
      <c r="U28" t="str">
        <f>IF($A28="","",SUMIFS(Allocation!$J$1:$J$175,Allocation!$C$1:$C$175,$A28))</f>
        <v/>
      </c>
      <c r="V28" t="str">
        <f>IF($A28="","",SUMIFS(Allocation!$K$1:$K$175,Allocation!$C$1:$C$175,$A28))</f>
        <v/>
      </c>
      <c r="W28" t="str">
        <f>IF($A28="","",SUMIFS(Compta!$F$1:$F$675,Compta!$A$1:$A$675,$B28,Compta!$B$1:$B$675,"621",Compta!$C$1:$C$675,$A28))</f>
        <v/>
      </c>
      <c r="X28" t="str">
        <f>IF($A28="","",SUMIFS(Compta!$F$1:$F$675,Compta!$A$1:$A$675,$B28,Compta!$B$1:$B$675,"6411",Compta!$C$1:$C$675,$A28))</f>
        <v/>
      </c>
      <c r="Y28" t="str">
        <f>IF($A28="","",SUMIFS(Compta!$F$1:$F$675,Compta!$A$1:$A$675,$B28,Compta!$B$1:$B$675,"604",Compta!$C$1:$C$675,$A28)+SUMIFS(Compta!$F$1:$F$675,Compta!$A$1:$A$675,$B28,Compta!$B$1:$B$675,"6063",Compta!$C$1:$C$675,$A28))</f>
        <v/>
      </c>
      <c r="Z28" t="str">
        <f>IF($A28="","",SUMIFS(Compta!$F$1:$F$675,Compta!$A$1:$A$675,$B28,Compta!$B$1:$B$675,"6231",Compta!$C$1:$C$675,$A28))</f>
        <v/>
      </c>
      <c r="AA28" t="str">
        <f>IF($A28="",""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</f>
        <v/>
      </c>
      <c r="AB28" t="str">
        <f>IF($A28="",""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</f>
        <v/>
      </c>
      <c r="AC28" t="s">
        <v>297</v>
      </c>
      <c r="AD28" t="s">
        <v>297</v>
      </c>
      <c r="AE28" t="s">
        <v>297</v>
      </c>
      <c r="AF28" t="s">
        <v>297</v>
      </c>
      <c r="AG28" t="s">
        <v>297</v>
      </c>
      <c r="AH28" t="s">
        <v>297</v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 t="str">
        <f>IF($A28="","",SUMIFS(Compta!$F$1:$F$675,Compta!$A$1:$A$675,"GRP",Compta!$B$1:$B$675,"6236",Compta!$C$1:$C$675,$A28))</f>
        <v/>
      </c>
      <c r="AP28" t="s">
        <v>297</v>
      </c>
      <c r="AQ28" t="s">
        <v>297</v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IF($A29="","",SUMIFS(Socle!$K$1:$K$175,Socle!$C$1:$C$175,$B29,Socle!$D$1:$D$175,$D29,Socle!$E$1:$E$175,$E29,Socle!$F$1:$F$175,$F29,Socle!$G$1:$G$175,$A29))</f>
        <v/>
      </c>
      <c r="K29" t="str">
        <f t="shared" si="0"/>
        <v/>
      </c>
      <c r="L29" t="str">
        <f>IF($A29="","",SUMIFS(Allocation!$I$1:$I$175,Allocation!$C$1:$C$175,$A29,Allocation!$D$1:$D$175,$B29))</f>
        <v/>
      </c>
      <c r="M29" t="str">
        <f>IF($A29="","",SUMIFS(Allocation!$J$1:$J$175,Allocation!$C$1:$C$175,$A29,Allocation!$D$1:$D$175,$B29))</f>
        <v/>
      </c>
      <c r="N29" t="str">
        <f>IF($A29="","",SUMIFS(Allocation!$K$1:$K$175,Allocation!$C$1:$C$175,$A29,Allocation!$D$1:$D$175,$B29))</f>
        <v/>
      </c>
      <c r="O29" t="str">
        <f t="shared" si="1"/>
        <v/>
      </c>
      <c r="P29" t="str">
        <f t="shared" si="2"/>
        <v/>
      </c>
      <c r="Q29" t="str">
        <f>IF($A29="","",SUMIFS(Allocation!$I$1:$I$175,Allocation!$C$1:$C$175,$A29,Allocation!$E$1:$E$175,$C29))</f>
        <v/>
      </c>
      <c r="R29" t="str">
        <f>IF($A29="","",SUMIFS(Allocation!$J$1:$J$175,Allocation!$C$1:$C$175,$A29,Allocation!$E$1:$E$175,$C29))</f>
        <v/>
      </c>
      <c r="S29" t="str">
        <f>IF($A29="","",SUMIFS(Allocation!$K$1:$K$175,Allocation!$C$1:$C$175,$A29,Allocation!$E$1:$E$175,$C29))</f>
        <v/>
      </c>
      <c r="T29" t="str">
        <f>IF($A29="","",SUMIFS(Allocation!$I$1:$I$175,Allocation!$C$1:$C$175,$A29))</f>
        <v/>
      </c>
      <c r="U29" t="str">
        <f>IF($A29="","",SUMIFS(Allocation!$J$1:$J$175,Allocation!$C$1:$C$175,$A29))</f>
        <v/>
      </c>
      <c r="V29" t="str">
        <f>IF($A29="","",SUMIFS(Allocation!$K$1:$K$175,Allocation!$C$1:$C$175,$A29))</f>
        <v/>
      </c>
      <c r="W29" t="str">
        <f>IF($A29="","",SUMIFS(Compta!$F$1:$F$675,Compta!$A$1:$A$675,$B29,Compta!$B$1:$B$675,"621",Compta!$C$1:$C$675,$A29))</f>
        <v/>
      </c>
      <c r="X29" t="str">
        <f>IF($A29="","",SUMIFS(Compta!$F$1:$F$675,Compta!$A$1:$A$675,$B29,Compta!$B$1:$B$675,"6411",Compta!$C$1:$C$675,$A29))</f>
        <v/>
      </c>
      <c r="Y29" t="str">
        <f>IF($A29="","",SUMIFS(Compta!$F$1:$F$675,Compta!$A$1:$A$675,$B29,Compta!$B$1:$B$675,"604",Compta!$C$1:$C$675,$A29)+SUMIFS(Compta!$F$1:$F$675,Compta!$A$1:$A$675,$B29,Compta!$B$1:$B$675,"6063",Compta!$C$1:$C$675,$A29))</f>
        <v/>
      </c>
      <c r="Z29" t="str">
        <f>IF($A29="","",SUMIFS(Compta!$F$1:$F$675,Compta!$A$1:$A$675,$B29,Compta!$B$1:$B$675,"6231",Compta!$C$1:$C$675,$A29))</f>
        <v/>
      </c>
      <c r="AA29" t="str">
        <f>IF($A29="",""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</f>
        <v/>
      </c>
      <c r="AB29" t="str">
        <f>IF($A29="",""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</f>
        <v/>
      </c>
      <c r="AC29" t="s">
        <v>297</v>
      </c>
      <c r="AD29" t="s">
        <v>297</v>
      </c>
      <c r="AE29" t="s">
        <v>297</v>
      </c>
      <c r="AF29" t="s">
        <v>297</v>
      </c>
      <c r="AG29" t="s">
        <v>297</v>
      </c>
      <c r="AH29" t="s">
        <v>297</v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 t="str">
        <f>IF($A29="","",SUMIFS(Compta!$F$1:$F$675,Compta!$A$1:$A$675,"GRP",Compta!$B$1:$B$675,"6236",Compta!$C$1:$C$675,$A29))</f>
        <v/>
      </c>
      <c r="AP29" t="s">
        <v>297</v>
      </c>
      <c r="AQ29" t="s">
        <v>297</v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IF($A30="","",SUMIFS(Socle!$K$1:$K$175,Socle!$C$1:$C$175,$B30,Socle!$D$1:$D$175,$D30,Socle!$E$1:$E$175,$E30,Socle!$F$1:$F$175,$F30,Socle!$G$1:$G$175,$A30))</f>
        <v/>
      </c>
      <c r="K30" t="str">
        <f t="shared" si="0"/>
        <v/>
      </c>
      <c r="L30" t="str">
        <f>IF($A30="","",SUMIFS(Allocation!$I$1:$I$175,Allocation!$C$1:$C$175,$A30,Allocation!$D$1:$D$175,$B30))</f>
        <v/>
      </c>
      <c r="M30" t="str">
        <f>IF($A30="","",SUMIFS(Allocation!$J$1:$J$175,Allocation!$C$1:$C$175,$A30,Allocation!$D$1:$D$175,$B30))</f>
        <v/>
      </c>
      <c r="N30" t="str">
        <f>IF($A30="","",SUMIFS(Allocation!$K$1:$K$175,Allocation!$C$1:$C$175,$A30,Allocation!$D$1:$D$175,$B30))</f>
        <v/>
      </c>
      <c r="O30" t="str">
        <f t="shared" si="1"/>
        <v/>
      </c>
      <c r="P30" t="str">
        <f t="shared" si="2"/>
        <v/>
      </c>
      <c r="Q30" t="str">
        <f>IF($A30="","",SUMIFS(Allocation!$I$1:$I$175,Allocation!$C$1:$C$175,$A30,Allocation!$E$1:$E$175,$C30))</f>
        <v/>
      </c>
      <c r="R30" t="str">
        <f>IF($A30="","",SUMIFS(Allocation!$J$1:$J$175,Allocation!$C$1:$C$175,$A30,Allocation!$E$1:$E$175,$C30))</f>
        <v/>
      </c>
      <c r="S30" t="str">
        <f>IF($A30="","",SUMIFS(Allocation!$K$1:$K$175,Allocation!$C$1:$C$175,$A30,Allocation!$E$1:$E$175,$C30))</f>
        <v/>
      </c>
      <c r="T30" t="str">
        <f>IF($A30="","",SUMIFS(Allocation!$I$1:$I$175,Allocation!$C$1:$C$175,$A30))</f>
        <v/>
      </c>
      <c r="U30" t="str">
        <f>IF($A30="","",SUMIFS(Allocation!$J$1:$J$175,Allocation!$C$1:$C$175,$A30))</f>
        <v/>
      </c>
      <c r="V30" t="str">
        <f>IF($A30="","",SUMIFS(Allocation!$K$1:$K$175,Allocation!$C$1:$C$175,$A30))</f>
        <v/>
      </c>
      <c r="W30" t="str">
        <f>IF($A30="","",SUMIFS(Compta!$F$1:$F$675,Compta!$A$1:$A$675,$B30,Compta!$B$1:$B$675,"621",Compta!$C$1:$C$675,$A30))</f>
        <v/>
      </c>
      <c r="X30" t="str">
        <f>IF($A30="","",SUMIFS(Compta!$F$1:$F$675,Compta!$A$1:$A$675,$B30,Compta!$B$1:$B$675,"6411",Compta!$C$1:$C$675,$A30))</f>
        <v/>
      </c>
      <c r="Y30" t="str">
        <f>IF($A30="","",SUMIFS(Compta!$F$1:$F$675,Compta!$A$1:$A$675,$B30,Compta!$B$1:$B$675,"604",Compta!$C$1:$C$675,$A30)+SUMIFS(Compta!$F$1:$F$675,Compta!$A$1:$A$675,$B30,Compta!$B$1:$B$675,"6063",Compta!$C$1:$C$675,$A30))</f>
        <v/>
      </c>
      <c r="Z30" t="str">
        <f>IF($A30="","",SUMIFS(Compta!$F$1:$F$675,Compta!$A$1:$A$675,$B30,Compta!$B$1:$B$675,"6231",Compta!$C$1:$C$675,$A30))</f>
        <v/>
      </c>
      <c r="AA30" t="str">
        <f>IF($A30="",""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</f>
        <v/>
      </c>
      <c r="AB30" t="str">
        <f>IF($A30="",""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</f>
        <v/>
      </c>
      <c r="AC30" t="s">
        <v>297</v>
      </c>
      <c r="AD30" t="s">
        <v>297</v>
      </c>
      <c r="AE30" t="s">
        <v>297</v>
      </c>
      <c r="AF30" t="s">
        <v>297</v>
      </c>
      <c r="AG30" t="s">
        <v>297</v>
      </c>
      <c r="AH30" t="s">
        <v>297</v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 t="str">
        <f>IF($A30="","",SUMIFS(Compta!$F$1:$F$675,Compta!$A$1:$A$675,"GRP",Compta!$B$1:$B$675,"6236",Compta!$C$1:$C$675,$A30))</f>
        <v/>
      </c>
      <c r="AP30" t="s">
        <v>297</v>
      </c>
      <c r="AQ30" t="s">
        <v>297</v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IF($A31="","",SUMIFS(Socle!$K$1:$K$175,Socle!$C$1:$C$175,$B31,Socle!$D$1:$D$175,$D31,Socle!$E$1:$E$175,$E31,Socle!$F$1:$F$175,$F31,Socle!$G$1:$G$175,$A31))</f>
        <v/>
      </c>
      <c r="K31" t="str">
        <f t="shared" si="0"/>
        <v/>
      </c>
      <c r="L31" t="str">
        <f>IF($A31="","",SUMIFS(Allocation!$I$1:$I$175,Allocation!$C$1:$C$175,$A31,Allocation!$D$1:$D$175,$B31))</f>
        <v/>
      </c>
      <c r="M31" t="str">
        <f>IF($A31="","",SUMIFS(Allocation!$J$1:$J$175,Allocation!$C$1:$C$175,$A31,Allocation!$D$1:$D$175,$B31))</f>
        <v/>
      </c>
      <c r="N31" t="str">
        <f>IF($A31="","",SUMIFS(Allocation!$K$1:$K$175,Allocation!$C$1:$C$175,$A31,Allocation!$D$1:$D$175,$B31))</f>
        <v/>
      </c>
      <c r="O31" t="str">
        <f t="shared" si="1"/>
        <v/>
      </c>
      <c r="P31" t="str">
        <f t="shared" si="2"/>
        <v/>
      </c>
      <c r="Q31" t="str">
        <f>IF($A31="","",SUMIFS(Allocation!$I$1:$I$175,Allocation!$C$1:$C$175,$A31,Allocation!$E$1:$E$175,$C31))</f>
        <v/>
      </c>
      <c r="R31" t="str">
        <f>IF($A31="","",SUMIFS(Allocation!$J$1:$J$175,Allocation!$C$1:$C$175,$A31,Allocation!$E$1:$E$175,$C31))</f>
        <v/>
      </c>
      <c r="S31" t="str">
        <f>IF($A31="","",SUMIFS(Allocation!$K$1:$K$175,Allocation!$C$1:$C$175,$A31,Allocation!$E$1:$E$175,$C31))</f>
        <v/>
      </c>
      <c r="T31" t="str">
        <f>IF($A31="","",SUMIFS(Allocation!$I$1:$I$175,Allocation!$C$1:$C$175,$A31))</f>
        <v/>
      </c>
      <c r="U31" t="str">
        <f>IF($A31="","",SUMIFS(Allocation!$J$1:$J$175,Allocation!$C$1:$C$175,$A31))</f>
        <v/>
      </c>
      <c r="V31" t="str">
        <f>IF($A31="","",SUMIFS(Allocation!$K$1:$K$175,Allocation!$C$1:$C$175,$A31))</f>
        <v/>
      </c>
      <c r="W31" t="str">
        <f>IF($A31="","",SUMIFS(Compta!$F$1:$F$675,Compta!$A$1:$A$675,$B31,Compta!$B$1:$B$675,"621",Compta!$C$1:$C$675,$A31))</f>
        <v/>
      </c>
      <c r="X31" t="str">
        <f>IF($A31="","",SUMIFS(Compta!$F$1:$F$675,Compta!$A$1:$A$675,$B31,Compta!$B$1:$B$675,"6411",Compta!$C$1:$C$675,$A31))</f>
        <v/>
      </c>
      <c r="Y31" t="str">
        <f>IF($A31="","",SUMIFS(Compta!$F$1:$F$675,Compta!$A$1:$A$675,$B31,Compta!$B$1:$B$675,"604",Compta!$C$1:$C$675,$A31)+SUMIFS(Compta!$F$1:$F$675,Compta!$A$1:$A$675,$B31,Compta!$B$1:$B$675,"6063",Compta!$C$1:$C$675,$A31))</f>
        <v/>
      </c>
      <c r="Z31" t="str">
        <f>IF($A31="","",SUMIFS(Compta!$F$1:$F$675,Compta!$A$1:$A$675,$B31,Compta!$B$1:$B$675,"6231",Compta!$C$1:$C$675,$A31))</f>
        <v/>
      </c>
      <c r="AA31" t="str">
        <f>IF($A31="",""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</f>
        <v/>
      </c>
      <c r="AB31" t="str">
        <f>IF($A31="",""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</f>
        <v/>
      </c>
      <c r="AC31" t="s">
        <v>297</v>
      </c>
      <c r="AD31" t="s">
        <v>297</v>
      </c>
      <c r="AE31" t="s">
        <v>297</v>
      </c>
      <c r="AF31" t="s">
        <v>297</v>
      </c>
      <c r="AG31" t="s">
        <v>297</v>
      </c>
      <c r="AH31" t="s">
        <v>297</v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 t="str">
        <f>IF($A31="","",SUMIFS(Compta!$F$1:$F$675,Compta!$A$1:$A$675,"GRP",Compta!$B$1:$B$675,"6236",Compta!$C$1:$C$675,$A31))</f>
        <v/>
      </c>
      <c r="AP31" t="s">
        <v>297</v>
      </c>
      <c r="AQ31" t="s">
        <v>297</v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IF($A32="","",SUMIFS(Socle!$K$1:$K$175,Socle!$C$1:$C$175,$B32,Socle!$D$1:$D$175,$D32,Socle!$E$1:$E$175,$E32,Socle!$F$1:$F$175,$F32,Socle!$G$1:$G$175,$A32))</f>
        <v/>
      </c>
      <c r="K32" t="str">
        <f t="shared" si="0"/>
        <v/>
      </c>
      <c r="L32" t="str">
        <f>IF($A32="","",SUMIFS(Allocation!$I$1:$I$175,Allocation!$C$1:$C$175,$A32,Allocation!$D$1:$D$175,$B32))</f>
        <v/>
      </c>
      <c r="M32" t="str">
        <f>IF($A32="","",SUMIFS(Allocation!$J$1:$J$175,Allocation!$C$1:$C$175,$A32,Allocation!$D$1:$D$175,$B32))</f>
        <v/>
      </c>
      <c r="N32" t="str">
        <f>IF($A32="","",SUMIFS(Allocation!$K$1:$K$175,Allocation!$C$1:$C$175,$A32,Allocation!$D$1:$D$175,$B32))</f>
        <v/>
      </c>
      <c r="O32" t="str">
        <f t="shared" si="1"/>
        <v/>
      </c>
      <c r="P32" t="str">
        <f t="shared" si="2"/>
        <v/>
      </c>
      <c r="Q32" t="str">
        <f>IF($A32="","",SUMIFS(Allocation!$I$1:$I$175,Allocation!$C$1:$C$175,$A32,Allocation!$E$1:$E$175,$C32))</f>
        <v/>
      </c>
      <c r="R32" t="str">
        <f>IF($A32="","",SUMIFS(Allocation!$J$1:$J$175,Allocation!$C$1:$C$175,$A32,Allocation!$E$1:$E$175,$C32))</f>
        <v/>
      </c>
      <c r="S32" t="str">
        <f>IF($A32="","",SUMIFS(Allocation!$K$1:$K$175,Allocation!$C$1:$C$175,$A32,Allocation!$E$1:$E$175,$C32))</f>
        <v/>
      </c>
      <c r="T32" t="str">
        <f>IF($A32="","",SUMIFS(Allocation!$I$1:$I$175,Allocation!$C$1:$C$175,$A32))</f>
        <v/>
      </c>
      <c r="U32" t="str">
        <f>IF($A32="","",SUMIFS(Allocation!$J$1:$J$175,Allocation!$C$1:$C$175,$A32))</f>
        <v/>
      </c>
      <c r="V32" t="str">
        <f>IF($A32="","",SUMIFS(Allocation!$K$1:$K$175,Allocation!$C$1:$C$175,$A32))</f>
        <v/>
      </c>
      <c r="W32" t="str">
        <f>IF($A32="","",SUMIFS(Compta!$F$1:$F$675,Compta!$A$1:$A$675,$B32,Compta!$B$1:$B$675,"621",Compta!$C$1:$C$675,$A32))</f>
        <v/>
      </c>
      <c r="X32" t="str">
        <f>IF($A32="","",SUMIFS(Compta!$F$1:$F$675,Compta!$A$1:$A$675,$B32,Compta!$B$1:$B$675,"6411",Compta!$C$1:$C$675,$A32))</f>
        <v/>
      </c>
      <c r="Y32" t="str">
        <f>IF($A32="","",SUMIFS(Compta!$F$1:$F$675,Compta!$A$1:$A$675,$B32,Compta!$B$1:$B$675,"604",Compta!$C$1:$C$675,$A32)+SUMIFS(Compta!$F$1:$F$675,Compta!$A$1:$A$675,$B32,Compta!$B$1:$B$675,"6063",Compta!$C$1:$C$675,$A32))</f>
        <v/>
      </c>
      <c r="Z32" t="str">
        <f>IF($A32="","",SUMIFS(Compta!$F$1:$F$675,Compta!$A$1:$A$675,$B32,Compta!$B$1:$B$675,"6231",Compta!$C$1:$C$675,$A32))</f>
        <v/>
      </c>
      <c r="AA32" t="str">
        <f>IF($A32="",""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</f>
        <v/>
      </c>
      <c r="AB32" t="str">
        <f>IF($A32="",""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</f>
        <v/>
      </c>
      <c r="AC32" t="s">
        <v>297</v>
      </c>
      <c r="AD32" t="s">
        <v>297</v>
      </c>
      <c r="AE32" t="s">
        <v>297</v>
      </c>
      <c r="AF32" t="s">
        <v>297</v>
      </c>
      <c r="AG32" t="s">
        <v>297</v>
      </c>
      <c r="AH32" t="s">
        <v>297</v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 t="str">
        <f>IF($A32="","",SUMIFS(Compta!$F$1:$F$675,Compta!$A$1:$A$675,"GRP",Compta!$B$1:$B$675,"6236",Compta!$C$1:$C$675,$A32))</f>
        <v/>
      </c>
      <c r="AP32" t="s">
        <v>297</v>
      </c>
      <c r="AQ32" t="s">
        <v>297</v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IF($A33="","",SUMIFS(Socle!$K$1:$K$175,Socle!$C$1:$C$175,$B33,Socle!$D$1:$D$175,$D33,Socle!$E$1:$E$175,$E33,Socle!$F$1:$F$175,$F33,Socle!$G$1:$G$175,$A33))</f>
        <v/>
      </c>
      <c r="K33" t="str">
        <f t="shared" si="0"/>
        <v/>
      </c>
      <c r="L33" t="str">
        <f>IF($A33="","",SUMIFS(Allocation!$I$1:$I$175,Allocation!$C$1:$C$175,$A33,Allocation!$D$1:$D$175,$B33))</f>
        <v/>
      </c>
      <c r="M33" t="str">
        <f>IF($A33="","",SUMIFS(Allocation!$J$1:$J$175,Allocation!$C$1:$C$175,$A33,Allocation!$D$1:$D$175,$B33))</f>
        <v/>
      </c>
      <c r="N33" t="str">
        <f>IF($A33="","",SUMIFS(Allocation!$K$1:$K$175,Allocation!$C$1:$C$175,$A33,Allocation!$D$1:$D$175,$B33))</f>
        <v/>
      </c>
      <c r="O33" t="str">
        <f t="shared" si="1"/>
        <v/>
      </c>
      <c r="P33" t="str">
        <f t="shared" si="2"/>
        <v/>
      </c>
      <c r="Q33" t="str">
        <f>IF($A33="","",SUMIFS(Allocation!$I$1:$I$175,Allocation!$C$1:$C$175,$A33,Allocation!$E$1:$E$175,$C33))</f>
        <v/>
      </c>
      <c r="R33" t="str">
        <f>IF($A33="","",SUMIFS(Allocation!$J$1:$J$175,Allocation!$C$1:$C$175,$A33,Allocation!$E$1:$E$175,$C33))</f>
        <v/>
      </c>
      <c r="S33" t="str">
        <f>IF($A33="","",SUMIFS(Allocation!$K$1:$K$175,Allocation!$C$1:$C$175,$A33,Allocation!$E$1:$E$175,$C33))</f>
        <v/>
      </c>
      <c r="T33" t="str">
        <f>IF($A33="","",SUMIFS(Allocation!$I$1:$I$175,Allocation!$C$1:$C$175,$A33))</f>
        <v/>
      </c>
      <c r="U33" t="str">
        <f>IF($A33="","",SUMIFS(Allocation!$J$1:$J$175,Allocation!$C$1:$C$175,$A33))</f>
        <v/>
      </c>
      <c r="V33" t="str">
        <f>IF($A33="","",SUMIFS(Allocation!$K$1:$K$175,Allocation!$C$1:$C$175,$A33))</f>
        <v/>
      </c>
      <c r="W33" t="str">
        <f>IF($A33="","",SUMIFS(Compta!$F$1:$F$675,Compta!$A$1:$A$675,$B33,Compta!$B$1:$B$675,"621",Compta!$C$1:$C$675,$A33))</f>
        <v/>
      </c>
      <c r="X33" t="str">
        <f>IF($A33="","",SUMIFS(Compta!$F$1:$F$675,Compta!$A$1:$A$675,$B33,Compta!$B$1:$B$675,"6411",Compta!$C$1:$C$675,$A33))</f>
        <v/>
      </c>
      <c r="Y33" t="str">
        <f>IF($A33="","",SUMIFS(Compta!$F$1:$F$675,Compta!$A$1:$A$675,$B33,Compta!$B$1:$B$675,"604",Compta!$C$1:$C$675,$A33)+SUMIFS(Compta!$F$1:$F$675,Compta!$A$1:$A$675,$B33,Compta!$B$1:$B$675,"6063",Compta!$C$1:$C$675,$A33))</f>
        <v/>
      </c>
      <c r="Z33" t="str">
        <f>IF($A33="","",SUMIFS(Compta!$F$1:$F$675,Compta!$A$1:$A$675,$B33,Compta!$B$1:$B$675,"6231",Compta!$C$1:$C$675,$A33))</f>
        <v/>
      </c>
      <c r="AA33" t="str">
        <f>IF($A33="",""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</f>
        <v/>
      </c>
      <c r="AB33" t="str">
        <f>IF($A33="",""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</f>
        <v/>
      </c>
      <c r="AC33" t="s">
        <v>297</v>
      </c>
      <c r="AD33" t="s">
        <v>297</v>
      </c>
      <c r="AE33" t="s">
        <v>297</v>
      </c>
      <c r="AF33" t="s">
        <v>297</v>
      </c>
      <c r="AG33" t="s">
        <v>297</v>
      </c>
      <c r="AH33" t="s">
        <v>297</v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 t="str">
        <f>IF($A33="","",SUMIFS(Compta!$F$1:$F$675,Compta!$A$1:$A$675,"GRP",Compta!$B$1:$B$675,"6236",Compta!$C$1:$C$675,$A33))</f>
        <v/>
      </c>
      <c r="AP33" t="s">
        <v>297</v>
      </c>
      <c r="AQ33" t="s">
        <v>297</v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IF($A34="","",SUMIFS(Socle!$K$1:$K$175,Socle!$C$1:$C$175,$B34,Socle!$D$1:$D$175,$D34,Socle!$E$1:$E$175,$E34,Socle!$F$1:$F$175,$F34,Socle!$G$1:$G$175,$A34))</f>
        <v/>
      </c>
      <c r="K34" t="str">
        <f t="shared" si="0"/>
        <v/>
      </c>
      <c r="L34" t="str">
        <f>IF($A34="","",SUMIFS(Allocation!$I$1:$I$175,Allocation!$C$1:$C$175,$A34,Allocation!$D$1:$D$175,$B34))</f>
        <v/>
      </c>
      <c r="M34" t="str">
        <f>IF($A34="","",SUMIFS(Allocation!$J$1:$J$175,Allocation!$C$1:$C$175,$A34,Allocation!$D$1:$D$175,$B34))</f>
        <v/>
      </c>
      <c r="N34" t="str">
        <f>IF($A34="","",SUMIFS(Allocation!$K$1:$K$175,Allocation!$C$1:$C$175,$A34,Allocation!$D$1:$D$175,$B34))</f>
        <v/>
      </c>
      <c r="O34" t="str">
        <f t="shared" si="1"/>
        <v/>
      </c>
      <c r="P34" t="str">
        <f t="shared" si="2"/>
        <v/>
      </c>
      <c r="Q34" t="str">
        <f>IF($A34="","",SUMIFS(Allocation!$I$1:$I$175,Allocation!$C$1:$C$175,$A34,Allocation!$E$1:$E$175,$C34))</f>
        <v/>
      </c>
      <c r="R34" t="str">
        <f>IF($A34="","",SUMIFS(Allocation!$J$1:$J$175,Allocation!$C$1:$C$175,$A34,Allocation!$E$1:$E$175,$C34))</f>
        <v/>
      </c>
      <c r="S34" t="str">
        <f>IF($A34="","",SUMIFS(Allocation!$K$1:$K$175,Allocation!$C$1:$C$175,$A34,Allocation!$E$1:$E$175,$C34))</f>
        <v/>
      </c>
      <c r="T34" t="str">
        <f>IF($A34="","",SUMIFS(Allocation!$I$1:$I$175,Allocation!$C$1:$C$175,$A34))</f>
        <v/>
      </c>
      <c r="U34" t="str">
        <f>IF($A34="","",SUMIFS(Allocation!$J$1:$J$175,Allocation!$C$1:$C$175,$A34))</f>
        <v/>
      </c>
      <c r="V34" t="str">
        <f>IF($A34="","",SUMIFS(Allocation!$K$1:$K$175,Allocation!$C$1:$C$175,$A34))</f>
        <v/>
      </c>
      <c r="W34" t="str">
        <f>IF($A34="","",SUMIFS(Compta!$F$1:$F$675,Compta!$A$1:$A$675,$B34,Compta!$B$1:$B$675,"621",Compta!$C$1:$C$675,$A34))</f>
        <v/>
      </c>
      <c r="X34" t="str">
        <f>IF($A34="","",SUMIFS(Compta!$F$1:$F$675,Compta!$A$1:$A$675,$B34,Compta!$B$1:$B$675,"6411",Compta!$C$1:$C$675,$A34))</f>
        <v/>
      </c>
      <c r="Y34" t="str">
        <f>IF($A34="","",SUMIFS(Compta!$F$1:$F$675,Compta!$A$1:$A$675,$B34,Compta!$B$1:$B$675,"604",Compta!$C$1:$C$675,$A34)+SUMIFS(Compta!$F$1:$F$675,Compta!$A$1:$A$675,$B34,Compta!$B$1:$B$675,"6063",Compta!$C$1:$C$675,$A34))</f>
        <v/>
      </c>
      <c r="Z34" t="str">
        <f>IF($A34="","",SUMIFS(Compta!$F$1:$F$675,Compta!$A$1:$A$675,$B34,Compta!$B$1:$B$675,"6231",Compta!$C$1:$C$675,$A34))</f>
        <v/>
      </c>
      <c r="AA34" t="str">
        <f>IF($A34="",""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</f>
        <v/>
      </c>
      <c r="AB34" t="str">
        <f>IF($A34="",""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</f>
        <v/>
      </c>
      <c r="AC34" t="s">
        <v>297</v>
      </c>
      <c r="AD34" t="s">
        <v>297</v>
      </c>
      <c r="AE34" t="s">
        <v>297</v>
      </c>
      <c r="AF34" t="s">
        <v>297</v>
      </c>
      <c r="AG34" t="s">
        <v>297</v>
      </c>
      <c r="AH34" t="s">
        <v>297</v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 t="str">
        <f>IF($A34="","",SUMIFS(Compta!$F$1:$F$675,Compta!$A$1:$A$675,"GRP",Compta!$B$1:$B$675,"6236",Compta!$C$1:$C$675,$A34))</f>
        <v/>
      </c>
      <c r="AP34" t="s">
        <v>297</v>
      </c>
      <c r="AQ34" t="s">
        <v>297</v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IF($A35="","",SUMIFS(Socle!$K$1:$K$175,Socle!$C$1:$C$175,$B35,Socle!$D$1:$D$175,$D35,Socle!$E$1:$E$175,$E35,Socle!$F$1:$F$175,$F35,Socle!$G$1:$G$175,$A35))</f>
        <v/>
      </c>
      <c r="K35" t="str">
        <f t="shared" si="0"/>
        <v/>
      </c>
      <c r="L35" t="str">
        <f>IF($A35="","",SUMIFS(Allocation!$I$1:$I$175,Allocation!$C$1:$C$175,$A35,Allocation!$D$1:$D$175,$B35))</f>
        <v/>
      </c>
      <c r="M35" t="str">
        <f>IF($A35="","",SUMIFS(Allocation!$J$1:$J$175,Allocation!$C$1:$C$175,$A35,Allocation!$D$1:$D$175,$B35))</f>
        <v/>
      </c>
      <c r="N35" t="str">
        <f>IF($A35="","",SUMIFS(Allocation!$K$1:$K$175,Allocation!$C$1:$C$175,$A35,Allocation!$D$1:$D$175,$B35))</f>
        <v/>
      </c>
      <c r="O35" t="str">
        <f t="shared" si="1"/>
        <v/>
      </c>
      <c r="P35" t="str">
        <f t="shared" si="2"/>
        <v/>
      </c>
      <c r="Q35" t="str">
        <f>IF($A35="","",SUMIFS(Allocation!$I$1:$I$175,Allocation!$C$1:$C$175,$A35,Allocation!$E$1:$E$175,$C35))</f>
        <v/>
      </c>
      <c r="R35" t="str">
        <f>IF($A35="","",SUMIFS(Allocation!$J$1:$J$175,Allocation!$C$1:$C$175,$A35,Allocation!$E$1:$E$175,$C35))</f>
        <v/>
      </c>
      <c r="S35" t="str">
        <f>IF($A35="","",SUMIFS(Allocation!$K$1:$K$175,Allocation!$C$1:$C$175,$A35,Allocation!$E$1:$E$175,$C35))</f>
        <v/>
      </c>
      <c r="T35" t="str">
        <f>IF($A35="","",SUMIFS(Allocation!$I$1:$I$175,Allocation!$C$1:$C$175,$A35))</f>
        <v/>
      </c>
      <c r="U35" t="str">
        <f>IF($A35="","",SUMIFS(Allocation!$J$1:$J$175,Allocation!$C$1:$C$175,$A35))</f>
        <v/>
      </c>
      <c r="V35" t="str">
        <f>IF($A35="","",SUMIFS(Allocation!$K$1:$K$175,Allocation!$C$1:$C$175,$A35))</f>
        <v/>
      </c>
      <c r="W35" t="str">
        <f>IF($A35="","",SUMIFS(Compta!$F$1:$F$675,Compta!$A$1:$A$675,$B35,Compta!$B$1:$B$675,"621",Compta!$C$1:$C$675,$A35))</f>
        <v/>
      </c>
      <c r="X35" t="str">
        <f>IF($A35="","",SUMIFS(Compta!$F$1:$F$675,Compta!$A$1:$A$675,$B35,Compta!$B$1:$B$675,"6411",Compta!$C$1:$C$675,$A35))</f>
        <v/>
      </c>
      <c r="Y35" t="str">
        <f>IF($A35="","",SUMIFS(Compta!$F$1:$F$675,Compta!$A$1:$A$675,$B35,Compta!$B$1:$B$675,"604",Compta!$C$1:$C$675,$A35)+SUMIFS(Compta!$F$1:$F$675,Compta!$A$1:$A$675,$B35,Compta!$B$1:$B$675,"6063",Compta!$C$1:$C$675,$A35))</f>
        <v/>
      </c>
      <c r="Z35" t="str">
        <f>IF($A35="","",SUMIFS(Compta!$F$1:$F$675,Compta!$A$1:$A$675,$B35,Compta!$B$1:$B$675,"6231",Compta!$C$1:$C$675,$A35))</f>
        <v/>
      </c>
      <c r="AA35" t="str">
        <f>IF($A35="",""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</f>
        <v/>
      </c>
      <c r="AB35" t="str">
        <f>IF($A35="",""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</f>
        <v/>
      </c>
      <c r="AC35" t="s">
        <v>297</v>
      </c>
      <c r="AD35" t="s">
        <v>297</v>
      </c>
      <c r="AE35" t="s">
        <v>297</v>
      </c>
      <c r="AF35" t="s">
        <v>297</v>
      </c>
      <c r="AG35" t="s">
        <v>297</v>
      </c>
      <c r="AH35" t="s">
        <v>297</v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 t="str">
        <f>IF($A35="","",SUMIFS(Compta!$F$1:$F$675,Compta!$A$1:$A$675,"GRP",Compta!$B$1:$B$675,"6236",Compta!$C$1:$C$675,$A35))</f>
        <v/>
      </c>
      <c r="AP35" t="s">
        <v>297</v>
      </c>
      <c r="AQ35" t="s">
        <v>297</v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IF($A36="","",SUMIFS(Socle!$K$1:$K$175,Socle!$C$1:$C$175,$B36,Socle!$D$1:$D$175,$D36,Socle!$E$1:$E$175,$E36,Socle!$F$1:$F$175,$F36,Socle!$G$1:$G$175,$A36))</f>
        <v/>
      </c>
      <c r="K36" t="str">
        <f t="shared" si="0"/>
        <v/>
      </c>
      <c r="L36" t="str">
        <f>IF($A36="","",SUMIFS(Allocation!$I$1:$I$175,Allocation!$C$1:$C$175,$A36,Allocation!$D$1:$D$175,$B36))</f>
        <v/>
      </c>
      <c r="M36" t="str">
        <f>IF($A36="","",SUMIFS(Allocation!$J$1:$J$175,Allocation!$C$1:$C$175,$A36,Allocation!$D$1:$D$175,$B36))</f>
        <v/>
      </c>
      <c r="N36" t="str">
        <f>IF($A36="","",SUMIFS(Allocation!$K$1:$K$175,Allocation!$C$1:$C$175,$A36,Allocation!$D$1:$D$175,$B36))</f>
        <v/>
      </c>
      <c r="O36" t="str">
        <f t="shared" si="1"/>
        <v/>
      </c>
      <c r="P36" t="str">
        <f t="shared" si="2"/>
        <v/>
      </c>
      <c r="Q36" t="str">
        <f>IF($A36="","",SUMIFS(Allocation!$I$1:$I$175,Allocation!$C$1:$C$175,$A36,Allocation!$E$1:$E$175,$C36))</f>
        <v/>
      </c>
      <c r="R36" t="str">
        <f>IF($A36="","",SUMIFS(Allocation!$J$1:$J$175,Allocation!$C$1:$C$175,$A36,Allocation!$E$1:$E$175,$C36))</f>
        <v/>
      </c>
      <c r="S36" t="str">
        <f>IF($A36="","",SUMIFS(Allocation!$K$1:$K$175,Allocation!$C$1:$C$175,$A36,Allocation!$E$1:$E$175,$C36))</f>
        <v/>
      </c>
      <c r="T36" t="str">
        <f>IF($A36="","",SUMIFS(Allocation!$I$1:$I$175,Allocation!$C$1:$C$175,$A36))</f>
        <v/>
      </c>
      <c r="U36" t="str">
        <f>IF($A36="","",SUMIFS(Allocation!$J$1:$J$175,Allocation!$C$1:$C$175,$A36))</f>
        <v/>
      </c>
      <c r="V36" t="str">
        <f>IF($A36="","",SUMIFS(Allocation!$K$1:$K$175,Allocation!$C$1:$C$175,$A36))</f>
        <v/>
      </c>
      <c r="W36" t="str">
        <f>IF($A36="","",SUMIFS(Compta!$F$1:$F$675,Compta!$A$1:$A$675,$B36,Compta!$B$1:$B$675,"621",Compta!$C$1:$C$675,$A36))</f>
        <v/>
      </c>
      <c r="X36" t="str">
        <f>IF($A36="","",SUMIFS(Compta!$F$1:$F$675,Compta!$A$1:$A$675,$B36,Compta!$B$1:$B$675,"6411",Compta!$C$1:$C$675,$A36))</f>
        <v/>
      </c>
      <c r="Y36" t="str">
        <f>IF($A36="","",SUMIFS(Compta!$F$1:$F$675,Compta!$A$1:$A$675,$B36,Compta!$B$1:$B$675,"604",Compta!$C$1:$C$675,$A36)+SUMIFS(Compta!$F$1:$F$675,Compta!$A$1:$A$675,$B36,Compta!$B$1:$B$675,"6063",Compta!$C$1:$C$675,$A36))</f>
        <v/>
      </c>
      <c r="Z36" t="str">
        <f>IF($A36="","",SUMIFS(Compta!$F$1:$F$675,Compta!$A$1:$A$675,$B36,Compta!$B$1:$B$675,"6231",Compta!$C$1:$C$675,$A36))</f>
        <v/>
      </c>
      <c r="AA36" t="str">
        <f>IF($A36="",""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</f>
        <v/>
      </c>
      <c r="AB36" t="str">
        <f>IF($A36="",""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</f>
        <v/>
      </c>
      <c r="AC36" t="s">
        <v>297</v>
      </c>
      <c r="AD36" t="s">
        <v>297</v>
      </c>
      <c r="AE36" t="s">
        <v>297</v>
      </c>
      <c r="AF36" t="s">
        <v>297</v>
      </c>
      <c r="AG36" t="s">
        <v>297</v>
      </c>
      <c r="AH36" t="s">
        <v>297</v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 t="str">
        <f>IF($A36="","",SUMIFS(Compta!$F$1:$F$675,Compta!$A$1:$A$675,"GRP",Compta!$B$1:$B$675,"6236",Compta!$C$1:$C$675,$A36))</f>
        <v/>
      </c>
      <c r="AP36" t="s">
        <v>297</v>
      </c>
      <c r="AQ36" t="s">
        <v>297</v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IF($A37="","",SUMIFS(Socle!$K$1:$K$175,Socle!$C$1:$C$175,$B37,Socle!$D$1:$D$175,$D37,Socle!$E$1:$E$175,$E37,Socle!$F$1:$F$175,$F37,Socle!$G$1:$G$175,$A37))</f>
        <v/>
      </c>
      <c r="K37" t="str">
        <f t="shared" si="0"/>
        <v/>
      </c>
      <c r="L37" t="str">
        <f>IF($A37="","",SUMIFS(Allocation!$I$1:$I$175,Allocation!$C$1:$C$175,$A37,Allocation!$D$1:$D$175,$B37))</f>
        <v/>
      </c>
      <c r="M37" t="str">
        <f>IF($A37="","",SUMIFS(Allocation!$J$1:$J$175,Allocation!$C$1:$C$175,$A37,Allocation!$D$1:$D$175,$B37))</f>
        <v/>
      </c>
      <c r="N37" t="str">
        <f>IF($A37="","",SUMIFS(Allocation!$K$1:$K$175,Allocation!$C$1:$C$175,$A37,Allocation!$D$1:$D$175,$B37))</f>
        <v/>
      </c>
      <c r="O37" t="str">
        <f t="shared" si="1"/>
        <v/>
      </c>
      <c r="P37" t="str">
        <f t="shared" si="2"/>
        <v/>
      </c>
      <c r="Q37" t="str">
        <f>IF($A37="","",SUMIFS(Allocation!$I$1:$I$175,Allocation!$C$1:$C$175,$A37,Allocation!$E$1:$E$175,$C37))</f>
        <v/>
      </c>
      <c r="R37" t="str">
        <f>IF($A37="","",SUMIFS(Allocation!$J$1:$J$175,Allocation!$C$1:$C$175,$A37,Allocation!$E$1:$E$175,$C37))</f>
        <v/>
      </c>
      <c r="S37" t="str">
        <f>IF($A37="","",SUMIFS(Allocation!$K$1:$K$175,Allocation!$C$1:$C$175,$A37,Allocation!$E$1:$E$175,$C37))</f>
        <v/>
      </c>
      <c r="T37" t="str">
        <f>IF($A37="","",SUMIFS(Allocation!$I$1:$I$175,Allocation!$C$1:$C$175,$A37))</f>
        <v/>
      </c>
      <c r="U37" t="str">
        <f>IF($A37="","",SUMIFS(Allocation!$J$1:$J$175,Allocation!$C$1:$C$175,$A37))</f>
        <v/>
      </c>
      <c r="V37" t="str">
        <f>IF($A37="","",SUMIFS(Allocation!$K$1:$K$175,Allocation!$C$1:$C$175,$A37))</f>
        <v/>
      </c>
      <c r="W37" t="str">
        <f>IF($A37="","",SUMIFS(Compta!$F$1:$F$675,Compta!$A$1:$A$675,$B37,Compta!$B$1:$B$675,"621",Compta!$C$1:$C$675,$A37))</f>
        <v/>
      </c>
      <c r="X37" t="str">
        <f>IF($A37="","",SUMIFS(Compta!$F$1:$F$675,Compta!$A$1:$A$675,$B37,Compta!$B$1:$B$675,"6411",Compta!$C$1:$C$675,$A37))</f>
        <v/>
      </c>
      <c r="Y37" t="str">
        <f>IF($A37="","",SUMIFS(Compta!$F$1:$F$675,Compta!$A$1:$A$675,$B37,Compta!$B$1:$B$675,"604",Compta!$C$1:$C$675,$A37)+SUMIFS(Compta!$F$1:$F$675,Compta!$A$1:$A$675,$B37,Compta!$B$1:$B$675,"6063",Compta!$C$1:$C$675,$A37))</f>
        <v/>
      </c>
      <c r="Z37" t="str">
        <f>IF($A37="","",SUMIFS(Compta!$F$1:$F$675,Compta!$A$1:$A$675,$B37,Compta!$B$1:$B$675,"6231",Compta!$C$1:$C$675,$A37))</f>
        <v/>
      </c>
      <c r="AA37" t="str">
        <f>IF($A37="",""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</f>
        <v/>
      </c>
      <c r="AB37" t="str">
        <f>IF($A37="",""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</f>
        <v/>
      </c>
      <c r="AC37" t="s">
        <v>297</v>
      </c>
      <c r="AD37" t="s">
        <v>297</v>
      </c>
      <c r="AE37" t="s">
        <v>297</v>
      </c>
      <c r="AF37" t="s">
        <v>297</v>
      </c>
      <c r="AG37" t="s">
        <v>297</v>
      </c>
      <c r="AH37" t="s">
        <v>297</v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 t="str">
        <f>IF($A37="","",SUMIFS(Compta!$F$1:$F$675,Compta!$A$1:$A$675,"GRP",Compta!$B$1:$B$675,"6236",Compta!$C$1:$C$675,$A37))</f>
        <v/>
      </c>
      <c r="AP37" t="s">
        <v>297</v>
      </c>
      <c r="AQ37" t="s">
        <v>297</v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IF($A38="","",SUMIFS(Socle!$K$1:$K$175,Socle!$C$1:$C$175,$B38,Socle!$D$1:$D$175,$D38,Socle!$E$1:$E$175,$E38,Socle!$F$1:$F$175,$F38,Socle!$G$1:$G$175,$A38))</f>
        <v/>
      </c>
      <c r="K38" t="str">
        <f t="shared" si="0"/>
        <v/>
      </c>
      <c r="L38" t="str">
        <f>IF($A38="","",SUMIFS(Allocation!$I$1:$I$175,Allocation!$C$1:$C$175,$A38,Allocation!$D$1:$D$175,$B38))</f>
        <v/>
      </c>
      <c r="M38" t="str">
        <f>IF($A38="","",SUMIFS(Allocation!$J$1:$J$175,Allocation!$C$1:$C$175,$A38,Allocation!$D$1:$D$175,$B38))</f>
        <v/>
      </c>
      <c r="N38" t="str">
        <f>IF($A38="","",SUMIFS(Allocation!$K$1:$K$175,Allocation!$C$1:$C$175,$A38,Allocation!$D$1:$D$175,$B38))</f>
        <v/>
      </c>
      <c r="O38" t="str">
        <f t="shared" si="1"/>
        <v/>
      </c>
      <c r="P38" t="str">
        <f t="shared" si="2"/>
        <v/>
      </c>
      <c r="Q38" t="str">
        <f>IF($A38="","",SUMIFS(Allocation!$I$1:$I$175,Allocation!$C$1:$C$175,$A38,Allocation!$E$1:$E$175,$C38))</f>
        <v/>
      </c>
      <c r="R38" t="str">
        <f>IF($A38="","",SUMIFS(Allocation!$J$1:$J$175,Allocation!$C$1:$C$175,$A38,Allocation!$E$1:$E$175,$C38))</f>
        <v/>
      </c>
      <c r="S38" t="str">
        <f>IF($A38="","",SUMIFS(Allocation!$K$1:$K$175,Allocation!$C$1:$C$175,$A38,Allocation!$E$1:$E$175,$C38))</f>
        <v/>
      </c>
      <c r="T38" t="str">
        <f>IF($A38="","",SUMIFS(Allocation!$I$1:$I$175,Allocation!$C$1:$C$175,$A38))</f>
        <v/>
      </c>
      <c r="U38" t="str">
        <f>IF($A38="","",SUMIFS(Allocation!$J$1:$J$175,Allocation!$C$1:$C$175,$A38))</f>
        <v/>
      </c>
      <c r="V38" t="str">
        <f>IF($A38="","",SUMIFS(Allocation!$K$1:$K$175,Allocation!$C$1:$C$175,$A38))</f>
        <v/>
      </c>
      <c r="W38" t="str">
        <f>IF($A38="","",SUMIFS(Compta!$F$1:$F$675,Compta!$A$1:$A$675,$B38,Compta!$B$1:$B$675,"621",Compta!$C$1:$C$675,$A38))</f>
        <v/>
      </c>
      <c r="X38" t="str">
        <f>IF($A38="","",SUMIFS(Compta!$F$1:$F$675,Compta!$A$1:$A$675,$B38,Compta!$B$1:$B$675,"6411",Compta!$C$1:$C$675,$A38))</f>
        <v/>
      </c>
      <c r="Y38" t="str">
        <f>IF($A38="","",SUMIFS(Compta!$F$1:$F$675,Compta!$A$1:$A$675,$B38,Compta!$B$1:$B$675,"604",Compta!$C$1:$C$675,$A38)+SUMIFS(Compta!$F$1:$F$675,Compta!$A$1:$A$675,$B38,Compta!$B$1:$B$675,"6063",Compta!$C$1:$C$675,$A38))</f>
        <v/>
      </c>
      <c r="Z38" t="str">
        <f>IF($A38="","",SUMIFS(Compta!$F$1:$F$675,Compta!$A$1:$A$675,$B38,Compta!$B$1:$B$675,"6231",Compta!$C$1:$C$675,$A38))</f>
        <v/>
      </c>
      <c r="AA38" t="str">
        <f>IF($A38="",""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</f>
        <v/>
      </c>
      <c r="AB38" t="str">
        <f>IF($A38="",""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</f>
        <v/>
      </c>
      <c r="AC38" t="s">
        <v>297</v>
      </c>
      <c r="AD38" t="s">
        <v>297</v>
      </c>
      <c r="AE38" t="s">
        <v>297</v>
      </c>
      <c r="AF38" t="s">
        <v>297</v>
      </c>
      <c r="AG38" t="s">
        <v>297</v>
      </c>
      <c r="AH38" t="s">
        <v>297</v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 t="str">
        <f>IF($A38="","",SUMIFS(Compta!$F$1:$F$675,Compta!$A$1:$A$675,"GRP",Compta!$B$1:$B$675,"6236",Compta!$C$1:$C$675,$A38))</f>
        <v/>
      </c>
      <c r="AP38" t="s">
        <v>297</v>
      </c>
      <c r="AQ38" t="s">
        <v>297</v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IF($A39="","",SUMIFS(Socle!$K$1:$K$175,Socle!$C$1:$C$175,$B39,Socle!$D$1:$D$175,$D39,Socle!$E$1:$E$175,$E39,Socle!$F$1:$F$175,$F39,Socle!$G$1:$G$175,$A39))</f>
        <v/>
      </c>
      <c r="K39" t="str">
        <f t="shared" si="0"/>
        <v/>
      </c>
      <c r="L39" t="str">
        <f>IF($A39="","",SUMIFS(Allocation!$I$1:$I$175,Allocation!$C$1:$C$175,$A39,Allocation!$D$1:$D$175,$B39))</f>
        <v/>
      </c>
      <c r="M39" t="str">
        <f>IF($A39="","",SUMIFS(Allocation!$J$1:$J$175,Allocation!$C$1:$C$175,$A39,Allocation!$D$1:$D$175,$B39))</f>
        <v/>
      </c>
      <c r="N39" t="str">
        <f>IF($A39="","",SUMIFS(Allocation!$K$1:$K$175,Allocation!$C$1:$C$175,$A39,Allocation!$D$1:$D$175,$B39))</f>
        <v/>
      </c>
      <c r="O39" t="str">
        <f t="shared" si="1"/>
        <v/>
      </c>
      <c r="P39" t="str">
        <f t="shared" si="2"/>
        <v/>
      </c>
      <c r="Q39" t="str">
        <f>IF($A39="","",SUMIFS(Allocation!$I$1:$I$175,Allocation!$C$1:$C$175,$A39,Allocation!$E$1:$E$175,$C39))</f>
        <v/>
      </c>
      <c r="R39" t="str">
        <f>IF($A39="","",SUMIFS(Allocation!$J$1:$J$175,Allocation!$C$1:$C$175,$A39,Allocation!$E$1:$E$175,$C39))</f>
        <v/>
      </c>
      <c r="S39" t="str">
        <f>IF($A39="","",SUMIFS(Allocation!$K$1:$K$175,Allocation!$C$1:$C$175,$A39,Allocation!$E$1:$E$175,$C39))</f>
        <v/>
      </c>
      <c r="T39" t="str">
        <f>IF($A39="","",SUMIFS(Allocation!$I$1:$I$175,Allocation!$C$1:$C$175,$A39))</f>
        <v/>
      </c>
      <c r="U39" t="str">
        <f>IF($A39="","",SUMIFS(Allocation!$J$1:$J$175,Allocation!$C$1:$C$175,$A39))</f>
        <v/>
      </c>
      <c r="V39" t="str">
        <f>IF($A39="","",SUMIFS(Allocation!$K$1:$K$175,Allocation!$C$1:$C$175,$A39))</f>
        <v/>
      </c>
      <c r="W39" t="str">
        <f>IF($A39="","",SUMIFS(Compta!$F$1:$F$675,Compta!$A$1:$A$675,$B39,Compta!$B$1:$B$675,"621",Compta!$C$1:$C$675,$A39))</f>
        <v/>
      </c>
      <c r="X39" t="str">
        <f>IF($A39="","",SUMIFS(Compta!$F$1:$F$675,Compta!$A$1:$A$675,$B39,Compta!$B$1:$B$675,"6411",Compta!$C$1:$C$675,$A39))</f>
        <v/>
      </c>
      <c r="Y39" t="str">
        <f>IF($A39="","",SUMIFS(Compta!$F$1:$F$675,Compta!$A$1:$A$675,$B39,Compta!$B$1:$B$675,"604",Compta!$C$1:$C$675,$A39)+SUMIFS(Compta!$F$1:$F$675,Compta!$A$1:$A$675,$B39,Compta!$B$1:$B$675,"6063",Compta!$C$1:$C$675,$A39))</f>
        <v/>
      </c>
      <c r="Z39" t="str">
        <f>IF($A39="","",SUMIFS(Compta!$F$1:$F$675,Compta!$A$1:$A$675,$B39,Compta!$B$1:$B$675,"6231",Compta!$C$1:$C$675,$A39))</f>
        <v/>
      </c>
      <c r="AA39" t="str">
        <f>IF($A39="",""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</f>
        <v/>
      </c>
      <c r="AB39" t="str">
        <f>IF($A39="",""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</f>
        <v/>
      </c>
      <c r="AC39" t="s">
        <v>297</v>
      </c>
      <c r="AD39" t="s">
        <v>297</v>
      </c>
      <c r="AE39" t="s">
        <v>297</v>
      </c>
      <c r="AF39" t="s">
        <v>297</v>
      </c>
      <c r="AG39" t="s">
        <v>297</v>
      </c>
      <c r="AH39" t="s">
        <v>297</v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 t="str">
        <f>IF($A39="","",SUMIFS(Compta!$F$1:$F$675,Compta!$A$1:$A$675,"GRP",Compta!$B$1:$B$675,"6236",Compta!$C$1:$C$675,$A39))</f>
        <v/>
      </c>
      <c r="AP39" t="s">
        <v>297</v>
      </c>
      <c r="AQ39" t="s">
        <v>297</v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IF($A40="","",SUMIFS(Socle!$K$1:$K$175,Socle!$C$1:$C$175,$B40,Socle!$D$1:$D$175,$D40,Socle!$E$1:$E$175,$E40,Socle!$F$1:$F$175,$F40,Socle!$G$1:$G$175,$A40))</f>
        <v/>
      </c>
      <c r="K40" t="str">
        <f t="shared" si="0"/>
        <v/>
      </c>
      <c r="L40" t="str">
        <f>IF($A40="","",SUMIFS(Allocation!$I$1:$I$175,Allocation!$C$1:$C$175,$A40,Allocation!$D$1:$D$175,$B40))</f>
        <v/>
      </c>
      <c r="M40" t="str">
        <f>IF($A40="","",SUMIFS(Allocation!$J$1:$J$175,Allocation!$C$1:$C$175,$A40,Allocation!$D$1:$D$175,$B40))</f>
        <v/>
      </c>
      <c r="N40" t="str">
        <f>IF($A40="","",SUMIFS(Allocation!$K$1:$K$175,Allocation!$C$1:$C$175,$A40,Allocation!$D$1:$D$175,$B40))</f>
        <v/>
      </c>
      <c r="O40" t="str">
        <f t="shared" si="1"/>
        <v/>
      </c>
      <c r="P40" t="str">
        <f t="shared" si="2"/>
        <v/>
      </c>
      <c r="Q40" t="str">
        <f>IF($A40="","",SUMIFS(Allocation!$I$1:$I$175,Allocation!$C$1:$C$175,$A40,Allocation!$E$1:$E$175,$C40))</f>
        <v/>
      </c>
      <c r="R40" t="str">
        <f>IF($A40="","",SUMIFS(Allocation!$J$1:$J$175,Allocation!$C$1:$C$175,$A40,Allocation!$E$1:$E$175,$C40))</f>
        <v/>
      </c>
      <c r="S40" t="str">
        <f>IF($A40="","",SUMIFS(Allocation!$K$1:$K$175,Allocation!$C$1:$C$175,$A40,Allocation!$E$1:$E$175,$C40))</f>
        <v/>
      </c>
      <c r="T40" t="str">
        <f>IF($A40="","",SUMIFS(Allocation!$I$1:$I$175,Allocation!$C$1:$C$175,$A40))</f>
        <v/>
      </c>
      <c r="U40" t="str">
        <f>IF($A40="","",SUMIFS(Allocation!$J$1:$J$175,Allocation!$C$1:$C$175,$A40))</f>
        <v/>
      </c>
      <c r="V40" t="str">
        <f>IF($A40="","",SUMIFS(Allocation!$K$1:$K$175,Allocation!$C$1:$C$175,$A40))</f>
        <v/>
      </c>
      <c r="W40" t="str">
        <f>IF($A40="","",SUMIFS(Compta!$F$1:$F$675,Compta!$A$1:$A$675,$B40,Compta!$B$1:$B$675,"621",Compta!$C$1:$C$675,$A40))</f>
        <v/>
      </c>
      <c r="X40" t="str">
        <f>IF($A40="","",SUMIFS(Compta!$F$1:$F$675,Compta!$A$1:$A$675,$B40,Compta!$B$1:$B$675,"6411",Compta!$C$1:$C$675,$A40))</f>
        <v/>
      </c>
      <c r="Y40" t="str">
        <f>IF($A40="","",SUMIFS(Compta!$F$1:$F$675,Compta!$A$1:$A$675,$B40,Compta!$B$1:$B$675,"604",Compta!$C$1:$C$675,$A40)+SUMIFS(Compta!$F$1:$F$675,Compta!$A$1:$A$675,$B40,Compta!$B$1:$B$675,"6063",Compta!$C$1:$C$675,$A40))</f>
        <v/>
      </c>
      <c r="Z40" t="str">
        <f>IF($A40="","",SUMIFS(Compta!$F$1:$F$675,Compta!$A$1:$A$675,$B40,Compta!$B$1:$B$675,"6231",Compta!$C$1:$C$675,$A40))</f>
        <v/>
      </c>
      <c r="AA40" t="str">
        <f>IF($A40="",""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</f>
        <v/>
      </c>
      <c r="AB40" t="str">
        <f>IF($A40="",""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</f>
        <v/>
      </c>
      <c r="AC40" t="s">
        <v>297</v>
      </c>
      <c r="AD40" t="s">
        <v>297</v>
      </c>
      <c r="AE40" t="s">
        <v>297</v>
      </c>
      <c r="AF40" t="s">
        <v>297</v>
      </c>
      <c r="AG40" t="s">
        <v>297</v>
      </c>
      <c r="AH40" t="s">
        <v>297</v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 t="str">
        <f>IF($A40="","",SUMIFS(Compta!$F$1:$F$675,Compta!$A$1:$A$675,"GRP",Compta!$B$1:$B$675,"6236",Compta!$C$1:$C$675,$A40))</f>
        <v/>
      </c>
      <c r="AP40" t="s">
        <v>297</v>
      </c>
      <c r="AQ40" t="s">
        <v>297</v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IF($A41="","",SUMIFS(Socle!$K$1:$K$175,Socle!$C$1:$C$175,$B41,Socle!$D$1:$D$175,$D41,Socle!$E$1:$E$175,$E41,Socle!$F$1:$F$175,$F41,Socle!$G$1:$G$175,$A41))</f>
        <v/>
      </c>
      <c r="K41" t="str">
        <f t="shared" si="0"/>
        <v/>
      </c>
      <c r="L41" t="str">
        <f>IF($A41="","",SUMIFS(Allocation!$I$1:$I$175,Allocation!$C$1:$C$175,$A41,Allocation!$D$1:$D$175,$B41))</f>
        <v/>
      </c>
      <c r="M41" t="str">
        <f>IF($A41="","",SUMIFS(Allocation!$J$1:$J$175,Allocation!$C$1:$C$175,$A41,Allocation!$D$1:$D$175,$B41))</f>
        <v/>
      </c>
      <c r="N41" t="str">
        <f>IF($A41="","",SUMIFS(Allocation!$K$1:$K$175,Allocation!$C$1:$C$175,$A41,Allocation!$D$1:$D$175,$B41))</f>
        <v/>
      </c>
      <c r="O41" t="str">
        <f t="shared" si="1"/>
        <v/>
      </c>
      <c r="P41" t="str">
        <f t="shared" si="2"/>
        <v/>
      </c>
      <c r="Q41" t="str">
        <f>IF($A41="","",SUMIFS(Allocation!$I$1:$I$175,Allocation!$C$1:$C$175,$A41,Allocation!$E$1:$E$175,$C41))</f>
        <v/>
      </c>
      <c r="R41" t="str">
        <f>IF($A41="","",SUMIFS(Allocation!$J$1:$J$175,Allocation!$C$1:$C$175,$A41,Allocation!$E$1:$E$175,$C41))</f>
        <v/>
      </c>
      <c r="S41" t="str">
        <f>IF($A41="","",SUMIFS(Allocation!$K$1:$K$175,Allocation!$C$1:$C$175,$A41,Allocation!$E$1:$E$175,$C41))</f>
        <v/>
      </c>
      <c r="T41" t="str">
        <f>IF($A41="","",SUMIFS(Allocation!$I$1:$I$175,Allocation!$C$1:$C$175,$A41))</f>
        <v/>
      </c>
      <c r="U41" t="str">
        <f>IF($A41="","",SUMIFS(Allocation!$J$1:$J$175,Allocation!$C$1:$C$175,$A41))</f>
        <v/>
      </c>
      <c r="V41" t="str">
        <f>IF($A41="","",SUMIFS(Allocation!$K$1:$K$175,Allocation!$C$1:$C$175,$A41))</f>
        <v/>
      </c>
      <c r="W41" t="str">
        <f>IF($A41="","",SUMIFS(Compta!$F$1:$F$675,Compta!$A$1:$A$675,$B41,Compta!$B$1:$B$675,"621",Compta!$C$1:$C$675,$A41))</f>
        <v/>
      </c>
      <c r="X41" t="str">
        <f>IF($A41="","",SUMIFS(Compta!$F$1:$F$675,Compta!$A$1:$A$675,$B41,Compta!$B$1:$B$675,"6411",Compta!$C$1:$C$675,$A41))</f>
        <v/>
      </c>
      <c r="Y41" t="str">
        <f>IF($A41="","",SUMIFS(Compta!$F$1:$F$675,Compta!$A$1:$A$675,$B41,Compta!$B$1:$B$675,"604",Compta!$C$1:$C$675,$A41)+SUMIFS(Compta!$F$1:$F$675,Compta!$A$1:$A$675,$B41,Compta!$B$1:$B$675,"6063",Compta!$C$1:$C$675,$A41))</f>
        <v/>
      </c>
      <c r="Z41" t="str">
        <f>IF($A41="","",SUMIFS(Compta!$F$1:$F$675,Compta!$A$1:$A$675,$B41,Compta!$B$1:$B$675,"6231",Compta!$C$1:$C$675,$A41))</f>
        <v/>
      </c>
      <c r="AA41" t="str">
        <f>IF($A41="",""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</f>
        <v/>
      </c>
      <c r="AB41" t="str">
        <f>IF($A41="",""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</f>
        <v/>
      </c>
      <c r="AC41" t="s">
        <v>297</v>
      </c>
      <c r="AD41" t="s">
        <v>297</v>
      </c>
      <c r="AE41" t="s">
        <v>297</v>
      </c>
      <c r="AF41" t="s">
        <v>297</v>
      </c>
      <c r="AG41" t="s">
        <v>297</v>
      </c>
      <c r="AH41" t="s">
        <v>297</v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 t="str">
        <f>IF($A41="","",SUMIFS(Compta!$F$1:$F$675,Compta!$A$1:$A$675,"GRP",Compta!$B$1:$B$675,"6236",Compta!$C$1:$C$675,$A41))</f>
        <v/>
      </c>
      <c r="AP41" t="s">
        <v>297</v>
      </c>
      <c r="AQ41" t="s">
        <v>297</v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IF($A42="","",SUMIFS(Socle!$K$1:$K$175,Socle!$C$1:$C$175,$B42,Socle!$D$1:$D$175,$D42,Socle!$E$1:$E$175,$E42,Socle!$F$1:$F$175,$F42,Socle!$G$1:$G$175,$A42))</f>
        <v/>
      </c>
      <c r="K42" t="str">
        <f t="shared" si="0"/>
        <v/>
      </c>
      <c r="L42" t="str">
        <f>IF($A42="","",SUMIFS(Allocation!$I$1:$I$175,Allocation!$C$1:$C$175,$A42,Allocation!$D$1:$D$175,$B42))</f>
        <v/>
      </c>
      <c r="M42" t="str">
        <f>IF($A42="","",SUMIFS(Allocation!$J$1:$J$175,Allocation!$C$1:$C$175,$A42,Allocation!$D$1:$D$175,$B42))</f>
        <v/>
      </c>
      <c r="N42" t="str">
        <f>IF($A42="","",SUMIFS(Allocation!$K$1:$K$175,Allocation!$C$1:$C$175,$A42,Allocation!$D$1:$D$175,$B42))</f>
        <v/>
      </c>
      <c r="O42" t="str">
        <f t="shared" si="1"/>
        <v/>
      </c>
      <c r="P42" t="str">
        <f t="shared" si="2"/>
        <v/>
      </c>
      <c r="Q42" t="str">
        <f>IF($A42="","",SUMIFS(Allocation!$I$1:$I$175,Allocation!$C$1:$C$175,$A42,Allocation!$E$1:$E$175,$C42))</f>
        <v/>
      </c>
      <c r="R42" t="str">
        <f>IF($A42="","",SUMIFS(Allocation!$J$1:$J$175,Allocation!$C$1:$C$175,$A42,Allocation!$E$1:$E$175,$C42))</f>
        <v/>
      </c>
      <c r="S42" t="str">
        <f>IF($A42="","",SUMIFS(Allocation!$K$1:$K$175,Allocation!$C$1:$C$175,$A42,Allocation!$E$1:$E$175,$C42))</f>
        <v/>
      </c>
      <c r="T42" t="str">
        <f>IF($A42="","",SUMIFS(Allocation!$I$1:$I$175,Allocation!$C$1:$C$175,$A42))</f>
        <v/>
      </c>
      <c r="U42" t="str">
        <f>IF($A42="","",SUMIFS(Allocation!$J$1:$J$175,Allocation!$C$1:$C$175,$A42))</f>
        <v/>
      </c>
      <c r="V42" t="str">
        <f>IF($A42="","",SUMIFS(Allocation!$K$1:$K$175,Allocation!$C$1:$C$175,$A42))</f>
        <v/>
      </c>
      <c r="W42" t="str">
        <f>IF($A42="","",SUMIFS(Compta!$F$1:$F$675,Compta!$A$1:$A$675,$B42,Compta!$B$1:$B$675,"621",Compta!$C$1:$C$675,$A42))</f>
        <v/>
      </c>
      <c r="X42" t="str">
        <f>IF($A42="","",SUMIFS(Compta!$F$1:$F$675,Compta!$A$1:$A$675,$B42,Compta!$B$1:$B$675,"6411",Compta!$C$1:$C$675,$A42))</f>
        <v/>
      </c>
      <c r="Y42" t="str">
        <f>IF($A42="","",SUMIFS(Compta!$F$1:$F$675,Compta!$A$1:$A$675,$B42,Compta!$B$1:$B$675,"604",Compta!$C$1:$C$675,$A42)+SUMIFS(Compta!$F$1:$F$675,Compta!$A$1:$A$675,$B42,Compta!$B$1:$B$675,"6063",Compta!$C$1:$C$675,$A42))</f>
        <v/>
      </c>
      <c r="Z42" t="str">
        <f>IF($A42="","",SUMIFS(Compta!$F$1:$F$675,Compta!$A$1:$A$675,$B42,Compta!$B$1:$B$675,"6231",Compta!$C$1:$C$675,$A42))</f>
        <v/>
      </c>
      <c r="AA42" t="str">
        <f>IF($A42="",""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</f>
        <v/>
      </c>
      <c r="AB42" t="str">
        <f>IF($A42="",""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</f>
        <v/>
      </c>
      <c r="AC42" t="s">
        <v>297</v>
      </c>
      <c r="AD42" t="s">
        <v>297</v>
      </c>
      <c r="AE42" t="s">
        <v>297</v>
      </c>
      <c r="AF42" t="s">
        <v>297</v>
      </c>
      <c r="AG42" t="s">
        <v>297</v>
      </c>
      <c r="AH42" t="s">
        <v>297</v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 t="str">
        <f>IF($A42="","",SUMIFS(Compta!$F$1:$F$675,Compta!$A$1:$A$675,"GRP",Compta!$B$1:$B$675,"6236",Compta!$C$1:$C$675,$A42))</f>
        <v/>
      </c>
      <c r="AP42" t="s">
        <v>297</v>
      </c>
      <c r="AQ42" t="s">
        <v>297</v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IF($A43="","",SUMIFS(Socle!$K$1:$K$175,Socle!$C$1:$C$175,$B43,Socle!$D$1:$D$175,$D43,Socle!$E$1:$E$175,$E43,Socle!$F$1:$F$175,$F43,Socle!$G$1:$G$175,$A43))</f>
        <v/>
      </c>
      <c r="K43" t="str">
        <f t="shared" si="0"/>
        <v/>
      </c>
      <c r="L43" t="str">
        <f>IF($A43="","",SUMIFS(Allocation!$I$1:$I$175,Allocation!$C$1:$C$175,$A43,Allocation!$D$1:$D$175,$B43))</f>
        <v/>
      </c>
      <c r="M43" t="str">
        <f>IF($A43="","",SUMIFS(Allocation!$J$1:$J$175,Allocation!$C$1:$C$175,$A43,Allocation!$D$1:$D$175,$B43))</f>
        <v/>
      </c>
      <c r="N43" t="str">
        <f>IF($A43="","",SUMIFS(Allocation!$K$1:$K$175,Allocation!$C$1:$C$175,$A43,Allocation!$D$1:$D$175,$B43))</f>
        <v/>
      </c>
      <c r="O43" t="str">
        <f t="shared" si="1"/>
        <v/>
      </c>
      <c r="P43" t="str">
        <f t="shared" si="2"/>
        <v/>
      </c>
      <c r="Q43" t="str">
        <f>IF($A43="","",SUMIFS(Allocation!$I$1:$I$175,Allocation!$C$1:$C$175,$A43,Allocation!$E$1:$E$175,$C43))</f>
        <v/>
      </c>
      <c r="R43" t="str">
        <f>IF($A43="","",SUMIFS(Allocation!$J$1:$J$175,Allocation!$C$1:$C$175,$A43,Allocation!$E$1:$E$175,$C43))</f>
        <v/>
      </c>
      <c r="S43" t="str">
        <f>IF($A43="","",SUMIFS(Allocation!$K$1:$K$175,Allocation!$C$1:$C$175,$A43,Allocation!$E$1:$E$175,$C43))</f>
        <v/>
      </c>
      <c r="T43" t="str">
        <f>IF($A43="","",SUMIFS(Allocation!$I$1:$I$175,Allocation!$C$1:$C$175,$A43))</f>
        <v/>
      </c>
      <c r="U43" t="str">
        <f>IF($A43="","",SUMIFS(Allocation!$J$1:$J$175,Allocation!$C$1:$C$175,$A43))</f>
        <v/>
      </c>
      <c r="V43" t="str">
        <f>IF($A43="","",SUMIFS(Allocation!$K$1:$K$175,Allocation!$C$1:$C$175,$A43))</f>
        <v/>
      </c>
      <c r="W43" t="str">
        <f>IF($A43="","",SUMIFS(Compta!$F$1:$F$675,Compta!$A$1:$A$675,$B43,Compta!$B$1:$B$675,"621",Compta!$C$1:$C$675,$A43))</f>
        <v/>
      </c>
      <c r="X43" t="str">
        <f>IF($A43="","",SUMIFS(Compta!$F$1:$F$675,Compta!$A$1:$A$675,$B43,Compta!$B$1:$B$675,"6411",Compta!$C$1:$C$675,$A43))</f>
        <v/>
      </c>
      <c r="Y43" t="str">
        <f>IF($A43="","",SUMIFS(Compta!$F$1:$F$675,Compta!$A$1:$A$675,$B43,Compta!$B$1:$B$675,"604",Compta!$C$1:$C$675,$A43)+SUMIFS(Compta!$F$1:$F$675,Compta!$A$1:$A$675,$B43,Compta!$B$1:$B$675,"6063",Compta!$C$1:$C$675,$A43))</f>
        <v/>
      </c>
      <c r="Z43" t="str">
        <f>IF($A43="","",SUMIFS(Compta!$F$1:$F$675,Compta!$A$1:$A$675,$B43,Compta!$B$1:$B$675,"6231",Compta!$C$1:$C$675,$A43))</f>
        <v/>
      </c>
      <c r="AA43" t="str">
        <f>IF($A43="",""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</f>
        <v/>
      </c>
      <c r="AB43" t="str">
        <f>IF($A43="",""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</f>
        <v/>
      </c>
      <c r="AC43" t="s">
        <v>297</v>
      </c>
      <c r="AD43" t="s">
        <v>297</v>
      </c>
      <c r="AE43" t="s">
        <v>297</v>
      </c>
      <c r="AF43" t="s">
        <v>297</v>
      </c>
      <c r="AG43" t="s">
        <v>297</v>
      </c>
      <c r="AH43" t="s">
        <v>297</v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 t="str">
        <f>IF($A43="","",SUMIFS(Compta!$F$1:$F$675,Compta!$A$1:$A$675,"GRP",Compta!$B$1:$B$675,"6236",Compta!$C$1:$C$675,$A43))</f>
        <v/>
      </c>
      <c r="AP43" t="s">
        <v>297</v>
      </c>
      <c r="AQ43" t="s">
        <v>297</v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IF($A44="","",SUMIFS(Socle!$K$1:$K$175,Socle!$C$1:$C$175,$B44,Socle!$D$1:$D$175,$D44,Socle!$E$1:$E$175,$E44,Socle!$F$1:$F$175,$F44,Socle!$G$1:$G$175,$A44))</f>
        <v/>
      </c>
      <c r="K44" t="str">
        <f t="shared" si="0"/>
        <v/>
      </c>
      <c r="L44" t="str">
        <f>IF($A44="","",SUMIFS(Allocation!$I$1:$I$175,Allocation!$C$1:$C$175,$A44,Allocation!$D$1:$D$175,$B44))</f>
        <v/>
      </c>
      <c r="M44" t="str">
        <f>IF($A44="","",SUMIFS(Allocation!$J$1:$J$175,Allocation!$C$1:$C$175,$A44,Allocation!$D$1:$D$175,$B44))</f>
        <v/>
      </c>
      <c r="N44" t="str">
        <f>IF($A44="","",SUMIFS(Allocation!$K$1:$K$175,Allocation!$C$1:$C$175,$A44,Allocation!$D$1:$D$175,$B44))</f>
        <v/>
      </c>
      <c r="O44" t="str">
        <f t="shared" si="1"/>
        <v/>
      </c>
      <c r="P44" t="str">
        <f t="shared" si="2"/>
        <v/>
      </c>
      <c r="Q44" t="str">
        <f>IF($A44="","",SUMIFS(Allocation!$I$1:$I$175,Allocation!$C$1:$C$175,$A44,Allocation!$E$1:$E$175,$C44))</f>
        <v/>
      </c>
      <c r="R44" t="str">
        <f>IF($A44="","",SUMIFS(Allocation!$J$1:$J$175,Allocation!$C$1:$C$175,$A44,Allocation!$E$1:$E$175,$C44))</f>
        <v/>
      </c>
      <c r="S44" t="str">
        <f>IF($A44="","",SUMIFS(Allocation!$K$1:$K$175,Allocation!$C$1:$C$175,$A44,Allocation!$E$1:$E$175,$C44))</f>
        <v/>
      </c>
      <c r="T44" t="str">
        <f>IF($A44="","",SUMIFS(Allocation!$I$1:$I$175,Allocation!$C$1:$C$175,$A44))</f>
        <v/>
      </c>
      <c r="U44" t="str">
        <f>IF($A44="","",SUMIFS(Allocation!$J$1:$J$175,Allocation!$C$1:$C$175,$A44))</f>
        <v/>
      </c>
      <c r="V44" t="str">
        <f>IF($A44="","",SUMIFS(Allocation!$K$1:$K$175,Allocation!$C$1:$C$175,$A44))</f>
        <v/>
      </c>
      <c r="W44" t="str">
        <f>IF($A44="","",SUMIFS(Compta!$F$1:$F$675,Compta!$A$1:$A$675,$B44,Compta!$B$1:$B$675,"621",Compta!$C$1:$C$675,$A44))</f>
        <v/>
      </c>
      <c r="X44" t="str">
        <f>IF($A44="","",SUMIFS(Compta!$F$1:$F$675,Compta!$A$1:$A$675,$B44,Compta!$B$1:$B$675,"6411",Compta!$C$1:$C$675,$A44))</f>
        <v/>
      </c>
      <c r="Y44" t="str">
        <f>IF($A44="","",SUMIFS(Compta!$F$1:$F$675,Compta!$A$1:$A$675,$B44,Compta!$B$1:$B$675,"604",Compta!$C$1:$C$675,$A44)+SUMIFS(Compta!$F$1:$F$675,Compta!$A$1:$A$675,$B44,Compta!$B$1:$B$675,"6063",Compta!$C$1:$C$675,$A44))</f>
        <v/>
      </c>
      <c r="Z44" t="str">
        <f>IF($A44="","",SUMIFS(Compta!$F$1:$F$675,Compta!$A$1:$A$675,$B44,Compta!$B$1:$B$675,"6231",Compta!$C$1:$C$675,$A44))</f>
        <v/>
      </c>
      <c r="AA44" t="str">
        <f>IF($A44="",""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</f>
        <v/>
      </c>
      <c r="AB44" t="str">
        <f>IF($A44="",""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</f>
        <v/>
      </c>
      <c r="AC44" t="s">
        <v>297</v>
      </c>
      <c r="AD44" t="s">
        <v>297</v>
      </c>
      <c r="AE44" t="s">
        <v>297</v>
      </c>
      <c r="AF44" t="s">
        <v>297</v>
      </c>
      <c r="AG44" t="s">
        <v>297</v>
      </c>
      <c r="AH44" t="s">
        <v>297</v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 t="str">
        <f>IF($A44="","",SUMIFS(Compta!$F$1:$F$675,Compta!$A$1:$A$675,"GRP",Compta!$B$1:$B$675,"6236",Compta!$C$1:$C$675,$A44))</f>
        <v/>
      </c>
      <c r="AP44" t="s">
        <v>297</v>
      </c>
      <c r="AQ44" t="s">
        <v>297</v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IF($A45="","",SUMIFS(Socle!$K$1:$K$175,Socle!$C$1:$C$175,$B45,Socle!$D$1:$D$175,$D45,Socle!$E$1:$E$175,$E45,Socle!$F$1:$F$175,$F45,Socle!$G$1:$G$175,$A45))</f>
        <v/>
      </c>
      <c r="K45" t="str">
        <f t="shared" si="0"/>
        <v/>
      </c>
      <c r="L45" t="str">
        <f>IF($A45="","",SUMIFS(Allocation!$I$1:$I$175,Allocation!$C$1:$C$175,$A45,Allocation!$D$1:$D$175,$B45))</f>
        <v/>
      </c>
      <c r="M45" t="str">
        <f>IF($A45="","",SUMIFS(Allocation!$J$1:$J$175,Allocation!$C$1:$C$175,$A45,Allocation!$D$1:$D$175,$B45))</f>
        <v/>
      </c>
      <c r="N45" t="str">
        <f>IF($A45="","",SUMIFS(Allocation!$K$1:$K$175,Allocation!$C$1:$C$175,$A45,Allocation!$D$1:$D$175,$B45))</f>
        <v/>
      </c>
      <c r="O45" t="str">
        <f t="shared" si="1"/>
        <v/>
      </c>
      <c r="P45" t="str">
        <f t="shared" si="2"/>
        <v/>
      </c>
      <c r="Q45" t="str">
        <f>IF($A45="","",SUMIFS(Allocation!$I$1:$I$175,Allocation!$C$1:$C$175,$A45,Allocation!$E$1:$E$175,$C45))</f>
        <v/>
      </c>
      <c r="R45" t="str">
        <f>IF($A45="","",SUMIFS(Allocation!$J$1:$J$175,Allocation!$C$1:$C$175,$A45,Allocation!$E$1:$E$175,$C45))</f>
        <v/>
      </c>
      <c r="S45" t="str">
        <f>IF($A45="","",SUMIFS(Allocation!$K$1:$K$175,Allocation!$C$1:$C$175,$A45,Allocation!$E$1:$E$175,$C45))</f>
        <v/>
      </c>
      <c r="T45" t="str">
        <f>IF($A45="","",SUMIFS(Allocation!$I$1:$I$175,Allocation!$C$1:$C$175,$A45))</f>
        <v/>
      </c>
      <c r="U45" t="str">
        <f>IF($A45="","",SUMIFS(Allocation!$J$1:$J$175,Allocation!$C$1:$C$175,$A45))</f>
        <v/>
      </c>
      <c r="V45" t="str">
        <f>IF($A45="","",SUMIFS(Allocation!$K$1:$K$175,Allocation!$C$1:$C$175,$A45))</f>
        <v/>
      </c>
      <c r="W45" t="str">
        <f>IF($A45="","",SUMIFS(Compta!$F$1:$F$675,Compta!$A$1:$A$675,$B45,Compta!$B$1:$B$675,"621",Compta!$C$1:$C$675,$A45))</f>
        <v/>
      </c>
      <c r="X45" t="str">
        <f>IF($A45="","",SUMIFS(Compta!$F$1:$F$675,Compta!$A$1:$A$675,$B45,Compta!$B$1:$B$675,"6411",Compta!$C$1:$C$675,$A45))</f>
        <v/>
      </c>
      <c r="Y45" t="str">
        <f>IF($A45="","",SUMIFS(Compta!$F$1:$F$675,Compta!$A$1:$A$675,$B45,Compta!$B$1:$B$675,"604",Compta!$C$1:$C$675,$A45)+SUMIFS(Compta!$F$1:$F$675,Compta!$A$1:$A$675,$B45,Compta!$B$1:$B$675,"6063",Compta!$C$1:$C$675,$A45))</f>
        <v/>
      </c>
      <c r="Z45" t="str">
        <f>IF($A45="","",SUMIFS(Compta!$F$1:$F$675,Compta!$A$1:$A$675,$B45,Compta!$B$1:$B$675,"6231",Compta!$C$1:$C$675,$A45))</f>
        <v/>
      </c>
      <c r="AA45" t="str">
        <f>IF($A45="",""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</f>
        <v/>
      </c>
      <c r="AB45" t="str">
        <f>IF($A45="",""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</f>
        <v/>
      </c>
      <c r="AC45" t="s">
        <v>297</v>
      </c>
      <c r="AD45" t="s">
        <v>297</v>
      </c>
      <c r="AE45" t="s">
        <v>297</v>
      </c>
      <c r="AF45" t="s">
        <v>297</v>
      </c>
      <c r="AG45" t="s">
        <v>297</v>
      </c>
      <c r="AH45" t="s">
        <v>297</v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 t="str">
        <f>IF($A45="","",SUMIFS(Compta!$F$1:$F$675,Compta!$A$1:$A$675,"GRP",Compta!$B$1:$B$675,"6236",Compta!$C$1:$C$675,$A45))</f>
        <v/>
      </c>
      <c r="AP45" t="s">
        <v>297</v>
      </c>
      <c r="AQ45" t="s">
        <v>297</v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IF($A46="","",SUMIFS(Socle!$K$1:$K$175,Socle!$C$1:$C$175,$B46,Socle!$D$1:$D$175,$D46,Socle!$E$1:$E$175,$E46,Socle!$F$1:$F$175,$F46,Socle!$G$1:$G$175,$A46))</f>
        <v/>
      </c>
      <c r="K46" t="str">
        <f t="shared" si="0"/>
        <v/>
      </c>
      <c r="L46" t="str">
        <f>IF($A46="","",SUMIFS(Allocation!$I$1:$I$175,Allocation!$C$1:$C$175,$A46,Allocation!$D$1:$D$175,$B46))</f>
        <v/>
      </c>
      <c r="M46" t="str">
        <f>IF($A46="","",SUMIFS(Allocation!$J$1:$J$175,Allocation!$C$1:$C$175,$A46,Allocation!$D$1:$D$175,$B46))</f>
        <v/>
      </c>
      <c r="N46" t="str">
        <f>IF($A46="","",SUMIFS(Allocation!$K$1:$K$175,Allocation!$C$1:$C$175,$A46,Allocation!$D$1:$D$175,$B46))</f>
        <v/>
      </c>
      <c r="O46" t="str">
        <f t="shared" si="1"/>
        <v/>
      </c>
      <c r="P46" t="str">
        <f t="shared" si="2"/>
        <v/>
      </c>
      <c r="Q46" t="str">
        <f>IF($A46="","",SUMIFS(Allocation!$I$1:$I$175,Allocation!$C$1:$C$175,$A46,Allocation!$E$1:$E$175,$C46))</f>
        <v/>
      </c>
      <c r="R46" t="str">
        <f>IF($A46="","",SUMIFS(Allocation!$J$1:$J$175,Allocation!$C$1:$C$175,$A46,Allocation!$E$1:$E$175,$C46))</f>
        <v/>
      </c>
      <c r="S46" t="str">
        <f>IF($A46="","",SUMIFS(Allocation!$K$1:$K$175,Allocation!$C$1:$C$175,$A46,Allocation!$E$1:$E$175,$C46))</f>
        <v/>
      </c>
      <c r="T46" t="str">
        <f>IF($A46="","",SUMIFS(Allocation!$I$1:$I$175,Allocation!$C$1:$C$175,$A46))</f>
        <v/>
      </c>
      <c r="U46" t="str">
        <f>IF($A46="","",SUMIFS(Allocation!$J$1:$J$175,Allocation!$C$1:$C$175,$A46))</f>
        <v/>
      </c>
      <c r="V46" t="str">
        <f>IF($A46="","",SUMIFS(Allocation!$K$1:$K$175,Allocation!$C$1:$C$175,$A46))</f>
        <v/>
      </c>
      <c r="W46" t="str">
        <f>IF($A46="","",SUMIFS(Compta!$F$1:$F$675,Compta!$A$1:$A$675,$B46,Compta!$B$1:$B$675,"621",Compta!$C$1:$C$675,$A46))</f>
        <v/>
      </c>
      <c r="X46" t="str">
        <f>IF($A46="","",SUMIFS(Compta!$F$1:$F$675,Compta!$A$1:$A$675,$B46,Compta!$B$1:$B$675,"6411",Compta!$C$1:$C$675,$A46))</f>
        <v/>
      </c>
      <c r="Y46" t="str">
        <f>IF($A46="","",SUMIFS(Compta!$F$1:$F$675,Compta!$A$1:$A$675,$B46,Compta!$B$1:$B$675,"604",Compta!$C$1:$C$675,$A46)+SUMIFS(Compta!$F$1:$F$675,Compta!$A$1:$A$675,$B46,Compta!$B$1:$B$675,"6063",Compta!$C$1:$C$675,$A46))</f>
        <v/>
      </c>
      <c r="Z46" t="str">
        <f>IF($A46="","",SUMIFS(Compta!$F$1:$F$675,Compta!$A$1:$A$675,$B46,Compta!$B$1:$B$675,"6231",Compta!$C$1:$C$675,$A46))</f>
        <v/>
      </c>
      <c r="AA46" t="str">
        <f>IF($A46="",""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</f>
        <v/>
      </c>
      <c r="AB46" t="str">
        <f>IF($A46="",""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</f>
        <v/>
      </c>
      <c r="AC46" t="s">
        <v>297</v>
      </c>
      <c r="AD46" t="s">
        <v>297</v>
      </c>
      <c r="AE46" t="s">
        <v>297</v>
      </c>
      <c r="AF46" t="s">
        <v>297</v>
      </c>
      <c r="AG46" t="s">
        <v>297</v>
      </c>
      <c r="AH46" t="s">
        <v>297</v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 t="str">
        <f>IF($A46="","",SUMIFS(Compta!$F$1:$F$675,Compta!$A$1:$A$675,"GRP",Compta!$B$1:$B$675,"6236",Compta!$C$1:$C$675,$A46))</f>
        <v/>
      </c>
      <c r="AP46" t="s">
        <v>297</v>
      </c>
      <c r="AQ46" t="s">
        <v>297</v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IF($A47="","",SUMIFS(Socle!$K$1:$K$175,Socle!$C$1:$C$175,$B47,Socle!$D$1:$D$175,$D47,Socle!$E$1:$E$175,$E47,Socle!$F$1:$F$175,$F47,Socle!$G$1:$G$175,$A47))</f>
        <v/>
      </c>
      <c r="K47" t="str">
        <f t="shared" si="0"/>
        <v/>
      </c>
      <c r="L47" t="str">
        <f>IF($A47="","",SUMIFS(Allocation!$I$1:$I$175,Allocation!$C$1:$C$175,$A47,Allocation!$D$1:$D$175,$B47))</f>
        <v/>
      </c>
      <c r="M47" t="str">
        <f>IF($A47="","",SUMIFS(Allocation!$J$1:$J$175,Allocation!$C$1:$C$175,$A47,Allocation!$D$1:$D$175,$B47))</f>
        <v/>
      </c>
      <c r="N47" t="str">
        <f>IF($A47="","",SUMIFS(Allocation!$K$1:$K$175,Allocation!$C$1:$C$175,$A47,Allocation!$D$1:$D$175,$B47))</f>
        <v/>
      </c>
      <c r="O47" t="str">
        <f t="shared" si="1"/>
        <v/>
      </c>
      <c r="P47" t="str">
        <f t="shared" si="2"/>
        <v/>
      </c>
      <c r="Q47" t="str">
        <f>IF($A47="","",SUMIFS(Allocation!$I$1:$I$175,Allocation!$C$1:$C$175,$A47,Allocation!$E$1:$E$175,$C47))</f>
        <v/>
      </c>
      <c r="R47" t="str">
        <f>IF($A47="","",SUMIFS(Allocation!$J$1:$J$175,Allocation!$C$1:$C$175,$A47,Allocation!$E$1:$E$175,$C47))</f>
        <v/>
      </c>
      <c r="S47" t="str">
        <f>IF($A47="","",SUMIFS(Allocation!$K$1:$K$175,Allocation!$C$1:$C$175,$A47,Allocation!$E$1:$E$175,$C47))</f>
        <v/>
      </c>
      <c r="T47" t="str">
        <f>IF($A47="","",SUMIFS(Allocation!$I$1:$I$175,Allocation!$C$1:$C$175,$A47))</f>
        <v/>
      </c>
      <c r="U47" t="str">
        <f>IF($A47="","",SUMIFS(Allocation!$J$1:$J$175,Allocation!$C$1:$C$175,$A47))</f>
        <v/>
      </c>
      <c r="V47" t="str">
        <f>IF($A47="","",SUMIFS(Allocation!$K$1:$K$175,Allocation!$C$1:$C$175,$A47))</f>
        <v/>
      </c>
      <c r="W47" t="str">
        <f>IF($A47="","",SUMIFS(Compta!$F$1:$F$675,Compta!$A$1:$A$675,$B47,Compta!$B$1:$B$675,"621",Compta!$C$1:$C$675,$A47))</f>
        <v/>
      </c>
      <c r="X47" t="str">
        <f>IF($A47="","",SUMIFS(Compta!$F$1:$F$675,Compta!$A$1:$A$675,$B47,Compta!$B$1:$B$675,"6411",Compta!$C$1:$C$675,$A47))</f>
        <v/>
      </c>
      <c r="Y47" t="str">
        <f>IF($A47="","",SUMIFS(Compta!$F$1:$F$675,Compta!$A$1:$A$675,$B47,Compta!$B$1:$B$675,"604",Compta!$C$1:$C$675,$A47)+SUMIFS(Compta!$F$1:$F$675,Compta!$A$1:$A$675,$B47,Compta!$B$1:$B$675,"6063",Compta!$C$1:$C$675,$A47))</f>
        <v/>
      </c>
      <c r="Z47" t="str">
        <f>IF($A47="","",SUMIFS(Compta!$F$1:$F$675,Compta!$A$1:$A$675,$B47,Compta!$B$1:$B$675,"6231",Compta!$C$1:$C$675,$A47))</f>
        <v/>
      </c>
      <c r="AA47" t="str">
        <f>IF($A47="",""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</f>
        <v/>
      </c>
      <c r="AB47" t="str">
        <f>IF($A47="",""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</f>
        <v/>
      </c>
      <c r="AC47" t="s">
        <v>297</v>
      </c>
      <c r="AD47" t="s">
        <v>297</v>
      </c>
      <c r="AE47" t="s">
        <v>297</v>
      </c>
      <c r="AF47" t="s">
        <v>297</v>
      </c>
      <c r="AG47" t="s">
        <v>297</v>
      </c>
      <c r="AH47" t="s">
        <v>297</v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 t="str">
        <f>IF($A47="","",SUMIFS(Compta!$F$1:$F$675,Compta!$A$1:$A$675,"GRP",Compta!$B$1:$B$675,"6236",Compta!$C$1:$C$675,$A47))</f>
        <v/>
      </c>
      <c r="AP47" t="s">
        <v>297</v>
      </c>
      <c r="AQ47" t="s">
        <v>297</v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IF($A48="","",SUMIFS(Socle!$K$1:$K$175,Socle!$C$1:$C$175,$B48,Socle!$D$1:$D$175,$D48,Socle!$E$1:$E$175,$E48,Socle!$F$1:$F$175,$F48,Socle!$G$1:$G$175,$A48))</f>
        <v/>
      </c>
      <c r="K48" t="str">
        <f t="shared" si="0"/>
        <v/>
      </c>
      <c r="L48" t="str">
        <f>IF($A48="","",SUMIFS(Allocation!$I$1:$I$175,Allocation!$C$1:$C$175,$A48,Allocation!$D$1:$D$175,$B48))</f>
        <v/>
      </c>
      <c r="M48" t="str">
        <f>IF($A48="","",SUMIFS(Allocation!$J$1:$J$175,Allocation!$C$1:$C$175,$A48,Allocation!$D$1:$D$175,$B48))</f>
        <v/>
      </c>
      <c r="N48" t="str">
        <f>IF($A48="","",SUMIFS(Allocation!$K$1:$K$175,Allocation!$C$1:$C$175,$A48,Allocation!$D$1:$D$175,$B48))</f>
        <v/>
      </c>
      <c r="O48" t="str">
        <f t="shared" si="1"/>
        <v/>
      </c>
      <c r="P48" t="str">
        <f t="shared" si="2"/>
        <v/>
      </c>
      <c r="Q48" t="str">
        <f>IF($A48="","",SUMIFS(Allocation!$I$1:$I$175,Allocation!$C$1:$C$175,$A48,Allocation!$E$1:$E$175,$C48))</f>
        <v/>
      </c>
      <c r="R48" t="str">
        <f>IF($A48="","",SUMIFS(Allocation!$J$1:$J$175,Allocation!$C$1:$C$175,$A48,Allocation!$E$1:$E$175,$C48))</f>
        <v/>
      </c>
      <c r="S48" t="str">
        <f>IF($A48="","",SUMIFS(Allocation!$K$1:$K$175,Allocation!$C$1:$C$175,$A48,Allocation!$E$1:$E$175,$C48))</f>
        <v/>
      </c>
      <c r="T48" t="str">
        <f>IF($A48="","",SUMIFS(Allocation!$I$1:$I$175,Allocation!$C$1:$C$175,$A48))</f>
        <v/>
      </c>
      <c r="U48" t="str">
        <f>IF($A48="","",SUMIFS(Allocation!$J$1:$J$175,Allocation!$C$1:$C$175,$A48))</f>
        <v/>
      </c>
      <c r="V48" t="str">
        <f>IF($A48="","",SUMIFS(Allocation!$K$1:$K$175,Allocation!$C$1:$C$175,$A48))</f>
        <v/>
      </c>
      <c r="W48" t="str">
        <f>IF($A48="","",SUMIFS(Compta!$F$1:$F$675,Compta!$A$1:$A$675,$B48,Compta!$B$1:$B$675,"621",Compta!$C$1:$C$675,$A48))</f>
        <v/>
      </c>
      <c r="X48" t="str">
        <f>IF($A48="","",SUMIFS(Compta!$F$1:$F$675,Compta!$A$1:$A$675,$B48,Compta!$B$1:$B$675,"6411",Compta!$C$1:$C$675,$A48))</f>
        <v/>
      </c>
      <c r="Y48" t="str">
        <f>IF($A48="","",SUMIFS(Compta!$F$1:$F$675,Compta!$A$1:$A$675,$B48,Compta!$B$1:$B$675,"604",Compta!$C$1:$C$675,$A48)+SUMIFS(Compta!$F$1:$F$675,Compta!$A$1:$A$675,$B48,Compta!$B$1:$B$675,"6063",Compta!$C$1:$C$675,$A48))</f>
        <v/>
      </c>
      <c r="Z48" t="str">
        <f>IF($A48="","",SUMIFS(Compta!$F$1:$F$675,Compta!$A$1:$A$675,$B48,Compta!$B$1:$B$675,"6231",Compta!$C$1:$C$675,$A48))</f>
        <v/>
      </c>
      <c r="AA48" t="str">
        <f>IF($A48="",""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</f>
        <v/>
      </c>
      <c r="AB48" t="str">
        <f>IF($A48="",""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</f>
        <v/>
      </c>
      <c r="AC48" t="s">
        <v>297</v>
      </c>
      <c r="AD48" t="s">
        <v>297</v>
      </c>
      <c r="AE48" t="s">
        <v>297</v>
      </c>
      <c r="AF48" t="s">
        <v>297</v>
      </c>
      <c r="AG48" t="s">
        <v>297</v>
      </c>
      <c r="AH48" t="s">
        <v>297</v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 t="str">
        <f>IF($A48="","",SUMIFS(Compta!$F$1:$F$675,Compta!$A$1:$A$675,"GRP",Compta!$B$1:$B$675,"6236",Compta!$C$1:$C$675,$A48))</f>
        <v/>
      </c>
      <c r="AP48" t="s">
        <v>297</v>
      </c>
      <c r="AQ48" t="s">
        <v>297</v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IF($A49="","",SUMIFS(Socle!$K$1:$K$175,Socle!$C$1:$C$175,$B49,Socle!$D$1:$D$175,$D49,Socle!$E$1:$E$175,$E49,Socle!$F$1:$F$175,$F49,Socle!$G$1:$G$175,$A49))</f>
        <v/>
      </c>
      <c r="K49" t="str">
        <f t="shared" si="0"/>
        <v/>
      </c>
      <c r="L49" t="str">
        <f>IF($A49="","",SUMIFS(Allocation!$I$1:$I$175,Allocation!$C$1:$C$175,$A49,Allocation!$D$1:$D$175,$B49))</f>
        <v/>
      </c>
      <c r="M49" t="str">
        <f>IF($A49="","",SUMIFS(Allocation!$J$1:$J$175,Allocation!$C$1:$C$175,$A49,Allocation!$D$1:$D$175,$B49))</f>
        <v/>
      </c>
      <c r="N49" t="str">
        <f>IF($A49="","",SUMIFS(Allocation!$K$1:$K$175,Allocation!$C$1:$C$175,$A49,Allocation!$D$1:$D$175,$B49))</f>
        <v/>
      </c>
      <c r="O49" t="str">
        <f t="shared" si="1"/>
        <v/>
      </c>
      <c r="P49" t="str">
        <f t="shared" si="2"/>
        <v/>
      </c>
      <c r="Q49" t="str">
        <f>IF($A49="","",SUMIFS(Allocation!$I$1:$I$175,Allocation!$C$1:$C$175,$A49,Allocation!$E$1:$E$175,$C49))</f>
        <v/>
      </c>
      <c r="R49" t="str">
        <f>IF($A49="","",SUMIFS(Allocation!$J$1:$J$175,Allocation!$C$1:$C$175,$A49,Allocation!$E$1:$E$175,$C49))</f>
        <v/>
      </c>
      <c r="S49" t="str">
        <f>IF($A49="","",SUMIFS(Allocation!$K$1:$K$175,Allocation!$C$1:$C$175,$A49,Allocation!$E$1:$E$175,$C49))</f>
        <v/>
      </c>
      <c r="T49" t="str">
        <f>IF($A49="","",SUMIFS(Allocation!$I$1:$I$175,Allocation!$C$1:$C$175,$A49))</f>
        <v/>
      </c>
      <c r="U49" t="str">
        <f>IF($A49="","",SUMIFS(Allocation!$J$1:$J$175,Allocation!$C$1:$C$175,$A49))</f>
        <v/>
      </c>
      <c r="V49" t="str">
        <f>IF($A49="","",SUMIFS(Allocation!$K$1:$K$175,Allocation!$C$1:$C$175,$A49))</f>
        <v/>
      </c>
      <c r="W49" t="str">
        <f>IF($A49="","",SUMIFS(Compta!$F$1:$F$675,Compta!$A$1:$A$675,$B49,Compta!$B$1:$B$675,"621",Compta!$C$1:$C$675,$A49))</f>
        <v/>
      </c>
      <c r="X49" t="str">
        <f>IF($A49="","",SUMIFS(Compta!$F$1:$F$675,Compta!$A$1:$A$675,$B49,Compta!$B$1:$B$675,"6411",Compta!$C$1:$C$675,$A49))</f>
        <v/>
      </c>
      <c r="Y49" t="str">
        <f>IF($A49="","",SUMIFS(Compta!$F$1:$F$675,Compta!$A$1:$A$675,$B49,Compta!$B$1:$B$675,"604",Compta!$C$1:$C$675,$A49)+SUMIFS(Compta!$F$1:$F$675,Compta!$A$1:$A$675,$B49,Compta!$B$1:$B$675,"6063",Compta!$C$1:$C$675,$A49))</f>
        <v/>
      </c>
      <c r="Z49" t="str">
        <f>IF($A49="","",SUMIFS(Compta!$F$1:$F$675,Compta!$A$1:$A$675,$B49,Compta!$B$1:$B$675,"6231",Compta!$C$1:$C$675,$A49))</f>
        <v/>
      </c>
      <c r="AA49" t="str">
        <f>IF($A49="",""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</f>
        <v/>
      </c>
      <c r="AB49" t="str">
        <f>IF($A49="",""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</f>
        <v/>
      </c>
      <c r="AC49" t="s">
        <v>297</v>
      </c>
      <c r="AD49" t="s">
        <v>297</v>
      </c>
      <c r="AE49" t="s">
        <v>297</v>
      </c>
      <c r="AF49" t="s">
        <v>297</v>
      </c>
      <c r="AG49" t="s">
        <v>297</v>
      </c>
      <c r="AH49" t="s">
        <v>297</v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 t="str">
        <f>IF($A49="","",SUMIFS(Compta!$F$1:$F$675,Compta!$A$1:$A$675,"GRP",Compta!$B$1:$B$675,"6236",Compta!$C$1:$C$675,$A49))</f>
        <v/>
      </c>
      <c r="AP49" t="s">
        <v>297</v>
      </c>
      <c r="AQ49" t="s">
        <v>297</v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IF($A50="","",SUMIFS(Socle!$K$1:$K$175,Socle!$C$1:$C$175,$B50,Socle!$D$1:$D$175,$D50,Socle!$E$1:$E$175,$E50,Socle!$F$1:$F$175,$F50,Socle!$G$1:$G$175,$A50))</f>
        <v/>
      </c>
      <c r="K50" t="str">
        <f t="shared" si="0"/>
        <v/>
      </c>
      <c r="L50" t="str">
        <f>IF($A50="","",SUMIFS(Allocation!$I$1:$I$175,Allocation!$C$1:$C$175,$A50,Allocation!$D$1:$D$175,$B50))</f>
        <v/>
      </c>
      <c r="M50" t="str">
        <f>IF($A50="","",SUMIFS(Allocation!$J$1:$J$175,Allocation!$C$1:$C$175,$A50,Allocation!$D$1:$D$175,$B50))</f>
        <v/>
      </c>
      <c r="N50" t="str">
        <f>IF($A50="","",SUMIFS(Allocation!$K$1:$K$175,Allocation!$C$1:$C$175,$A50,Allocation!$D$1:$D$175,$B50))</f>
        <v/>
      </c>
      <c r="O50" t="str">
        <f t="shared" si="1"/>
        <v/>
      </c>
      <c r="P50" t="str">
        <f t="shared" si="2"/>
        <v/>
      </c>
      <c r="Q50" t="str">
        <f>IF($A50="","",SUMIFS(Allocation!$I$1:$I$175,Allocation!$C$1:$C$175,$A50,Allocation!$E$1:$E$175,$C50))</f>
        <v/>
      </c>
      <c r="R50" t="str">
        <f>IF($A50="","",SUMIFS(Allocation!$J$1:$J$175,Allocation!$C$1:$C$175,$A50,Allocation!$E$1:$E$175,$C50))</f>
        <v/>
      </c>
      <c r="S50" t="str">
        <f>IF($A50="","",SUMIFS(Allocation!$K$1:$K$175,Allocation!$C$1:$C$175,$A50,Allocation!$E$1:$E$175,$C50))</f>
        <v/>
      </c>
      <c r="T50" t="str">
        <f>IF($A50="","",SUMIFS(Allocation!$I$1:$I$175,Allocation!$C$1:$C$175,$A50))</f>
        <v/>
      </c>
      <c r="U50" t="str">
        <f>IF($A50="","",SUMIFS(Allocation!$J$1:$J$175,Allocation!$C$1:$C$175,$A50))</f>
        <v/>
      </c>
      <c r="V50" t="str">
        <f>IF($A50="","",SUMIFS(Allocation!$K$1:$K$175,Allocation!$C$1:$C$175,$A50))</f>
        <v/>
      </c>
      <c r="W50" t="str">
        <f>IF($A50="","",SUMIFS(Compta!$F$1:$F$675,Compta!$A$1:$A$675,$B50,Compta!$B$1:$B$675,"621",Compta!$C$1:$C$675,$A50))</f>
        <v/>
      </c>
      <c r="X50" t="str">
        <f>IF($A50="","",SUMIFS(Compta!$F$1:$F$675,Compta!$A$1:$A$675,$B50,Compta!$B$1:$B$675,"6411",Compta!$C$1:$C$675,$A50))</f>
        <v/>
      </c>
      <c r="Y50" t="str">
        <f>IF($A50="","",SUMIFS(Compta!$F$1:$F$675,Compta!$A$1:$A$675,$B50,Compta!$B$1:$B$675,"604",Compta!$C$1:$C$675,$A50)+SUMIFS(Compta!$F$1:$F$675,Compta!$A$1:$A$675,$B50,Compta!$B$1:$B$675,"6063",Compta!$C$1:$C$675,$A50))</f>
        <v/>
      </c>
      <c r="Z50" t="str">
        <f>IF($A50="","",SUMIFS(Compta!$F$1:$F$675,Compta!$A$1:$A$675,$B50,Compta!$B$1:$B$675,"6231",Compta!$C$1:$C$675,$A50))</f>
        <v/>
      </c>
      <c r="AA50" t="str">
        <f>IF($A50="",""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</f>
        <v/>
      </c>
      <c r="AB50" t="str">
        <f>IF($A50="",""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</f>
        <v/>
      </c>
      <c r="AC50" t="s">
        <v>297</v>
      </c>
      <c r="AD50" t="s">
        <v>297</v>
      </c>
      <c r="AE50" t="s">
        <v>297</v>
      </c>
      <c r="AF50" t="s">
        <v>297</v>
      </c>
      <c r="AG50" t="s">
        <v>297</v>
      </c>
      <c r="AH50" t="s">
        <v>297</v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 t="str">
        <f>IF($A50="","",SUMIFS(Compta!$F$1:$F$675,Compta!$A$1:$A$675,"GRP",Compta!$B$1:$B$675,"6236",Compta!$C$1:$C$675,$A50))</f>
        <v/>
      </c>
      <c r="AP50" t="s">
        <v>297</v>
      </c>
      <c r="AQ50" t="s">
        <v>297</v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IF($A51="","",SUMIFS(Socle!$K$1:$K$175,Socle!$C$1:$C$175,$B51,Socle!$D$1:$D$175,$D51,Socle!$E$1:$E$175,$E51,Socle!$F$1:$F$175,$F51,Socle!$G$1:$G$175,$A51))</f>
        <v/>
      </c>
      <c r="K51" t="str">
        <f t="shared" si="0"/>
        <v/>
      </c>
      <c r="L51" t="str">
        <f>IF($A51="","",SUMIFS(Allocation!$I$1:$I$175,Allocation!$C$1:$C$175,$A51,Allocation!$D$1:$D$175,$B51))</f>
        <v/>
      </c>
      <c r="M51" t="str">
        <f>IF($A51="","",SUMIFS(Allocation!$J$1:$J$175,Allocation!$C$1:$C$175,$A51,Allocation!$D$1:$D$175,$B51))</f>
        <v/>
      </c>
      <c r="N51" t="str">
        <f>IF($A51="","",SUMIFS(Allocation!$K$1:$K$175,Allocation!$C$1:$C$175,$A51,Allocation!$D$1:$D$175,$B51))</f>
        <v/>
      </c>
      <c r="O51" t="str">
        <f t="shared" si="1"/>
        <v/>
      </c>
      <c r="P51" t="str">
        <f t="shared" si="2"/>
        <v/>
      </c>
      <c r="Q51" t="str">
        <f>IF($A51="","",SUMIFS(Allocation!$I$1:$I$175,Allocation!$C$1:$C$175,$A51,Allocation!$E$1:$E$175,$C51))</f>
        <v/>
      </c>
      <c r="R51" t="str">
        <f>IF($A51="","",SUMIFS(Allocation!$J$1:$J$175,Allocation!$C$1:$C$175,$A51,Allocation!$E$1:$E$175,$C51))</f>
        <v/>
      </c>
      <c r="S51" t="str">
        <f>IF($A51="","",SUMIFS(Allocation!$K$1:$K$175,Allocation!$C$1:$C$175,$A51,Allocation!$E$1:$E$175,$C51))</f>
        <v/>
      </c>
      <c r="T51" t="str">
        <f>IF($A51="","",SUMIFS(Allocation!$I$1:$I$175,Allocation!$C$1:$C$175,$A51))</f>
        <v/>
      </c>
      <c r="U51" t="str">
        <f>IF($A51="","",SUMIFS(Allocation!$J$1:$J$175,Allocation!$C$1:$C$175,$A51))</f>
        <v/>
      </c>
      <c r="V51" t="str">
        <f>IF($A51="","",SUMIFS(Allocation!$K$1:$K$175,Allocation!$C$1:$C$175,$A51))</f>
        <v/>
      </c>
      <c r="W51" t="str">
        <f>IF($A51="","",SUMIFS(Compta!$F$1:$F$675,Compta!$A$1:$A$675,$B51,Compta!$B$1:$B$675,"621",Compta!$C$1:$C$675,$A51))</f>
        <v/>
      </c>
      <c r="X51" t="str">
        <f>IF($A51="","",SUMIFS(Compta!$F$1:$F$675,Compta!$A$1:$A$675,$B51,Compta!$B$1:$B$675,"6411",Compta!$C$1:$C$675,$A51))</f>
        <v/>
      </c>
      <c r="Y51" t="str">
        <f>IF($A51="","",SUMIFS(Compta!$F$1:$F$675,Compta!$A$1:$A$675,$B51,Compta!$B$1:$B$675,"604",Compta!$C$1:$C$675,$A51)+SUMIFS(Compta!$F$1:$F$675,Compta!$A$1:$A$675,$B51,Compta!$B$1:$B$675,"6063",Compta!$C$1:$C$675,$A51))</f>
        <v/>
      </c>
      <c r="Z51" t="str">
        <f>IF($A51="","",SUMIFS(Compta!$F$1:$F$675,Compta!$A$1:$A$675,$B51,Compta!$B$1:$B$675,"6231",Compta!$C$1:$C$675,$A51))</f>
        <v/>
      </c>
      <c r="AA51" t="str">
        <f>IF($A51="",""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</f>
        <v/>
      </c>
      <c r="AB51" t="str">
        <f>IF($A51="",""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</f>
        <v/>
      </c>
      <c r="AC51" t="s">
        <v>297</v>
      </c>
      <c r="AD51" t="s">
        <v>297</v>
      </c>
      <c r="AE51" t="s">
        <v>297</v>
      </c>
      <c r="AF51" t="s">
        <v>297</v>
      </c>
      <c r="AG51" t="s">
        <v>297</v>
      </c>
      <c r="AH51" t="s">
        <v>297</v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 t="str">
        <f>IF($A51="","",SUMIFS(Compta!$F$1:$F$675,Compta!$A$1:$A$675,"GRP",Compta!$B$1:$B$675,"6236",Compta!$C$1:$C$675,$A51))</f>
        <v/>
      </c>
      <c r="AP51" t="s">
        <v>297</v>
      </c>
      <c r="AQ51" t="s">
        <v>297</v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IF($A52="","",SUMIFS(Socle!$K$1:$K$175,Socle!$C$1:$C$175,$B52,Socle!$D$1:$D$175,$D52,Socle!$E$1:$E$175,$E52,Socle!$F$1:$F$175,$F52,Socle!$G$1:$G$175,$A52))</f>
        <v/>
      </c>
      <c r="K52" t="str">
        <f t="shared" si="0"/>
        <v/>
      </c>
      <c r="L52" t="str">
        <f>IF($A52="","",SUMIFS(Allocation!$I$1:$I$175,Allocation!$C$1:$C$175,$A52,Allocation!$D$1:$D$175,$B52))</f>
        <v/>
      </c>
      <c r="M52" t="str">
        <f>IF($A52="","",SUMIFS(Allocation!$J$1:$J$175,Allocation!$C$1:$C$175,$A52,Allocation!$D$1:$D$175,$B52))</f>
        <v/>
      </c>
      <c r="N52" t="str">
        <f>IF($A52="","",SUMIFS(Allocation!$K$1:$K$175,Allocation!$C$1:$C$175,$A52,Allocation!$D$1:$D$175,$B52))</f>
        <v/>
      </c>
      <c r="O52" t="str">
        <f t="shared" si="1"/>
        <v/>
      </c>
      <c r="P52" t="str">
        <f t="shared" si="2"/>
        <v/>
      </c>
      <c r="Q52" t="str">
        <f>IF($A52="","",SUMIFS(Allocation!$I$1:$I$175,Allocation!$C$1:$C$175,$A52,Allocation!$E$1:$E$175,$C52))</f>
        <v/>
      </c>
      <c r="R52" t="str">
        <f>IF($A52="","",SUMIFS(Allocation!$J$1:$J$175,Allocation!$C$1:$C$175,$A52,Allocation!$E$1:$E$175,$C52))</f>
        <v/>
      </c>
      <c r="S52" t="str">
        <f>IF($A52="","",SUMIFS(Allocation!$K$1:$K$175,Allocation!$C$1:$C$175,$A52,Allocation!$E$1:$E$175,$C52))</f>
        <v/>
      </c>
      <c r="T52" t="str">
        <f>IF($A52="","",SUMIFS(Allocation!$I$1:$I$175,Allocation!$C$1:$C$175,$A52))</f>
        <v/>
      </c>
      <c r="U52" t="str">
        <f>IF($A52="","",SUMIFS(Allocation!$J$1:$J$175,Allocation!$C$1:$C$175,$A52))</f>
        <v/>
      </c>
      <c r="V52" t="str">
        <f>IF($A52="","",SUMIFS(Allocation!$K$1:$K$175,Allocation!$C$1:$C$175,$A52))</f>
        <v/>
      </c>
      <c r="W52" t="str">
        <f>IF($A52="","",SUMIFS(Compta!$F$1:$F$675,Compta!$A$1:$A$675,$B52,Compta!$B$1:$B$675,"621",Compta!$C$1:$C$675,$A52))</f>
        <v/>
      </c>
      <c r="X52" t="str">
        <f>IF($A52="","",SUMIFS(Compta!$F$1:$F$675,Compta!$A$1:$A$675,$B52,Compta!$B$1:$B$675,"6411",Compta!$C$1:$C$675,$A52))</f>
        <v/>
      </c>
      <c r="Y52" t="str">
        <f>IF($A52="","",SUMIFS(Compta!$F$1:$F$675,Compta!$A$1:$A$675,$B52,Compta!$B$1:$B$675,"604",Compta!$C$1:$C$675,$A52)+SUMIFS(Compta!$F$1:$F$675,Compta!$A$1:$A$675,$B52,Compta!$B$1:$B$675,"6063",Compta!$C$1:$C$675,$A52))</f>
        <v/>
      </c>
      <c r="Z52" t="str">
        <f>IF($A52="","",SUMIFS(Compta!$F$1:$F$675,Compta!$A$1:$A$675,$B52,Compta!$B$1:$B$675,"6231",Compta!$C$1:$C$675,$A52))</f>
        <v/>
      </c>
      <c r="AA52" t="str">
        <f>IF($A52="",""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</f>
        <v/>
      </c>
      <c r="AB52" t="str">
        <f>IF($A52="",""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</f>
        <v/>
      </c>
      <c r="AC52" t="s">
        <v>297</v>
      </c>
      <c r="AD52" t="s">
        <v>297</v>
      </c>
      <c r="AE52" t="s">
        <v>297</v>
      </c>
      <c r="AF52" t="s">
        <v>297</v>
      </c>
      <c r="AG52" t="s">
        <v>297</v>
      </c>
      <c r="AH52" t="s">
        <v>297</v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 t="str">
        <f>IF($A52="","",SUMIFS(Compta!$F$1:$F$675,Compta!$A$1:$A$675,"GRP",Compta!$B$1:$B$675,"6236",Compta!$C$1:$C$675,$A52))</f>
        <v/>
      </c>
      <c r="AP52" t="s">
        <v>297</v>
      </c>
      <c r="AQ52" t="s">
        <v>297</v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IF($A53="","",SUMIFS(Socle!$K$1:$K$175,Socle!$C$1:$C$175,$B53,Socle!$D$1:$D$175,$D53,Socle!$E$1:$E$175,$E53,Socle!$F$1:$F$175,$F53,Socle!$G$1:$G$175,$A53))</f>
        <v/>
      </c>
      <c r="K53" t="str">
        <f t="shared" si="0"/>
        <v/>
      </c>
      <c r="L53" t="str">
        <f>IF($A53="","",SUMIFS(Allocation!$I$1:$I$175,Allocation!$C$1:$C$175,$A53,Allocation!$D$1:$D$175,$B53))</f>
        <v/>
      </c>
      <c r="M53" t="str">
        <f>IF($A53="","",SUMIFS(Allocation!$J$1:$J$175,Allocation!$C$1:$C$175,$A53,Allocation!$D$1:$D$175,$B53))</f>
        <v/>
      </c>
      <c r="N53" t="str">
        <f>IF($A53="","",SUMIFS(Allocation!$K$1:$K$175,Allocation!$C$1:$C$175,$A53,Allocation!$D$1:$D$175,$B53))</f>
        <v/>
      </c>
      <c r="O53" t="str">
        <f t="shared" si="1"/>
        <v/>
      </c>
      <c r="P53" t="str">
        <f t="shared" si="2"/>
        <v/>
      </c>
      <c r="Q53" t="str">
        <f>IF($A53="","",SUMIFS(Allocation!$I$1:$I$175,Allocation!$C$1:$C$175,$A53,Allocation!$E$1:$E$175,$C53))</f>
        <v/>
      </c>
      <c r="R53" t="str">
        <f>IF($A53="","",SUMIFS(Allocation!$J$1:$J$175,Allocation!$C$1:$C$175,$A53,Allocation!$E$1:$E$175,$C53))</f>
        <v/>
      </c>
      <c r="S53" t="str">
        <f>IF($A53="","",SUMIFS(Allocation!$K$1:$K$175,Allocation!$C$1:$C$175,$A53,Allocation!$E$1:$E$175,$C53))</f>
        <v/>
      </c>
      <c r="T53" t="str">
        <f>IF($A53="","",SUMIFS(Allocation!$I$1:$I$175,Allocation!$C$1:$C$175,$A53))</f>
        <v/>
      </c>
      <c r="U53" t="str">
        <f>IF($A53="","",SUMIFS(Allocation!$J$1:$J$175,Allocation!$C$1:$C$175,$A53))</f>
        <v/>
      </c>
      <c r="V53" t="str">
        <f>IF($A53="","",SUMIFS(Allocation!$K$1:$K$175,Allocation!$C$1:$C$175,$A53))</f>
        <v/>
      </c>
      <c r="W53" t="str">
        <f>IF($A53="","",SUMIFS(Compta!$F$1:$F$675,Compta!$A$1:$A$675,$B53,Compta!$B$1:$B$675,"621",Compta!$C$1:$C$675,$A53))</f>
        <v/>
      </c>
      <c r="X53" t="str">
        <f>IF($A53="","",SUMIFS(Compta!$F$1:$F$675,Compta!$A$1:$A$675,$B53,Compta!$B$1:$B$675,"6411",Compta!$C$1:$C$675,$A53))</f>
        <v/>
      </c>
      <c r="Y53" t="str">
        <f>IF($A53="","",SUMIFS(Compta!$F$1:$F$675,Compta!$A$1:$A$675,$B53,Compta!$B$1:$B$675,"604",Compta!$C$1:$C$675,$A53)+SUMIFS(Compta!$F$1:$F$675,Compta!$A$1:$A$675,$B53,Compta!$B$1:$B$675,"6063",Compta!$C$1:$C$675,$A53))</f>
        <v/>
      </c>
      <c r="Z53" t="str">
        <f>IF($A53="","",SUMIFS(Compta!$F$1:$F$675,Compta!$A$1:$A$675,$B53,Compta!$B$1:$B$675,"6231",Compta!$C$1:$C$675,$A53))</f>
        <v/>
      </c>
      <c r="AA53" t="str">
        <f>IF($A53="",""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</f>
        <v/>
      </c>
      <c r="AB53" t="str">
        <f>IF($A53="",""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</f>
        <v/>
      </c>
      <c r="AC53" t="s">
        <v>297</v>
      </c>
      <c r="AD53" t="s">
        <v>297</v>
      </c>
      <c r="AE53" t="s">
        <v>297</v>
      </c>
      <c r="AF53" t="s">
        <v>297</v>
      </c>
      <c r="AG53" t="s">
        <v>297</v>
      </c>
      <c r="AH53" t="s">
        <v>297</v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 t="str">
        <f>IF($A53="","",SUMIFS(Compta!$F$1:$F$675,Compta!$A$1:$A$675,"GRP",Compta!$B$1:$B$675,"6236",Compta!$C$1:$C$675,$A53))</f>
        <v/>
      </c>
      <c r="AP53" t="s">
        <v>297</v>
      </c>
      <c r="AQ53" t="s">
        <v>297</v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IF($A54="","",SUMIFS(Socle!$K$1:$K$175,Socle!$C$1:$C$175,$B54,Socle!$D$1:$D$175,$D54,Socle!$E$1:$E$175,$E54,Socle!$F$1:$F$175,$F54,Socle!$G$1:$G$175,$A54))</f>
        <v/>
      </c>
      <c r="K54" t="str">
        <f t="shared" si="0"/>
        <v/>
      </c>
      <c r="L54" t="str">
        <f>IF($A54="","",SUMIFS(Allocation!$I$1:$I$175,Allocation!$C$1:$C$175,$A54,Allocation!$D$1:$D$175,$B54))</f>
        <v/>
      </c>
      <c r="M54" t="str">
        <f>IF($A54="","",SUMIFS(Allocation!$J$1:$J$175,Allocation!$C$1:$C$175,$A54,Allocation!$D$1:$D$175,$B54))</f>
        <v/>
      </c>
      <c r="N54" t="str">
        <f>IF($A54="","",SUMIFS(Allocation!$K$1:$K$175,Allocation!$C$1:$C$175,$A54,Allocation!$D$1:$D$175,$B54))</f>
        <v/>
      </c>
      <c r="O54" t="str">
        <f t="shared" si="1"/>
        <v/>
      </c>
      <c r="P54" t="str">
        <f t="shared" si="2"/>
        <v/>
      </c>
      <c r="Q54" t="str">
        <f>IF($A54="","",SUMIFS(Allocation!$I$1:$I$175,Allocation!$C$1:$C$175,$A54,Allocation!$E$1:$E$175,$C54))</f>
        <v/>
      </c>
      <c r="R54" t="str">
        <f>IF($A54="","",SUMIFS(Allocation!$J$1:$J$175,Allocation!$C$1:$C$175,$A54,Allocation!$E$1:$E$175,$C54))</f>
        <v/>
      </c>
      <c r="S54" t="str">
        <f>IF($A54="","",SUMIFS(Allocation!$K$1:$K$175,Allocation!$C$1:$C$175,$A54,Allocation!$E$1:$E$175,$C54))</f>
        <v/>
      </c>
      <c r="T54" t="str">
        <f>IF($A54="","",SUMIFS(Allocation!$I$1:$I$175,Allocation!$C$1:$C$175,$A54))</f>
        <v/>
      </c>
      <c r="U54" t="str">
        <f>IF($A54="","",SUMIFS(Allocation!$J$1:$J$175,Allocation!$C$1:$C$175,$A54))</f>
        <v/>
      </c>
      <c r="V54" t="str">
        <f>IF($A54="","",SUMIFS(Allocation!$K$1:$K$175,Allocation!$C$1:$C$175,$A54))</f>
        <v/>
      </c>
      <c r="W54" t="str">
        <f>IF($A54="","",SUMIFS(Compta!$F$1:$F$675,Compta!$A$1:$A$675,$B54,Compta!$B$1:$B$675,"621",Compta!$C$1:$C$675,$A54))</f>
        <v/>
      </c>
      <c r="X54" t="str">
        <f>IF($A54="","",SUMIFS(Compta!$F$1:$F$675,Compta!$A$1:$A$675,$B54,Compta!$B$1:$B$675,"6411",Compta!$C$1:$C$675,$A54))</f>
        <v/>
      </c>
      <c r="Y54" t="str">
        <f>IF($A54="","",SUMIFS(Compta!$F$1:$F$675,Compta!$A$1:$A$675,$B54,Compta!$B$1:$B$675,"604",Compta!$C$1:$C$675,$A54)+SUMIFS(Compta!$F$1:$F$675,Compta!$A$1:$A$675,$B54,Compta!$B$1:$B$675,"6063",Compta!$C$1:$C$675,$A54))</f>
        <v/>
      </c>
      <c r="Z54" t="str">
        <f>IF($A54="","",SUMIFS(Compta!$F$1:$F$675,Compta!$A$1:$A$675,$B54,Compta!$B$1:$B$675,"6231",Compta!$C$1:$C$675,$A54))</f>
        <v/>
      </c>
      <c r="AA54" t="str">
        <f>IF($A54="",""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</f>
        <v/>
      </c>
      <c r="AB54" t="str">
        <f>IF($A54="",""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</f>
        <v/>
      </c>
      <c r="AC54" t="s">
        <v>297</v>
      </c>
      <c r="AD54" t="s">
        <v>297</v>
      </c>
      <c r="AE54" t="s">
        <v>297</v>
      </c>
      <c r="AF54" t="s">
        <v>297</v>
      </c>
      <c r="AG54" t="s">
        <v>297</v>
      </c>
      <c r="AH54" t="s">
        <v>297</v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 t="str">
        <f>IF($A54="","",SUMIFS(Compta!$F$1:$F$675,Compta!$A$1:$A$675,"GRP",Compta!$B$1:$B$675,"6236",Compta!$C$1:$C$675,$A54))</f>
        <v/>
      </c>
      <c r="AP54" t="s">
        <v>297</v>
      </c>
      <c r="AQ54" t="s">
        <v>297</v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IF($A55="","",SUMIFS(Socle!$K$1:$K$175,Socle!$C$1:$C$175,$B55,Socle!$D$1:$D$175,$D55,Socle!$E$1:$E$175,$E55,Socle!$F$1:$F$175,$F55,Socle!$G$1:$G$175,$A55))</f>
        <v/>
      </c>
      <c r="K55" t="str">
        <f t="shared" si="0"/>
        <v/>
      </c>
      <c r="L55" t="str">
        <f>IF($A55="","",SUMIFS(Allocation!$I$1:$I$175,Allocation!$C$1:$C$175,$A55,Allocation!$D$1:$D$175,$B55))</f>
        <v/>
      </c>
      <c r="M55" t="str">
        <f>IF($A55="","",SUMIFS(Allocation!$J$1:$J$175,Allocation!$C$1:$C$175,$A55,Allocation!$D$1:$D$175,$B55))</f>
        <v/>
      </c>
      <c r="N55" t="str">
        <f>IF($A55="","",SUMIFS(Allocation!$K$1:$K$175,Allocation!$C$1:$C$175,$A55,Allocation!$D$1:$D$175,$B55))</f>
        <v/>
      </c>
      <c r="O55" t="str">
        <f t="shared" si="1"/>
        <v/>
      </c>
      <c r="P55" t="str">
        <f t="shared" si="2"/>
        <v/>
      </c>
      <c r="Q55" t="str">
        <f>IF($A55="","",SUMIFS(Allocation!$I$1:$I$175,Allocation!$C$1:$C$175,$A55,Allocation!$E$1:$E$175,$C55))</f>
        <v/>
      </c>
      <c r="R55" t="str">
        <f>IF($A55="","",SUMIFS(Allocation!$J$1:$J$175,Allocation!$C$1:$C$175,$A55,Allocation!$E$1:$E$175,$C55))</f>
        <v/>
      </c>
      <c r="S55" t="str">
        <f>IF($A55="","",SUMIFS(Allocation!$K$1:$K$175,Allocation!$C$1:$C$175,$A55,Allocation!$E$1:$E$175,$C55))</f>
        <v/>
      </c>
      <c r="T55" t="str">
        <f>IF($A55="","",SUMIFS(Allocation!$I$1:$I$175,Allocation!$C$1:$C$175,$A55))</f>
        <v/>
      </c>
      <c r="U55" t="str">
        <f>IF($A55="","",SUMIFS(Allocation!$J$1:$J$175,Allocation!$C$1:$C$175,$A55))</f>
        <v/>
      </c>
      <c r="V55" t="str">
        <f>IF($A55="","",SUMIFS(Allocation!$K$1:$K$175,Allocation!$C$1:$C$175,$A55))</f>
        <v/>
      </c>
      <c r="W55" t="str">
        <f>IF($A55="","",SUMIFS(Compta!$F$1:$F$675,Compta!$A$1:$A$675,$B55,Compta!$B$1:$B$675,"621",Compta!$C$1:$C$675,$A55))</f>
        <v/>
      </c>
      <c r="X55" t="str">
        <f>IF($A55="","",SUMIFS(Compta!$F$1:$F$675,Compta!$A$1:$A$675,$B55,Compta!$B$1:$B$675,"6411",Compta!$C$1:$C$675,$A55))</f>
        <v/>
      </c>
      <c r="Y55" t="str">
        <f>IF($A55="","",SUMIFS(Compta!$F$1:$F$675,Compta!$A$1:$A$675,$B55,Compta!$B$1:$B$675,"604",Compta!$C$1:$C$675,$A55)+SUMIFS(Compta!$F$1:$F$675,Compta!$A$1:$A$675,$B55,Compta!$B$1:$B$675,"6063",Compta!$C$1:$C$675,$A55))</f>
        <v/>
      </c>
      <c r="Z55" t="str">
        <f>IF($A55="","",SUMIFS(Compta!$F$1:$F$675,Compta!$A$1:$A$675,$B55,Compta!$B$1:$B$675,"6231",Compta!$C$1:$C$675,$A55))</f>
        <v/>
      </c>
      <c r="AA55" t="str">
        <f>IF($A55="",""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</f>
        <v/>
      </c>
      <c r="AB55" t="str">
        <f>IF($A55="",""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</f>
        <v/>
      </c>
      <c r="AC55" t="s">
        <v>297</v>
      </c>
      <c r="AD55" t="s">
        <v>297</v>
      </c>
      <c r="AE55" t="s">
        <v>297</v>
      </c>
      <c r="AF55" t="s">
        <v>297</v>
      </c>
      <c r="AG55" t="s">
        <v>297</v>
      </c>
      <c r="AH55" t="s">
        <v>297</v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 t="str">
        <f>IF($A55="","",SUMIFS(Compta!$F$1:$F$675,Compta!$A$1:$A$675,"GRP",Compta!$B$1:$B$675,"6236",Compta!$C$1:$C$675,$A55))</f>
        <v/>
      </c>
      <c r="AP55" t="s">
        <v>297</v>
      </c>
      <c r="AQ55" t="s">
        <v>297</v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IF($A56="","",SUMIFS(Socle!$K$1:$K$175,Socle!$C$1:$C$175,$B56,Socle!$D$1:$D$175,$D56,Socle!$E$1:$E$175,$E56,Socle!$F$1:$F$175,$F56,Socle!$G$1:$G$175,$A56))</f>
        <v/>
      </c>
      <c r="K56" t="str">
        <f t="shared" si="0"/>
        <v/>
      </c>
      <c r="L56" t="str">
        <f>IF($A56="","",SUMIFS(Allocation!$I$1:$I$175,Allocation!$C$1:$C$175,$A56,Allocation!$D$1:$D$175,$B56))</f>
        <v/>
      </c>
      <c r="M56" t="str">
        <f>IF($A56="","",SUMIFS(Allocation!$J$1:$J$175,Allocation!$C$1:$C$175,$A56,Allocation!$D$1:$D$175,$B56))</f>
        <v/>
      </c>
      <c r="N56" t="str">
        <f>IF($A56="","",SUMIFS(Allocation!$K$1:$K$175,Allocation!$C$1:$C$175,$A56,Allocation!$D$1:$D$175,$B56))</f>
        <v/>
      </c>
      <c r="O56" t="str">
        <f t="shared" si="1"/>
        <v/>
      </c>
      <c r="P56" t="str">
        <f t="shared" si="2"/>
        <v/>
      </c>
      <c r="Q56" t="str">
        <f>IF($A56="","",SUMIFS(Allocation!$I$1:$I$175,Allocation!$C$1:$C$175,$A56,Allocation!$E$1:$E$175,$C56))</f>
        <v/>
      </c>
      <c r="R56" t="str">
        <f>IF($A56="","",SUMIFS(Allocation!$J$1:$J$175,Allocation!$C$1:$C$175,$A56,Allocation!$E$1:$E$175,$C56))</f>
        <v/>
      </c>
      <c r="S56" t="str">
        <f>IF($A56="","",SUMIFS(Allocation!$K$1:$K$175,Allocation!$C$1:$C$175,$A56,Allocation!$E$1:$E$175,$C56))</f>
        <v/>
      </c>
      <c r="T56" t="str">
        <f>IF($A56="","",SUMIFS(Allocation!$I$1:$I$175,Allocation!$C$1:$C$175,$A56))</f>
        <v/>
      </c>
      <c r="U56" t="str">
        <f>IF($A56="","",SUMIFS(Allocation!$J$1:$J$175,Allocation!$C$1:$C$175,$A56))</f>
        <v/>
      </c>
      <c r="V56" t="str">
        <f>IF($A56="","",SUMIFS(Allocation!$K$1:$K$175,Allocation!$C$1:$C$175,$A56))</f>
        <v/>
      </c>
      <c r="W56" t="str">
        <f>IF($A56="","",SUMIFS(Compta!$F$1:$F$675,Compta!$A$1:$A$675,$B56,Compta!$B$1:$B$675,"621",Compta!$C$1:$C$675,$A56))</f>
        <v/>
      </c>
      <c r="X56" t="str">
        <f>IF($A56="","",SUMIFS(Compta!$F$1:$F$675,Compta!$A$1:$A$675,$B56,Compta!$B$1:$B$675,"6411",Compta!$C$1:$C$675,$A56))</f>
        <v/>
      </c>
      <c r="Y56" t="str">
        <f>IF($A56="","",SUMIFS(Compta!$F$1:$F$675,Compta!$A$1:$A$675,$B56,Compta!$B$1:$B$675,"604",Compta!$C$1:$C$675,$A56)+SUMIFS(Compta!$F$1:$F$675,Compta!$A$1:$A$675,$B56,Compta!$B$1:$B$675,"6063",Compta!$C$1:$C$675,$A56))</f>
        <v/>
      </c>
      <c r="Z56" t="str">
        <f>IF($A56="","",SUMIFS(Compta!$F$1:$F$675,Compta!$A$1:$A$675,$B56,Compta!$B$1:$B$675,"6231",Compta!$C$1:$C$675,$A56))</f>
        <v/>
      </c>
      <c r="AA56" t="str">
        <f>IF($A56="",""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</f>
        <v/>
      </c>
      <c r="AB56" t="str">
        <f>IF($A56="",""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</f>
        <v/>
      </c>
      <c r="AC56" t="s">
        <v>297</v>
      </c>
      <c r="AD56" t="s">
        <v>297</v>
      </c>
      <c r="AE56" t="s">
        <v>297</v>
      </c>
      <c r="AF56" t="s">
        <v>297</v>
      </c>
      <c r="AG56" t="s">
        <v>297</v>
      </c>
      <c r="AH56" t="s">
        <v>297</v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 t="str">
        <f>IF($A56="","",SUMIFS(Compta!$F$1:$F$675,Compta!$A$1:$A$675,"GRP",Compta!$B$1:$B$675,"6236",Compta!$C$1:$C$675,$A56))</f>
        <v/>
      </c>
      <c r="AP56" t="s">
        <v>297</v>
      </c>
      <c r="AQ56" t="s">
        <v>297</v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IF($A57="","",SUMIFS(Socle!$K$1:$K$175,Socle!$C$1:$C$175,$B57,Socle!$D$1:$D$175,$D57,Socle!$E$1:$E$175,$E57,Socle!$F$1:$F$175,$F57,Socle!$G$1:$G$175,$A57))</f>
        <v/>
      </c>
      <c r="K57" t="str">
        <f t="shared" si="0"/>
        <v/>
      </c>
      <c r="L57" t="str">
        <f>IF($A57="","",SUMIFS(Allocation!$I$1:$I$175,Allocation!$C$1:$C$175,$A57,Allocation!$D$1:$D$175,$B57))</f>
        <v/>
      </c>
      <c r="M57" t="str">
        <f>IF($A57="","",SUMIFS(Allocation!$J$1:$J$175,Allocation!$C$1:$C$175,$A57,Allocation!$D$1:$D$175,$B57))</f>
        <v/>
      </c>
      <c r="N57" t="str">
        <f>IF($A57="","",SUMIFS(Allocation!$K$1:$K$175,Allocation!$C$1:$C$175,$A57,Allocation!$D$1:$D$175,$B57))</f>
        <v/>
      </c>
      <c r="O57" t="str">
        <f t="shared" si="1"/>
        <v/>
      </c>
      <c r="P57" t="str">
        <f t="shared" si="2"/>
        <v/>
      </c>
      <c r="Q57" t="str">
        <f>IF($A57="","",SUMIFS(Allocation!$I$1:$I$175,Allocation!$C$1:$C$175,$A57,Allocation!$E$1:$E$175,$C57))</f>
        <v/>
      </c>
      <c r="R57" t="str">
        <f>IF($A57="","",SUMIFS(Allocation!$J$1:$J$175,Allocation!$C$1:$C$175,$A57,Allocation!$E$1:$E$175,$C57))</f>
        <v/>
      </c>
      <c r="S57" t="str">
        <f>IF($A57="","",SUMIFS(Allocation!$K$1:$K$175,Allocation!$C$1:$C$175,$A57,Allocation!$E$1:$E$175,$C57))</f>
        <v/>
      </c>
      <c r="T57" t="str">
        <f>IF($A57="","",SUMIFS(Allocation!$I$1:$I$175,Allocation!$C$1:$C$175,$A57))</f>
        <v/>
      </c>
      <c r="U57" t="str">
        <f>IF($A57="","",SUMIFS(Allocation!$J$1:$J$175,Allocation!$C$1:$C$175,$A57))</f>
        <v/>
      </c>
      <c r="V57" t="str">
        <f>IF($A57="","",SUMIFS(Allocation!$K$1:$K$175,Allocation!$C$1:$C$175,$A57))</f>
        <v/>
      </c>
      <c r="W57" t="str">
        <f>IF($A57="","",SUMIFS(Compta!$F$1:$F$675,Compta!$A$1:$A$675,$B57,Compta!$B$1:$B$675,"621",Compta!$C$1:$C$675,$A57))</f>
        <v/>
      </c>
      <c r="X57" t="str">
        <f>IF($A57="","",SUMIFS(Compta!$F$1:$F$675,Compta!$A$1:$A$675,$B57,Compta!$B$1:$B$675,"6411",Compta!$C$1:$C$675,$A57))</f>
        <v/>
      </c>
      <c r="Y57" t="str">
        <f>IF($A57="","",SUMIFS(Compta!$F$1:$F$675,Compta!$A$1:$A$675,$B57,Compta!$B$1:$B$675,"604",Compta!$C$1:$C$675,$A57)+SUMIFS(Compta!$F$1:$F$675,Compta!$A$1:$A$675,$B57,Compta!$B$1:$B$675,"6063",Compta!$C$1:$C$675,$A57))</f>
        <v/>
      </c>
      <c r="Z57" t="str">
        <f>IF($A57="","",SUMIFS(Compta!$F$1:$F$675,Compta!$A$1:$A$675,$B57,Compta!$B$1:$B$675,"6231",Compta!$C$1:$C$675,$A57))</f>
        <v/>
      </c>
      <c r="AA57" t="str">
        <f>IF($A57="",""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</f>
        <v/>
      </c>
      <c r="AB57" t="str">
        <f>IF($A57="",""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</f>
        <v/>
      </c>
      <c r="AC57" t="s">
        <v>297</v>
      </c>
      <c r="AD57" t="s">
        <v>297</v>
      </c>
      <c r="AE57" t="s">
        <v>297</v>
      </c>
      <c r="AF57" t="s">
        <v>297</v>
      </c>
      <c r="AG57" t="s">
        <v>297</v>
      </c>
      <c r="AH57" t="s">
        <v>297</v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 t="str">
        <f>IF($A57="","",SUMIFS(Compta!$F$1:$F$675,Compta!$A$1:$A$675,"GRP",Compta!$B$1:$B$675,"6236",Compta!$C$1:$C$675,$A57))</f>
        <v/>
      </c>
      <c r="AP57" t="s">
        <v>297</v>
      </c>
      <c r="AQ57" t="s">
        <v>297</v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IF($A58="","",SUMIFS(Socle!$K$1:$K$175,Socle!$C$1:$C$175,$B58,Socle!$D$1:$D$175,$D58,Socle!$E$1:$E$175,$E58,Socle!$F$1:$F$175,$F58,Socle!$G$1:$G$175,$A58))</f>
        <v/>
      </c>
      <c r="K58" t="str">
        <f t="shared" si="0"/>
        <v/>
      </c>
      <c r="L58" t="str">
        <f>IF($A58="","",SUMIFS(Allocation!$I$1:$I$175,Allocation!$C$1:$C$175,$A58,Allocation!$D$1:$D$175,$B58))</f>
        <v/>
      </c>
      <c r="M58" t="str">
        <f>IF($A58="","",SUMIFS(Allocation!$J$1:$J$175,Allocation!$C$1:$C$175,$A58,Allocation!$D$1:$D$175,$B58))</f>
        <v/>
      </c>
      <c r="N58" t="str">
        <f>IF($A58="","",SUMIFS(Allocation!$K$1:$K$175,Allocation!$C$1:$C$175,$A58,Allocation!$D$1:$D$175,$B58))</f>
        <v/>
      </c>
      <c r="O58" t="str">
        <f t="shared" si="1"/>
        <v/>
      </c>
      <c r="P58" t="str">
        <f t="shared" si="2"/>
        <v/>
      </c>
      <c r="Q58" t="str">
        <f>IF($A58="","",SUMIFS(Allocation!$I$1:$I$175,Allocation!$C$1:$C$175,$A58,Allocation!$E$1:$E$175,$C58))</f>
        <v/>
      </c>
      <c r="R58" t="str">
        <f>IF($A58="","",SUMIFS(Allocation!$J$1:$J$175,Allocation!$C$1:$C$175,$A58,Allocation!$E$1:$E$175,$C58))</f>
        <v/>
      </c>
      <c r="S58" t="str">
        <f>IF($A58="","",SUMIFS(Allocation!$K$1:$K$175,Allocation!$C$1:$C$175,$A58,Allocation!$E$1:$E$175,$C58))</f>
        <v/>
      </c>
      <c r="T58" t="str">
        <f>IF($A58="","",SUMIFS(Allocation!$I$1:$I$175,Allocation!$C$1:$C$175,$A58))</f>
        <v/>
      </c>
      <c r="U58" t="str">
        <f>IF($A58="","",SUMIFS(Allocation!$J$1:$J$175,Allocation!$C$1:$C$175,$A58))</f>
        <v/>
      </c>
      <c r="V58" t="str">
        <f>IF($A58="","",SUMIFS(Allocation!$K$1:$K$175,Allocation!$C$1:$C$175,$A58))</f>
        <v/>
      </c>
      <c r="W58" t="str">
        <f>IF($A58="","",SUMIFS(Compta!$F$1:$F$675,Compta!$A$1:$A$675,$B58,Compta!$B$1:$B$675,"621",Compta!$C$1:$C$675,$A58))</f>
        <v/>
      </c>
      <c r="X58" t="str">
        <f>IF($A58="","",SUMIFS(Compta!$F$1:$F$675,Compta!$A$1:$A$675,$B58,Compta!$B$1:$B$675,"6411",Compta!$C$1:$C$675,$A58))</f>
        <v/>
      </c>
      <c r="Y58" t="str">
        <f>IF($A58="","",SUMIFS(Compta!$F$1:$F$675,Compta!$A$1:$A$675,$B58,Compta!$B$1:$B$675,"604",Compta!$C$1:$C$675,$A58)+SUMIFS(Compta!$F$1:$F$675,Compta!$A$1:$A$675,$B58,Compta!$B$1:$B$675,"6063",Compta!$C$1:$C$675,$A58))</f>
        <v/>
      </c>
      <c r="Z58" t="str">
        <f>IF($A58="","",SUMIFS(Compta!$F$1:$F$675,Compta!$A$1:$A$675,$B58,Compta!$B$1:$B$675,"6231",Compta!$C$1:$C$675,$A58))</f>
        <v/>
      </c>
      <c r="AA58" t="str">
        <f>IF($A58="",""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</f>
        <v/>
      </c>
      <c r="AB58" t="str">
        <f>IF($A58="",""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</f>
        <v/>
      </c>
      <c r="AC58" t="s">
        <v>297</v>
      </c>
      <c r="AD58" t="s">
        <v>297</v>
      </c>
      <c r="AE58" t="s">
        <v>297</v>
      </c>
      <c r="AF58" t="s">
        <v>297</v>
      </c>
      <c r="AG58" t="s">
        <v>297</v>
      </c>
      <c r="AH58" t="s">
        <v>297</v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 t="str">
        <f>IF($A58="","",SUMIFS(Compta!$F$1:$F$675,Compta!$A$1:$A$675,"GRP",Compta!$B$1:$B$675,"6236",Compta!$C$1:$C$675,$A58))</f>
        <v/>
      </c>
      <c r="AP58" t="s">
        <v>297</v>
      </c>
      <c r="AQ58" t="s">
        <v>297</v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IF($A59="","",SUMIFS(Socle!$K$1:$K$175,Socle!$C$1:$C$175,$B59,Socle!$D$1:$D$175,$D59,Socle!$E$1:$E$175,$E59,Socle!$F$1:$F$175,$F59,Socle!$G$1:$G$175,$A59))</f>
        <v/>
      </c>
      <c r="K59" t="str">
        <f t="shared" si="0"/>
        <v/>
      </c>
      <c r="L59" t="str">
        <f>IF($A59="","",SUMIFS(Allocation!$I$1:$I$175,Allocation!$C$1:$C$175,$A59,Allocation!$D$1:$D$175,$B59))</f>
        <v/>
      </c>
      <c r="M59" t="str">
        <f>IF($A59="","",SUMIFS(Allocation!$J$1:$J$175,Allocation!$C$1:$C$175,$A59,Allocation!$D$1:$D$175,$B59))</f>
        <v/>
      </c>
      <c r="N59" t="str">
        <f>IF($A59="","",SUMIFS(Allocation!$K$1:$K$175,Allocation!$C$1:$C$175,$A59,Allocation!$D$1:$D$175,$B59))</f>
        <v/>
      </c>
      <c r="O59" t="str">
        <f t="shared" si="1"/>
        <v/>
      </c>
      <c r="P59" t="str">
        <f t="shared" si="2"/>
        <v/>
      </c>
      <c r="Q59" t="str">
        <f>IF($A59="","",SUMIFS(Allocation!$I$1:$I$175,Allocation!$C$1:$C$175,$A59,Allocation!$E$1:$E$175,$C59))</f>
        <v/>
      </c>
      <c r="R59" t="str">
        <f>IF($A59="","",SUMIFS(Allocation!$J$1:$J$175,Allocation!$C$1:$C$175,$A59,Allocation!$E$1:$E$175,$C59))</f>
        <v/>
      </c>
      <c r="S59" t="str">
        <f>IF($A59="","",SUMIFS(Allocation!$K$1:$K$175,Allocation!$C$1:$C$175,$A59,Allocation!$E$1:$E$175,$C59))</f>
        <v/>
      </c>
      <c r="T59" t="str">
        <f>IF($A59="","",SUMIFS(Allocation!$I$1:$I$175,Allocation!$C$1:$C$175,$A59))</f>
        <v/>
      </c>
      <c r="U59" t="str">
        <f>IF($A59="","",SUMIFS(Allocation!$J$1:$J$175,Allocation!$C$1:$C$175,$A59))</f>
        <v/>
      </c>
      <c r="V59" t="str">
        <f>IF($A59="","",SUMIFS(Allocation!$K$1:$K$175,Allocation!$C$1:$C$175,$A59))</f>
        <v/>
      </c>
      <c r="W59" t="str">
        <f>IF($A59="","",SUMIFS(Compta!$F$1:$F$675,Compta!$A$1:$A$675,$B59,Compta!$B$1:$B$675,"621",Compta!$C$1:$C$675,$A59))</f>
        <v/>
      </c>
      <c r="X59" t="str">
        <f>IF($A59="","",SUMIFS(Compta!$F$1:$F$675,Compta!$A$1:$A$675,$B59,Compta!$B$1:$B$675,"6411",Compta!$C$1:$C$675,$A59))</f>
        <v/>
      </c>
      <c r="Y59" t="str">
        <f>IF($A59="","",SUMIFS(Compta!$F$1:$F$675,Compta!$A$1:$A$675,$B59,Compta!$B$1:$B$675,"604",Compta!$C$1:$C$675,$A59)+SUMIFS(Compta!$F$1:$F$675,Compta!$A$1:$A$675,$B59,Compta!$B$1:$B$675,"6063",Compta!$C$1:$C$675,$A59))</f>
        <v/>
      </c>
      <c r="Z59" t="str">
        <f>IF($A59="","",SUMIFS(Compta!$F$1:$F$675,Compta!$A$1:$A$675,$B59,Compta!$B$1:$B$675,"6231",Compta!$C$1:$C$675,$A59))</f>
        <v/>
      </c>
      <c r="AA59" t="str">
        <f>IF($A59="",""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</f>
        <v/>
      </c>
      <c r="AB59" t="str">
        <f>IF($A59="",""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</f>
        <v/>
      </c>
      <c r="AC59" t="s">
        <v>297</v>
      </c>
      <c r="AD59" t="s">
        <v>297</v>
      </c>
      <c r="AE59" t="s">
        <v>297</v>
      </c>
      <c r="AF59" t="s">
        <v>297</v>
      </c>
      <c r="AG59" t="s">
        <v>297</v>
      </c>
      <c r="AH59" t="s">
        <v>297</v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 t="str">
        <f>IF($A59="","",SUMIFS(Compta!$F$1:$F$675,Compta!$A$1:$A$675,"GRP",Compta!$B$1:$B$675,"6236",Compta!$C$1:$C$675,$A59))</f>
        <v/>
      </c>
      <c r="AP59" t="s">
        <v>297</v>
      </c>
      <c r="AQ59" t="s">
        <v>297</v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IF($A60="","",SUMIFS(Socle!$K$1:$K$175,Socle!$C$1:$C$175,$B60,Socle!$D$1:$D$175,$D60,Socle!$E$1:$E$175,$E60,Socle!$F$1:$F$175,$F60,Socle!$G$1:$G$175,$A60))</f>
        <v/>
      </c>
      <c r="K60" t="str">
        <f t="shared" si="0"/>
        <v/>
      </c>
      <c r="L60" t="str">
        <f>IF($A60="","",SUMIFS(Allocation!$I$1:$I$175,Allocation!$C$1:$C$175,$A60,Allocation!$D$1:$D$175,$B60))</f>
        <v/>
      </c>
      <c r="M60" t="str">
        <f>IF($A60="","",SUMIFS(Allocation!$J$1:$J$175,Allocation!$C$1:$C$175,$A60,Allocation!$D$1:$D$175,$B60))</f>
        <v/>
      </c>
      <c r="N60" t="str">
        <f>IF($A60="","",SUMIFS(Allocation!$K$1:$K$175,Allocation!$C$1:$C$175,$A60,Allocation!$D$1:$D$175,$B60))</f>
        <v/>
      </c>
      <c r="O60" t="str">
        <f t="shared" si="1"/>
        <v/>
      </c>
      <c r="P60" t="str">
        <f t="shared" si="2"/>
        <v/>
      </c>
      <c r="Q60" t="str">
        <f>IF($A60="","",SUMIFS(Allocation!$I$1:$I$175,Allocation!$C$1:$C$175,$A60,Allocation!$E$1:$E$175,$C60))</f>
        <v/>
      </c>
      <c r="R60" t="str">
        <f>IF($A60="","",SUMIFS(Allocation!$J$1:$J$175,Allocation!$C$1:$C$175,$A60,Allocation!$E$1:$E$175,$C60))</f>
        <v/>
      </c>
      <c r="S60" t="str">
        <f>IF($A60="","",SUMIFS(Allocation!$K$1:$K$175,Allocation!$C$1:$C$175,$A60,Allocation!$E$1:$E$175,$C60))</f>
        <v/>
      </c>
      <c r="T60" t="str">
        <f>IF($A60="","",SUMIFS(Allocation!$I$1:$I$175,Allocation!$C$1:$C$175,$A60))</f>
        <v/>
      </c>
      <c r="U60" t="str">
        <f>IF($A60="","",SUMIFS(Allocation!$J$1:$J$175,Allocation!$C$1:$C$175,$A60))</f>
        <v/>
      </c>
      <c r="V60" t="str">
        <f>IF($A60="","",SUMIFS(Allocation!$K$1:$K$175,Allocation!$C$1:$C$175,$A60))</f>
        <v/>
      </c>
      <c r="W60" t="str">
        <f>IF($A60="","",SUMIFS(Compta!$F$1:$F$675,Compta!$A$1:$A$675,$B60,Compta!$B$1:$B$675,"621",Compta!$C$1:$C$675,$A60))</f>
        <v/>
      </c>
      <c r="X60" t="str">
        <f>IF($A60="","",SUMIFS(Compta!$F$1:$F$675,Compta!$A$1:$A$675,$B60,Compta!$B$1:$B$675,"6411",Compta!$C$1:$C$675,$A60))</f>
        <v/>
      </c>
      <c r="Y60" t="str">
        <f>IF($A60="","",SUMIFS(Compta!$F$1:$F$675,Compta!$A$1:$A$675,$B60,Compta!$B$1:$B$675,"604",Compta!$C$1:$C$675,$A60)+SUMIFS(Compta!$F$1:$F$675,Compta!$A$1:$A$675,$B60,Compta!$B$1:$B$675,"6063",Compta!$C$1:$C$675,$A60))</f>
        <v/>
      </c>
      <c r="Z60" t="str">
        <f>IF($A60="","",SUMIFS(Compta!$F$1:$F$675,Compta!$A$1:$A$675,$B60,Compta!$B$1:$B$675,"6231",Compta!$C$1:$C$675,$A60))</f>
        <v/>
      </c>
      <c r="AA60" t="str">
        <f>IF($A60="",""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</f>
        <v/>
      </c>
      <c r="AB60" t="str">
        <f>IF($A60="",""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</f>
        <v/>
      </c>
      <c r="AC60" t="s">
        <v>297</v>
      </c>
      <c r="AD60" t="s">
        <v>297</v>
      </c>
      <c r="AE60" t="s">
        <v>297</v>
      </c>
      <c r="AF60" t="s">
        <v>297</v>
      </c>
      <c r="AG60" t="s">
        <v>297</v>
      </c>
      <c r="AH60" t="s">
        <v>297</v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 t="str">
        <f>IF($A60="","",SUMIFS(Compta!$F$1:$F$675,Compta!$A$1:$A$675,"GRP",Compta!$B$1:$B$675,"6236",Compta!$C$1:$C$675,$A60))</f>
        <v/>
      </c>
      <c r="AP60" t="s">
        <v>297</v>
      </c>
      <c r="AQ60" t="s">
        <v>297</v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IF($A61="","",SUMIFS(Socle!$K$1:$K$175,Socle!$C$1:$C$175,$B61,Socle!$D$1:$D$175,$D61,Socle!$E$1:$E$175,$E61,Socle!$F$1:$F$175,$F61,Socle!$G$1:$G$175,$A61))</f>
        <v/>
      </c>
      <c r="K61" t="str">
        <f t="shared" si="0"/>
        <v/>
      </c>
      <c r="L61" t="str">
        <f>IF($A61="","",SUMIFS(Allocation!$I$1:$I$175,Allocation!$C$1:$C$175,$A61,Allocation!$D$1:$D$175,$B61))</f>
        <v/>
      </c>
      <c r="M61" t="str">
        <f>IF($A61="","",SUMIFS(Allocation!$J$1:$J$175,Allocation!$C$1:$C$175,$A61,Allocation!$D$1:$D$175,$B61))</f>
        <v/>
      </c>
      <c r="N61" t="str">
        <f>IF($A61="","",SUMIFS(Allocation!$K$1:$K$175,Allocation!$C$1:$C$175,$A61,Allocation!$D$1:$D$175,$B61))</f>
        <v/>
      </c>
      <c r="O61" t="str">
        <f t="shared" si="1"/>
        <v/>
      </c>
      <c r="P61" t="str">
        <f t="shared" si="2"/>
        <v/>
      </c>
      <c r="Q61" t="str">
        <f>IF($A61="","",SUMIFS(Allocation!$I$1:$I$175,Allocation!$C$1:$C$175,$A61,Allocation!$E$1:$E$175,$C61))</f>
        <v/>
      </c>
      <c r="R61" t="str">
        <f>IF($A61="","",SUMIFS(Allocation!$J$1:$J$175,Allocation!$C$1:$C$175,$A61,Allocation!$E$1:$E$175,$C61))</f>
        <v/>
      </c>
      <c r="S61" t="str">
        <f>IF($A61="","",SUMIFS(Allocation!$K$1:$K$175,Allocation!$C$1:$C$175,$A61,Allocation!$E$1:$E$175,$C61))</f>
        <v/>
      </c>
      <c r="T61" t="str">
        <f>IF($A61="","",SUMIFS(Allocation!$I$1:$I$175,Allocation!$C$1:$C$175,$A61))</f>
        <v/>
      </c>
      <c r="U61" t="str">
        <f>IF($A61="","",SUMIFS(Allocation!$J$1:$J$175,Allocation!$C$1:$C$175,$A61))</f>
        <v/>
      </c>
      <c r="V61" t="str">
        <f>IF($A61="","",SUMIFS(Allocation!$K$1:$K$175,Allocation!$C$1:$C$175,$A61))</f>
        <v/>
      </c>
      <c r="W61" t="str">
        <f>IF($A61="","",SUMIFS(Compta!$F$1:$F$675,Compta!$A$1:$A$675,$B61,Compta!$B$1:$B$675,"621",Compta!$C$1:$C$675,$A61))</f>
        <v/>
      </c>
      <c r="X61" t="str">
        <f>IF($A61="","",SUMIFS(Compta!$F$1:$F$675,Compta!$A$1:$A$675,$B61,Compta!$B$1:$B$675,"6411",Compta!$C$1:$C$675,$A61))</f>
        <v/>
      </c>
      <c r="Y61" t="str">
        <f>IF($A61="","",SUMIFS(Compta!$F$1:$F$675,Compta!$A$1:$A$675,$B61,Compta!$B$1:$B$675,"604",Compta!$C$1:$C$675,$A61)+SUMIFS(Compta!$F$1:$F$675,Compta!$A$1:$A$675,$B61,Compta!$B$1:$B$675,"6063",Compta!$C$1:$C$675,$A61))</f>
        <v/>
      </c>
      <c r="Z61" t="str">
        <f>IF($A61="","",SUMIFS(Compta!$F$1:$F$675,Compta!$A$1:$A$675,$B61,Compta!$B$1:$B$675,"6231",Compta!$C$1:$C$675,$A61))</f>
        <v/>
      </c>
      <c r="AA61" t="str">
        <f>IF($A61="",""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</f>
        <v/>
      </c>
      <c r="AB61" t="str">
        <f>IF($A61="",""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</f>
        <v/>
      </c>
      <c r="AC61" t="s">
        <v>297</v>
      </c>
      <c r="AD61" t="s">
        <v>297</v>
      </c>
      <c r="AE61" t="s">
        <v>297</v>
      </c>
      <c r="AF61" t="s">
        <v>297</v>
      </c>
      <c r="AG61" t="s">
        <v>297</v>
      </c>
      <c r="AH61" t="s">
        <v>297</v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 t="str">
        <f>IF($A61="","",SUMIFS(Compta!$F$1:$F$675,Compta!$A$1:$A$675,"GRP",Compta!$B$1:$B$675,"6236",Compta!$C$1:$C$675,$A61))</f>
        <v/>
      </c>
      <c r="AP61" t="s">
        <v>297</v>
      </c>
      <c r="AQ61" t="s">
        <v>297</v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IF($A62="","",SUMIFS(Socle!$K$1:$K$175,Socle!$C$1:$C$175,$B62,Socle!$D$1:$D$175,$D62,Socle!$E$1:$E$175,$E62,Socle!$F$1:$F$175,$F62,Socle!$G$1:$G$175,$A62))</f>
        <v/>
      </c>
      <c r="K62" t="str">
        <f t="shared" si="0"/>
        <v/>
      </c>
      <c r="L62" t="str">
        <f>IF($A62="","",SUMIFS(Allocation!$I$1:$I$175,Allocation!$C$1:$C$175,$A62,Allocation!$D$1:$D$175,$B62))</f>
        <v/>
      </c>
      <c r="M62" t="str">
        <f>IF($A62="","",SUMIFS(Allocation!$J$1:$J$175,Allocation!$C$1:$C$175,$A62,Allocation!$D$1:$D$175,$B62))</f>
        <v/>
      </c>
      <c r="N62" t="str">
        <f>IF($A62="","",SUMIFS(Allocation!$K$1:$K$175,Allocation!$C$1:$C$175,$A62,Allocation!$D$1:$D$175,$B62))</f>
        <v/>
      </c>
      <c r="O62" t="str">
        <f t="shared" si="1"/>
        <v/>
      </c>
      <c r="P62" t="str">
        <f t="shared" si="2"/>
        <v/>
      </c>
      <c r="Q62" t="str">
        <f>IF($A62="","",SUMIFS(Allocation!$I$1:$I$175,Allocation!$C$1:$C$175,$A62,Allocation!$E$1:$E$175,$C62))</f>
        <v/>
      </c>
      <c r="R62" t="str">
        <f>IF($A62="","",SUMIFS(Allocation!$J$1:$J$175,Allocation!$C$1:$C$175,$A62,Allocation!$E$1:$E$175,$C62))</f>
        <v/>
      </c>
      <c r="S62" t="str">
        <f>IF($A62="","",SUMIFS(Allocation!$K$1:$K$175,Allocation!$C$1:$C$175,$A62,Allocation!$E$1:$E$175,$C62))</f>
        <v/>
      </c>
      <c r="T62" t="str">
        <f>IF($A62="","",SUMIFS(Allocation!$I$1:$I$175,Allocation!$C$1:$C$175,$A62))</f>
        <v/>
      </c>
      <c r="U62" t="str">
        <f>IF($A62="","",SUMIFS(Allocation!$J$1:$J$175,Allocation!$C$1:$C$175,$A62))</f>
        <v/>
      </c>
      <c r="V62" t="str">
        <f>IF($A62="","",SUMIFS(Allocation!$K$1:$K$175,Allocation!$C$1:$C$175,$A62))</f>
        <v/>
      </c>
      <c r="W62" t="str">
        <f>IF($A62="","",SUMIFS(Compta!$F$1:$F$675,Compta!$A$1:$A$675,$B62,Compta!$B$1:$B$675,"621",Compta!$C$1:$C$675,$A62))</f>
        <v/>
      </c>
      <c r="X62" t="str">
        <f>IF($A62="","",SUMIFS(Compta!$F$1:$F$675,Compta!$A$1:$A$675,$B62,Compta!$B$1:$B$675,"6411",Compta!$C$1:$C$675,$A62))</f>
        <v/>
      </c>
      <c r="Y62" t="str">
        <f>IF($A62="","",SUMIFS(Compta!$F$1:$F$675,Compta!$A$1:$A$675,$B62,Compta!$B$1:$B$675,"604",Compta!$C$1:$C$675,$A62)+SUMIFS(Compta!$F$1:$F$675,Compta!$A$1:$A$675,$B62,Compta!$B$1:$B$675,"6063",Compta!$C$1:$C$675,$A62))</f>
        <v/>
      </c>
      <c r="Z62" t="str">
        <f>IF($A62="","",SUMIFS(Compta!$F$1:$F$675,Compta!$A$1:$A$675,$B62,Compta!$B$1:$B$675,"6231",Compta!$C$1:$C$675,$A62))</f>
        <v/>
      </c>
      <c r="AA62" t="str">
        <f>IF($A62="",""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</f>
        <v/>
      </c>
      <c r="AB62" t="str">
        <f>IF($A62="",""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</f>
        <v/>
      </c>
      <c r="AC62" t="s">
        <v>297</v>
      </c>
      <c r="AD62" t="s">
        <v>297</v>
      </c>
      <c r="AE62" t="s">
        <v>297</v>
      </c>
      <c r="AF62" t="s">
        <v>297</v>
      </c>
      <c r="AG62" t="s">
        <v>297</v>
      </c>
      <c r="AH62" t="s">
        <v>297</v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 t="str">
        <f>IF($A62="","",SUMIFS(Compta!$F$1:$F$675,Compta!$A$1:$A$675,"GRP",Compta!$B$1:$B$675,"6236",Compta!$C$1:$C$675,$A62))</f>
        <v/>
      </c>
      <c r="AP62" t="s">
        <v>297</v>
      </c>
      <c r="AQ62" t="s">
        <v>297</v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IF($A63="","",SUMIFS(Socle!$K$1:$K$175,Socle!$C$1:$C$175,$B63,Socle!$D$1:$D$175,$D63,Socle!$E$1:$E$175,$E63,Socle!$F$1:$F$175,$F63,Socle!$G$1:$G$175,$A63))</f>
        <v/>
      </c>
      <c r="K63" t="str">
        <f t="shared" si="0"/>
        <v/>
      </c>
      <c r="L63" t="str">
        <f>IF($A63="","",SUMIFS(Allocation!$I$1:$I$175,Allocation!$C$1:$C$175,$A63,Allocation!$D$1:$D$175,$B63))</f>
        <v/>
      </c>
      <c r="M63" t="str">
        <f>IF($A63="","",SUMIFS(Allocation!$J$1:$J$175,Allocation!$C$1:$C$175,$A63,Allocation!$D$1:$D$175,$B63))</f>
        <v/>
      </c>
      <c r="N63" t="str">
        <f>IF($A63="","",SUMIFS(Allocation!$K$1:$K$175,Allocation!$C$1:$C$175,$A63,Allocation!$D$1:$D$175,$B63))</f>
        <v/>
      </c>
      <c r="O63" t="str">
        <f t="shared" si="1"/>
        <v/>
      </c>
      <c r="P63" t="str">
        <f t="shared" si="2"/>
        <v/>
      </c>
      <c r="Q63" t="str">
        <f>IF($A63="","",SUMIFS(Allocation!$I$1:$I$175,Allocation!$C$1:$C$175,$A63,Allocation!$E$1:$E$175,$C63))</f>
        <v/>
      </c>
      <c r="R63" t="str">
        <f>IF($A63="","",SUMIFS(Allocation!$J$1:$J$175,Allocation!$C$1:$C$175,$A63,Allocation!$E$1:$E$175,$C63))</f>
        <v/>
      </c>
      <c r="S63" t="str">
        <f>IF($A63="","",SUMIFS(Allocation!$K$1:$K$175,Allocation!$C$1:$C$175,$A63,Allocation!$E$1:$E$175,$C63))</f>
        <v/>
      </c>
      <c r="T63" t="str">
        <f>IF($A63="","",SUMIFS(Allocation!$I$1:$I$175,Allocation!$C$1:$C$175,$A63))</f>
        <v/>
      </c>
      <c r="U63" t="str">
        <f>IF($A63="","",SUMIFS(Allocation!$J$1:$J$175,Allocation!$C$1:$C$175,$A63))</f>
        <v/>
      </c>
      <c r="V63" t="str">
        <f>IF($A63="","",SUMIFS(Allocation!$K$1:$K$175,Allocation!$C$1:$C$175,$A63))</f>
        <v/>
      </c>
      <c r="W63" t="str">
        <f>IF($A63="","",SUMIFS(Compta!$F$1:$F$675,Compta!$A$1:$A$675,$B63,Compta!$B$1:$B$675,"621",Compta!$C$1:$C$675,$A63))</f>
        <v/>
      </c>
      <c r="X63" t="str">
        <f>IF($A63="","",SUMIFS(Compta!$F$1:$F$675,Compta!$A$1:$A$675,$B63,Compta!$B$1:$B$675,"6411",Compta!$C$1:$C$675,$A63))</f>
        <v/>
      </c>
      <c r="Y63" t="str">
        <f>IF($A63="","",SUMIFS(Compta!$F$1:$F$675,Compta!$A$1:$A$675,$B63,Compta!$B$1:$B$675,"604",Compta!$C$1:$C$675,$A63)+SUMIFS(Compta!$F$1:$F$675,Compta!$A$1:$A$675,$B63,Compta!$B$1:$B$675,"6063",Compta!$C$1:$C$675,$A63))</f>
        <v/>
      </c>
      <c r="Z63" t="str">
        <f>IF($A63="","",SUMIFS(Compta!$F$1:$F$675,Compta!$A$1:$A$675,$B63,Compta!$B$1:$B$675,"6231",Compta!$C$1:$C$675,$A63))</f>
        <v/>
      </c>
      <c r="AA63" t="str">
        <f>IF($A63="",""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</f>
        <v/>
      </c>
      <c r="AB63" t="str">
        <f>IF($A63="",""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</f>
        <v/>
      </c>
      <c r="AC63" t="s">
        <v>297</v>
      </c>
      <c r="AD63" t="s">
        <v>297</v>
      </c>
      <c r="AE63" t="s">
        <v>297</v>
      </c>
      <c r="AF63" t="s">
        <v>297</v>
      </c>
      <c r="AG63" t="s">
        <v>297</v>
      </c>
      <c r="AH63" t="s">
        <v>297</v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 t="str">
        <f>IF($A63="","",SUMIFS(Compta!$F$1:$F$675,Compta!$A$1:$A$675,"GRP",Compta!$B$1:$B$675,"6236",Compta!$C$1:$C$675,$A63))</f>
        <v/>
      </c>
      <c r="AP63" t="s">
        <v>297</v>
      </c>
      <c r="AQ63" t="s">
        <v>297</v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IF($A64="","",SUMIFS(Socle!$K$1:$K$175,Socle!$C$1:$C$175,$B64,Socle!$D$1:$D$175,$D64,Socle!$E$1:$E$175,$E64,Socle!$F$1:$F$175,$F64,Socle!$G$1:$G$175,$A64))</f>
        <v/>
      </c>
      <c r="K64" t="str">
        <f t="shared" si="0"/>
        <v/>
      </c>
      <c r="L64" t="str">
        <f>IF($A64="","",SUMIFS(Allocation!$I$1:$I$175,Allocation!$C$1:$C$175,$A64,Allocation!$D$1:$D$175,$B64))</f>
        <v/>
      </c>
      <c r="M64" t="str">
        <f>IF($A64="","",SUMIFS(Allocation!$J$1:$J$175,Allocation!$C$1:$C$175,$A64,Allocation!$D$1:$D$175,$B64))</f>
        <v/>
      </c>
      <c r="N64" t="str">
        <f>IF($A64="","",SUMIFS(Allocation!$K$1:$K$175,Allocation!$C$1:$C$175,$A64,Allocation!$D$1:$D$175,$B64))</f>
        <v/>
      </c>
      <c r="O64" t="str">
        <f t="shared" si="1"/>
        <v/>
      </c>
      <c r="P64" t="str">
        <f t="shared" si="2"/>
        <v/>
      </c>
      <c r="Q64" t="str">
        <f>IF($A64="","",SUMIFS(Allocation!$I$1:$I$175,Allocation!$C$1:$C$175,$A64,Allocation!$E$1:$E$175,$C64))</f>
        <v/>
      </c>
      <c r="R64" t="str">
        <f>IF($A64="","",SUMIFS(Allocation!$J$1:$J$175,Allocation!$C$1:$C$175,$A64,Allocation!$E$1:$E$175,$C64))</f>
        <v/>
      </c>
      <c r="S64" t="str">
        <f>IF($A64="","",SUMIFS(Allocation!$K$1:$K$175,Allocation!$C$1:$C$175,$A64,Allocation!$E$1:$E$175,$C64))</f>
        <v/>
      </c>
      <c r="T64" t="str">
        <f>IF($A64="","",SUMIFS(Allocation!$I$1:$I$175,Allocation!$C$1:$C$175,$A64))</f>
        <v/>
      </c>
      <c r="U64" t="str">
        <f>IF($A64="","",SUMIFS(Allocation!$J$1:$J$175,Allocation!$C$1:$C$175,$A64))</f>
        <v/>
      </c>
      <c r="V64" t="str">
        <f>IF($A64="","",SUMIFS(Allocation!$K$1:$K$175,Allocation!$C$1:$C$175,$A64))</f>
        <v/>
      </c>
      <c r="W64" t="str">
        <f>IF($A64="","",SUMIFS(Compta!$F$1:$F$675,Compta!$A$1:$A$675,$B64,Compta!$B$1:$B$675,"621",Compta!$C$1:$C$675,$A64))</f>
        <v/>
      </c>
      <c r="X64" t="str">
        <f>IF($A64="","",SUMIFS(Compta!$F$1:$F$675,Compta!$A$1:$A$675,$B64,Compta!$B$1:$B$675,"6411",Compta!$C$1:$C$675,$A64))</f>
        <v/>
      </c>
      <c r="Y64" t="str">
        <f>IF($A64="","",SUMIFS(Compta!$F$1:$F$675,Compta!$A$1:$A$675,$B64,Compta!$B$1:$B$675,"604",Compta!$C$1:$C$675,$A64)+SUMIFS(Compta!$F$1:$F$675,Compta!$A$1:$A$675,$B64,Compta!$B$1:$B$675,"6063",Compta!$C$1:$C$675,$A64))</f>
        <v/>
      </c>
      <c r="Z64" t="str">
        <f>IF($A64="","",SUMIFS(Compta!$F$1:$F$675,Compta!$A$1:$A$675,$B64,Compta!$B$1:$B$675,"6231",Compta!$C$1:$C$675,$A64))</f>
        <v/>
      </c>
      <c r="AA64" t="str">
        <f>IF($A64="",""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</f>
        <v/>
      </c>
      <c r="AB64" t="str">
        <f>IF($A64="",""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</f>
        <v/>
      </c>
      <c r="AC64" t="s">
        <v>297</v>
      </c>
      <c r="AD64" t="s">
        <v>297</v>
      </c>
      <c r="AE64" t="s">
        <v>297</v>
      </c>
      <c r="AF64" t="s">
        <v>297</v>
      </c>
      <c r="AG64" t="s">
        <v>297</v>
      </c>
      <c r="AH64" t="s">
        <v>297</v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 t="str">
        <f>IF($A64="","",SUMIFS(Compta!$F$1:$F$675,Compta!$A$1:$A$675,"GRP",Compta!$B$1:$B$675,"6236",Compta!$C$1:$C$675,$A64))</f>
        <v/>
      </c>
      <c r="AP64" t="s">
        <v>297</v>
      </c>
      <c r="AQ64" t="s">
        <v>297</v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IF($A65="","",SUMIFS(Socle!$K$1:$K$175,Socle!$C$1:$C$175,$B65,Socle!$D$1:$D$175,$D65,Socle!$E$1:$E$175,$E65,Socle!$F$1:$F$175,$F65,Socle!$G$1:$G$175,$A65))</f>
        <v/>
      </c>
      <c r="K65" t="str">
        <f t="shared" si="0"/>
        <v/>
      </c>
      <c r="L65" t="str">
        <f>IF($A65="","",SUMIFS(Allocation!$I$1:$I$175,Allocation!$C$1:$C$175,$A65,Allocation!$D$1:$D$175,$B65))</f>
        <v/>
      </c>
      <c r="M65" t="str">
        <f>IF($A65="","",SUMIFS(Allocation!$J$1:$J$175,Allocation!$C$1:$C$175,$A65,Allocation!$D$1:$D$175,$B65))</f>
        <v/>
      </c>
      <c r="N65" t="str">
        <f>IF($A65="","",SUMIFS(Allocation!$K$1:$K$175,Allocation!$C$1:$C$175,$A65,Allocation!$D$1:$D$175,$B65))</f>
        <v/>
      </c>
      <c r="O65" t="str">
        <f t="shared" si="1"/>
        <v/>
      </c>
      <c r="P65" t="str">
        <f t="shared" si="2"/>
        <v/>
      </c>
      <c r="Q65" t="str">
        <f>IF($A65="","",SUMIFS(Allocation!$I$1:$I$175,Allocation!$C$1:$C$175,$A65,Allocation!$E$1:$E$175,$C65))</f>
        <v/>
      </c>
      <c r="R65" t="str">
        <f>IF($A65="","",SUMIFS(Allocation!$J$1:$J$175,Allocation!$C$1:$C$175,$A65,Allocation!$E$1:$E$175,$C65))</f>
        <v/>
      </c>
      <c r="S65" t="str">
        <f>IF($A65="","",SUMIFS(Allocation!$K$1:$K$175,Allocation!$C$1:$C$175,$A65,Allocation!$E$1:$E$175,$C65))</f>
        <v/>
      </c>
      <c r="T65" t="str">
        <f>IF($A65="","",SUMIFS(Allocation!$I$1:$I$175,Allocation!$C$1:$C$175,$A65))</f>
        <v/>
      </c>
      <c r="U65" t="str">
        <f>IF($A65="","",SUMIFS(Allocation!$J$1:$J$175,Allocation!$C$1:$C$175,$A65))</f>
        <v/>
      </c>
      <c r="V65" t="str">
        <f>IF($A65="","",SUMIFS(Allocation!$K$1:$K$175,Allocation!$C$1:$C$175,$A65))</f>
        <v/>
      </c>
      <c r="W65" t="str">
        <f>IF($A65="","",SUMIFS(Compta!$F$1:$F$675,Compta!$A$1:$A$675,$B65,Compta!$B$1:$B$675,"621",Compta!$C$1:$C$675,$A65))</f>
        <v/>
      </c>
      <c r="X65" t="str">
        <f>IF($A65="","",SUMIFS(Compta!$F$1:$F$675,Compta!$A$1:$A$675,$B65,Compta!$B$1:$B$675,"6411",Compta!$C$1:$C$675,$A65))</f>
        <v/>
      </c>
      <c r="Y65" t="str">
        <f>IF($A65="","",SUMIFS(Compta!$F$1:$F$675,Compta!$A$1:$A$675,$B65,Compta!$B$1:$B$675,"604",Compta!$C$1:$C$675,$A65)+SUMIFS(Compta!$F$1:$F$675,Compta!$A$1:$A$675,$B65,Compta!$B$1:$B$675,"6063",Compta!$C$1:$C$675,$A65))</f>
        <v/>
      </c>
      <c r="Z65" t="str">
        <f>IF($A65="","",SUMIFS(Compta!$F$1:$F$675,Compta!$A$1:$A$675,$B65,Compta!$B$1:$B$675,"6231",Compta!$C$1:$C$675,$A65))</f>
        <v/>
      </c>
      <c r="AA65" t="str">
        <f>IF($A65="",""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</f>
        <v/>
      </c>
      <c r="AB65" t="str">
        <f>IF($A65="",""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</f>
        <v/>
      </c>
      <c r="AC65" t="s">
        <v>297</v>
      </c>
      <c r="AD65" t="s">
        <v>297</v>
      </c>
      <c r="AE65" t="s">
        <v>297</v>
      </c>
      <c r="AF65" t="s">
        <v>297</v>
      </c>
      <c r="AG65" t="s">
        <v>297</v>
      </c>
      <c r="AH65" t="s">
        <v>297</v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 t="str">
        <f>IF($A65="","",SUMIFS(Compta!$F$1:$F$675,Compta!$A$1:$A$675,"GRP",Compta!$B$1:$B$675,"6236",Compta!$C$1:$C$675,$A65))</f>
        <v/>
      </c>
      <c r="AP65" t="s">
        <v>297</v>
      </c>
      <c r="AQ65" t="s">
        <v>297</v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IF($A66="","",SUMIFS(Socle!$K$1:$K$175,Socle!$C$1:$C$175,$B66,Socle!$D$1:$D$175,$D66,Socle!$E$1:$E$175,$E66,Socle!$F$1:$F$175,$F66,Socle!$G$1:$G$175,$A66))</f>
        <v/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 t="str">
        <f>IF($A66="","",SUMIFS(Allocation!$I$1:$I$175,Allocation!$C$1:$C$175,$A66,Allocation!$D$1:$D$175,$B66))</f>
        <v/>
      </c>
      <c r="M66" t="str">
        <f>IF($A66="","",SUMIFS(Allocation!$J$1:$J$175,Allocation!$C$1:$C$175,$A66,Allocation!$D$1:$D$175,$B66))</f>
        <v/>
      </c>
      <c r="N66" t="str">
        <f>IF($A66="","",SUMIFS(Allocation!$K$1:$K$175,Allocation!$C$1:$C$175,$A66,Allocation!$D$1:$D$175,$B66))</f>
        <v/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 t="str">
        <f>IF($A66="","",SUMIFS(Allocation!$I$1:$I$175,Allocation!$C$1:$C$175,$A66,Allocation!$E$1:$E$175,$C66))</f>
        <v/>
      </c>
      <c r="R66" t="str">
        <f>IF($A66="","",SUMIFS(Allocation!$J$1:$J$175,Allocation!$C$1:$C$175,$A66,Allocation!$E$1:$E$175,$C66))</f>
        <v/>
      </c>
      <c r="S66" t="str">
        <f>IF($A66="","",SUMIFS(Allocation!$K$1:$K$175,Allocation!$C$1:$C$175,$A66,Allocation!$E$1:$E$175,$C66))</f>
        <v/>
      </c>
      <c r="T66" t="str">
        <f>IF($A66="","",SUMIFS(Allocation!$I$1:$I$175,Allocation!$C$1:$C$175,$A66))</f>
        <v/>
      </c>
      <c r="U66" t="str">
        <f>IF($A66="","",SUMIFS(Allocation!$J$1:$J$175,Allocation!$C$1:$C$175,$A66))</f>
        <v/>
      </c>
      <c r="V66" t="str">
        <f>IF($A66="","",SUMIFS(Allocation!$K$1:$K$175,Allocation!$C$1:$C$175,$A66))</f>
        <v/>
      </c>
      <c r="W66" t="str">
        <f>IF($A66="","",SUMIFS(Compta!$F$1:$F$675,Compta!$A$1:$A$675,$B66,Compta!$B$1:$B$675,"621",Compta!$C$1:$C$675,$A66))</f>
        <v/>
      </c>
      <c r="X66" t="str">
        <f>IF($A66="","",SUMIFS(Compta!$F$1:$F$675,Compta!$A$1:$A$675,$B66,Compta!$B$1:$B$675,"6411",Compta!$C$1:$C$675,$A66))</f>
        <v/>
      </c>
      <c r="Y66" t="str">
        <f>IF($A66="","",SUMIFS(Compta!$F$1:$F$675,Compta!$A$1:$A$675,$B66,Compta!$B$1:$B$675,"604",Compta!$C$1:$C$675,$A66)+SUMIFS(Compta!$F$1:$F$675,Compta!$A$1:$A$675,$B66,Compta!$B$1:$B$675,"6063",Compta!$C$1:$C$675,$A66))</f>
        <v/>
      </c>
      <c r="Z66" t="str">
        <f>IF($A66="","",SUMIFS(Compta!$F$1:$F$675,Compta!$A$1:$A$675,$B66,Compta!$B$1:$B$675,"6231",Compta!$C$1:$C$675,$A66))</f>
        <v/>
      </c>
      <c r="AA66" t="str">
        <f>IF($A66="",""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</f>
        <v/>
      </c>
      <c r="AB66" t="str">
        <f>IF($A66="",""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</f>
        <v/>
      </c>
      <c r="AC66" t="s">
        <v>297</v>
      </c>
      <c r="AD66" t="s">
        <v>297</v>
      </c>
      <c r="AE66" t="s">
        <v>297</v>
      </c>
      <c r="AF66" t="s">
        <v>297</v>
      </c>
      <c r="AG66" t="s">
        <v>297</v>
      </c>
      <c r="AH66" t="s">
        <v>297</v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 t="str">
        <f>IF($A66="","",SUMIFS(Compta!$F$1:$F$675,Compta!$A$1:$A$675,"GRP",Compta!$B$1:$B$675,"6236",Compta!$C$1:$C$675,$A66))</f>
        <v/>
      </c>
      <c r="AP66" t="s">
        <v>297</v>
      </c>
      <c r="AQ66" t="s">
        <v>297</v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IF($A67="","",SUMIFS(Socle!$K$1:$K$175,Socle!$C$1:$C$175,$B67,Socle!$D$1:$D$175,$D67,Socle!$E$1:$E$175,$E67,Socle!$F$1:$F$175,$F67,Socle!$G$1:$G$175,$A67))</f>
        <v/>
      </c>
      <c r="K67" t="str">
        <f t="shared" si="10"/>
        <v/>
      </c>
      <c r="L67" t="str">
        <f>IF($A67="","",SUMIFS(Allocation!$I$1:$I$175,Allocation!$C$1:$C$175,$A67,Allocation!$D$1:$D$175,$B67))</f>
        <v/>
      </c>
      <c r="M67" t="str">
        <f>IF($A67="","",SUMIFS(Allocation!$J$1:$J$175,Allocation!$C$1:$C$175,$A67,Allocation!$D$1:$D$175,$B67))</f>
        <v/>
      </c>
      <c r="N67" t="str">
        <f>IF($A67="","",SUMIFS(Allocation!$K$1:$K$175,Allocation!$C$1:$C$175,$A67,Allocation!$D$1:$D$175,$B67))</f>
        <v/>
      </c>
      <c r="O67" t="str">
        <f t="shared" si="11"/>
        <v/>
      </c>
      <c r="P67" t="str">
        <f t="shared" si="12"/>
        <v/>
      </c>
      <c r="Q67" t="str">
        <f>IF($A67="","",SUMIFS(Allocation!$I$1:$I$175,Allocation!$C$1:$C$175,$A67,Allocation!$E$1:$E$175,$C67))</f>
        <v/>
      </c>
      <c r="R67" t="str">
        <f>IF($A67="","",SUMIFS(Allocation!$J$1:$J$175,Allocation!$C$1:$C$175,$A67,Allocation!$E$1:$E$175,$C67))</f>
        <v/>
      </c>
      <c r="S67" t="str">
        <f>IF($A67="","",SUMIFS(Allocation!$K$1:$K$175,Allocation!$C$1:$C$175,$A67,Allocation!$E$1:$E$175,$C67))</f>
        <v/>
      </c>
      <c r="T67" t="str">
        <f>IF($A67="","",SUMIFS(Allocation!$I$1:$I$175,Allocation!$C$1:$C$175,$A67))</f>
        <v/>
      </c>
      <c r="U67" t="str">
        <f>IF($A67="","",SUMIFS(Allocation!$J$1:$J$175,Allocation!$C$1:$C$175,$A67))</f>
        <v/>
      </c>
      <c r="V67" t="str">
        <f>IF($A67="","",SUMIFS(Allocation!$K$1:$K$175,Allocation!$C$1:$C$175,$A67))</f>
        <v/>
      </c>
      <c r="W67" t="str">
        <f>IF($A67="","",SUMIFS(Compta!$F$1:$F$675,Compta!$A$1:$A$675,$B67,Compta!$B$1:$B$675,"621",Compta!$C$1:$C$675,$A67))</f>
        <v/>
      </c>
      <c r="X67" t="str">
        <f>IF($A67="","",SUMIFS(Compta!$F$1:$F$675,Compta!$A$1:$A$675,$B67,Compta!$B$1:$B$675,"6411",Compta!$C$1:$C$675,$A67))</f>
        <v/>
      </c>
      <c r="Y67" t="str">
        <f>IF($A67="","",SUMIFS(Compta!$F$1:$F$675,Compta!$A$1:$A$675,$B67,Compta!$B$1:$B$675,"604",Compta!$C$1:$C$675,$A67)+SUMIFS(Compta!$F$1:$F$675,Compta!$A$1:$A$675,$B67,Compta!$B$1:$B$675,"6063",Compta!$C$1:$C$675,$A67))</f>
        <v/>
      </c>
      <c r="Z67" t="str">
        <f>IF($A67="","",SUMIFS(Compta!$F$1:$F$675,Compta!$A$1:$A$675,$B67,Compta!$B$1:$B$675,"6231",Compta!$C$1:$C$675,$A67))</f>
        <v/>
      </c>
      <c r="AA67" t="str">
        <f>IF($A67="",""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</f>
        <v/>
      </c>
      <c r="AB67" t="str">
        <f>IF($A67="",""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</f>
        <v/>
      </c>
      <c r="AC67" t="s">
        <v>297</v>
      </c>
      <c r="AD67" t="s">
        <v>297</v>
      </c>
      <c r="AE67" t="s">
        <v>297</v>
      </c>
      <c r="AF67" t="s">
        <v>297</v>
      </c>
      <c r="AG67" t="s">
        <v>297</v>
      </c>
      <c r="AH67" t="s">
        <v>297</v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 t="str">
        <f>IF($A67="","",SUMIFS(Compta!$F$1:$F$675,Compta!$A$1:$A$675,"GRP",Compta!$B$1:$B$675,"6236",Compta!$C$1:$C$675,$A67))</f>
        <v/>
      </c>
      <c r="AP67" t="s">
        <v>297</v>
      </c>
      <c r="AQ67" t="s">
        <v>297</v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IF($A68="","",SUMIFS(Socle!$K$1:$K$175,Socle!$C$1:$C$175,$B68,Socle!$D$1:$D$175,$D68,Socle!$E$1:$E$175,$E68,Socle!$F$1:$F$175,$F68,Socle!$G$1:$G$175,$A68))</f>
        <v/>
      </c>
      <c r="K68" t="str">
        <f t="shared" si="10"/>
        <v/>
      </c>
      <c r="L68" t="str">
        <f>IF($A68="","",SUMIFS(Allocation!$I$1:$I$175,Allocation!$C$1:$C$175,$A68,Allocation!$D$1:$D$175,$B68))</f>
        <v/>
      </c>
      <c r="M68" t="str">
        <f>IF($A68="","",SUMIFS(Allocation!$J$1:$J$175,Allocation!$C$1:$C$175,$A68,Allocation!$D$1:$D$175,$B68))</f>
        <v/>
      </c>
      <c r="N68" t="str">
        <f>IF($A68="","",SUMIFS(Allocation!$K$1:$K$175,Allocation!$C$1:$C$175,$A68,Allocation!$D$1:$D$175,$B68))</f>
        <v/>
      </c>
      <c r="O68" t="str">
        <f t="shared" si="11"/>
        <v/>
      </c>
      <c r="P68" t="str">
        <f t="shared" si="12"/>
        <v/>
      </c>
      <c r="Q68" t="str">
        <f>IF($A68="","",SUMIFS(Allocation!$I$1:$I$175,Allocation!$C$1:$C$175,$A68,Allocation!$E$1:$E$175,$C68))</f>
        <v/>
      </c>
      <c r="R68" t="str">
        <f>IF($A68="","",SUMIFS(Allocation!$J$1:$J$175,Allocation!$C$1:$C$175,$A68,Allocation!$E$1:$E$175,$C68))</f>
        <v/>
      </c>
      <c r="S68" t="str">
        <f>IF($A68="","",SUMIFS(Allocation!$K$1:$K$175,Allocation!$C$1:$C$175,$A68,Allocation!$E$1:$E$175,$C68))</f>
        <v/>
      </c>
      <c r="T68" t="str">
        <f>IF($A68="","",SUMIFS(Allocation!$I$1:$I$175,Allocation!$C$1:$C$175,$A68))</f>
        <v/>
      </c>
      <c r="U68" t="str">
        <f>IF($A68="","",SUMIFS(Allocation!$J$1:$J$175,Allocation!$C$1:$C$175,$A68))</f>
        <v/>
      </c>
      <c r="V68" t="str">
        <f>IF($A68="","",SUMIFS(Allocation!$K$1:$K$175,Allocation!$C$1:$C$175,$A68))</f>
        <v/>
      </c>
      <c r="W68" t="str">
        <f>IF($A68="","",SUMIFS(Compta!$F$1:$F$675,Compta!$A$1:$A$675,$B68,Compta!$B$1:$B$675,"621",Compta!$C$1:$C$675,$A68))</f>
        <v/>
      </c>
      <c r="X68" t="str">
        <f>IF($A68="","",SUMIFS(Compta!$F$1:$F$675,Compta!$A$1:$A$675,$B68,Compta!$B$1:$B$675,"6411",Compta!$C$1:$C$675,$A68))</f>
        <v/>
      </c>
      <c r="Y68" t="str">
        <f>IF($A68="","",SUMIFS(Compta!$F$1:$F$675,Compta!$A$1:$A$675,$B68,Compta!$B$1:$B$675,"604",Compta!$C$1:$C$675,$A68)+SUMIFS(Compta!$F$1:$F$675,Compta!$A$1:$A$675,$B68,Compta!$B$1:$B$675,"6063",Compta!$C$1:$C$675,$A68))</f>
        <v/>
      </c>
      <c r="Z68" t="str">
        <f>IF($A68="","",SUMIFS(Compta!$F$1:$F$675,Compta!$A$1:$A$675,$B68,Compta!$B$1:$B$675,"6231",Compta!$C$1:$C$675,$A68))</f>
        <v/>
      </c>
      <c r="AA68" t="str">
        <f>IF($A68="",""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</f>
        <v/>
      </c>
      <c r="AB68" t="str">
        <f>IF($A68="",""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</f>
        <v/>
      </c>
      <c r="AC68" t="s">
        <v>297</v>
      </c>
      <c r="AD68" t="s">
        <v>297</v>
      </c>
      <c r="AE68" t="s">
        <v>297</v>
      </c>
      <c r="AF68" t="s">
        <v>297</v>
      </c>
      <c r="AG68" t="s">
        <v>297</v>
      </c>
      <c r="AH68" t="s">
        <v>297</v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 t="str">
        <f>IF($A68="","",SUMIFS(Compta!$F$1:$F$675,Compta!$A$1:$A$675,"GRP",Compta!$B$1:$B$675,"6236",Compta!$C$1:$C$675,$A68))</f>
        <v/>
      </c>
      <c r="AP68" t="s">
        <v>297</v>
      </c>
      <c r="AQ68" t="s">
        <v>297</v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IF($A69="","",SUMIFS(Socle!$K$1:$K$175,Socle!$C$1:$C$175,$B69,Socle!$D$1:$D$175,$D69,Socle!$E$1:$E$175,$E69,Socle!$F$1:$F$175,$F69,Socle!$G$1:$G$175,$A69))</f>
        <v/>
      </c>
      <c r="K69" t="str">
        <f t="shared" si="10"/>
        <v/>
      </c>
      <c r="L69" t="str">
        <f>IF($A69="","",SUMIFS(Allocation!$I$1:$I$175,Allocation!$C$1:$C$175,$A69,Allocation!$D$1:$D$175,$B69))</f>
        <v/>
      </c>
      <c r="M69" t="str">
        <f>IF($A69="","",SUMIFS(Allocation!$J$1:$J$175,Allocation!$C$1:$C$175,$A69,Allocation!$D$1:$D$175,$B69))</f>
        <v/>
      </c>
      <c r="N69" t="str">
        <f>IF($A69="","",SUMIFS(Allocation!$K$1:$K$175,Allocation!$C$1:$C$175,$A69,Allocation!$D$1:$D$175,$B69))</f>
        <v/>
      </c>
      <c r="O69" t="str">
        <f t="shared" si="11"/>
        <v/>
      </c>
      <c r="P69" t="str">
        <f t="shared" si="12"/>
        <v/>
      </c>
      <c r="Q69" t="str">
        <f>IF($A69="","",SUMIFS(Allocation!$I$1:$I$175,Allocation!$C$1:$C$175,$A69,Allocation!$E$1:$E$175,$C69))</f>
        <v/>
      </c>
      <c r="R69" t="str">
        <f>IF($A69="","",SUMIFS(Allocation!$J$1:$J$175,Allocation!$C$1:$C$175,$A69,Allocation!$E$1:$E$175,$C69))</f>
        <v/>
      </c>
      <c r="S69" t="str">
        <f>IF($A69="","",SUMIFS(Allocation!$K$1:$K$175,Allocation!$C$1:$C$175,$A69,Allocation!$E$1:$E$175,$C69))</f>
        <v/>
      </c>
      <c r="T69" t="str">
        <f>IF($A69="","",SUMIFS(Allocation!$I$1:$I$175,Allocation!$C$1:$C$175,$A69))</f>
        <v/>
      </c>
      <c r="U69" t="str">
        <f>IF($A69="","",SUMIFS(Allocation!$J$1:$J$175,Allocation!$C$1:$C$175,$A69))</f>
        <v/>
      </c>
      <c r="V69" t="str">
        <f>IF($A69="","",SUMIFS(Allocation!$K$1:$K$175,Allocation!$C$1:$C$175,$A69))</f>
        <v/>
      </c>
      <c r="W69" t="str">
        <f>IF($A69="","",SUMIFS(Compta!$F$1:$F$675,Compta!$A$1:$A$675,$B69,Compta!$B$1:$B$675,"621",Compta!$C$1:$C$675,$A69))</f>
        <v/>
      </c>
      <c r="X69" t="str">
        <f>IF($A69="","",SUMIFS(Compta!$F$1:$F$675,Compta!$A$1:$A$675,$B69,Compta!$B$1:$B$675,"6411",Compta!$C$1:$C$675,$A69))</f>
        <v/>
      </c>
      <c r="Y69" t="str">
        <f>IF($A69="","",SUMIFS(Compta!$F$1:$F$675,Compta!$A$1:$A$675,$B69,Compta!$B$1:$B$675,"604",Compta!$C$1:$C$675,$A69)+SUMIFS(Compta!$F$1:$F$675,Compta!$A$1:$A$675,$B69,Compta!$B$1:$B$675,"6063",Compta!$C$1:$C$675,$A69))</f>
        <v/>
      </c>
      <c r="Z69" t="str">
        <f>IF($A69="","",SUMIFS(Compta!$F$1:$F$675,Compta!$A$1:$A$675,$B69,Compta!$B$1:$B$675,"6231",Compta!$C$1:$C$675,$A69))</f>
        <v/>
      </c>
      <c r="AA69" t="str">
        <f>IF($A69="",""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</f>
        <v/>
      </c>
      <c r="AB69" t="str">
        <f>IF($A69="",""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</f>
        <v/>
      </c>
      <c r="AC69" t="s">
        <v>297</v>
      </c>
      <c r="AD69" t="s">
        <v>297</v>
      </c>
      <c r="AE69" t="s">
        <v>297</v>
      </c>
      <c r="AF69" t="s">
        <v>297</v>
      </c>
      <c r="AG69" t="s">
        <v>297</v>
      </c>
      <c r="AH69" t="s">
        <v>297</v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 t="str">
        <f>IF($A69="","",SUMIFS(Compta!$F$1:$F$675,Compta!$A$1:$A$675,"GRP",Compta!$B$1:$B$675,"6236",Compta!$C$1:$C$675,$A69))</f>
        <v/>
      </c>
      <c r="AP69" t="s">
        <v>297</v>
      </c>
      <c r="AQ69" t="s">
        <v>297</v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IF($A70="","",SUMIFS(Socle!$K$1:$K$175,Socle!$C$1:$C$175,$B70,Socle!$D$1:$D$175,$D70,Socle!$E$1:$E$175,$E70,Socle!$F$1:$F$175,$F70,Socle!$G$1:$G$175,$A70))</f>
        <v/>
      </c>
      <c r="K70" t="str">
        <f t="shared" si="10"/>
        <v/>
      </c>
      <c r="L70" t="str">
        <f>IF($A70="","",SUMIFS(Allocation!$I$1:$I$175,Allocation!$C$1:$C$175,$A70,Allocation!$D$1:$D$175,$B70))</f>
        <v/>
      </c>
      <c r="M70" t="str">
        <f>IF($A70="","",SUMIFS(Allocation!$J$1:$J$175,Allocation!$C$1:$C$175,$A70,Allocation!$D$1:$D$175,$B70))</f>
        <v/>
      </c>
      <c r="N70" t="str">
        <f>IF($A70="","",SUMIFS(Allocation!$K$1:$K$175,Allocation!$C$1:$C$175,$A70,Allocation!$D$1:$D$175,$B70))</f>
        <v/>
      </c>
      <c r="O70" t="str">
        <f t="shared" si="11"/>
        <v/>
      </c>
      <c r="P70" t="str">
        <f t="shared" si="12"/>
        <v/>
      </c>
      <c r="Q70" t="str">
        <f>IF($A70="","",SUMIFS(Allocation!$I$1:$I$175,Allocation!$C$1:$C$175,$A70,Allocation!$E$1:$E$175,$C70))</f>
        <v/>
      </c>
      <c r="R70" t="str">
        <f>IF($A70="","",SUMIFS(Allocation!$J$1:$J$175,Allocation!$C$1:$C$175,$A70,Allocation!$E$1:$E$175,$C70))</f>
        <v/>
      </c>
      <c r="S70" t="str">
        <f>IF($A70="","",SUMIFS(Allocation!$K$1:$K$175,Allocation!$C$1:$C$175,$A70,Allocation!$E$1:$E$175,$C70))</f>
        <v/>
      </c>
      <c r="T70" t="str">
        <f>IF($A70="","",SUMIFS(Allocation!$I$1:$I$175,Allocation!$C$1:$C$175,$A70))</f>
        <v/>
      </c>
      <c r="U70" t="str">
        <f>IF($A70="","",SUMIFS(Allocation!$J$1:$J$175,Allocation!$C$1:$C$175,$A70))</f>
        <v/>
      </c>
      <c r="V70" t="str">
        <f>IF($A70="","",SUMIFS(Allocation!$K$1:$K$175,Allocation!$C$1:$C$175,$A70))</f>
        <v/>
      </c>
      <c r="W70" t="str">
        <f>IF($A70="","",SUMIFS(Compta!$F$1:$F$675,Compta!$A$1:$A$675,$B70,Compta!$B$1:$B$675,"621",Compta!$C$1:$C$675,$A70))</f>
        <v/>
      </c>
      <c r="X70" t="str">
        <f>IF($A70="","",SUMIFS(Compta!$F$1:$F$675,Compta!$A$1:$A$675,$B70,Compta!$B$1:$B$675,"6411",Compta!$C$1:$C$675,$A70))</f>
        <v/>
      </c>
      <c r="Y70" t="str">
        <f>IF($A70="","",SUMIFS(Compta!$F$1:$F$675,Compta!$A$1:$A$675,$B70,Compta!$B$1:$B$675,"604",Compta!$C$1:$C$675,$A70)+SUMIFS(Compta!$F$1:$F$675,Compta!$A$1:$A$675,$B70,Compta!$B$1:$B$675,"6063",Compta!$C$1:$C$675,$A70))</f>
        <v/>
      </c>
      <c r="Z70" t="str">
        <f>IF($A70="","",SUMIFS(Compta!$F$1:$F$675,Compta!$A$1:$A$675,$B70,Compta!$B$1:$B$675,"6231",Compta!$C$1:$C$675,$A70))</f>
        <v/>
      </c>
      <c r="AA70" t="str">
        <f>IF($A70="",""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</f>
        <v/>
      </c>
      <c r="AB70" t="str">
        <f>IF($A70="",""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</f>
        <v/>
      </c>
      <c r="AC70" t="s">
        <v>297</v>
      </c>
      <c r="AD70" t="s">
        <v>297</v>
      </c>
      <c r="AE70" t="s">
        <v>297</v>
      </c>
      <c r="AF70" t="s">
        <v>297</v>
      </c>
      <c r="AG70" t="s">
        <v>297</v>
      </c>
      <c r="AH70" t="s">
        <v>297</v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 t="str">
        <f>IF($A70="","",SUMIFS(Compta!$F$1:$F$675,Compta!$A$1:$A$675,"GRP",Compta!$B$1:$B$675,"6236",Compta!$C$1:$C$675,$A70))</f>
        <v/>
      </c>
      <c r="AP70" t="s">
        <v>297</v>
      </c>
      <c r="AQ70" t="s">
        <v>297</v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IF($A71="","",SUMIFS(Socle!$K$1:$K$175,Socle!$C$1:$C$175,$B71,Socle!$D$1:$D$175,$D71,Socle!$E$1:$E$175,$E71,Socle!$F$1:$F$175,$F71,Socle!$G$1:$G$175,$A71))</f>
        <v/>
      </c>
      <c r="K71" t="str">
        <f t="shared" si="10"/>
        <v/>
      </c>
      <c r="L71" t="str">
        <f>IF($A71="","",SUMIFS(Allocation!$I$1:$I$175,Allocation!$C$1:$C$175,$A71,Allocation!$D$1:$D$175,$B71))</f>
        <v/>
      </c>
      <c r="M71" t="str">
        <f>IF($A71="","",SUMIFS(Allocation!$J$1:$J$175,Allocation!$C$1:$C$175,$A71,Allocation!$D$1:$D$175,$B71))</f>
        <v/>
      </c>
      <c r="N71" t="str">
        <f>IF($A71="","",SUMIFS(Allocation!$K$1:$K$175,Allocation!$C$1:$C$175,$A71,Allocation!$D$1:$D$175,$B71))</f>
        <v/>
      </c>
      <c r="O71" t="str">
        <f t="shared" si="11"/>
        <v/>
      </c>
      <c r="P71" t="str">
        <f t="shared" si="12"/>
        <v/>
      </c>
      <c r="Q71" t="str">
        <f>IF($A71="","",SUMIFS(Allocation!$I$1:$I$175,Allocation!$C$1:$C$175,$A71,Allocation!$E$1:$E$175,$C71))</f>
        <v/>
      </c>
      <c r="R71" t="str">
        <f>IF($A71="","",SUMIFS(Allocation!$J$1:$J$175,Allocation!$C$1:$C$175,$A71,Allocation!$E$1:$E$175,$C71))</f>
        <v/>
      </c>
      <c r="S71" t="str">
        <f>IF($A71="","",SUMIFS(Allocation!$K$1:$K$175,Allocation!$C$1:$C$175,$A71,Allocation!$E$1:$E$175,$C71))</f>
        <v/>
      </c>
      <c r="T71" t="str">
        <f>IF($A71="","",SUMIFS(Allocation!$I$1:$I$175,Allocation!$C$1:$C$175,$A71))</f>
        <v/>
      </c>
      <c r="U71" t="str">
        <f>IF($A71="","",SUMIFS(Allocation!$J$1:$J$175,Allocation!$C$1:$C$175,$A71))</f>
        <v/>
      </c>
      <c r="V71" t="str">
        <f>IF($A71="","",SUMIFS(Allocation!$K$1:$K$175,Allocation!$C$1:$C$175,$A71))</f>
        <v/>
      </c>
      <c r="W71" t="str">
        <f>IF($A71="","",SUMIFS(Compta!$F$1:$F$675,Compta!$A$1:$A$675,$B71,Compta!$B$1:$B$675,"621",Compta!$C$1:$C$675,$A71))</f>
        <v/>
      </c>
      <c r="X71" t="str">
        <f>IF($A71="","",SUMIFS(Compta!$F$1:$F$675,Compta!$A$1:$A$675,$B71,Compta!$B$1:$B$675,"6411",Compta!$C$1:$C$675,$A71))</f>
        <v/>
      </c>
      <c r="Y71" t="str">
        <f>IF($A71="","",SUMIFS(Compta!$F$1:$F$675,Compta!$A$1:$A$675,$B71,Compta!$B$1:$B$675,"604",Compta!$C$1:$C$675,$A71)+SUMIFS(Compta!$F$1:$F$675,Compta!$A$1:$A$675,$B71,Compta!$B$1:$B$675,"6063",Compta!$C$1:$C$675,$A71))</f>
        <v/>
      </c>
      <c r="Z71" t="str">
        <f>IF($A71="","",SUMIFS(Compta!$F$1:$F$675,Compta!$A$1:$A$675,$B71,Compta!$B$1:$B$675,"6231",Compta!$C$1:$C$675,$A71))</f>
        <v/>
      </c>
      <c r="AA71" t="str">
        <f>IF($A71="",""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</f>
        <v/>
      </c>
      <c r="AB71" t="str">
        <f>IF($A71="",""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</f>
        <v/>
      </c>
      <c r="AC71" t="s">
        <v>297</v>
      </c>
      <c r="AD71" t="s">
        <v>297</v>
      </c>
      <c r="AE71" t="s">
        <v>297</v>
      </c>
      <c r="AF71" t="s">
        <v>297</v>
      </c>
      <c r="AG71" t="s">
        <v>297</v>
      </c>
      <c r="AH71" t="s">
        <v>297</v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 t="str">
        <f>IF($A71="","",SUMIFS(Compta!$F$1:$F$675,Compta!$A$1:$A$675,"GRP",Compta!$B$1:$B$675,"6236",Compta!$C$1:$C$675,$A71))</f>
        <v/>
      </c>
      <c r="AP71" t="s">
        <v>297</v>
      </c>
      <c r="AQ71" t="s">
        <v>297</v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IF($A72="","",SUMIFS(Socle!$K$1:$K$175,Socle!$C$1:$C$175,$B72,Socle!$D$1:$D$175,$D72,Socle!$E$1:$E$175,$E72,Socle!$F$1:$F$175,$F72,Socle!$G$1:$G$175,$A72))</f>
        <v/>
      </c>
      <c r="K72" t="str">
        <f t="shared" si="10"/>
        <v/>
      </c>
      <c r="L72" t="str">
        <f>IF($A72="","",SUMIFS(Allocation!$I$1:$I$175,Allocation!$C$1:$C$175,$A72,Allocation!$D$1:$D$175,$B72))</f>
        <v/>
      </c>
      <c r="M72" t="str">
        <f>IF($A72="","",SUMIFS(Allocation!$J$1:$J$175,Allocation!$C$1:$C$175,$A72,Allocation!$D$1:$D$175,$B72))</f>
        <v/>
      </c>
      <c r="N72" t="str">
        <f>IF($A72="","",SUMIFS(Allocation!$K$1:$K$175,Allocation!$C$1:$C$175,$A72,Allocation!$D$1:$D$175,$B72))</f>
        <v/>
      </c>
      <c r="O72" t="str">
        <f t="shared" si="11"/>
        <v/>
      </c>
      <c r="P72" t="str">
        <f t="shared" si="12"/>
        <v/>
      </c>
      <c r="Q72" t="str">
        <f>IF($A72="","",SUMIFS(Allocation!$I$1:$I$175,Allocation!$C$1:$C$175,$A72,Allocation!$E$1:$E$175,$C72))</f>
        <v/>
      </c>
      <c r="R72" t="str">
        <f>IF($A72="","",SUMIFS(Allocation!$J$1:$J$175,Allocation!$C$1:$C$175,$A72,Allocation!$E$1:$E$175,$C72))</f>
        <v/>
      </c>
      <c r="S72" t="str">
        <f>IF($A72="","",SUMIFS(Allocation!$K$1:$K$175,Allocation!$C$1:$C$175,$A72,Allocation!$E$1:$E$175,$C72))</f>
        <v/>
      </c>
      <c r="T72" t="str">
        <f>IF($A72="","",SUMIFS(Allocation!$I$1:$I$175,Allocation!$C$1:$C$175,$A72))</f>
        <v/>
      </c>
      <c r="U72" t="str">
        <f>IF($A72="","",SUMIFS(Allocation!$J$1:$J$175,Allocation!$C$1:$C$175,$A72))</f>
        <v/>
      </c>
      <c r="V72" t="str">
        <f>IF($A72="","",SUMIFS(Allocation!$K$1:$K$175,Allocation!$C$1:$C$175,$A72))</f>
        <v/>
      </c>
      <c r="W72" t="str">
        <f>IF($A72="","",SUMIFS(Compta!$F$1:$F$675,Compta!$A$1:$A$675,$B72,Compta!$B$1:$B$675,"621",Compta!$C$1:$C$675,$A72))</f>
        <v/>
      </c>
      <c r="X72" t="str">
        <f>IF($A72="","",SUMIFS(Compta!$F$1:$F$675,Compta!$A$1:$A$675,$B72,Compta!$B$1:$B$675,"6411",Compta!$C$1:$C$675,$A72))</f>
        <v/>
      </c>
      <c r="Y72" t="str">
        <f>IF($A72="","",SUMIFS(Compta!$F$1:$F$675,Compta!$A$1:$A$675,$B72,Compta!$B$1:$B$675,"604",Compta!$C$1:$C$675,$A72)+SUMIFS(Compta!$F$1:$F$675,Compta!$A$1:$A$675,$B72,Compta!$B$1:$B$675,"6063",Compta!$C$1:$C$675,$A72))</f>
        <v/>
      </c>
      <c r="Z72" t="str">
        <f>IF($A72="","",SUMIFS(Compta!$F$1:$F$675,Compta!$A$1:$A$675,$B72,Compta!$B$1:$B$675,"6231",Compta!$C$1:$C$675,$A72))</f>
        <v/>
      </c>
      <c r="AA72" t="str">
        <f>IF($A72="",""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</f>
        <v/>
      </c>
      <c r="AB72" t="str">
        <f>IF($A72="",""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</f>
        <v/>
      </c>
      <c r="AC72" t="s">
        <v>297</v>
      </c>
      <c r="AD72" t="s">
        <v>297</v>
      </c>
      <c r="AE72" t="s">
        <v>297</v>
      </c>
      <c r="AF72" t="s">
        <v>297</v>
      </c>
      <c r="AG72" t="s">
        <v>297</v>
      </c>
      <c r="AH72" t="s">
        <v>297</v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 t="str">
        <f>IF($A72="","",SUMIFS(Compta!$F$1:$F$675,Compta!$A$1:$A$675,"GRP",Compta!$B$1:$B$675,"6236",Compta!$C$1:$C$675,$A72))</f>
        <v/>
      </c>
      <c r="AP72" t="s">
        <v>297</v>
      </c>
      <c r="AQ72" t="s">
        <v>297</v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IF($A73="","",SUMIFS(Socle!$K$1:$K$175,Socle!$C$1:$C$175,$B73,Socle!$D$1:$D$175,$D73,Socle!$E$1:$E$175,$E73,Socle!$F$1:$F$175,$F73,Socle!$G$1:$G$175,$A73))</f>
        <v/>
      </c>
      <c r="K73" t="str">
        <f t="shared" si="10"/>
        <v/>
      </c>
      <c r="L73" t="str">
        <f>IF($A73="","",SUMIFS(Allocation!$I$1:$I$175,Allocation!$C$1:$C$175,$A73,Allocation!$D$1:$D$175,$B73))</f>
        <v/>
      </c>
      <c r="M73" t="str">
        <f>IF($A73="","",SUMIFS(Allocation!$J$1:$J$175,Allocation!$C$1:$C$175,$A73,Allocation!$D$1:$D$175,$B73))</f>
        <v/>
      </c>
      <c r="N73" t="str">
        <f>IF($A73="","",SUMIFS(Allocation!$K$1:$K$175,Allocation!$C$1:$C$175,$A73,Allocation!$D$1:$D$175,$B73))</f>
        <v/>
      </c>
      <c r="O73" t="str">
        <f t="shared" si="11"/>
        <v/>
      </c>
      <c r="P73" t="str">
        <f t="shared" si="12"/>
        <v/>
      </c>
      <c r="Q73" t="str">
        <f>IF($A73="","",SUMIFS(Allocation!$I$1:$I$175,Allocation!$C$1:$C$175,$A73,Allocation!$E$1:$E$175,$C73))</f>
        <v/>
      </c>
      <c r="R73" t="str">
        <f>IF($A73="","",SUMIFS(Allocation!$J$1:$J$175,Allocation!$C$1:$C$175,$A73,Allocation!$E$1:$E$175,$C73))</f>
        <v/>
      </c>
      <c r="S73" t="str">
        <f>IF($A73="","",SUMIFS(Allocation!$K$1:$K$175,Allocation!$C$1:$C$175,$A73,Allocation!$E$1:$E$175,$C73))</f>
        <v/>
      </c>
      <c r="T73" t="str">
        <f>IF($A73="","",SUMIFS(Allocation!$I$1:$I$175,Allocation!$C$1:$C$175,$A73))</f>
        <v/>
      </c>
      <c r="U73" t="str">
        <f>IF($A73="","",SUMIFS(Allocation!$J$1:$J$175,Allocation!$C$1:$C$175,$A73))</f>
        <v/>
      </c>
      <c r="V73" t="str">
        <f>IF($A73="","",SUMIFS(Allocation!$K$1:$K$175,Allocation!$C$1:$C$175,$A73))</f>
        <v/>
      </c>
      <c r="W73" t="str">
        <f>IF($A73="","",SUMIFS(Compta!$F$1:$F$675,Compta!$A$1:$A$675,$B73,Compta!$B$1:$B$675,"621",Compta!$C$1:$C$675,$A73))</f>
        <v/>
      </c>
      <c r="X73" t="str">
        <f>IF($A73="","",SUMIFS(Compta!$F$1:$F$675,Compta!$A$1:$A$675,$B73,Compta!$B$1:$B$675,"6411",Compta!$C$1:$C$675,$A73))</f>
        <v/>
      </c>
      <c r="Y73" t="str">
        <f>IF($A73="","",SUMIFS(Compta!$F$1:$F$675,Compta!$A$1:$A$675,$B73,Compta!$B$1:$B$675,"604",Compta!$C$1:$C$675,$A73)+SUMIFS(Compta!$F$1:$F$675,Compta!$A$1:$A$675,$B73,Compta!$B$1:$B$675,"6063",Compta!$C$1:$C$675,$A73))</f>
        <v/>
      </c>
      <c r="Z73" t="str">
        <f>IF($A73="","",SUMIFS(Compta!$F$1:$F$675,Compta!$A$1:$A$675,$B73,Compta!$B$1:$B$675,"6231",Compta!$C$1:$C$675,$A73))</f>
        <v/>
      </c>
      <c r="AA73" t="str">
        <f>IF($A73="",""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</f>
        <v/>
      </c>
      <c r="AB73" t="str">
        <f>IF($A73="",""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</f>
        <v/>
      </c>
      <c r="AC73" t="s">
        <v>297</v>
      </c>
      <c r="AD73" t="s">
        <v>297</v>
      </c>
      <c r="AE73" t="s">
        <v>297</v>
      </c>
      <c r="AF73" t="s">
        <v>297</v>
      </c>
      <c r="AG73" t="s">
        <v>297</v>
      </c>
      <c r="AH73" t="s">
        <v>297</v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 t="str">
        <f>IF($A73="","",SUMIFS(Compta!$F$1:$F$675,Compta!$A$1:$A$675,"GRP",Compta!$B$1:$B$675,"6236",Compta!$C$1:$C$675,$A73))</f>
        <v/>
      </c>
      <c r="AP73" t="s">
        <v>297</v>
      </c>
      <c r="AQ73" t="s">
        <v>297</v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IF($A74="","",SUMIFS(Socle!$K$1:$K$175,Socle!$C$1:$C$175,$B74,Socle!$D$1:$D$175,$D74,Socle!$E$1:$E$175,$E74,Socle!$F$1:$F$175,$F74,Socle!$G$1:$G$175,$A74))</f>
        <v/>
      </c>
      <c r="K74" t="str">
        <f t="shared" si="10"/>
        <v/>
      </c>
      <c r="L74" t="str">
        <f>IF($A74="","",SUMIFS(Allocation!$I$1:$I$175,Allocation!$C$1:$C$175,$A74,Allocation!$D$1:$D$175,$B74))</f>
        <v/>
      </c>
      <c r="M74" t="str">
        <f>IF($A74="","",SUMIFS(Allocation!$J$1:$J$175,Allocation!$C$1:$C$175,$A74,Allocation!$D$1:$D$175,$B74))</f>
        <v/>
      </c>
      <c r="N74" t="str">
        <f>IF($A74="","",SUMIFS(Allocation!$K$1:$K$175,Allocation!$C$1:$C$175,$A74,Allocation!$D$1:$D$175,$B74))</f>
        <v/>
      </c>
      <c r="O74" t="str">
        <f t="shared" si="11"/>
        <v/>
      </c>
      <c r="P74" t="str">
        <f t="shared" si="12"/>
        <v/>
      </c>
      <c r="Q74" t="str">
        <f>IF($A74="","",SUMIFS(Allocation!$I$1:$I$175,Allocation!$C$1:$C$175,$A74,Allocation!$E$1:$E$175,$C74))</f>
        <v/>
      </c>
      <c r="R74" t="str">
        <f>IF($A74="","",SUMIFS(Allocation!$J$1:$J$175,Allocation!$C$1:$C$175,$A74,Allocation!$E$1:$E$175,$C74))</f>
        <v/>
      </c>
      <c r="S74" t="str">
        <f>IF($A74="","",SUMIFS(Allocation!$K$1:$K$175,Allocation!$C$1:$C$175,$A74,Allocation!$E$1:$E$175,$C74))</f>
        <v/>
      </c>
      <c r="T74" t="str">
        <f>IF($A74="","",SUMIFS(Allocation!$I$1:$I$175,Allocation!$C$1:$C$175,$A74))</f>
        <v/>
      </c>
      <c r="U74" t="str">
        <f>IF($A74="","",SUMIFS(Allocation!$J$1:$J$175,Allocation!$C$1:$C$175,$A74))</f>
        <v/>
      </c>
      <c r="V74" t="str">
        <f>IF($A74="","",SUMIFS(Allocation!$K$1:$K$175,Allocation!$C$1:$C$175,$A74))</f>
        <v/>
      </c>
      <c r="W74" t="str">
        <f>IF($A74="","",SUMIFS(Compta!$F$1:$F$675,Compta!$A$1:$A$675,$B74,Compta!$B$1:$B$675,"621",Compta!$C$1:$C$675,$A74))</f>
        <v/>
      </c>
      <c r="X74" t="str">
        <f>IF($A74="","",SUMIFS(Compta!$F$1:$F$675,Compta!$A$1:$A$675,$B74,Compta!$B$1:$B$675,"6411",Compta!$C$1:$C$675,$A74))</f>
        <v/>
      </c>
      <c r="Y74" t="str">
        <f>IF($A74="","",SUMIFS(Compta!$F$1:$F$675,Compta!$A$1:$A$675,$B74,Compta!$B$1:$B$675,"604",Compta!$C$1:$C$675,$A74)+SUMIFS(Compta!$F$1:$F$675,Compta!$A$1:$A$675,$B74,Compta!$B$1:$B$675,"6063",Compta!$C$1:$C$675,$A74))</f>
        <v/>
      </c>
      <c r="Z74" t="str">
        <f>IF($A74="","",SUMIFS(Compta!$F$1:$F$675,Compta!$A$1:$A$675,$B74,Compta!$B$1:$B$675,"6231",Compta!$C$1:$C$675,$A74))</f>
        <v/>
      </c>
      <c r="AA74" t="str">
        <f>IF($A74="",""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</f>
        <v/>
      </c>
      <c r="AB74" t="str">
        <f>IF($A74="",""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</f>
        <v/>
      </c>
      <c r="AC74" t="s">
        <v>297</v>
      </c>
      <c r="AD74" t="s">
        <v>297</v>
      </c>
      <c r="AE74" t="s">
        <v>297</v>
      </c>
      <c r="AF74" t="s">
        <v>297</v>
      </c>
      <c r="AG74" t="s">
        <v>297</v>
      </c>
      <c r="AH74" t="s">
        <v>297</v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 t="str">
        <f>IF($A74="","",SUMIFS(Compta!$F$1:$F$675,Compta!$A$1:$A$675,"GRP",Compta!$B$1:$B$675,"6236",Compta!$C$1:$C$675,$A74))</f>
        <v/>
      </c>
      <c r="AP74" t="s">
        <v>297</v>
      </c>
      <c r="AQ74" t="s">
        <v>297</v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IF($A75="","",SUMIFS(Socle!$K$1:$K$175,Socle!$C$1:$C$175,$B75,Socle!$D$1:$D$175,$D75,Socle!$E$1:$E$175,$E75,Socle!$F$1:$F$175,$F75,Socle!$G$1:$G$175,$A75))</f>
        <v/>
      </c>
      <c r="K75" t="str">
        <f t="shared" si="10"/>
        <v/>
      </c>
      <c r="L75" t="str">
        <f>IF($A75="","",SUMIFS(Allocation!$I$1:$I$175,Allocation!$C$1:$C$175,$A75,Allocation!$D$1:$D$175,$B75))</f>
        <v/>
      </c>
      <c r="M75" t="str">
        <f>IF($A75="","",SUMIFS(Allocation!$J$1:$J$175,Allocation!$C$1:$C$175,$A75,Allocation!$D$1:$D$175,$B75))</f>
        <v/>
      </c>
      <c r="N75" t="str">
        <f>IF($A75="","",SUMIFS(Allocation!$K$1:$K$175,Allocation!$C$1:$C$175,$A75,Allocation!$D$1:$D$175,$B75))</f>
        <v/>
      </c>
      <c r="O75" t="str">
        <f t="shared" si="11"/>
        <v/>
      </c>
      <c r="P75" t="str">
        <f t="shared" si="12"/>
        <v/>
      </c>
      <c r="Q75" t="str">
        <f>IF($A75="","",SUMIFS(Allocation!$I$1:$I$175,Allocation!$C$1:$C$175,$A75,Allocation!$E$1:$E$175,$C75))</f>
        <v/>
      </c>
      <c r="R75" t="str">
        <f>IF($A75="","",SUMIFS(Allocation!$J$1:$J$175,Allocation!$C$1:$C$175,$A75,Allocation!$E$1:$E$175,$C75))</f>
        <v/>
      </c>
      <c r="S75" t="str">
        <f>IF($A75="","",SUMIFS(Allocation!$K$1:$K$175,Allocation!$C$1:$C$175,$A75,Allocation!$E$1:$E$175,$C75))</f>
        <v/>
      </c>
      <c r="T75" t="str">
        <f>IF($A75="","",SUMIFS(Allocation!$I$1:$I$175,Allocation!$C$1:$C$175,$A75))</f>
        <v/>
      </c>
      <c r="U75" t="str">
        <f>IF($A75="","",SUMIFS(Allocation!$J$1:$J$175,Allocation!$C$1:$C$175,$A75))</f>
        <v/>
      </c>
      <c r="V75" t="str">
        <f>IF($A75="","",SUMIFS(Allocation!$K$1:$K$175,Allocation!$C$1:$C$175,$A75))</f>
        <v/>
      </c>
      <c r="W75" t="str">
        <f>IF($A75="","",SUMIFS(Compta!$F$1:$F$675,Compta!$A$1:$A$675,$B75,Compta!$B$1:$B$675,"621",Compta!$C$1:$C$675,$A75))</f>
        <v/>
      </c>
      <c r="X75" t="str">
        <f>IF($A75="","",SUMIFS(Compta!$F$1:$F$675,Compta!$A$1:$A$675,$B75,Compta!$B$1:$B$675,"6411",Compta!$C$1:$C$675,$A75))</f>
        <v/>
      </c>
      <c r="Y75" t="str">
        <f>IF($A75="","",SUMIFS(Compta!$F$1:$F$675,Compta!$A$1:$A$675,$B75,Compta!$B$1:$B$675,"604",Compta!$C$1:$C$675,$A75)+SUMIFS(Compta!$F$1:$F$675,Compta!$A$1:$A$675,$B75,Compta!$B$1:$B$675,"6063",Compta!$C$1:$C$675,$A75))</f>
        <v/>
      </c>
      <c r="Z75" t="str">
        <f>IF($A75="","",SUMIFS(Compta!$F$1:$F$675,Compta!$A$1:$A$675,$B75,Compta!$B$1:$B$675,"6231",Compta!$C$1:$C$675,$A75))</f>
        <v/>
      </c>
      <c r="AA75" t="str">
        <f>IF($A75="",""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</f>
        <v/>
      </c>
      <c r="AB75" t="str">
        <f>IF($A75="",""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</f>
        <v/>
      </c>
      <c r="AC75" t="s">
        <v>297</v>
      </c>
      <c r="AD75" t="s">
        <v>297</v>
      </c>
      <c r="AE75" t="s">
        <v>297</v>
      </c>
      <c r="AF75" t="s">
        <v>297</v>
      </c>
      <c r="AG75" t="s">
        <v>297</v>
      </c>
      <c r="AH75" t="s">
        <v>297</v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 t="str">
        <f>IF($A75="","",SUMIFS(Compta!$F$1:$F$675,Compta!$A$1:$A$675,"GRP",Compta!$B$1:$B$675,"6236",Compta!$C$1:$C$675,$A75))</f>
        <v/>
      </c>
      <c r="AP75" t="s">
        <v>297</v>
      </c>
      <c r="AQ75" t="s">
        <v>297</v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IF($A76="","",SUMIFS(Socle!$K$1:$K$175,Socle!$C$1:$C$175,$B76,Socle!$D$1:$D$175,$D76,Socle!$E$1:$E$175,$E76,Socle!$F$1:$F$175,$F76,Socle!$G$1:$G$175,$A76))</f>
        <v/>
      </c>
      <c r="K76" t="str">
        <f t="shared" si="10"/>
        <v/>
      </c>
      <c r="L76" t="str">
        <f>IF($A76="","",SUMIFS(Allocation!$I$1:$I$175,Allocation!$C$1:$C$175,$A76,Allocation!$D$1:$D$175,$B76))</f>
        <v/>
      </c>
      <c r="M76" t="str">
        <f>IF($A76="","",SUMIFS(Allocation!$J$1:$J$175,Allocation!$C$1:$C$175,$A76,Allocation!$D$1:$D$175,$B76))</f>
        <v/>
      </c>
      <c r="N76" t="str">
        <f>IF($A76="","",SUMIFS(Allocation!$K$1:$K$175,Allocation!$C$1:$C$175,$A76,Allocation!$D$1:$D$175,$B76))</f>
        <v/>
      </c>
      <c r="O76" t="str">
        <f t="shared" si="11"/>
        <v/>
      </c>
      <c r="P76" t="str">
        <f t="shared" si="12"/>
        <v/>
      </c>
      <c r="Q76" t="str">
        <f>IF($A76="","",SUMIFS(Allocation!$I$1:$I$175,Allocation!$C$1:$C$175,$A76,Allocation!$E$1:$E$175,$C76))</f>
        <v/>
      </c>
      <c r="R76" t="str">
        <f>IF($A76="","",SUMIFS(Allocation!$J$1:$J$175,Allocation!$C$1:$C$175,$A76,Allocation!$E$1:$E$175,$C76))</f>
        <v/>
      </c>
      <c r="S76" t="str">
        <f>IF($A76="","",SUMIFS(Allocation!$K$1:$K$175,Allocation!$C$1:$C$175,$A76,Allocation!$E$1:$E$175,$C76))</f>
        <v/>
      </c>
      <c r="T76" t="str">
        <f>IF($A76="","",SUMIFS(Allocation!$I$1:$I$175,Allocation!$C$1:$C$175,$A76))</f>
        <v/>
      </c>
      <c r="U76" t="str">
        <f>IF($A76="","",SUMIFS(Allocation!$J$1:$J$175,Allocation!$C$1:$C$175,$A76))</f>
        <v/>
      </c>
      <c r="V76" t="str">
        <f>IF($A76="","",SUMIFS(Allocation!$K$1:$K$175,Allocation!$C$1:$C$175,$A76))</f>
        <v/>
      </c>
      <c r="W76" t="str">
        <f>IF($A76="","",SUMIFS(Compta!$F$1:$F$675,Compta!$A$1:$A$675,$B76,Compta!$B$1:$B$675,"621",Compta!$C$1:$C$675,$A76))</f>
        <v/>
      </c>
      <c r="X76" t="str">
        <f>IF($A76="","",SUMIFS(Compta!$F$1:$F$675,Compta!$A$1:$A$675,$B76,Compta!$B$1:$B$675,"6411",Compta!$C$1:$C$675,$A76))</f>
        <v/>
      </c>
      <c r="Y76" t="str">
        <f>IF($A76="","",SUMIFS(Compta!$F$1:$F$675,Compta!$A$1:$A$675,$B76,Compta!$B$1:$B$675,"604",Compta!$C$1:$C$675,$A76)+SUMIFS(Compta!$F$1:$F$675,Compta!$A$1:$A$675,$B76,Compta!$B$1:$B$675,"6063",Compta!$C$1:$C$675,$A76))</f>
        <v/>
      </c>
      <c r="Z76" t="str">
        <f>IF($A76="","",SUMIFS(Compta!$F$1:$F$675,Compta!$A$1:$A$675,$B76,Compta!$B$1:$B$675,"6231",Compta!$C$1:$C$675,$A76))</f>
        <v/>
      </c>
      <c r="AA76" t="str">
        <f>IF($A76="",""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</f>
        <v/>
      </c>
      <c r="AB76" t="str">
        <f>IF($A76="",""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</f>
        <v/>
      </c>
      <c r="AC76" t="s">
        <v>297</v>
      </c>
      <c r="AD76" t="s">
        <v>297</v>
      </c>
      <c r="AE76" t="s">
        <v>297</v>
      </c>
      <c r="AF76" t="s">
        <v>297</v>
      </c>
      <c r="AG76" t="s">
        <v>297</v>
      </c>
      <c r="AH76" t="s">
        <v>297</v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 t="str">
        <f>IF($A76="","",SUMIFS(Compta!$F$1:$F$675,Compta!$A$1:$A$675,"GRP",Compta!$B$1:$B$675,"6236",Compta!$C$1:$C$675,$A76))</f>
        <v/>
      </c>
      <c r="AP76" t="s">
        <v>297</v>
      </c>
      <c r="AQ76" t="s">
        <v>297</v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IF($A77="","",SUMIFS(Socle!$K$1:$K$175,Socle!$C$1:$C$175,$B77,Socle!$D$1:$D$175,$D77,Socle!$E$1:$E$175,$E77,Socle!$F$1:$F$175,$F77,Socle!$G$1:$G$175,$A77))</f>
        <v/>
      </c>
      <c r="K77" t="str">
        <f t="shared" si="10"/>
        <v/>
      </c>
      <c r="L77" t="str">
        <f>IF($A77="","",SUMIFS(Allocation!$I$1:$I$175,Allocation!$C$1:$C$175,$A77,Allocation!$D$1:$D$175,$B77))</f>
        <v/>
      </c>
      <c r="M77" t="str">
        <f>IF($A77="","",SUMIFS(Allocation!$J$1:$J$175,Allocation!$C$1:$C$175,$A77,Allocation!$D$1:$D$175,$B77))</f>
        <v/>
      </c>
      <c r="N77" t="str">
        <f>IF($A77="","",SUMIFS(Allocation!$K$1:$K$175,Allocation!$C$1:$C$175,$A77,Allocation!$D$1:$D$175,$B77))</f>
        <v/>
      </c>
      <c r="O77" t="str">
        <f t="shared" si="11"/>
        <v/>
      </c>
      <c r="P77" t="str">
        <f t="shared" si="12"/>
        <v/>
      </c>
      <c r="Q77" t="str">
        <f>IF($A77="","",SUMIFS(Allocation!$I$1:$I$175,Allocation!$C$1:$C$175,$A77,Allocation!$E$1:$E$175,$C77))</f>
        <v/>
      </c>
      <c r="R77" t="str">
        <f>IF($A77="","",SUMIFS(Allocation!$J$1:$J$175,Allocation!$C$1:$C$175,$A77,Allocation!$E$1:$E$175,$C77))</f>
        <v/>
      </c>
      <c r="S77" t="str">
        <f>IF($A77="","",SUMIFS(Allocation!$K$1:$K$175,Allocation!$C$1:$C$175,$A77,Allocation!$E$1:$E$175,$C77))</f>
        <v/>
      </c>
      <c r="T77" t="str">
        <f>IF($A77="","",SUMIFS(Allocation!$I$1:$I$175,Allocation!$C$1:$C$175,$A77))</f>
        <v/>
      </c>
      <c r="U77" t="str">
        <f>IF($A77="","",SUMIFS(Allocation!$J$1:$J$175,Allocation!$C$1:$C$175,$A77))</f>
        <v/>
      </c>
      <c r="V77" t="str">
        <f>IF($A77="","",SUMIFS(Allocation!$K$1:$K$175,Allocation!$C$1:$C$175,$A77))</f>
        <v/>
      </c>
      <c r="W77" t="str">
        <f>IF($A77="","",SUMIFS(Compta!$F$1:$F$675,Compta!$A$1:$A$675,$B77,Compta!$B$1:$B$675,"621",Compta!$C$1:$C$675,$A77))</f>
        <v/>
      </c>
      <c r="X77" t="str">
        <f>IF($A77="","",SUMIFS(Compta!$F$1:$F$675,Compta!$A$1:$A$675,$B77,Compta!$B$1:$B$675,"6411",Compta!$C$1:$C$675,$A77))</f>
        <v/>
      </c>
      <c r="Y77" t="str">
        <f>IF($A77="","",SUMIFS(Compta!$F$1:$F$675,Compta!$A$1:$A$675,$B77,Compta!$B$1:$B$675,"604",Compta!$C$1:$C$675,$A77)+SUMIFS(Compta!$F$1:$F$675,Compta!$A$1:$A$675,$B77,Compta!$B$1:$B$675,"6063",Compta!$C$1:$C$675,$A77))</f>
        <v/>
      </c>
      <c r="Z77" t="str">
        <f>IF($A77="","",SUMIFS(Compta!$F$1:$F$675,Compta!$A$1:$A$675,$B77,Compta!$B$1:$B$675,"6231",Compta!$C$1:$C$675,$A77))</f>
        <v/>
      </c>
      <c r="AA77" t="str">
        <f>IF($A77="",""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</f>
        <v/>
      </c>
      <c r="AB77" t="str">
        <f>IF($A77="",""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</f>
        <v/>
      </c>
      <c r="AC77" t="s">
        <v>297</v>
      </c>
      <c r="AD77" t="s">
        <v>297</v>
      </c>
      <c r="AE77" t="s">
        <v>297</v>
      </c>
      <c r="AF77" t="s">
        <v>297</v>
      </c>
      <c r="AG77" t="s">
        <v>297</v>
      </c>
      <c r="AH77" t="s">
        <v>297</v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 t="str">
        <f>IF($A77="","",SUMIFS(Compta!$F$1:$F$675,Compta!$A$1:$A$675,"GRP",Compta!$B$1:$B$675,"6236",Compta!$C$1:$C$675,$A77))</f>
        <v/>
      </c>
      <c r="AP77" t="s">
        <v>297</v>
      </c>
      <c r="AQ77" t="s">
        <v>297</v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IF($A78="","",SUMIFS(Socle!$K$1:$K$175,Socle!$C$1:$C$175,$B78,Socle!$D$1:$D$175,$D78,Socle!$E$1:$E$175,$E78,Socle!$F$1:$F$175,$F78,Socle!$G$1:$G$175,$A78))</f>
        <v/>
      </c>
      <c r="K78" t="str">
        <f t="shared" si="10"/>
        <v/>
      </c>
      <c r="L78" t="str">
        <f>IF($A78="","",SUMIFS(Allocation!$I$1:$I$175,Allocation!$C$1:$C$175,$A78,Allocation!$D$1:$D$175,$B78))</f>
        <v/>
      </c>
      <c r="M78" t="str">
        <f>IF($A78="","",SUMIFS(Allocation!$J$1:$J$175,Allocation!$C$1:$C$175,$A78,Allocation!$D$1:$D$175,$B78))</f>
        <v/>
      </c>
      <c r="N78" t="str">
        <f>IF($A78="","",SUMIFS(Allocation!$K$1:$K$175,Allocation!$C$1:$C$175,$A78,Allocation!$D$1:$D$175,$B78))</f>
        <v/>
      </c>
      <c r="O78" t="str">
        <f t="shared" si="11"/>
        <v/>
      </c>
      <c r="P78" t="str">
        <f t="shared" si="12"/>
        <v/>
      </c>
      <c r="Q78" t="str">
        <f>IF($A78="","",SUMIFS(Allocation!$I$1:$I$175,Allocation!$C$1:$C$175,$A78,Allocation!$E$1:$E$175,$C78))</f>
        <v/>
      </c>
      <c r="R78" t="str">
        <f>IF($A78="","",SUMIFS(Allocation!$J$1:$J$175,Allocation!$C$1:$C$175,$A78,Allocation!$E$1:$E$175,$C78))</f>
        <v/>
      </c>
      <c r="S78" t="str">
        <f>IF($A78="","",SUMIFS(Allocation!$K$1:$K$175,Allocation!$C$1:$C$175,$A78,Allocation!$E$1:$E$175,$C78))</f>
        <v/>
      </c>
      <c r="T78" t="str">
        <f>IF($A78="","",SUMIFS(Allocation!$I$1:$I$175,Allocation!$C$1:$C$175,$A78))</f>
        <v/>
      </c>
      <c r="U78" t="str">
        <f>IF($A78="","",SUMIFS(Allocation!$J$1:$J$175,Allocation!$C$1:$C$175,$A78))</f>
        <v/>
      </c>
      <c r="V78" t="str">
        <f>IF($A78="","",SUMIFS(Allocation!$K$1:$K$175,Allocation!$C$1:$C$175,$A78))</f>
        <v/>
      </c>
      <c r="W78" t="str">
        <f>IF($A78="","",SUMIFS(Compta!$F$1:$F$675,Compta!$A$1:$A$675,$B78,Compta!$B$1:$B$675,"621",Compta!$C$1:$C$675,$A78))</f>
        <v/>
      </c>
      <c r="X78" t="str">
        <f>IF($A78="","",SUMIFS(Compta!$F$1:$F$675,Compta!$A$1:$A$675,$B78,Compta!$B$1:$B$675,"6411",Compta!$C$1:$C$675,$A78))</f>
        <v/>
      </c>
      <c r="Y78" t="str">
        <f>IF($A78="","",SUMIFS(Compta!$F$1:$F$675,Compta!$A$1:$A$675,$B78,Compta!$B$1:$B$675,"604",Compta!$C$1:$C$675,$A78)+SUMIFS(Compta!$F$1:$F$675,Compta!$A$1:$A$675,$B78,Compta!$B$1:$B$675,"6063",Compta!$C$1:$C$675,$A78))</f>
        <v/>
      </c>
      <c r="Z78" t="str">
        <f>IF($A78="","",SUMIFS(Compta!$F$1:$F$675,Compta!$A$1:$A$675,$B78,Compta!$B$1:$B$675,"6231",Compta!$C$1:$C$675,$A78))</f>
        <v/>
      </c>
      <c r="AA78" t="str">
        <f>IF($A78="",""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</f>
        <v/>
      </c>
      <c r="AB78" t="str">
        <f>IF($A78="",""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</f>
        <v/>
      </c>
      <c r="AC78" t="s">
        <v>297</v>
      </c>
      <c r="AD78" t="s">
        <v>297</v>
      </c>
      <c r="AE78" t="s">
        <v>297</v>
      </c>
      <c r="AF78" t="s">
        <v>297</v>
      </c>
      <c r="AG78" t="s">
        <v>297</v>
      </c>
      <c r="AH78" t="s">
        <v>297</v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 t="str">
        <f>IF($A78="","",SUMIFS(Compta!$F$1:$F$675,Compta!$A$1:$A$675,"GRP",Compta!$B$1:$B$675,"6236",Compta!$C$1:$C$675,$A78))</f>
        <v/>
      </c>
      <c r="AP78" t="s">
        <v>297</v>
      </c>
      <c r="AQ78" t="s">
        <v>297</v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IF($A79="","",SUMIFS(Socle!$K$1:$K$175,Socle!$C$1:$C$175,$B79,Socle!$D$1:$D$175,$D79,Socle!$E$1:$E$175,$E79,Socle!$F$1:$F$175,$F79,Socle!$G$1:$G$175,$A79))</f>
        <v/>
      </c>
      <c r="K79" t="str">
        <f t="shared" si="10"/>
        <v/>
      </c>
      <c r="L79" t="str">
        <f>IF($A79="","",SUMIFS(Allocation!$I$1:$I$175,Allocation!$C$1:$C$175,$A79,Allocation!$D$1:$D$175,$B79))</f>
        <v/>
      </c>
      <c r="M79" t="str">
        <f>IF($A79="","",SUMIFS(Allocation!$J$1:$J$175,Allocation!$C$1:$C$175,$A79,Allocation!$D$1:$D$175,$B79))</f>
        <v/>
      </c>
      <c r="N79" t="str">
        <f>IF($A79="","",SUMIFS(Allocation!$K$1:$K$175,Allocation!$C$1:$C$175,$A79,Allocation!$D$1:$D$175,$B79))</f>
        <v/>
      </c>
      <c r="O79" t="str">
        <f t="shared" si="11"/>
        <v/>
      </c>
      <c r="P79" t="str">
        <f t="shared" si="12"/>
        <v/>
      </c>
      <c r="Q79" t="str">
        <f>IF($A79="","",SUMIFS(Allocation!$I$1:$I$175,Allocation!$C$1:$C$175,$A79,Allocation!$E$1:$E$175,$C79))</f>
        <v/>
      </c>
      <c r="R79" t="str">
        <f>IF($A79="","",SUMIFS(Allocation!$J$1:$J$175,Allocation!$C$1:$C$175,$A79,Allocation!$E$1:$E$175,$C79))</f>
        <v/>
      </c>
      <c r="S79" t="str">
        <f>IF($A79="","",SUMIFS(Allocation!$K$1:$K$175,Allocation!$C$1:$C$175,$A79,Allocation!$E$1:$E$175,$C79))</f>
        <v/>
      </c>
      <c r="T79" t="str">
        <f>IF($A79="","",SUMIFS(Allocation!$I$1:$I$175,Allocation!$C$1:$C$175,$A79))</f>
        <v/>
      </c>
      <c r="U79" t="str">
        <f>IF($A79="","",SUMIFS(Allocation!$J$1:$J$175,Allocation!$C$1:$C$175,$A79))</f>
        <v/>
      </c>
      <c r="V79" t="str">
        <f>IF($A79="","",SUMIFS(Allocation!$K$1:$K$175,Allocation!$C$1:$C$175,$A79))</f>
        <v/>
      </c>
      <c r="W79" t="str">
        <f>IF($A79="","",SUMIFS(Compta!$F$1:$F$675,Compta!$A$1:$A$675,$B79,Compta!$B$1:$B$675,"621",Compta!$C$1:$C$675,$A79))</f>
        <v/>
      </c>
      <c r="X79" t="str">
        <f>IF($A79="","",SUMIFS(Compta!$F$1:$F$675,Compta!$A$1:$A$675,$B79,Compta!$B$1:$B$675,"6411",Compta!$C$1:$C$675,$A79))</f>
        <v/>
      </c>
      <c r="Y79" t="str">
        <f>IF($A79="","",SUMIFS(Compta!$F$1:$F$675,Compta!$A$1:$A$675,$B79,Compta!$B$1:$B$675,"604",Compta!$C$1:$C$675,$A79)+SUMIFS(Compta!$F$1:$F$675,Compta!$A$1:$A$675,$B79,Compta!$B$1:$B$675,"6063",Compta!$C$1:$C$675,$A79))</f>
        <v/>
      </c>
      <c r="Z79" t="str">
        <f>IF($A79="","",SUMIFS(Compta!$F$1:$F$675,Compta!$A$1:$A$675,$B79,Compta!$B$1:$B$675,"6231",Compta!$C$1:$C$675,$A79))</f>
        <v/>
      </c>
      <c r="AA79" t="str">
        <f>IF($A79="",""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</f>
        <v/>
      </c>
      <c r="AB79" t="str">
        <f>IF($A79="",""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</f>
        <v/>
      </c>
      <c r="AC79" t="s">
        <v>297</v>
      </c>
      <c r="AD79" t="s">
        <v>297</v>
      </c>
      <c r="AE79" t="s">
        <v>297</v>
      </c>
      <c r="AF79" t="s">
        <v>297</v>
      </c>
      <c r="AG79" t="s">
        <v>297</v>
      </c>
      <c r="AH79" t="s">
        <v>297</v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 t="str">
        <f>IF($A79="","",SUMIFS(Compta!$F$1:$F$675,Compta!$A$1:$A$675,"GRP",Compta!$B$1:$B$675,"6236",Compta!$C$1:$C$675,$A79))</f>
        <v/>
      </c>
      <c r="AP79" t="s">
        <v>297</v>
      </c>
      <c r="AQ79" t="s">
        <v>297</v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IF($A80="","",SUMIFS(Socle!$K$1:$K$175,Socle!$C$1:$C$175,$B80,Socle!$D$1:$D$175,$D80,Socle!$E$1:$E$175,$E80,Socle!$F$1:$F$175,$F80,Socle!$G$1:$G$175,$A80))</f>
        <v/>
      </c>
      <c r="K80" t="str">
        <f t="shared" si="10"/>
        <v/>
      </c>
      <c r="L80" t="str">
        <f>IF($A80="","",SUMIFS(Allocation!$I$1:$I$175,Allocation!$C$1:$C$175,$A80,Allocation!$D$1:$D$175,$B80))</f>
        <v/>
      </c>
      <c r="M80" t="str">
        <f>IF($A80="","",SUMIFS(Allocation!$J$1:$J$175,Allocation!$C$1:$C$175,$A80,Allocation!$D$1:$D$175,$B80))</f>
        <v/>
      </c>
      <c r="N80" t="str">
        <f>IF($A80="","",SUMIFS(Allocation!$K$1:$K$175,Allocation!$C$1:$C$175,$A80,Allocation!$D$1:$D$175,$B80))</f>
        <v/>
      </c>
      <c r="O80" t="str">
        <f t="shared" si="11"/>
        <v/>
      </c>
      <c r="P80" t="str">
        <f t="shared" si="12"/>
        <v/>
      </c>
      <c r="Q80" t="str">
        <f>IF($A80="","",SUMIFS(Allocation!$I$1:$I$175,Allocation!$C$1:$C$175,$A80,Allocation!$E$1:$E$175,$C80))</f>
        <v/>
      </c>
      <c r="R80" t="str">
        <f>IF($A80="","",SUMIFS(Allocation!$J$1:$J$175,Allocation!$C$1:$C$175,$A80,Allocation!$E$1:$E$175,$C80))</f>
        <v/>
      </c>
      <c r="S80" t="str">
        <f>IF($A80="","",SUMIFS(Allocation!$K$1:$K$175,Allocation!$C$1:$C$175,$A80,Allocation!$E$1:$E$175,$C80))</f>
        <v/>
      </c>
      <c r="T80" t="str">
        <f>IF($A80="","",SUMIFS(Allocation!$I$1:$I$175,Allocation!$C$1:$C$175,$A80))</f>
        <v/>
      </c>
      <c r="U80" t="str">
        <f>IF($A80="","",SUMIFS(Allocation!$J$1:$J$175,Allocation!$C$1:$C$175,$A80))</f>
        <v/>
      </c>
      <c r="V80" t="str">
        <f>IF($A80="","",SUMIFS(Allocation!$K$1:$K$175,Allocation!$C$1:$C$175,$A80))</f>
        <v/>
      </c>
      <c r="W80" t="str">
        <f>IF($A80="","",SUMIFS(Compta!$F$1:$F$675,Compta!$A$1:$A$675,$B80,Compta!$B$1:$B$675,"621",Compta!$C$1:$C$675,$A80))</f>
        <v/>
      </c>
      <c r="X80" t="str">
        <f>IF($A80="","",SUMIFS(Compta!$F$1:$F$675,Compta!$A$1:$A$675,$B80,Compta!$B$1:$B$675,"6411",Compta!$C$1:$C$675,$A80))</f>
        <v/>
      </c>
      <c r="Y80" t="str">
        <f>IF($A80="","",SUMIFS(Compta!$F$1:$F$675,Compta!$A$1:$A$675,$B80,Compta!$B$1:$B$675,"604",Compta!$C$1:$C$675,$A80)+SUMIFS(Compta!$F$1:$F$675,Compta!$A$1:$A$675,$B80,Compta!$B$1:$B$675,"6063",Compta!$C$1:$C$675,$A80))</f>
        <v/>
      </c>
      <c r="Z80" t="str">
        <f>IF($A80="","",SUMIFS(Compta!$F$1:$F$675,Compta!$A$1:$A$675,$B80,Compta!$B$1:$B$675,"6231",Compta!$C$1:$C$675,$A80))</f>
        <v/>
      </c>
      <c r="AA80" t="str">
        <f>IF($A80="",""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</f>
        <v/>
      </c>
      <c r="AB80" t="str">
        <f>IF($A80="",""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</f>
        <v/>
      </c>
      <c r="AC80" t="s">
        <v>297</v>
      </c>
      <c r="AD80" t="s">
        <v>297</v>
      </c>
      <c r="AE80" t="s">
        <v>297</v>
      </c>
      <c r="AF80" t="s">
        <v>297</v>
      </c>
      <c r="AG80" t="s">
        <v>297</v>
      </c>
      <c r="AH80" t="s">
        <v>297</v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 t="str">
        <f>IF($A80="","",SUMIFS(Compta!$F$1:$F$675,Compta!$A$1:$A$675,"GRP",Compta!$B$1:$B$675,"6236",Compta!$C$1:$C$675,$A80))</f>
        <v/>
      </c>
      <c r="AP80" t="s">
        <v>297</v>
      </c>
      <c r="AQ80" t="s">
        <v>297</v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IF($A81="","",SUMIFS(Socle!$K$1:$K$175,Socle!$C$1:$C$175,$B81,Socle!$D$1:$D$175,$D81,Socle!$E$1:$E$175,$E81,Socle!$F$1:$F$175,$F81,Socle!$G$1:$G$175,$A81))</f>
        <v/>
      </c>
      <c r="K81" t="str">
        <f t="shared" si="10"/>
        <v/>
      </c>
      <c r="L81" t="str">
        <f>IF($A81="","",SUMIFS(Allocation!$I$1:$I$175,Allocation!$C$1:$C$175,$A81,Allocation!$D$1:$D$175,$B81))</f>
        <v/>
      </c>
      <c r="M81" t="str">
        <f>IF($A81="","",SUMIFS(Allocation!$J$1:$J$175,Allocation!$C$1:$C$175,$A81,Allocation!$D$1:$D$175,$B81))</f>
        <v/>
      </c>
      <c r="N81" t="str">
        <f>IF($A81="","",SUMIFS(Allocation!$K$1:$K$175,Allocation!$C$1:$C$175,$A81,Allocation!$D$1:$D$175,$B81))</f>
        <v/>
      </c>
      <c r="O81" t="str">
        <f t="shared" si="11"/>
        <v/>
      </c>
      <c r="P81" t="str">
        <f t="shared" si="12"/>
        <v/>
      </c>
      <c r="Q81" t="str">
        <f>IF($A81="","",SUMIFS(Allocation!$I$1:$I$175,Allocation!$C$1:$C$175,$A81,Allocation!$E$1:$E$175,$C81))</f>
        <v/>
      </c>
      <c r="R81" t="str">
        <f>IF($A81="","",SUMIFS(Allocation!$J$1:$J$175,Allocation!$C$1:$C$175,$A81,Allocation!$E$1:$E$175,$C81))</f>
        <v/>
      </c>
      <c r="S81" t="str">
        <f>IF($A81="","",SUMIFS(Allocation!$K$1:$K$175,Allocation!$C$1:$C$175,$A81,Allocation!$E$1:$E$175,$C81))</f>
        <v/>
      </c>
      <c r="T81" t="str">
        <f>IF($A81="","",SUMIFS(Allocation!$I$1:$I$175,Allocation!$C$1:$C$175,$A81))</f>
        <v/>
      </c>
      <c r="U81" t="str">
        <f>IF($A81="","",SUMIFS(Allocation!$J$1:$J$175,Allocation!$C$1:$C$175,$A81))</f>
        <v/>
      </c>
      <c r="V81" t="str">
        <f>IF($A81="","",SUMIFS(Allocation!$K$1:$K$175,Allocation!$C$1:$C$175,$A81))</f>
        <v/>
      </c>
      <c r="W81" t="str">
        <f>IF($A81="","",SUMIFS(Compta!$F$1:$F$675,Compta!$A$1:$A$675,$B81,Compta!$B$1:$B$675,"621",Compta!$C$1:$C$675,$A81))</f>
        <v/>
      </c>
      <c r="X81" t="str">
        <f>IF($A81="","",SUMIFS(Compta!$F$1:$F$675,Compta!$A$1:$A$675,$B81,Compta!$B$1:$B$675,"6411",Compta!$C$1:$C$675,$A81))</f>
        <v/>
      </c>
      <c r="Y81" t="str">
        <f>IF($A81="","",SUMIFS(Compta!$F$1:$F$675,Compta!$A$1:$A$675,$B81,Compta!$B$1:$B$675,"604",Compta!$C$1:$C$675,$A81)+SUMIFS(Compta!$F$1:$F$675,Compta!$A$1:$A$675,$B81,Compta!$B$1:$B$675,"6063",Compta!$C$1:$C$675,$A81))</f>
        <v/>
      </c>
      <c r="Z81" t="str">
        <f>IF($A81="","",SUMIFS(Compta!$F$1:$F$675,Compta!$A$1:$A$675,$B81,Compta!$B$1:$B$675,"6231",Compta!$C$1:$C$675,$A81))</f>
        <v/>
      </c>
      <c r="AA81" t="str">
        <f>IF($A81="",""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</f>
        <v/>
      </c>
      <c r="AB81" t="str">
        <f>IF($A81="",""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</f>
        <v/>
      </c>
      <c r="AC81" t="s">
        <v>297</v>
      </c>
      <c r="AD81" t="s">
        <v>297</v>
      </c>
      <c r="AE81" t="s">
        <v>297</v>
      </c>
      <c r="AF81" t="s">
        <v>297</v>
      </c>
      <c r="AG81" t="s">
        <v>297</v>
      </c>
      <c r="AH81" t="s">
        <v>297</v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 t="str">
        <f>IF($A81="","",SUMIFS(Compta!$F$1:$F$675,Compta!$A$1:$A$675,"GRP",Compta!$B$1:$B$675,"6236",Compta!$C$1:$C$675,$A81))</f>
        <v/>
      </c>
      <c r="AP81" t="s">
        <v>297</v>
      </c>
      <c r="AQ81" t="s">
        <v>297</v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IF($A82="","",SUMIFS(Socle!$K$1:$K$175,Socle!$C$1:$C$175,$B82,Socle!$D$1:$D$175,$D82,Socle!$E$1:$E$175,$E82,Socle!$F$1:$F$175,$F82,Socle!$G$1:$G$175,$A82))</f>
        <v/>
      </c>
      <c r="K82" t="str">
        <f t="shared" si="10"/>
        <v/>
      </c>
      <c r="L82" t="str">
        <f>IF($A82="","",SUMIFS(Allocation!$I$1:$I$175,Allocation!$C$1:$C$175,$A82,Allocation!$D$1:$D$175,$B82))</f>
        <v/>
      </c>
      <c r="M82" t="str">
        <f>IF($A82="","",SUMIFS(Allocation!$J$1:$J$175,Allocation!$C$1:$C$175,$A82,Allocation!$D$1:$D$175,$B82))</f>
        <v/>
      </c>
      <c r="N82" t="str">
        <f>IF($A82="","",SUMIFS(Allocation!$K$1:$K$175,Allocation!$C$1:$C$175,$A82,Allocation!$D$1:$D$175,$B82))</f>
        <v/>
      </c>
      <c r="O82" t="str">
        <f t="shared" si="11"/>
        <v/>
      </c>
      <c r="P82" t="str">
        <f t="shared" si="12"/>
        <v/>
      </c>
      <c r="Q82" t="str">
        <f>IF($A82="","",SUMIFS(Allocation!$I$1:$I$175,Allocation!$C$1:$C$175,$A82,Allocation!$E$1:$E$175,$C82))</f>
        <v/>
      </c>
      <c r="R82" t="str">
        <f>IF($A82="","",SUMIFS(Allocation!$J$1:$J$175,Allocation!$C$1:$C$175,$A82,Allocation!$E$1:$E$175,$C82))</f>
        <v/>
      </c>
      <c r="S82" t="str">
        <f>IF($A82="","",SUMIFS(Allocation!$K$1:$K$175,Allocation!$C$1:$C$175,$A82,Allocation!$E$1:$E$175,$C82))</f>
        <v/>
      </c>
      <c r="T82" t="str">
        <f>IF($A82="","",SUMIFS(Allocation!$I$1:$I$175,Allocation!$C$1:$C$175,$A82))</f>
        <v/>
      </c>
      <c r="U82" t="str">
        <f>IF($A82="","",SUMIFS(Allocation!$J$1:$J$175,Allocation!$C$1:$C$175,$A82))</f>
        <v/>
      </c>
      <c r="V82" t="str">
        <f>IF($A82="","",SUMIFS(Allocation!$K$1:$K$175,Allocation!$C$1:$C$175,$A82))</f>
        <v/>
      </c>
      <c r="W82" t="str">
        <f>IF($A82="","",SUMIFS(Compta!$F$1:$F$675,Compta!$A$1:$A$675,$B82,Compta!$B$1:$B$675,"621",Compta!$C$1:$C$675,$A82))</f>
        <v/>
      </c>
      <c r="X82" t="str">
        <f>IF($A82="","",SUMIFS(Compta!$F$1:$F$675,Compta!$A$1:$A$675,$B82,Compta!$B$1:$B$675,"6411",Compta!$C$1:$C$675,$A82))</f>
        <v/>
      </c>
      <c r="Y82" t="str">
        <f>IF($A82="","",SUMIFS(Compta!$F$1:$F$675,Compta!$A$1:$A$675,$B82,Compta!$B$1:$B$675,"604",Compta!$C$1:$C$675,$A82)+SUMIFS(Compta!$F$1:$F$675,Compta!$A$1:$A$675,$B82,Compta!$B$1:$B$675,"6063",Compta!$C$1:$C$675,$A82))</f>
        <v/>
      </c>
      <c r="Z82" t="str">
        <f>IF($A82="","",SUMIFS(Compta!$F$1:$F$675,Compta!$A$1:$A$675,$B82,Compta!$B$1:$B$675,"6231",Compta!$C$1:$C$675,$A82))</f>
        <v/>
      </c>
      <c r="AA82" t="str">
        <f>IF($A82="",""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</f>
        <v/>
      </c>
      <c r="AB82" t="str">
        <f>IF($A82="",""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</f>
        <v/>
      </c>
      <c r="AC82" t="s">
        <v>297</v>
      </c>
      <c r="AD82" t="s">
        <v>297</v>
      </c>
      <c r="AE82" t="s">
        <v>297</v>
      </c>
      <c r="AF82" t="s">
        <v>297</v>
      </c>
      <c r="AG82" t="s">
        <v>297</v>
      </c>
      <c r="AH82" t="s">
        <v>297</v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 t="str">
        <f>IF($A82="","",SUMIFS(Compta!$F$1:$F$675,Compta!$A$1:$A$675,"GRP",Compta!$B$1:$B$675,"6236",Compta!$C$1:$C$675,$A82))</f>
        <v/>
      </c>
      <c r="AP82" t="s">
        <v>297</v>
      </c>
      <c r="AQ82" t="s">
        <v>297</v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IF($A83="","",SUMIFS(Socle!$K$1:$K$175,Socle!$C$1:$C$175,$B83,Socle!$D$1:$D$175,$D83,Socle!$E$1:$E$175,$E83,Socle!$F$1:$F$175,$F83,Socle!$G$1:$G$175,$A83))</f>
        <v/>
      </c>
      <c r="K83" t="str">
        <f t="shared" si="10"/>
        <v/>
      </c>
      <c r="L83" t="str">
        <f>IF($A83="","",SUMIFS(Allocation!$I$1:$I$175,Allocation!$C$1:$C$175,$A83,Allocation!$D$1:$D$175,$B83))</f>
        <v/>
      </c>
      <c r="M83" t="str">
        <f>IF($A83="","",SUMIFS(Allocation!$J$1:$J$175,Allocation!$C$1:$C$175,$A83,Allocation!$D$1:$D$175,$B83))</f>
        <v/>
      </c>
      <c r="N83" t="str">
        <f>IF($A83="","",SUMIFS(Allocation!$K$1:$K$175,Allocation!$C$1:$C$175,$A83,Allocation!$D$1:$D$175,$B83))</f>
        <v/>
      </c>
      <c r="O83" t="str">
        <f t="shared" si="11"/>
        <v/>
      </c>
      <c r="P83" t="str">
        <f t="shared" si="12"/>
        <v/>
      </c>
      <c r="Q83" t="str">
        <f>IF($A83="","",SUMIFS(Allocation!$I$1:$I$175,Allocation!$C$1:$C$175,$A83,Allocation!$E$1:$E$175,$C83))</f>
        <v/>
      </c>
      <c r="R83" t="str">
        <f>IF($A83="","",SUMIFS(Allocation!$J$1:$J$175,Allocation!$C$1:$C$175,$A83,Allocation!$E$1:$E$175,$C83))</f>
        <v/>
      </c>
      <c r="S83" t="str">
        <f>IF($A83="","",SUMIFS(Allocation!$K$1:$K$175,Allocation!$C$1:$C$175,$A83,Allocation!$E$1:$E$175,$C83))</f>
        <v/>
      </c>
      <c r="T83" t="str">
        <f>IF($A83="","",SUMIFS(Allocation!$I$1:$I$175,Allocation!$C$1:$C$175,$A83))</f>
        <v/>
      </c>
      <c r="U83" t="str">
        <f>IF($A83="","",SUMIFS(Allocation!$J$1:$J$175,Allocation!$C$1:$C$175,$A83))</f>
        <v/>
      </c>
      <c r="V83" t="str">
        <f>IF($A83="","",SUMIFS(Allocation!$K$1:$K$175,Allocation!$C$1:$C$175,$A83))</f>
        <v/>
      </c>
      <c r="W83" t="str">
        <f>IF($A83="","",SUMIFS(Compta!$F$1:$F$675,Compta!$A$1:$A$675,$B83,Compta!$B$1:$B$675,"621",Compta!$C$1:$C$675,$A83))</f>
        <v/>
      </c>
      <c r="X83" t="str">
        <f>IF($A83="","",SUMIFS(Compta!$F$1:$F$675,Compta!$A$1:$A$675,$B83,Compta!$B$1:$B$675,"6411",Compta!$C$1:$C$675,$A83))</f>
        <v/>
      </c>
      <c r="Y83" t="str">
        <f>IF($A83="","",SUMIFS(Compta!$F$1:$F$675,Compta!$A$1:$A$675,$B83,Compta!$B$1:$B$675,"604",Compta!$C$1:$C$675,$A83)+SUMIFS(Compta!$F$1:$F$675,Compta!$A$1:$A$675,$B83,Compta!$B$1:$B$675,"6063",Compta!$C$1:$C$675,$A83))</f>
        <v/>
      </c>
      <c r="Z83" t="str">
        <f>IF($A83="","",SUMIFS(Compta!$F$1:$F$675,Compta!$A$1:$A$675,$B83,Compta!$B$1:$B$675,"6231",Compta!$C$1:$C$675,$A83))</f>
        <v/>
      </c>
      <c r="AA83" t="str">
        <f>IF($A83="",""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</f>
        <v/>
      </c>
      <c r="AB83" t="str">
        <f>IF($A83="",""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</f>
        <v/>
      </c>
      <c r="AC83" t="s">
        <v>297</v>
      </c>
      <c r="AD83" t="s">
        <v>297</v>
      </c>
      <c r="AE83" t="s">
        <v>297</v>
      </c>
      <c r="AF83" t="s">
        <v>297</v>
      </c>
      <c r="AG83" t="s">
        <v>297</v>
      </c>
      <c r="AH83" t="s">
        <v>297</v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 t="str">
        <f>IF($A83="","",SUMIFS(Compta!$F$1:$F$675,Compta!$A$1:$A$675,"GRP",Compta!$B$1:$B$675,"6236",Compta!$C$1:$C$675,$A83))</f>
        <v/>
      </c>
      <c r="AP83" t="s">
        <v>297</v>
      </c>
      <c r="AQ83" t="s">
        <v>297</v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IF($A84="","",SUMIFS(Socle!$K$1:$K$175,Socle!$C$1:$C$175,$B84,Socle!$D$1:$D$175,$D84,Socle!$E$1:$E$175,$E84,Socle!$F$1:$F$175,$F84,Socle!$G$1:$G$175,$A84))</f>
        <v/>
      </c>
      <c r="K84" t="str">
        <f t="shared" si="10"/>
        <v/>
      </c>
      <c r="L84" t="str">
        <f>IF($A84="","",SUMIFS(Allocation!$I$1:$I$175,Allocation!$C$1:$C$175,$A84,Allocation!$D$1:$D$175,$B84))</f>
        <v/>
      </c>
      <c r="M84" t="str">
        <f>IF($A84="","",SUMIFS(Allocation!$J$1:$J$175,Allocation!$C$1:$C$175,$A84,Allocation!$D$1:$D$175,$B84))</f>
        <v/>
      </c>
      <c r="N84" t="str">
        <f>IF($A84="","",SUMIFS(Allocation!$K$1:$K$175,Allocation!$C$1:$C$175,$A84,Allocation!$D$1:$D$175,$B84))</f>
        <v/>
      </c>
      <c r="O84" t="str">
        <f t="shared" si="11"/>
        <v/>
      </c>
      <c r="P84" t="str">
        <f t="shared" si="12"/>
        <v/>
      </c>
      <c r="Q84" t="str">
        <f>IF($A84="","",SUMIFS(Allocation!$I$1:$I$175,Allocation!$C$1:$C$175,$A84,Allocation!$E$1:$E$175,$C84))</f>
        <v/>
      </c>
      <c r="R84" t="str">
        <f>IF($A84="","",SUMIFS(Allocation!$J$1:$J$175,Allocation!$C$1:$C$175,$A84,Allocation!$E$1:$E$175,$C84))</f>
        <v/>
      </c>
      <c r="S84" t="str">
        <f>IF($A84="","",SUMIFS(Allocation!$K$1:$K$175,Allocation!$C$1:$C$175,$A84,Allocation!$E$1:$E$175,$C84))</f>
        <v/>
      </c>
      <c r="T84" t="str">
        <f>IF($A84="","",SUMIFS(Allocation!$I$1:$I$175,Allocation!$C$1:$C$175,$A84))</f>
        <v/>
      </c>
      <c r="U84" t="str">
        <f>IF($A84="","",SUMIFS(Allocation!$J$1:$J$175,Allocation!$C$1:$C$175,$A84))</f>
        <v/>
      </c>
      <c r="V84" t="str">
        <f>IF($A84="","",SUMIFS(Allocation!$K$1:$K$175,Allocation!$C$1:$C$175,$A84))</f>
        <v/>
      </c>
      <c r="W84" t="str">
        <f>IF($A84="","",SUMIFS(Compta!$F$1:$F$675,Compta!$A$1:$A$675,$B84,Compta!$B$1:$B$675,"621",Compta!$C$1:$C$675,$A84))</f>
        <v/>
      </c>
      <c r="X84" t="str">
        <f>IF($A84="","",SUMIFS(Compta!$F$1:$F$675,Compta!$A$1:$A$675,$B84,Compta!$B$1:$B$675,"6411",Compta!$C$1:$C$675,$A84))</f>
        <v/>
      </c>
      <c r="Y84" t="str">
        <f>IF($A84="","",SUMIFS(Compta!$F$1:$F$675,Compta!$A$1:$A$675,$B84,Compta!$B$1:$B$675,"604",Compta!$C$1:$C$675,$A84)+SUMIFS(Compta!$F$1:$F$675,Compta!$A$1:$A$675,$B84,Compta!$B$1:$B$675,"6063",Compta!$C$1:$C$675,$A84))</f>
        <v/>
      </c>
      <c r="Z84" t="str">
        <f>IF($A84="","",SUMIFS(Compta!$F$1:$F$675,Compta!$A$1:$A$675,$B84,Compta!$B$1:$B$675,"6231",Compta!$C$1:$C$675,$A84))</f>
        <v/>
      </c>
      <c r="AA84" t="str">
        <f>IF($A84="",""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</f>
        <v/>
      </c>
      <c r="AB84" t="str">
        <f>IF($A84="",""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</f>
        <v/>
      </c>
      <c r="AC84" t="s">
        <v>297</v>
      </c>
      <c r="AD84" t="s">
        <v>297</v>
      </c>
      <c r="AE84" t="s">
        <v>297</v>
      </c>
      <c r="AF84" t="s">
        <v>297</v>
      </c>
      <c r="AG84" t="s">
        <v>297</v>
      </c>
      <c r="AH84" t="s">
        <v>297</v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 t="str">
        <f>IF($A84="","",SUMIFS(Compta!$F$1:$F$675,Compta!$A$1:$A$675,"GRP",Compta!$B$1:$B$675,"6236",Compta!$C$1:$C$675,$A84))</f>
        <v/>
      </c>
      <c r="AP84" t="s">
        <v>297</v>
      </c>
      <c r="AQ84" t="s">
        <v>297</v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IF($A85="","",SUMIFS(Socle!$K$1:$K$175,Socle!$C$1:$C$175,$B85,Socle!$D$1:$D$175,$D85,Socle!$E$1:$E$175,$E85,Socle!$F$1:$F$175,$F85,Socle!$G$1:$G$175,$A85))</f>
        <v/>
      </c>
      <c r="K85" t="str">
        <f t="shared" si="10"/>
        <v/>
      </c>
      <c r="L85" t="str">
        <f>IF($A85="","",SUMIFS(Allocation!$I$1:$I$175,Allocation!$C$1:$C$175,$A85,Allocation!$D$1:$D$175,$B85))</f>
        <v/>
      </c>
      <c r="M85" t="str">
        <f>IF($A85="","",SUMIFS(Allocation!$J$1:$J$175,Allocation!$C$1:$C$175,$A85,Allocation!$D$1:$D$175,$B85))</f>
        <v/>
      </c>
      <c r="N85" t="str">
        <f>IF($A85="","",SUMIFS(Allocation!$K$1:$K$175,Allocation!$C$1:$C$175,$A85,Allocation!$D$1:$D$175,$B85))</f>
        <v/>
      </c>
      <c r="O85" t="str">
        <f t="shared" si="11"/>
        <v/>
      </c>
      <c r="P85" t="str">
        <f t="shared" si="12"/>
        <v/>
      </c>
      <c r="Q85" t="str">
        <f>IF($A85="","",SUMIFS(Allocation!$I$1:$I$175,Allocation!$C$1:$C$175,$A85,Allocation!$E$1:$E$175,$C85))</f>
        <v/>
      </c>
      <c r="R85" t="str">
        <f>IF($A85="","",SUMIFS(Allocation!$J$1:$J$175,Allocation!$C$1:$C$175,$A85,Allocation!$E$1:$E$175,$C85))</f>
        <v/>
      </c>
      <c r="S85" t="str">
        <f>IF($A85="","",SUMIFS(Allocation!$K$1:$K$175,Allocation!$C$1:$C$175,$A85,Allocation!$E$1:$E$175,$C85))</f>
        <v/>
      </c>
      <c r="T85" t="str">
        <f>IF($A85="","",SUMIFS(Allocation!$I$1:$I$175,Allocation!$C$1:$C$175,$A85))</f>
        <v/>
      </c>
      <c r="U85" t="str">
        <f>IF($A85="","",SUMIFS(Allocation!$J$1:$J$175,Allocation!$C$1:$C$175,$A85))</f>
        <v/>
      </c>
      <c r="V85" t="str">
        <f>IF($A85="","",SUMIFS(Allocation!$K$1:$K$175,Allocation!$C$1:$C$175,$A85))</f>
        <v/>
      </c>
      <c r="W85" t="str">
        <f>IF($A85="","",SUMIFS(Compta!$F$1:$F$675,Compta!$A$1:$A$675,$B85,Compta!$B$1:$B$675,"621",Compta!$C$1:$C$675,$A85))</f>
        <v/>
      </c>
      <c r="X85" t="str">
        <f>IF($A85="","",SUMIFS(Compta!$F$1:$F$675,Compta!$A$1:$A$675,$B85,Compta!$B$1:$B$675,"6411",Compta!$C$1:$C$675,$A85))</f>
        <v/>
      </c>
      <c r="Y85" t="str">
        <f>IF($A85="","",SUMIFS(Compta!$F$1:$F$675,Compta!$A$1:$A$675,$B85,Compta!$B$1:$B$675,"604",Compta!$C$1:$C$675,$A85)+SUMIFS(Compta!$F$1:$F$675,Compta!$A$1:$A$675,$B85,Compta!$B$1:$B$675,"6063",Compta!$C$1:$C$675,$A85))</f>
        <v/>
      </c>
      <c r="Z85" t="str">
        <f>IF($A85="","",SUMIFS(Compta!$F$1:$F$675,Compta!$A$1:$A$675,$B85,Compta!$B$1:$B$675,"6231",Compta!$C$1:$C$675,$A85))</f>
        <v/>
      </c>
      <c r="AA85" t="str">
        <f>IF($A85="",""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</f>
        <v/>
      </c>
      <c r="AB85" t="str">
        <f>IF($A85="",""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</f>
        <v/>
      </c>
      <c r="AC85" t="s">
        <v>297</v>
      </c>
      <c r="AD85" t="s">
        <v>297</v>
      </c>
      <c r="AE85" t="s">
        <v>297</v>
      </c>
      <c r="AF85" t="s">
        <v>297</v>
      </c>
      <c r="AG85" t="s">
        <v>297</v>
      </c>
      <c r="AH85" t="s">
        <v>297</v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 t="str">
        <f>IF($A85="","",SUMIFS(Compta!$F$1:$F$675,Compta!$A$1:$A$675,"GRP",Compta!$B$1:$B$675,"6236",Compta!$C$1:$C$675,$A85))</f>
        <v/>
      </c>
      <c r="AP85" t="s">
        <v>297</v>
      </c>
      <c r="AQ85" t="s">
        <v>297</v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IF($A86="","",SUMIFS(Socle!$K$1:$K$175,Socle!$C$1:$C$175,$B86,Socle!$D$1:$D$175,$D86,Socle!$E$1:$E$175,$E86,Socle!$F$1:$F$175,$F86,Socle!$G$1:$G$175,$A86))</f>
        <v/>
      </c>
      <c r="K86" t="str">
        <f t="shared" si="10"/>
        <v/>
      </c>
      <c r="L86" t="str">
        <f>IF($A86="","",SUMIFS(Allocation!$I$1:$I$175,Allocation!$C$1:$C$175,$A86,Allocation!$D$1:$D$175,$B86))</f>
        <v/>
      </c>
      <c r="M86" t="str">
        <f>IF($A86="","",SUMIFS(Allocation!$J$1:$J$175,Allocation!$C$1:$C$175,$A86,Allocation!$D$1:$D$175,$B86))</f>
        <v/>
      </c>
      <c r="N86" t="str">
        <f>IF($A86="","",SUMIFS(Allocation!$K$1:$K$175,Allocation!$C$1:$C$175,$A86,Allocation!$D$1:$D$175,$B86))</f>
        <v/>
      </c>
      <c r="O86" t="str">
        <f t="shared" si="11"/>
        <v/>
      </c>
      <c r="P86" t="str">
        <f t="shared" si="12"/>
        <v/>
      </c>
      <c r="Q86" t="str">
        <f>IF($A86="","",SUMIFS(Allocation!$I$1:$I$175,Allocation!$C$1:$C$175,$A86,Allocation!$E$1:$E$175,$C86))</f>
        <v/>
      </c>
      <c r="R86" t="str">
        <f>IF($A86="","",SUMIFS(Allocation!$J$1:$J$175,Allocation!$C$1:$C$175,$A86,Allocation!$E$1:$E$175,$C86))</f>
        <v/>
      </c>
      <c r="S86" t="str">
        <f>IF($A86="","",SUMIFS(Allocation!$K$1:$K$175,Allocation!$C$1:$C$175,$A86,Allocation!$E$1:$E$175,$C86))</f>
        <v/>
      </c>
      <c r="T86" t="str">
        <f>IF($A86="","",SUMIFS(Allocation!$I$1:$I$175,Allocation!$C$1:$C$175,$A86))</f>
        <v/>
      </c>
      <c r="U86" t="str">
        <f>IF($A86="","",SUMIFS(Allocation!$J$1:$J$175,Allocation!$C$1:$C$175,$A86))</f>
        <v/>
      </c>
      <c r="V86" t="str">
        <f>IF($A86="","",SUMIFS(Allocation!$K$1:$K$175,Allocation!$C$1:$C$175,$A86))</f>
        <v/>
      </c>
      <c r="W86" t="str">
        <f>IF($A86="","",SUMIFS(Compta!$F$1:$F$675,Compta!$A$1:$A$675,$B86,Compta!$B$1:$B$675,"621",Compta!$C$1:$C$675,$A86))</f>
        <v/>
      </c>
      <c r="X86" t="str">
        <f>IF($A86="","",SUMIFS(Compta!$F$1:$F$675,Compta!$A$1:$A$675,$B86,Compta!$B$1:$B$675,"6411",Compta!$C$1:$C$675,$A86))</f>
        <v/>
      </c>
      <c r="Y86" t="str">
        <f>IF($A86="","",SUMIFS(Compta!$F$1:$F$675,Compta!$A$1:$A$675,$B86,Compta!$B$1:$B$675,"604",Compta!$C$1:$C$675,$A86)+SUMIFS(Compta!$F$1:$F$675,Compta!$A$1:$A$675,$B86,Compta!$B$1:$B$675,"6063",Compta!$C$1:$C$675,$A86))</f>
        <v/>
      </c>
      <c r="Z86" t="str">
        <f>IF($A86="","",SUMIFS(Compta!$F$1:$F$675,Compta!$A$1:$A$675,$B86,Compta!$B$1:$B$675,"6231",Compta!$C$1:$C$675,$A86))</f>
        <v/>
      </c>
      <c r="AA86" t="str">
        <f>IF($A86="",""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</f>
        <v/>
      </c>
      <c r="AB86" t="str">
        <f>IF($A86="",""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</f>
        <v/>
      </c>
      <c r="AC86" t="s">
        <v>297</v>
      </c>
      <c r="AD86" t="s">
        <v>297</v>
      </c>
      <c r="AE86" t="s">
        <v>297</v>
      </c>
      <c r="AF86" t="s">
        <v>297</v>
      </c>
      <c r="AG86" t="s">
        <v>297</v>
      </c>
      <c r="AH86" t="s">
        <v>297</v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 t="str">
        <f>IF($A86="","",SUMIFS(Compta!$F$1:$F$675,Compta!$A$1:$A$675,"GRP",Compta!$B$1:$B$675,"6236",Compta!$C$1:$C$675,$A86))</f>
        <v/>
      </c>
      <c r="AP86" t="s">
        <v>297</v>
      </c>
      <c r="AQ86" t="s">
        <v>297</v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IF($A87="","",SUMIFS(Socle!$K$1:$K$175,Socle!$C$1:$C$175,$B87,Socle!$D$1:$D$175,$D87,Socle!$E$1:$E$175,$E87,Socle!$F$1:$F$175,$F87,Socle!$G$1:$G$175,$A87))</f>
        <v/>
      </c>
      <c r="K87" t="str">
        <f t="shared" si="10"/>
        <v/>
      </c>
      <c r="L87" t="str">
        <f>IF($A87="","",SUMIFS(Allocation!$I$1:$I$175,Allocation!$C$1:$C$175,$A87,Allocation!$D$1:$D$175,$B87))</f>
        <v/>
      </c>
      <c r="M87" t="str">
        <f>IF($A87="","",SUMIFS(Allocation!$J$1:$J$175,Allocation!$C$1:$C$175,$A87,Allocation!$D$1:$D$175,$B87))</f>
        <v/>
      </c>
      <c r="N87" t="str">
        <f>IF($A87="","",SUMIFS(Allocation!$K$1:$K$175,Allocation!$C$1:$C$175,$A87,Allocation!$D$1:$D$175,$B87))</f>
        <v/>
      </c>
      <c r="O87" t="str">
        <f t="shared" si="11"/>
        <v/>
      </c>
      <c r="P87" t="str">
        <f t="shared" si="12"/>
        <v/>
      </c>
      <c r="Q87" t="str">
        <f>IF($A87="","",SUMIFS(Allocation!$I$1:$I$175,Allocation!$C$1:$C$175,$A87,Allocation!$E$1:$E$175,$C87))</f>
        <v/>
      </c>
      <c r="R87" t="str">
        <f>IF($A87="","",SUMIFS(Allocation!$J$1:$J$175,Allocation!$C$1:$C$175,$A87,Allocation!$E$1:$E$175,$C87))</f>
        <v/>
      </c>
      <c r="S87" t="str">
        <f>IF($A87="","",SUMIFS(Allocation!$K$1:$K$175,Allocation!$C$1:$C$175,$A87,Allocation!$E$1:$E$175,$C87))</f>
        <v/>
      </c>
      <c r="T87" t="str">
        <f>IF($A87="","",SUMIFS(Allocation!$I$1:$I$175,Allocation!$C$1:$C$175,$A87))</f>
        <v/>
      </c>
      <c r="U87" t="str">
        <f>IF($A87="","",SUMIFS(Allocation!$J$1:$J$175,Allocation!$C$1:$C$175,$A87))</f>
        <v/>
      </c>
      <c r="V87" t="str">
        <f>IF($A87="","",SUMIFS(Allocation!$K$1:$K$175,Allocation!$C$1:$C$175,$A87))</f>
        <v/>
      </c>
      <c r="W87" t="str">
        <f>IF($A87="","",SUMIFS(Compta!$F$1:$F$675,Compta!$A$1:$A$675,$B87,Compta!$B$1:$B$675,"621",Compta!$C$1:$C$675,$A87))</f>
        <v/>
      </c>
      <c r="X87" t="str">
        <f>IF($A87="","",SUMIFS(Compta!$F$1:$F$675,Compta!$A$1:$A$675,$B87,Compta!$B$1:$B$675,"6411",Compta!$C$1:$C$675,$A87))</f>
        <v/>
      </c>
      <c r="Y87" t="str">
        <f>IF($A87="","",SUMIFS(Compta!$F$1:$F$675,Compta!$A$1:$A$675,$B87,Compta!$B$1:$B$675,"604",Compta!$C$1:$C$675,$A87)+SUMIFS(Compta!$F$1:$F$675,Compta!$A$1:$A$675,$B87,Compta!$B$1:$B$675,"6063",Compta!$C$1:$C$675,$A87))</f>
        <v/>
      </c>
      <c r="Z87" t="str">
        <f>IF($A87="","",SUMIFS(Compta!$F$1:$F$675,Compta!$A$1:$A$675,$B87,Compta!$B$1:$B$675,"6231",Compta!$C$1:$C$675,$A87))</f>
        <v/>
      </c>
      <c r="AA87" t="str">
        <f>IF($A87="",""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</f>
        <v/>
      </c>
      <c r="AB87" t="str">
        <f>IF($A87="",""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</f>
        <v/>
      </c>
      <c r="AC87" t="s">
        <v>297</v>
      </c>
      <c r="AD87" t="s">
        <v>297</v>
      </c>
      <c r="AE87" t="s">
        <v>297</v>
      </c>
      <c r="AF87" t="s">
        <v>297</v>
      </c>
      <c r="AG87" t="s">
        <v>297</v>
      </c>
      <c r="AH87" t="s">
        <v>297</v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 t="str">
        <f>IF($A87="","",SUMIFS(Compta!$F$1:$F$675,Compta!$A$1:$A$675,"GRP",Compta!$B$1:$B$675,"6236",Compta!$C$1:$C$675,$A87))</f>
        <v/>
      </c>
      <c r="AP87" t="s">
        <v>297</v>
      </c>
      <c r="AQ87" t="s">
        <v>297</v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IF($A88="","",SUMIFS(Socle!$K$1:$K$175,Socle!$C$1:$C$175,$B88,Socle!$D$1:$D$175,$D88,Socle!$E$1:$E$175,$E88,Socle!$F$1:$F$175,$F88,Socle!$G$1:$G$175,$A88))</f>
        <v/>
      </c>
      <c r="K88" t="str">
        <f t="shared" si="10"/>
        <v/>
      </c>
      <c r="L88" t="str">
        <f>IF($A88="","",SUMIFS(Allocation!$I$1:$I$175,Allocation!$C$1:$C$175,$A88,Allocation!$D$1:$D$175,$B88))</f>
        <v/>
      </c>
      <c r="M88" t="str">
        <f>IF($A88="","",SUMIFS(Allocation!$J$1:$J$175,Allocation!$C$1:$C$175,$A88,Allocation!$D$1:$D$175,$B88))</f>
        <v/>
      </c>
      <c r="N88" t="str">
        <f>IF($A88="","",SUMIFS(Allocation!$K$1:$K$175,Allocation!$C$1:$C$175,$A88,Allocation!$D$1:$D$175,$B88))</f>
        <v/>
      </c>
      <c r="O88" t="str">
        <f t="shared" si="11"/>
        <v/>
      </c>
      <c r="P88" t="str">
        <f t="shared" si="12"/>
        <v/>
      </c>
      <c r="Q88" t="str">
        <f>IF($A88="","",SUMIFS(Allocation!$I$1:$I$175,Allocation!$C$1:$C$175,$A88,Allocation!$E$1:$E$175,$C88))</f>
        <v/>
      </c>
      <c r="R88" t="str">
        <f>IF($A88="","",SUMIFS(Allocation!$J$1:$J$175,Allocation!$C$1:$C$175,$A88,Allocation!$E$1:$E$175,$C88))</f>
        <v/>
      </c>
      <c r="S88" t="str">
        <f>IF($A88="","",SUMIFS(Allocation!$K$1:$K$175,Allocation!$C$1:$C$175,$A88,Allocation!$E$1:$E$175,$C88))</f>
        <v/>
      </c>
      <c r="T88" t="str">
        <f>IF($A88="","",SUMIFS(Allocation!$I$1:$I$175,Allocation!$C$1:$C$175,$A88))</f>
        <v/>
      </c>
      <c r="U88" t="str">
        <f>IF($A88="","",SUMIFS(Allocation!$J$1:$J$175,Allocation!$C$1:$C$175,$A88))</f>
        <v/>
      </c>
      <c r="V88" t="str">
        <f>IF($A88="","",SUMIFS(Allocation!$K$1:$K$175,Allocation!$C$1:$C$175,$A88))</f>
        <v/>
      </c>
      <c r="W88" t="str">
        <f>IF($A88="","",SUMIFS(Compta!$F$1:$F$675,Compta!$A$1:$A$675,$B88,Compta!$B$1:$B$675,"621",Compta!$C$1:$C$675,$A88))</f>
        <v/>
      </c>
      <c r="X88" t="str">
        <f>IF($A88="","",SUMIFS(Compta!$F$1:$F$675,Compta!$A$1:$A$675,$B88,Compta!$B$1:$B$675,"6411",Compta!$C$1:$C$675,$A88))</f>
        <v/>
      </c>
      <c r="Y88" t="str">
        <f>IF($A88="","",SUMIFS(Compta!$F$1:$F$675,Compta!$A$1:$A$675,$B88,Compta!$B$1:$B$675,"604",Compta!$C$1:$C$675,$A88)+SUMIFS(Compta!$F$1:$F$675,Compta!$A$1:$A$675,$B88,Compta!$B$1:$B$675,"6063",Compta!$C$1:$C$675,$A88))</f>
        <v/>
      </c>
      <c r="Z88" t="str">
        <f>IF($A88="","",SUMIFS(Compta!$F$1:$F$675,Compta!$A$1:$A$675,$B88,Compta!$B$1:$B$675,"6231",Compta!$C$1:$C$675,$A88))</f>
        <v/>
      </c>
      <c r="AA88" t="str">
        <f>IF($A88="",""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</f>
        <v/>
      </c>
      <c r="AB88" t="str">
        <f>IF($A88="",""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</f>
        <v/>
      </c>
      <c r="AC88" t="s">
        <v>297</v>
      </c>
      <c r="AD88" t="s">
        <v>297</v>
      </c>
      <c r="AE88" t="s">
        <v>297</v>
      </c>
      <c r="AF88" t="s">
        <v>297</v>
      </c>
      <c r="AG88" t="s">
        <v>297</v>
      </c>
      <c r="AH88" t="s">
        <v>297</v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 t="str">
        <f>IF($A88="","",SUMIFS(Compta!$F$1:$F$675,Compta!$A$1:$A$675,"GRP",Compta!$B$1:$B$675,"6236",Compta!$C$1:$C$675,$A88))</f>
        <v/>
      </c>
      <c r="AP88" t="s">
        <v>297</v>
      </c>
      <c r="AQ88" t="s">
        <v>297</v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IF($A89="","",SUMIFS(Socle!$K$1:$K$175,Socle!$C$1:$C$175,$B89,Socle!$D$1:$D$175,$D89,Socle!$E$1:$E$175,$E89,Socle!$F$1:$F$175,$F89,Socle!$G$1:$G$175,$A89))</f>
        <v/>
      </c>
      <c r="K89" t="str">
        <f t="shared" si="10"/>
        <v/>
      </c>
      <c r="L89" t="str">
        <f>IF($A89="","",SUMIFS(Allocation!$I$1:$I$175,Allocation!$C$1:$C$175,$A89,Allocation!$D$1:$D$175,$B89))</f>
        <v/>
      </c>
      <c r="M89" t="str">
        <f>IF($A89="","",SUMIFS(Allocation!$J$1:$J$175,Allocation!$C$1:$C$175,$A89,Allocation!$D$1:$D$175,$B89))</f>
        <v/>
      </c>
      <c r="N89" t="str">
        <f>IF($A89="","",SUMIFS(Allocation!$K$1:$K$175,Allocation!$C$1:$C$175,$A89,Allocation!$D$1:$D$175,$B89))</f>
        <v/>
      </c>
      <c r="O89" t="str">
        <f t="shared" si="11"/>
        <v/>
      </c>
      <c r="P89" t="str">
        <f t="shared" si="12"/>
        <v/>
      </c>
      <c r="Q89" t="str">
        <f>IF($A89="","",SUMIFS(Allocation!$I$1:$I$175,Allocation!$C$1:$C$175,$A89,Allocation!$E$1:$E$175,$C89))</f>
        <v/>
      </c>
      <c r="R89" t="str">
        <f>IF($A89="","",SUMIFS(Allocation!$J$1:$J$175,Allocation!$C$1:$C$175,$A89,Allocation!$E$1:$E$175,$C89))</f>
        <v/>
      </c>
      <c r="S89" t="str">
        <f>IF($A89="","",SUMIFS(Allocation!$K$1:$K$175,Allocation!$C$1:$C$175,$A89,Allocation!$E$1:$E$175,$C89))</f>
        <v/>
      </c>
      <c r="T89" t="str">
        <f>IF($A89="","",SUMIFS(Allocation!$I$1:$I$175,Allocation!$C$1:$C$175,$A89))</f>
        <v/>
      </c>
      <c r="U89" t="str">
        <f>IF($A89="","",SUMIFS(Allocation!$J$1:$J$175,Allocation!$C$1:$C$175,$A89))</f>
        <v/>
      </c>
      <c r="V89" t="str">
        <f>IF($A89="","",SUMIFS(Allocation!$K$1:$K$175,Allocation!$C$1:$C$175,$A89))</f>
        <v/>
      </c>
      <c r="W89" t="str">
        <f>IF($A89="","",SUMIFS(Compta!$F$1:$F$675,Compta!$A$1:$A$675,$B89,Compta!$B$1:$B$675,"621",Compta!$C$1:$C$675,$A89))</f>
        <v/>
      </c>
      <c r="X89" t="str">
        <f>IF($A89="","",SUMIFS(Compta!$F$1:$F$675,Compta!$A$1:$A$675,$B89,Compta!$B$1:$B$675,"6411",Compta!$C$1:$C$675,$A89))</f>
        <v/>
      </c>
      <c r="Y89" t="str">
        <f>IF($A89="","",SUMIFS(Compta!$F$1:$F$675,Compta!$A$1:$A$675,$B89,Compta!$B$1:$B$675,"604",Compta!$C$1:$C$675,$A89)+SUMIFS(Compta!$F$1:$F$675,Compta!$A$1:$A$675,$B89,Compta!$B$1:$B$675,"6063",Compta!$C$1:$C$675,$A89))</f>
        <v/>
      </c>
      <c r="Z89" t="str">
        <f>IF($A89="","",SUMIFS(Compta!$F$1:$F$675,Compta!$A$1:$A$675,$B89,Compta!$B$1:$B$675,"6231",Compta!$C$1:$C$675,$A89))</f>
        <v/>
      </c>
      <c r="AA89" t="str">
        <f>IF($A89="",""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</f>
        <v/>
      </c>
      <c r="AB89" t="str">
        <f>IF($A89="",""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</f>
        <v/>
      </c>
      <c r="AC89" t="s">
        <v>297</v>
      </c>
      <c r="AD89" t="s">
        <v>297</v>
      </c>
      <c r="AE89" t="s">
        <v>297</v>
      </c>
      <c r="AF89" t="s">
        <v>297</v>
      </c>
      <c r="AG89" t="s">
        <v>297</v>
      </c>
      <c r="AH89" t="s">
        <v>297</v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 t="str">
        <f>IF($A89="","",SUMIFS(Compta!$F$1:$F$675,Compta!$A$1:$A$675,"GRP",Compta!$B$1:$B$675,"6236",Compta!$C$1:$C$675,$A89))</f>
        <v/>
      </c>
      <c r="AP89" t="s">
        <v>297</v>
      </c>
      <c r="AQ89" t="s">
        <v>297</v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IF($A90="","",SUMIFS(Socle!$K$1:$K$175,Socle!$C$1:$C$175,$B90,Socle!$D$1:$D$175,$D90,Socle!$E$1:$E$175,$E90,Socle!$F$1:$F$175,$F90,Socle!$G$1:$G$175,$A90))</f>
        <v/>
      </c>
      <c r="K90" t="str">
        <f t="shared" si="10"/>
        <v/>
      </c>
      <c r="L90" t="str">
        <f>IF($A90="","",SUMIFS(Allocation!$I$1:$I$175,Allocation!$C$1:$C$175,$A90,Allocation!$D$1:$D$175,$B90))</f>
        <v/>
      </c>
      <c r="M90" t="str">
        <f>IF($A90="","",SUMIFS(Allocation!$J$1:$J$175,Allocation!$C$1:$C$175,$A90,Allocation!$D$1:$D$175,$B90))</f>
        <v/>
      </c>
      <c r="N90" t="str">
        <f>IF($A90="","",SUMIFS(Allocation!$K$1:$K$175,Allocation!$C$1:$C$175,$A90,Allocation!$D$1:$D$175,$B90))</f>
        <v/>
      </c>
      <c r="O90" t="str">
        <f t="shared" si="11"/>
        <v/>
      </c>
      <c r="P90" t="str">
        <f t="shared" si="12"/>
        <v/>
      </c>
      <c r="Q90" t="str">
        <f>IF($A90="","",SUMIFS(Allocation!$I$1:$I$175,Allocation!$C$1:$C$175,$A90,Allocation!$E$1:$E$175,$C90))</f>
        <v/>
      </c>
      <c r="R90" t="str">
        <f>IF($A90="","",SUMIFS(Allocation!$J$1:$J$175,Allocation!$C$1:$C$175,$A90,Allocation!$E$1:$E$175,$C90))</f>
        <v/>
      </c>
      <c r="S90" t="str">
        <f>IF($A90="","",SUMIFS(Allocation!$K$1:$K$175,Allocation!$C$1:$C$175,$A90,Allocation!$E$1:$E$175,$C90))</f>
        <v/>
      </c>
      <c r="T90" t="str">
        <f>IF($A90="","",SUMIFS(Allocation!$I$1:$I$175,Allocation!$C$1:$C$175,$A90))</f>
        <v/>
      </c>
      <c r="U90" t="str">
        <f>IF($A90="","",SUMIFS(Allocation!$J$1:$J$175,Allocation!$C$1:$C$175,$A90))</f>
        <v/>
      </c>
      <c r="V90" t="str">
        <f>IF($A90="","",SUMIFS(Allocation!$K$1:$K$175,Allocation!$C$1:$C$175,$A90))</f>
        <v/>
      </c>
      <c r="W90" t="str">
        <f>IF($A90="","",SUMIFS(Compta!$F$1:$F$675,Compta!$A$1:$A$675,$B90,Compta!$B$1:$B$675,"621",Compta!$C$1:$C$675,$A90))</f>
        <v/>
      </c>
      <c r="X90" t="str">
        <f>IF($A90="","",SUMIFS(Compta!$F$1:$F$675,Compta!$A$1:$A$675,$B90,Compta!$B$1:$B$675,"6411",Compta!$C$1:$C$675,$A90))</f>
        <v/>
      </c>
      <c r="Y90" t="str">
        <f>IF($A90="","",SUMIFS(Compta!$F$1:$F$675,Compta!$A$1:$A$675,$B90,Compta!$B$1:$B$675,"604",Compta!$C$1:$C$675,$A90)+SUMIFS(Compta!$F$1:$F$675,Compta!$A$1:$A$675,$B90,Compta!$B$1:$B$675,"6063",Compta!$C$1:$C$675,$A90))</f>
        <v/>
      </c>
      <c r="Z90" t="str">
        <f>IF($A90="","",SUMIFS(Compta!$F$1:$F$675,Compta!$A$1:$A$675,$B90,Compta!$B$1:$B$675,"6231",Compta!$C$1:$C$675,$A90))</f>
        <v/>
      </c>
      <c r="AA90" t="str">
        <f>IF($A90="",""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</f>
        <v/>
      </c>
      <c r="AB90" t="str">
        <f>IF($A90="",""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</f>
        <v/>
      </c>
      <c r="AC90" t="s">
        <v>297</v>
      </c>
      <c r="AD90" t="s">
        <v>297</v>
      </c>
      <c r="AE90" t="s">
        <v>297</v>
      </c>
      <c r="AF90" t="s">
        <v>297</v>
      </c>
      <c r="AG90" t="s">
        <v>297</v>
      </c>
      <c r="AH90" t="s">
        <v>297</v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 t="str">
        <f>IF($A90="","",SUMIFS(Compta!$F$1:$F$675,Compta!$A$1:$A$675,"GRP",Compta!$B$1:$B$675,"6236",Compta!$C$1:$C$675,$A90))</f>
        <v/>
      </c>
      <c r="AP90" t="s">
        <v>297</v>
      </c>
      <c r="AQ90" t="s">
        <v>297</v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IF($A91="","",SUMIFS(Socle!$K$1:$K$175,Socle!$C$1:$C$175,$B91,Socle!$D$1:$D$175,$D91,Socle!$E$1:$E$175,$E91,Socle!$F$1:$F$175,$F91,Socle!$G$1:$G$175,$A91))</f>
        <v/>
      </c>
      <c r="K91" t="str">
        <f t="shared" si="10"/>
        <v/>
      </c>
      <c r="L91" t="str">
        <f>IF($A91="","",SUMIFS(Allocation!$I$1:$I$175,Allocation!$C$1:$C$175,$A91,Allocation!$D$1:$D$175,$B91))</f>
        <v/>
      </c>
      <c r="M91" t="str">
        <f>IF($A91="","",SUMIFS(Allocation!$J$1:$J$175,Allocation!$C$1:$C$175,$A91,Allocation!$D$1:$D$175,$B91))</f>
        <v/>
      </c>
      <c r="N91" t="str">
        <f>IF($A91="","",SUMIFS(Allocation!$K$1:$K$175,Allocation!$C$1:$C$175,$A91,Allocation!$D$1:$D$175,$B91))</f>
        <v/>
      </c>
      <c r="O91" t="str">
        <f t="shared" si="11"/>
        <v/>
      </c>
      <c r="P91" t="str">
        <f t="shared" si="12"/>
        <v/>
      </c>
      <c r="Q91" t="str">
        <f>IF($A91="","",SUMIFS(Allocation!$I$1:$I$175,Allocation!$C$1:$C$175,$A91,Allocation!$E$1:$E$175,$C91))</f>
        <v/>
      </c>
      <c r="R91" t="str">
        <f>IF($A91="","",SUMIFS(Allocation!$J$1:$J$175,Allocation!$C$1:$C$175,$A91,Allocation!$E$1:$E$175,$C91))</f>
        <v/>
      </c>
      <c r="S91" t="str">
        <f>IF($A91="","",SUMIFS(Allocation!$K$1:$K$175,Allocation!$C$1:$C$175,$A91,Allocation!$E$1:$E$175,$C91))</f>
        <v/>
      </c>
      <c r="T91" t="str">
        <f>IF($A91="","",SUMIFS(Allocation!$I$1:$I$175,Allocation!$C$1:$C$175,$A91))</f>
        <v/>
      </c>
      <c r="U91" t="str">
        <f>IF($A91="","",SUMIFS(Allocation!$J$1:$J$175,Allocation!$C$1:$C$175,$A91))</f>
        <v/>
      </c>
      <c r="V91" t="str">
        <f>IF($A91="","",SUMIFS(Allocation!$K$1:$K$175,Allocation!$C$1:$C$175,$A91))</f>
        <v/>
      </c>
      <c r="W91" t="str">
        <f>IF($A91="","",SUMIFS(Compta!$F$1:$F$675,Compta!$A$1:$A$675,$B91,Compta!$B$1:$B$675,"621",Compta!$C$1:$C$675,$A91))</f>
        <v/>
      </c>
      <c r="X91" t="str">
        <f>IF($A91="","",SUMIFS(Compta!$F$1:$F$675,Compta!$A$1:$A$675,$B91,Compta!$B$1:$B$675,"6411",Compta!$C$1:$C$675,$A91))</f>
        <v/>
      </c>
      <c r="Y91" t="str">
        <f>IF($A91="","",SUMIFS(Compta!$F$1:$F$675,Compta!$A$1:$A$675,$B91,Compta!$B$1:$B$675,"604",Compta!$C$1:$C$675,$A91)+SUMIFS(Compta!$F$1:$F$675,Compta!$A$1:$A$675,$B91,Compta!$B$1:$B$675,"6063",Compta!$C$1:$C$675,$A91))</f>
        <v/>
      </c>
      <c r="Z91" t="str">
        <f>IF($A91="","",SUMIFS(Compta!$F$1:$F$675,Compta!$A$1:$A$675,$B91,Compta!$B$1:$B$675,"6231",Compta!$C$1:$C$675,$A91))</f>
        <v/>
      </c>
      <c r="AA91" t="str">
        <f>IF($A91="",""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</f>
        <v/>
      </c>
      <c r="AB91" t="str">
        <f>IF($A91="",""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</f>
        <v/>
      </c>
      <c r="AC91" t="s">
        <v>297</v>
      </c>
      <c r="AD91" t="s">
        <v>297</v>
      </c>
      <c r="AE91" t="s">
        <v>297</v>
      </c>
      <c r="AF91" t="s">
        <v>297</v>
      </c>
      <c r="AG91" t="s">
        <v>297</v>
      </c>
      <c r="AH91" t="s">
        <v>297</v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 t="str">
        <f>IF($A91="","",SUMIFS(Compta!$F$1:$F$675,Compta!$A$1:$A$675,"GRP",Compta!$B$1:$B$675,"6236",Compta!$C$1:$C$675,$A91))</f>
        <v/>
      </c>
      <c r="AP91" t="s">
        <v>297</v>
      </c>
      <c r="AQ91" t="s">
        <v>297</v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IF($A92="","",SUMIFS(Socle!$K$1:$K$175,Socle!$C$1:$C$175,$B92,Socle!$D$1:$D$175,$D92,Socle!$E$1:$E$175,$E92,Socle!$F$1:$F$175,$F92,Socle!$G$1:$G$175,$A92))</f>
        <v/>
      </c>
      <c r="K92" t="str">
        <f t="shared" si="10"/>
        <v/>
      </c>
      <c r="L92" t="str">
        <f>IF($A92="","",SUMIFS(Allocation!$I$1:$I$175,Allocation!$C$1:$C$175,$A92,Allocation!$D$1:$D$175,$B92))</f>
        <v/>
      </c>
      <c r="M92" t="str">
        <f>IF($A92="","",SUMIFS(Allocation!$J$1:$J$175,Allocation!$C$1:$C$175,$A92,Allocation!$D$1:$D$175,$B92))</f>
        <v/>
      </c>
      <c r="N92" t="str">
        <f>IF($A92="","",SUMIFS(Allocation!$K$1:$K$175,Allocation!$C$1:$C$175,$A92,Allocation!$D$1:$D$175,$B92))</f>
        <v/>
      </c>
      <c r="O92" t="str">
        <f t="shared" si="11"/>
        <v/>
      </c>
      <c r="P92" t="str">
        <f t="shared" si="12"/>
        <v/>
      </c>
      <c r="Q92" t="str">
        <f>IF($A92="","",SUMIFS(Allocation!$I$1:$I$175,Allocation!$C$1:$C$175,$A92,Allocation!$E$1:$E$175,$C92))</f>
        <v/>
      </c>
      <c r="R92" t="str">
        <f>IF($A92="","",SUMIFS(Allocation!$J$1:$J$175,Allocation!$C$1:$C$175,$A92,Allocation!$E$1:$E$175,$C92))</f>
        <v/>
      </c>
      <c r="S92" t="str">
        <f>IF($A92="","",SUMIFS(Allocation!$K$1:$K$175,Allocation!$C$1:$C$175,$A92,Allocation!$E$1:$E$175,$C92))</f>
        <v/>
      </c>
      <c r="T92" t="str">
        <f>IF($A92="","",SUMIFS(Allocation!$I$1:$I$175,Allocation!$C$1:$C$175,$A92))</f>
        <v/>
      </c>
      <c r="U92" t="str">
        <f>IF($A92="","",SUMIFS(Allocation!$J$1:$J$175,Allocation!$C$1:$C$175,$A92))</f>
        <v/>
      </c>
      <c r="V92" t="str">
        <f>IF($A92="","",SUMIFS(Allocation!$K$1:$K$175,Allocation!$C$1:$C$175,$A92))</f>
        <v/>
      </c>
      <c r="W92" t="str">
        <f>IF($A92="","",SUMIFS(Compta!$F$1:$F$675,Compta!$A$1:$A$675,$B92,Compta!$B$1:$B$675,"621",Compta!$C$1:$C$675,$A92))</f>
        <v/>
      </c>
      <c r="X92" t="str">
        <f>IF($A92="","",SUMIFS(Compta!$F$1:$F$675,Compta!$A$1:$A$675,$B92,Compta!$B$1:$B$675,"6411",Compta!$C$1:$C$675,$A92))</f>
        <v/>
      </c>
      <c r="Y92" t="str">
        <f>IF($A92="","",SUMIFS(Compta!$F$1:$F$675,Compta!$A$1:$A$675,$B92,Compta!$B$1:$B$675,"604",Compta!$C$1:$C$675,$A92)+SUMIFS(Compta!$F$1:$F$675,Compta!$A$1:$A$675,$B92,Compta!$B$1:$B$675,"6063",Compta!$C$1:$C$675,$A92))</f>
        <v/>
      </c>
      <c r="Z92" t="str">
        <f>IF($A92="","",SUMIFS(Compta!$F$1:$F$675,Compta!$A$1:$A$675,$B92,Compta!$B$1:$B$675,"6231",Compta!$C$1:$C$675,$A92))</f>
        <v/>
      </c>
      <c r="AA92" t="str">
        <f>IF($A92="",""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</f>
        <v/>
      </c>
      <c r="AB92" t="str">
        <f>IF($A92="",""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</f>
        <v/>
      </c>
      <c r="AC92" t="s">
        <v>297</v>
      </c>
      <c r="AD92" t="s">
        <v>297</v>
      </c>
      <c r="AE92" t="s">
        <v>297</v>
      </c>
      <c r="AF92" t="s">
        <v>297</v>
      </c>
      <c r="AG92" t="s">
        <v>297</v>
      </c>
      <c r="AH92" t="s">
        <v>297</v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 t="str">
        <f>IF($A92="","",SUMIFS(Compta!$F$1:$F$675,Compta!$A$1:$A$675,"GRP",Compta!$B$1:$B$675,"6236",Compta!$C$1:$C$675,$A92))</f>
        <v/>
      </c>
      <c r="AP92" t="s">
        <v>297</v>
      </c>
      <c r="AQ92" t="s">
        <v>297</v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IF($A93="","",SUMIFS(Socle!$K$1:$K$175,Socle!$C$1:$C$175,$B93,Socle!$D$1:$D$175,$D93,Socle!$E$1:$E$175,$E93,Socle!$F$1:$F$175,$F93,Socle!$G$1:$G$175,$A93))</f>
        <v/>
      </c>
      <c r="K93" t="str">
        <f t="shared" si="10"/>
        <v/>
      </c>
      <c r="L93" t="str">
        <f>IF($A93="","",SUMIFS(Allocation!$I$1:$I$175,Allocation!$C$1:$C$175,$A93,Allocation!$D$1:$D$175,$B93))</f>
        <v/>
      </c>
      <c r="M93" t="str">
        <f>IF($A93="","",SUMIFS(Allocation!$J$1:$J$175,Allocation!$C$1:$C$175,$A93,Allocation!$D$1:$D$175,$B93))</f>
        <v/>
      </c>
      <c r="N93" t="str">
        <f>IF($A93="","",SUMIFS(Allocation!$K$1:$K$175,Allocation!$C$1:$C$175,$A93,Allocation!$D$1:$D$175,$B93))</f>
        <v/>
      </c>
      <c r="O93" t="str">
        <f t="shared" si="11"/>
        <v/>
      </c>
      <c r="P93" t="str">
        <f t="shared" si="12"/>
        <v/>
      </c>
      <c r="Q93" t="str">
        <f>IF($A93="","",SUMIFS(Allocation!$I$1:$I$175,Allocation!$C$1:$C$175,$A93,Allocation!$E$1:$E$175,$C93))</f>
        <v/>
      </c>
      <c r="R93" t="str">
        <f>IF($A93="","",SUMIFS(Allocation!$J$1:$J$175,Allocation!$C$1:$C$175,$A93,Allocation!$E$1:$E$175,$C93))</f>
        <v/>
      </c>
      <c r="S93" t="str">
        <f>IF($A93="","",SUMIFS(Allocation!$K$1:$K$175,Allocation!$C$1:$C$175,$A93,Allocation!$E$1:$E$175,$C93))</f>
        <v/>
      </c>
      <c r="T93" t="str">
        <f>IF($A93="","",SUMIFS(Allocation!$I$1:$I$175,Allocation!$C$1:$C$175,$A93))</f>
        <v/>
      </c>
      <c r="U93" t="str">
        <f>IF($A93="","",SUMIFS(Allocation!$J$1:$J$175,Allocation!$C$1:$C$175,$A93))</f>
        <v/>
      </c>
      <c r="V93" t="str">
        <f>IF($A93="","",SUMIFS(Allocation!$K$1:$K$175,Allocation!$C$1:$C$175,$A93))</f>
        <v/>
      </c>
      <c r="W93" t="str">
        <f>IF($A93="","",SUMIFS(Compta!$F$1:$F$675,Compta!$A$1:$A$675,$B93,Compta!$B$1:$B$675,"621",Compta!$C$1:$C$675,$A93))</f>
        <v/>
      </c>
      <c r="X93" t="str">
        <f>IF($A93="","",SUMIFS(Compta!$F$1:$F$675,Compta!$A$1:$A$675,$B93,Compta!$B$1:$B$675,"6411",Compta!$C$1:$C$675,$A93))</f>
        <v/>
      </c>
      <c r="Y93" t="str">
        <f>IF($A93="","",SUMIFS(Compta!$F$1:$F$675,Compta!$A$1:$A$675,$B93,Compta!$B$1:$B$675,"604",Compta!$C$1:$C$675,$A93)+SUMIFS(Compta!$F$1:$F$675,Compta!$A$1:$A$675,$B93,Compta!$B$1:$B$675,"6063",Compta!$C$1:$C$675,$A93))</f>
        <v/>
      </c>
      <c r="Z93" t="str">
        <f>IF($A93="","",SUMIFS(Compta!$F$1:$F$675,Compta!$A$1:$A$675,$B93,Compta!$B$1:$B$675,"6231",Compta!$C$1:$C$675,$A93))</f>
        <v/>
      </c>
      <c r="AA93" t="str">
        <f>IF($A93="",""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</f>
        <v/>
      </c>
      <c r="AB93" t="str">
        <f>IF($A93="",""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</f>
        <v/>
      </c>
      <c r="AC93" t="s">
        <v>297</v>
      </c>
      <c r="AD93" t="s">
        <v>297</v>
      </c>
      <c r="AE93" t="s">
        <v>297</v>
      </c>
      <c r="AF93" t="s">
        <v>297</v>
      </c>
      <c r="AG93" t="s">
        <v>297</v>
      </c>
      <c r="AH93" t="s">
        <v>297</v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 t="str">
        <f>IF($A93="","",SUMIFS(Compta!$F$1:$F$675,Compta!$A$1:$A$675,"GRP",Compta!$B$1:$B$675,"6236",Compta!$C$1:$C$675,$A93))</f>
        <v/>
      </c>
      <c r="AP93" t="s">
        <v>297</v>
      </c>
      <c r="AQ93" t="s">
        <v>297</v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IF($A94="","",SUMIFS(Socle!$K$1:$K$175,Socle!$C$1:$C$175,$B94,Socle!$D$1:$D$175,$D94,Socle!$E$1:$E$175,$E94,Socle!$F$1:$F$175,$F94,Socle!$G$1:$G$175,$A94))</f>
        <v/>
      </c>
      <c r="K94" t="str">
        <f t="shared" si="10"/>
        <v/>
      </c>
      <c r="L94" t="str">
        <f>IF($A94="","",SUMIFS(Allocation!$I$1:$I$175,Allocation!$C$1:$C$175,$A94,Allocation!$D$1:$D$175,$B94))</f>
        <v/>
      </c>
      <c r="M94" t="str">
        <f>IF($A94="","",SUMIFS(Allocation!$J$1:$J$175,Allocation!$C$1:$C$175,$A94,Allocation!$D$1:$D$175,$B94))</f>
        <v/>
      </c>
      <c r="N94" t="str">
        <f>IF($A94="","",SUMIFS(Allocation!$K$1:$K$175,Allocation!$C$1:$C$175,$A94,Allocation!$D$1:$D$175,$B94))</f>
        <v/>
      </c>
      <c r="O94" t="str">
        <f t="shared" si="11"/>
        <v/>
      </c>
      <c r="P94" t="str">
        <f t="shared" si="12"/>
        <v/>
      </c>
      <c r="Q94" t="str">
        <f>IF($A94="","",SUMIFS(Allocation!$I$1:$I$175,Allocation!$C$1:$C$175,$A94,Allocation!$E$1:$E$175,$C94))</f>
        <v/>
      </c>
      <c r="R94" t="str">
        <f>IF($A94="","",SUMIFS(Allocation!$J$1:$J$175,Allocation!$C$1:$C$175,$A94,Allocation!$E$1:$E$175,$C94))</f>
        <v/>
      </c>
      <c r="S94" t="str">
        <f>IF($A94="","",SUMIFS(Allocation!$K$1:$K$175,Allocation!$C$1:$C$175,$A94,Allocation!$E$1:$E$175,$C94))</f>
        <v/>
      </c>
      <c r="T94" t="str">
        <f>IF($A94="","",SUMIFS(Allocation!$I$1:$I$175,Allocation!$C$1:$C$175,$A94))</f>
        <v/>
      </c>
      <c r="U94" t="str">
        <f>IF($A94="","",SUMIFS(Allocation!$J$1:$J$175,Allocation!$C$1:$C$175,$A94))</f>
        <v/>
      </c>
      <c r="V94" t="str">
        <f>IF($A94="","",SUMIFS(Allocation!$K$1:$K$175,Allocation!$C$1:$C$175,$A94))</f>
        <v/>
      </c>
      <c r="W94" t="str">
        <f>IF($A94="","",SUMIFS(Compta!$F$1:$F$675,Compta!$A$1:$A$675,$B94,Compta!$B$1:$B$675,"621",Compta!$C$1:$C$675,$A94))</f>
        <v/>
      </c>
      <c r="X94" t="str">
        <f>IF($A94="","",SUMIFS(Compta!$F$1:$F$675,Compta!$A$1:$A$675,$B94,Compta!$B$1:$B$675,"6411",Compta!$C$1:$C$675,$A94))</f>
        <v/>
      </c>
      <c r="Y94" t="str">
        <f>IF($A94="","",SUMIFS(Compta!$F$1:$F$675,Compta!$A$1:$A$675,$B94,Compta!$B$1:$B$675,"604",Compta!$C$1:$C$675,$A94)+SUMIFS(Compta!$F$1:$F$675,Compta!$A$1:$A$675,$B94,Compta!$B$1:$B$675,"6063",Compta!$C$1:$C$675,$A94))</f>
        <v/>
      </c>
      <c r="Z94" t="str">
        <f>IF($A94="","",SUMIFS(Compta!$F$1:$F$675,Compta!$A$1:$A$675,$B94,Compta!$B$1:$B$675,"6231",Compta!$C$1:$C$675,$A94))</f>
        <v/>
      </c>
      <c r="AA94" t="str">
        <f>IF($A94="",""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</f>
        <v/>
      </c>
      <c r="AB94" t="str">
        <f>IF($A94="",""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</f>
        <v/>
      </c>
      <c r="AC94" t="s">
        <v>297</v>
      </c>
      <c r="AD94" t="s">
        <v>297</v>
      </c>
      <c r="AE94" t="s">
        <v>297</v>
      </c>
      <c r="AF94" t="s">
        <v>297</v>
      </c>
      <c r="AG94" t="s">
        <v>297</v>
      </c>
      <c r="AH94" t="s">
        <v>297</v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 t="str">
        <f>IF($A94="","",SUMIFS(Compta!$F$1:$F$675,Compta!$A$1:$A$675,"GRP",Compta!$B$1:$B$675,"6236",Compta!$C$1:$C$675,$A94))</f>
        <v/>
      </c>
      <c r="AP94" t="s">
        <v>297</v>
      </c>
      <c r="AQ94" t="s">
        <v>297</v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IF($A95="","",SUMIFS(Socle!$K$1:$K$175,Socle!$C$1:$C$175,$B95,Socle!$D$1:$D$175,$D95,Socle!$E$1:$E$175,$E95,Socle!$F$1:$F$175,$F95,Socle!$G$1:$G$175,$A95))</f>
        <v/>
      </c>
      <c r="K95" t="str">
        <f t="shared" si="10"/>
        <v/>
      </c>
      <c r="L95" t="str">
        <f>IF($A95="","",SUMIFS(Allocation!$I$1:$I$175,Allocation!$C$1:$C$175,$A95,Allocation!$D$1:$D$175,$B95))</f>
        <v/>
      </c>
      <c r="M95" t="str">
        <f>IF($A95="","",SUMIFS(Allocation!$J$1:$J$175,Allocation!$C$1:$C$175,$A95,Allocation!$D$1:$D$175,$B95))</f>
        <v/>
      </c>
      <c r="N95" t="str">
        <f>IF($A95="","",SUMIFS(Allocation!$K$1:$K$175,Allocation!$C$1:$C$175,$A95,Allocation!$D$1:$D$175,$B95))</f>
        <v/>
      </c>
      <c r="O95" t="str">
        <f t="shared" si="11"/>
        <v/>
      </c>
      <c r="P95" t="str">
        <f t="shared" si="12"/>
        <v/>
      </c>
      <c r="Q95" t="str">
        <f>IF($A95="","",SUMIFS(Allocation!$I$1:$I$175,Allocation!$C$1:$C$175,$A95,Allocation!$E$1:$E$175,$C95))</f>
        <v/>
      </c>
      <c r="R95" t="str">
        <f>IF($A95="","",SUMIFS(Allocation!$J$1:$J$175,Allocation!$C$1:$C$175,$A95,Allocation!$E$1:$E$175,$C95))</f>
        <v/>
      </c>
      <c r="S95" t="str">
        <f>IF($A95="","",SUMIFS(Allocation!$K$1:$K$175,Allocation!$C$1:$C$175,$A95,Allocation!$E$1:$E$175,$C95))</f>
        <v/>
      </c>
      <c r="T95" t="str">
        <f>IF($A95="","",SUMIFS(Allocation!$I$1:$I$175,Allocation!$C$1:$C$175,$A95))</f>
        <v/>
      </c>
      <c r="U95" t="str">
        <f>IF($A95="","",SUMIFS(Allocation!$J$1:$J$175,Allocation!$C$1:$C$175,$A95))</f>
        <v/>
      </c>
      <c r="V95" t="str">
        <f>IF($A95="","",SUMIFS(Allocation!$K$1:$K$175,Allocation!$C$1:$C$175,$A95))</f>
        <v/>
      </c>
      <c r="W95" t="str">
        <f>IF($A95="","",SUMIFS(Compta!$F$1:$F$675,Compta!$A$1:$A$675,$B95,Compta!$B$1:$B$675,"621",Compta!$C$1:$C$675,$A95))</f>
        <v/>
      </c>
      <c r="X95" t="str">
        <f>IF($A95="","",SUMIFS(Compta!$F$1:$F$675,Compta!$A$1:$A$675,$B95,Compta!$B$1:$B$675,"6411",Compta!$C$1:$C$675,$A95))</f>
        <v/>
      </c>
      <c r="Y95" t="str">
        <f>IF($A95="","",SUMIFS(Compta!$F$1:$F$675,Compta!$A$1:$A$675,$B95,Compta!$B$1:$B$675,"604",Compta!$C$1:$C$675,$A95)+SUMIFS(Compta!$F$1:$F$675,Compta!$A$1:$A$675,$B95,Compta!$B$1:$B$675,"6063",Compta!$C$1:$C$675,$A95))</f>
        <v/>
      </c>
      <c r="Z95" t="str">
        <f>IF($A95="","",SUMIFS(Compta!$F$1:$F$675,Compta!$A$1:$A$675,$B95,Compta!$B$1:$B$675,"6231",Compta!$C$1:$C$675,$A95))</f>
        <v/>
      </c>
      <c r="AA95" t="str">
        <f>IF($A95="",""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</f>
        <v/>
      </c>
      <c r="AB95" t="str">
        <f>IF($A95="",""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</f>
        <v/>
      </c>
      <c r="AC95" t="s">
        <v>297</v>
      </c>
      <c r="AD95" t="s">
        <v>297</v>
      </c>
      <c r="AE95" t="s">
        <v>297</v>
      </c>
      <c r="AF95" t="s">
        <v>297</v>
      </c>
      <c r="AG95" t="s">
        <v>297</v>
      </c>
      <c r="AH95" t="s">
        <v>297</v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 t="str">
        <f>IF($A95="","",SUMIFS(Compta!$F$1:$F$675,Compta!$A$1:$A$675,"GRP",Compta!$B$1:$B$675,"6236",Compta!$C$1:$C$675,$A95))</f>
        <v/>
      </c>
      <c r="AP95" t="s">
        <v>297</v>
      </c>
      <c r="AQ95" t="s">
        <v>297</v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IF($A96="","",SUMIFS(Socle!$K$1:$K$175,Socle!$C$1:$C$175,$B96,Socle!$D$1:$D$175,$D96,Socle!$E$1:$E$175,$E96,Socle!$F$1:$F$175,$F96,Socle!$G$1:$G$175,$A96))</f>
        <v/>
      </c>
      <c r="K96" t="str">
        <f t="shared" si="10"/>
        <v/>
      </c>
      <c r="L96" t="str">
        <f>IF($A96="","",SUMIFS(Allocation!$I$1:$I$175,Allocation!$C$1:$C$175,$A96,Allocation!$D$1:$D$175,$B96))</f>
        <v/>
      </c>
      <c r="M96" t="str">
        <f>IF($A96="","",SUMIFS(Allocation!$J$1:$J$175,Allocation!$C$1:$C$175,$A96,Allocation!$D$1:$D$175,$B96))</f>
        <v/>
      </c>
      <c r="N96" t="str">
        <f>IF($A96="","",SUMIFS(Allocation!$K$1:$K$175,Allocation!$C$1:$C$175,$A96,Allocation!$D$1:$D$175,$B96))</f>
        <v/>
      </c>
      <c r="O96" t="str">
        <f t="shared" si="11"/>
        <v/>
      </c>
      <c r="P96" t="str">
        <f t="shared" si="12"/>
        <v/>
      </c>
      <c r="Q96" t="str">
        <f>IF($A96="","",SUMIFS(Allocation!$I$1:$I$175,Allocation!$C$1:$C$175,$A96,Allocation!$E$1:$E$175,$C96))</f>
        <v/>
      </c>
      <c r="R96" t="str">
        <f>IF($A96="","",SUMIFS(Allocation!$J$1:$J$175,Allocation!$C$1:$C$175,$A96,Allocation!$E$1:$E$175,$C96))</f>
        <v/>
      </c>
      <c r="S96" t="str">
        <f>IF($A96="","",SUMIFS(Allocation!$K$1:$K$175,Allocation!$C$1:$C$175,$A96,Allocation!$E$1:$E$175,$C96))</f>
        <v/>
      </c>
      <c r="T96" t="str">
        <f>IF($A96="","",SUMIFS(Allocation!$I$1:$I$175,Allocation!$C$1:$C$175,$A96))</f>
        <v/>
      </c>
      <c r="U96" t="str">
        <f>IF($A96="","",SUMIFS(Allocation!$J$1:$J$175,Allocation!$C$1:$C$175,$A96))</f>
        <v/>
      </c>
      <c r="V96" t="str">
        <f>IF($A96="","",SUMIFS(Allocation!$K$1:$K$175,Allocation!$C$1:$C$175,$A96))</f>
        <v/>
      </c>
      <c r="W96" t="str">
        <f>IF($A96="","",SUMIFS(Compta!$F$1:$F$675,Compta!$A$1:$A$675,$B96,Compta!$B$1:$B$675,"621",Compta!$C$1:$C$675,$A96))</f>
        <v/>
      </c>
      <c r="X96" t="str">
        <f>IF($A96="","",SUMIFS(Compta!$F$1:$F$675,Compta!$A$1:$A$675,$B96,Compta!$B$1:$B$675,"6411",Compta!$C$1:$C$675,$A96))</f>
        <v/>
      </c>
      <c r="Y96" t="str">
        <f>IF($A96="","",SUMIFS(Compta!$F$1:$F$675,Compta!$A$1:$A$675,$B96,Compta!$B$1:$B$675,"604",Compta!$C$1:$C$675,$A96)+SUMIFS(Compta!$F$1:$F$675,Compta!$A$1:$A$675,$B96,Compta!$B$1:$B$675,"6063",Compta!$C$1:$C$675,$A96))</f>
        <v/>
      </c>
      <c r="Z96" t="str">
        <f>IF($A96="","",SUMIFS(Compta!$F$1:$F$675,Compta!$A$1:$A$675,$B96,Compta!$B$1:$B$675,"6231",Compta!$C$1:$C$675,$A96))</f>
        <v/>
      </c>
      <c r="AA96" t="str">
        <f>IF($A96="",""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</f>
        <v/>
      </c>
      <c r="AB96" t="str">
        <f>IF($A96="",""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</f>
        <v/>
      </c>
      <c r="AC96" t="s">
        <v>297</v>
      </c>
      <c r="AD96" t="s">
        <v>297</v>
      </c>
      <c r="AE96" t="s">
        <v>297</v>
      </c>
      <c r="AF96" t="s">
        <v>297</v>
      </c>
      <c r="AG96" t="s">
        <v>297</v>
      </c>
      <c r="AH96" t="s">
        <v>297</v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 t="str">
        <f>IF($A96="","",SUMIFS(Compta!$F$1:$F$675,Compta!$A$1:$A$675,"GRP",Compta!$B$1:$B$675,"6236",Compta!$C$1:$C$675,$A96))</f>
        <v/>
      </c>
      <c r="AP96" t="s">
        <v>297</v>
      </c>
      <c r="AQ96" t="s">
        <v>297</v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IF($A97="","",SUMIFS(Socle!$K$1:$K$175,Socle!$C$1:$C$175,$B97,Socle!$D$1:$D$175,$D97,Socle!$E$1:$E$175,$E97,Socle!$F$1:$F$175,$F97,Socle!$G$1:$G$175,$A97))</f>
        <v/>
      </c>
      <c r="K97" t="str">
        <f t="shared" si="10"/>
        <v/>
      </c>
      <c r="L97" t="str">
        <f>IF($A97="","",SUMIFS(Allocation!$I$1:$I$175,Allocation!$C$1:$C$175,$A97,Allocation!$D$1:$D$175,$B97))</f>
        <v/>
      </c>
      <c r="M97" t="str">
        <f>IF($A97="","",SUMIFS(Allocation!$J$1:$J$175,Allocation!$C$1:$C$175,$A97,Allocation!$D$1:$D$175,$B97))</f>
        <v/>
      </c>
      <c r="N97" t="str">
        <f>IF($A97="","",SUMIFS(Allocation!$K$1:$K$175,Allocation!$C$1:$C$175,$A97,Allocation!$D$1:$D$175,$B97))</f>
        <v/>
      </c>
      <c r="O97" t="str">
        <f t="shared" si="11"/>
        <v/>
      </c>
      <c r="P97" t="str">
        <f t="shared" si="12"/>
        <v/>
      </c>
      <c r="Q97" t="str">
        <f>IF($A97="","",SUMIFS(Allocation!$I$1:$I$175,Allocation!$C$1:$C$175,$A97,Allocation!$E$1:$E$175,$C97))</f>
        <v/>
      </c>
      <c r="R97" t="str">
        <f>IF($A97="","",SUMIFS(Allocation!$J$1:$J$175,Allocation!$C$1:$C$175,$A97,Allocation!$E$1:$E$175,$C97))</f>
        <v/>
      </c>
      <c r="S97" t="str">
        <f>IF($A97="","",SUMIFS(Allocation!$K$1:$K$175,Allocation!$C$1:$C$175,$A97,Allocation!$E$1:$E$175,$C97))</f>
        <v/>
      </c>
      <c r="T97" t="str">
        <f>IF($A97="","",SUMIFS(Allocation!$I$1:$I$175,Allocation!$C$1:$C$175,$A97))</f>
        <v/>
      </c>
      <c r="U97" t="str">
        <f>IF($A97="","",SUMIFS(Allocation!$J$1:$J$175,Allocation!$C$1:$C$175,$A97))</f>
        <v/>
      </c>
      <c r="V97" t="str">
        <f>IF($A97="","",SUMIFS(Allocation!$K$1:$K$175,Allocation!$C$1:$C$175,$A97))</f>
        <v/>
      </c>
      <c r="W97" t="str">
        <f>IF($A97="","",SUMIFS(Compta!$F$1:$F$675,Compta!$A$1:$A$675,$B97,Compta!$B$1:$B$675,"621",Compta!$C$1:$C$675,$A97))</f>
        <v/>
      </c>
      <c r="X97" t="str">
        <f>IF($A97="","",SUMIFS(Compta!$F$1:$F$675,Compta!$A$1:$A$675,$B97,Compta!$B$1:$B$675,"6411",Compta!$C$1:$C$675,$A97))</f>
        <v/>
      </c>
      <c r="Y97" t="str">
        <f>IF($A97="","",SUMIFS(Compta!$F$1:$F$675,Compta!$A$1:$A$675,$B97,Compta!$B$1:$B$675,"604",Compta!$C$1:$C$675,$A97)+SUMIFS(Compta!$F$1:$F$675,Compta!$A$1:$A$675,$B97,Compta!$B$1:$B$675,"6063",Compta!$C$1:$C$675,$A97))</f>
        <v/>
      </c>
      <c r="Z97" t="str">
        <f>IF($A97="","",SUMIFS(Compta!$F$1:$F$675,Compta!$A$1:$A$675,$B97,Compta!$B$1:$B$675,"6231",Compta!$C$1:$C$675,$A97))</f>
        <v/>
      </c>
      <c r="AA97" t="str">
        <f>IF($A97="",""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</f>
        <v/>
      </c>
      <c r="AB97" t="str">
        <f>IF($A97="",""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</f>
        <v/>
      </c>
      <c r="AC97" t="s">
        <v>297</v>
      </c>
      <c r="AD97" t="s">
        <v>297</v>
      </c>
      <c r="AE97" t="s">
        <v>297</v>
      </c>
      <c r="AF97" t="s">
        <v>297</v>
      </c>
      <c r="AG97" t="s">
        <v>297</v>
      </c>
      <c r="AH97" t="s">
        <v>297</v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 t="str">
        <f>IF($A97="","",SUMIFS(Compta!$F$1:$F$675,Compta!$A$1:$A$675,"GRP",Compta!$B$1:$B$675,"6236",Compta!$C$1:$C$675,$A97))</f>
        <v/>
      </c>
      <c r="AP97" t="s">
        <v>297</v>
      </c>
      <c r="AQ97" t="s">
        <v>297</v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IF($A98="","",SUMIFS(Socle!$K$1:$K$175,Socle!$C$1:$C$175,$B98,Socle!$D$1:$D$175,$D98,Socle!$E$1:$E$175,$E98,Socle!$F$1:$F$175,$F98,Socle!$G$1:$G$175,$A98))</f>
        <v/>
      </c>
      <c r="K98" t="str">
        <f t="shared" si="10"/>
        <v/>
      </c>
      <c r="L98" t="str">
        <f>IF($A98="","",SUMIFS(Allocation!$I$1:$I$175,Allocation!$C$1:$C$175,$A98,Allocation!$D$1:$D$175,$B98))</f>
        <v/>
      </c>
      <c r="M98" t="str">
        <f>IF($A98="","",SUMIFS(Allocation!$J$1:$J$175,Allocation!$C$1:$C$175,$A98,Allocation!$D$1:$D$175,$B98))</f>
        <v/>
      </c>
      <c r="N98" t="str">
        <f>IF($A98="","",SUMIFS(Allocation!$K$1:$K$175,Allocation!$C$1:$C$175,$A98,Allocation!$D$1:$D$175,$B98))</f>
        <v/>
      </c>
      <c r="O98" t="str">
        <f t="shared" si="11"/>
        <v/>
      </c>
      <c r="P98" t="str">
        <f t="shared" si="12"/>
        <v/>
      </c>
      <c r="Q98" t="str">
        <f>IF($A98="","",SUMIFS(Allocation!$I$1:$I$175,Allocation!$C$1:$C$175,$A98,Allocation!$E$1:$E$175,$C98))</f>
        <v/>
      </c>
      <c r="R98" t="str">
        <f>IF($A98="","",SUMIFS(Allocation!$J$1:$J$175,Allocation!$C$1:$C$175,$A98,Allocation!$E$1:$E$175,$C98))</f>
        <v/>
      </c>
      <c r="S98" t="str">
        <f>IF($A98="","",SUMIFS(Allocation!$K$1:$K$175,Allocation!$C$1:$C$175,$A98,Allocation!$E$1:$E$175,$C98))</f>
        <v/>
      </c>
      <c r="T98" t="str">
        <f>IF($A98="","",SUMIFS(Allocation!$I$1:$I$175,Allocation!$C$1:$C$175,$A98))</f>
        <v/>
      </c>
      <c r="U98" t="str">
        <f>IF($A98="","",SUMIFS(Allocation!$J$1:$J$175,Allocation!$C$1:$C$175,$A98))</f>
        <v/>
      </c>
      <c r="V98" t="str">
        <f>IF($A98="","",SUMIFS(Allocation!$K$1:$K$175,Allocation!$C$1:$C$175,$A98))</f>
        <v/>
      </c>
      <c r="W98" t="str">
        <f>IF($A98="","",SUMIFS(Compta!$F$1:$F$675,Compta!$A$1:$A$675,$B98,Compta!$B$1:$B$675,"621",Compta!$C$1:$C$675,$A98))</f>
        <v/>
      </c>
      <c r="X98" t="str">
        <f>IF($A98="","",SUMIFS(Compta!$F$1:$F$675,Compta!$A$1:$A$675,$B98,Compta!$B$1:$B$675,"6411",Compta!$C$1:$C$675,$A98))</f>
        <v/>
      </c>
      <c r="Y98" t="str">
        <f>IF($A98="","",SUMIFS(Compta!$F$1:$F$675,Compta!$A$1:$A$675,$B98,Compta!$B$1:$B$675,"604",Compta!$C$1:$C$675,$A98)+SUMIFS(Compta!$F$1:$F$675,Compta!$A$1:$A$675,$B98,Compta!$B$1:$B$675,"6063",Compta!$C$1:$C$675,$A98))</f>
        <v/>
      </c>
      <c r="Z98" t="str">
        <f>IF($A98="","",SUMIFS(Compta!$F$1:$F$675,Compta!$A$1:$A$675,$B98,Compta!$B$1:$B$675,"6231",Compta!$C$1:$C$675,$A98))</f>
        <v/>
      </c>
      <c r="AA98" t="str">
        <f>IF($A98="",""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</f>
        <v/>
      </c>
      <c r="AB98" t="str">
        <f>IF($A98="",""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</f>
        <v/>
      </c>
      <c r="AC98" t="s">
        <v>297</v>
      </c>
      <c r="AD98" t="s">
        <v>297</v>
      </c>
      <c r="AE98" t="s">
        <v>297</v>
      </c>
      <c r="AF98" t="s">
        <v>297</v>
      </c>
      <c r="AG98" t="s">
        <v>297</v>
      </c>
      <c r="AH98" t="s">
        <v>297</v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 t="str">
        <f>IF($A98="","",SUMIFS(Compta!$F$1:$F$675,Compta!$A$1:$A$675,"GRP",Compta!$B$1:$B$675,"6236",Compta!$C$1:$C$675,$A98))</f>
        <v/>
      </c>
      <c r="AP98" t="s">
        <v>297</v>
      </c>
      <c r="AQ98" t="s">
        <v>297</v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IF($A99="","",SUMIFS(Socle!$K$1:$K$175,Socle!$C$1:$C$175,$B99,Socle!$D$1:$D$175,$D99,Socle!$E$1:$E$175,$E99,Socle!$F$1:$F$175,$F99,Socle!$G$1:$G$175,$A99))</f>
        <v/>
      </c>
      <c r="K99" t="str">
        <f t="shared" si="10"/>
        <v/>
      </c>
      <c r="L99" t="str">
        <f>IF($A99="","",SUMIFS(Allocation!$I$1:$I$175,Allocation!$C$1:$C$175,$A99,Allocation!$D$1:$D$175,$B99))</f>
        <v/>
      </c>
      <c r="M99" t="str">
        <f>IF($A99="","",SUMIFS(Allocation!$J$1:$J$175,Allocation!$C$1:$C$175,$A99,Allocation!$D$1:$D$175,$B99))</f>
        <v/>
      </c>
      <c r="N99" t="str">
        <f>IF($A99="","",SUMIFS(Allocation!$K$1:$K$175,Allocation!$C$1:$C$175,$A99,Allocation!$D$1:$D$175,$B99))</f>
        <v/>
      </c>
      <c r="O99" t="str">
        <f t="shared" si="11"/>
        <v/>
      </c>
      <c r="P99" t="str">
        <f t="shared" si="12"/>
        <v/>
      </c>
      <c r="Q99" t="str">
        <f>IF($A99="","",SUMIFS(Allocation!$I$1:$I$175,Allocation!$C$1:$C$175,$A99,Allocation!$E$1:$E$175,$C99))</f>
        <v/>
      </c>
      <c r="R99" t="str">
        <f>IF($A99="","",SUMIFS(Allocation!$J$1:$J$175,Allocation!$C$1:$C$175,$A99,Allocation!$E$1:$E$175,$C99))</f>
        <v/>
      </c>
      <c r="S99" t="str">
        <f>IF($A99="","",SUMIFS(Allocation!$K$1:$K$175,Allocation!$C$1:$C$175,$A99,Allocation!$E$1:$E$175,$C99))</f>
        <v/>
      </c>
      <c r="T99" t="str">
        <f>IF($A99="","",SUMIFS(Allocation!$I$1:$I$175,Allocation!$C$1:$C$175,$A99))</f>
        <v/>
      </c>
      <c r="U99" t="str">
        <f>IF($A99="","",SUMIFS(Allocation!$J$1:$J$175,Allocation!$C$1:$C$175,$A99))</f>
        <v/>
      </c>
      <c r="V99" t="str">
        <f>IF($A99="","",SUMIFS(Allocation!$K$1:$K$175,Allocation!$C$1:$C$175,$A99))</f>
        <v/>
      </c>
      <c r="W99" t="str">
        <f>IF($A99="","",SUMIFS(Compta!$F$1:$F$675,Compta!$A$1:$A$675,$B99,Compta!$B$1:$B$675,"621",Compta!$C$1:$C$675,$A99))</f>
        <v/>
      </c>
      <c r="X99" t="str">
        <f>IF($A99="","",SUMIFS(Compta!$F$1:$F$675,Compta!$A$1:$A$675,$B99,Compta!$B$1:$B$675,"6411",Compta!$C$1:$C$675,$A99))</f>
        <v/>
      </c>
      <c r="Y99" t="str">
        <f>IF($A99="","",SUMIFS(Compta!$F$1:$F$675,Compta!$A$1:$A$675,$B99,Compta!$B$1:$B$675,"604",Compta!$C$1:$C$675,$A99)+SUMIFS(Compta!$F$1:$F$675,Compta!$A$1:$A$675,$B99,Compta!$B$1:$B$675,"6063",Compta!$C$1:$C$675,$A99))</f>
        <v/>
      </c>
      <c r="Z99" t="str">
        <f>IF($A99="","",SUMIFS(Compta!$F$1:$F$675,Compta!$A$1:$A$675,$B99,Compta!$B$1:$B$675,"6231",Compta!$C$1:$C$675,$A99))</f>
        <v/>
      </c>
      <c r="AA99" t="str">
        <f>IF($A99="",""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</f>
        <v/>
      </c>
      <c r="AB99" t="str">
        <f>IF($A99="",""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</f>
        <v/>
      </c>
      <c r="AC99" t="s">
        <v>297</v>
      </c>
      <c r="AD99" t="s">
        <v>297</v>
      </c>
      <c r="AE99" t="s">
        <v>297</v>
      </c>
      <c r="AF99" t="s">
        <v>297</v>
      </c>
      <c r="AG99" t="s">
        <v>297</v>
      </c>
      <c r="AH99" t="s">
        <v>297</v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 t="str">
        <f>IF($A99="","",SUMIFS(Compta!$F$1:$F$675,Compta!$A$1:$A$675,"GRP",Compta!$B$1:$B$675,"6236",Compta!$C$1:$C$675,$A99))</f>
        <v/>
      </c>
      <c r="AP99" t="s">
        <v>297</v>
      </c>
      <c r="AQ99" t="s">
        <v>297</v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IF($A100="","",SUMIFS(Socle!$K$1:$K$175,Socle!$C$1:$C$175,$B100,Socle!$D$1:$D$175,$D100,Socle!$E$1:$E$175,$E100,Socle!$F$1:$F$175,$F100,Socle!$G$1:$G$175,$A100))</f>
        <v/>
      </c>
      <c r="K100" t="str">
        <f t="shared" si="10"/>
        <v/>
      </c>
      <c r="L100" t="str">
        <f>IF($A100="","",SUMIFS(Allocation!$I$1:$I$175,Allocation!$C$1:$C$175,$A100,Allocation!$D$1:$D$175,$B100))</f>
        <v/>
      </c>
      <c r="M100" t="str">
        <f>IF($A100="","",SUMIFS(Allocation!$J$1:$J$175,Allocation!$C$1:$C$175,$A100,Allocation!$D$1:$D$175,$B100))</f>
        <v/>
      </c>
      <c r="N100" t="str">
        <f>IF($A100="","",SUMIFS(Allocation!$K$1:$K$175,Allocation!$C$1:$C$175,$A100,Allocation!$D$1:$D$175,$B100))</f>
        <v/>
      </c>
      <c r="O100" t="str">
        <f t="shared" si="11"/>
        <v/>
      </c>
      <c r="P100" t="str">
        <f t="shared" si="12"/>
        <v/>
      </c>
      <c r="Q100" t="str">
        <f>IF($A100="","",SUMIFS(Allocation!$I$1:$I$175,Allocation!$C$1:$C$175,$A100,Allocation!$E$1:$E$175,$C100))</f>
        <v/>
      </c>
      <c r="R100" t="str">
        <f>IF($A100="","",SUMIFS(Allocation!$J$1:$J$175,Allocation!$C$1:$C$175,$A100,Allocation!$E$1:$E$175,$C100))</f>
        <v/>
      </c>
      <c r="S100" t="str">
        <f>IF($A100="","",SUMIFS(Allocation!$K$1:$K$175,Allocation!$C$1:$C$175,$A100,Allocation!$E$1:$E$175,$C100))</f>
        <v/>
      </c>
      <c r="T100" t="str">
        <f>IF($A100="","",SUMIFS(Allocation!$I$1:$I$175,Allocation!$C$1:$C$175,$A100))</f>
        <v/>
      </c>
      <c r="U100" t="str">
        <f>IF($A100="","",SUMIFS(Allocation!$J$1:$J$175,Allocation!$C$1:$C$175,$A100))</f>
        <v/>
      </c>
      <c r="V100" t="str">
        <f>IF($A100="","",SUMIFS(Allocation!$K$1:$K$175,Allocation!$C$1:$C$175,$A100))</f>
        <v/>
      </c>
      <c r="W100" t="str">
        <f>IF($A100="","",SUMIFS(Compta!$F$1:$F$675,Compta!$A$1:$A$675,$B100,Compta!$B$1:$B$675,"621",Compta!$C$1:$C$675,$A100))</f>
        <v/>
      </c>
      <c r="X100" t="str">
        <f>IF($A100="","",SUMIFS(Compta!$F$1:$F$675,Compta!$A$1:$A$675,$B100,Compta!$B$1:$B$675,"6411",Compta!$C$1:$C$675,$A100))</f>
        <v/>
      </c>
      <c r="Y100" t="str">
        <f>IF($A100="","",SUMIFS(Compta!$F$1:$F$675,Compta!$A$1:$A$675,$B100,Compta!$B$1:$B$675,"604",Compta!$C$1:$C$675,$A100)+SUMIFS(Compta!$F$1:$F$675,Compta!$A$1:$A$675,$B100,Compta!$B$1:$B$675,"6063",Compta!$C$1:$C$675,$A100))</f>
        <v/>
      </c>
      <c r="Z100" t="str">
        <f>IF($A100="","",SUMIFS(Compta!$F$1:$F$675,Compta!$A$1:$A$675,$B100,Compta!$B$1:$B$675,"6231",Compta!$C$1:$C$675,$A100))</f>
        <v/>
      </c>
      <c r="AA100" t="str">
        <f>IF($A100="",""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</f>
        <v/>
      </c>
      <c r="AB100" t="str">
        <f>IF($A100="",""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</f>
        <v/>
      </c>
      <c r="AC100" t="s">
        <v>297</v>
      </c>
      <c r="AD100" t="s">
        <v>297</v>
      </c>
      <c r="AE100" t="s">
        <v>297</v>
      </c>
      <c r="AF100" t="s">
        <v>297</v>
      </c>
      <c r="AG100" t="s">
        <v>297</v>
      </c>
      <c r="AH100" t="s">
        <v>297</v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 t="str">
        <f>IF($A100="","",SUMIFS(Compta!$F$1:$F$675,Compta!$A$1:$A$675,"GRP",Compta!$B$1:$B$675,"6236",Compta!$C$1:$C$675,$A100))</f>
        <v/>
      </c>
      <c r="AP100" t="s">
        <v>297</v>
      </c>
      <c r="AQ100" t="s">
        <v>297</v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IF($A101="","",SUMIFS(Socle!$K$1:$K$175,Socle!$C$1:$C$175,$B101,Socle!$D$1:$D$175,$D101,Socle!$E$1:$E$175,$E101,Socle!$F$1:$F$175,$F101,Socle!$G$1:$G$175,$A101))</f>
        <v/>
      </c>
      <c r="K101" t="str">
        <f t="shared" si="10"/>
        <v/>
      </c>
      <c r="L101" t="str">
        <f>IF($A101="","",SUMIFS(Allocation!$I$1:$I$175,Allocation!$C$1:$C$175,$A101,Allocation!$D$1:$D$175,$B101))</f>
        <v/>
      </c>
      <c r="M101" t="str">
        <f>IF($A101="","",SUMIFS(Allocation!$J$1:$J$175,Allocation!$C$1:$C$175,$A101,Allocation!$D$1:$D$175,$B101))</f>
        <v/>
      </c>
      <c r="N101" t="str">
        <f>IF($A101="","",SUMIFS(Allocation!$K$1:$K$175,Allocation!$C$1:$C$175,$A101,Allocation!$D$1:$D$175,$B101))</f>
        <v/>
      </c>
      <c r="O101" t="str">
        <f t="shared" si="11"/>
        <v/>
      </c>
      <c r="P101" t="str">
        <f t="shared" si="12"/>
        <v/>
      </c>
      <c r="Q101" t="str">
        <f>IF($A101="","",SUMIFS(Allocation!$I$1:$I$175,Allocation!$C$1:$C$175,$A101,Allocation!$E$1:$E$175,$C101))</f>
        <v/>
      </c>
      <c r="R101" t="str">
        <f>IF($A101="","",SUMIFS(Allocation!$J$1:$J$175,Allocation!$C$1:$C$175,$A101,Allocation!$E$1:$E$175,$C101))</f>
        <v/>
      </c>
      <c r="S101" t="str">
        <f>IF($A101="","",SUMIFS(Allocation!$K$1:$K$175,Allocation!$C$1:$C$175,$A101,Allocation!$E$1:$E$175,$C101))</f>
        <v/>
      </c>
      <c r="T101" t="str">
        <f>IF($A101="","",SUMIFS(Allocation!$I$1:$I$175,Allocation!$C$1:$C$175,$A101))</f>
        <v/>
      </c>
      <c r="U101" t="str">
        <f>IF($A101="","",SUMIFS(Allocation!$J$1:$J$175,Allocation!$C$1:$C$175,$A101))</f>
        <v/>
      </c>
      <c r="V101" t="str">
        <f>IF($A101="","",SUMIFS(Allocation!$K$1:$K$175,Allocation!$C$1:$C$175,$A101))</f>
        <v/>
      </c>
      <c r="W101" t="str">
        <f>IF($A101="","",SUMIFS(Compta!$F$1:$F$675,Compta!$A$1:$A$675,$B101,Compta!$B$1:$B$675,"621",Compta!$C$1:$C$675,$A101))</f>
        <v/>
      </c>
      <c r="X101" t="str">
        <f>IF($A101="","",SUMIFS(Compta!$F$1:$F$675,Compta!$A$1:$A$675,$B101,Compta!$B$1:$B$675,"6411",Compta!$C$1:$C$675,$A101))</f>
        <v/>
      </c>
      <c r="Y101" t="str">
        <f>IF($A101="","",SUMIFS(Compta!$F$1:$F$675,Compta!$A$1:$A$675,$B101,Compta!$B$1:$B$675,"604",Compta!$C$1:$C$675,$A101)+SUMIFS(Compta!$F$1:$F$675,Compta!$A$1:$A$675,$B101,Compta!$B$1:$B$675,"6063",Compta!$C$1:$C$675,$A101))</f>
        <v/>
      </c>
      <c r="Z101" t="str">
        <f>IF($A101="","",SUMIFS(Compta!$F$1:$F$675,Compta!$A$1:$A$675,$B101,Compta!$B$1:$B$675,"6231",Compta!$C$1:$C$675,$A101))</f>
        <v/>
      </c>
      <c r="AA101" t="str">
        <f>IF($A101="",""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</f>
        <v/>
      </c>
      <c r="AB101" t="str">
        <f>IF($A101="",""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</f>
        <v/>
      </c>
      <c r="AC101" t="s">
        <v>297</v>
      </c>
      <c r="AD101" t="s">
        <v>297</v>
      </c>
      <c r="AE101" t="s">
        <v>297</v>
      </c>
      <c r="AF101" t="s">
        <v>297</v>
      </c>
      <c r="AG101" t="s">
        <v>297</v>
      </c>
      <c r="AH101" t="s">
        <v>297</v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 t="str">
        <f>IF($A101="","",SUMIFS(Compta!$F$1:$F$675,Compta!$A$1:$A$675,"GRP",Compta!$B$1:$B$675,"6236",Compta!$C$1:$C$675,$A101))</f>
        <v/>
      </c>
      <c r="AP101" t="s">
        <v>297</v>
      </c>
      <c r="AQ101" t="s">
        <v>297</v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IF($A102="","",SUMIFS(Socle!$K$1:$K$175,Socle!$C$1:$C$175,$B102,Socle!$D$1:$D$175,$D102,Socle!$E$1:$E$175,$E102,Socle!$F$1:$F$175,$F102,Socle!$G$1:$G$175,$A102))</f>
        <v/>
      </c>
      <c r="K102" t="str">
        <f t="shared" si="10"/>
        <v/>
      </c>
      <c r="L102" t="str">
        <f>IF($A102="","",SUMIFS(Allocation!$I$1:$I$175,Allocation!$C$1:$C$175,$A102,Allocation!$D$1:$D$175,$B102))</f>
        <v/>
      </c>
      <c r="M102" t="str">
        <f>IF($A102="","",SUMIFS(Allocation!$J$1:$J$175,Allocation!$C$1:$C$175,$A102,Allocation!$D$1:$D$175,$B102))</f>
        <v/>
      </c>
      <c r="N102" t="str">
        <f>IF($A102="","",SUMIFS(Allocation!$K$1:$K$175,Allocation!$C$1:$C$175,$A102,Allocation!$D$1:$D$175,$B102))</f>
        <v/>
      </c>
      <c r="O102" t="str">
        <f t="shared" si="11"/>
        <v/>
      </c>
      <c r="P102" t="str">
        <f t="shared" si="12"/>
        <v/>
      </c>
      <c r="Q102" t="str">
        <f>IF($A102="","",SUMIFS(Allocation!$I$1:$I$175,Allocation!$C$1:$C$175,$A102,Allocation!$E$1:$E$175,$C102))</f>
        <v/>
      </c>
      <c r="R102" t="str">
        <f>IF($A102="","",SUMIFS(Allocation!$J$1:$J$175,Allocation!$C$1:$C$175,$A102,Allocation!$E$1:$E$175,$C102))</f>
        <v/>
      </c>
      <c r="S102" t="str">
        <f>IF($A102="","",SUMIFS(Allocation!$K$1:$K$175,Allocation!$C$1:$C$175,$A102,Allocation!$E$1:$E$175,$C102))</f>
        <v/>
      </c>
      <c r="T102" t="str">
        <f>IF($A102="","",SUMIFS(Allocation!$I$1:$I$175,Allocation!$C$1:$C$175,$A102))</f>
        <v/>
      </c>
      <c r="U102" t="str">
        <f>IF($A102="","",SUMIFS(Allocation!$J$1:$J$175,Allocation!$C$1:$C$175,$A102))</f>
        <v/>
      </c>
      <c r="V102" t="str">
        <f>IF($A102="","",SUMIFS(Allocation!$K$1:$K$175,Allocation!$C$1:$C$175,$A102))</f>
        <v/>
      </c>
      <c r="W102" t="str">
        <f>IF($A102="","",SUMIFS(Compta!$F$1:$F$675,Compta!$A$1:$A$675,$B102,Compta!$B$1:$B$675,"621",Compta!$C$1:$C$675,$A102))</f>
        <v/>
      </c>
      <c r="X102" t="str">
        <f>IF($A102="","",SUMIFS(Compta!$F$1:$F$675,Compta!$A$1:$A$675,$B102,Compta!$B$1:$B$675,"6411",Compta!$C$1:$C$675,$A102))</f>
        <v/>
      </c>
      <c r="Y102" t="str">
        <f>IF($A102="","",SUMIFS(Compta!$F$1:$F$675,Compta!$A$1:$A$675,$B102,Compta!$B$1:$B$675,"604",Compta!$C$1:$C$675,$A102)+SUMIFS(Compta!$F$1:$F$675,Compta!$A$1:$A$675,$B102,Compta!$B$1:$B$675,"6063",Compta!$C$1:$C$675,$A102))</f>
        <v/>
      </c>
      <c r="Z102" t="str">
        <f>IF($A102="","",SUMIFS(Compta!$F$1:$F$675,Compta!$A$1:$A$675,$B102,Compta!$B$1:$B$675,"6231",Compta!$C$1:$C$675,$A102))</f>
        <v/>
      </c>
      <c r="AA102" t="str">
        <f>IF($A102="",""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</f>
        <v/>
      </c>
      <c r="AB102" t="str">
        <f>IF($A102="",""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</f>
        <v/>
      </c>
      <c r="AC102" t="s">
        <v>297</v>
      </c>
      <c r="AD102" t="s">
        <v>297</v>
      </c>
      <c r="AE102" t="s">
        <v>297</v>
      </c>
      <c r="AF102" t="s">
        <v>297</v>
      </c>
      <c r="AG102" t="s">
        <v>297</v>
      </c>
      <c r="AH102" t="s">
        <v>297</v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 t="str">
        <f>IF($A102="","",SUMIFS(Compta!$F$1:$F$675,Compta!$A$1:$A$675,"GRP",Compta!$B$1:$B$675,"6236",Compta!$C$1:$C$675,$A102))</f>
        <v/>
      </c>
      <c r="AP102" t="s">
        <v>297</v>
      </c>
      <c r="AQ102" t="s">
        <v>297</v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IF($A103="","",SUMIFS(Socle!$K$1:$K$175,Socle!$C$1:$C$175,$B103,Socle!$D$1:$D$175,$D103,Socle!$E$1:$E$175,$E103,Socle!$F$1:$F$175,$F103,Socle!$G$1:$G$175,$A103))</f>
        <v/>
      </c>
      <c r="K103" t="str">
        <f t="shared" si="10"/>
        <v/>
      </c>
      <c r="L103" t="str">
        <f>IF($A103="","",SUMIFS(Allocation!$I$1:$I$175,Allocation!$C$1:$C$175,$A103,Allocation!$D$1:$D$175,$B103))</f>
        <v/>
      </c>
      <c r="M103" t="str">
        <f>IF($A103="","",SUMIFS(Allocation!$J$1:$J$175,Allocation!$C$1:$C$175,$A103,Allocation!$D$1:$D$175,$B103))</f>
        <v/>
      </c>
      <c r="N103" t="str">
        <f>IF($A103="","",SUMIFS(Allocation!$K$1:$K$175,Allocation!$C$1:$C$175,$A103,Allocation!$D$1:$D$175,$B103))</f>
        <v/>
      </c>
      <c r="O103" t="str">
        <f t="shared" si="11"/>
        <v/>
      </c>
      <c r="P103" t="str">
        <f t="shared" si="12"/>
        <v/>
      </c>
      <c r="Q103" t="str">
        <f>IF($A103="","",SUMIFS(Allocation!$I$1:$I$175,Allocation!$C$1:$C$175,$A103,Allocation!$E$1:$E$175,$C103))</f>
        <v/>
      </c>
      <c r="R103" t="str">
        <f>IF($A103="","",SUMIFS(Allocation!$J$1:$J$175,Allocation!$C$1:$C$175,$A103,Allocation!$E$1:$E$175,$C103))</f>
        <v/>
      </c>
      <c r="S103" t="str">
        <f>IF($A103="","",SUMIFS(Allocation!$K$1:$K$175,Allocation!$C$1:$C$175,$A103,Allocation!$E$1:$E$175,$C103))</f>
        <v/>
      </c>
      <c r="T103" t="str">
        <f>IF($A103="","",SUMIFS(Allocation!$I$1:$I$175,Allocation!$C$1:$C$175,$A103))</f>
        <v/>
      </c>
      <c r="U103" t="str">
        <f>IF($A103="","",SUMIFS(Allocation!$J$1:$J$175,Allocation!$C$1:$C$175,$A103))</f>
        <v/>
      </c>
      <c r="V103" t="str">
        <f>IF($A103="","",SUMIFS(Allocation!$K$1:$K$175,Allocation!$C$1:$C$175,$A103))</f>
        <v/>
      </c>
      <c r="W103" t="str">
        <f>IF($A103="","",SUMIFS(Compta!$F$1:$F$675,Compta!$A$1:$A$675,$B103,Compta!$B$1:$B$675,"621",Compta!$C$1:$C$675,$A103))</f>
        <v/>
      </c>
      <c r="X103" t="str">
        <f>IF($A103="","",SUMIFS(Compta!$F$1:$F$675,Compta!$A$1:$A$675,$B103,Compta!$B$1:$B$675,"6411",Compta!$C$1:$C$675,$A103))</f>
        <v/>
      </c>
      <c r="Y103" t="str">
        <f>IF($A103="","",SUMIFS(Compta!$F$1:$F$675,Compta!$A$1:$A$675,$B103,Compta!$B$1:$B$675,"604",Compta!$C$1:$C$675,$A103)+SUMIFS(Compta!$F$1:$F$675,Compta!$A$1:$A$675,$B103,Compta!$B$1:$B$675,"6063",Compta!$C$1:$C$675,$A103))</f>
        <v/>
      </c>
      <c r="Z103" t="str">
        <f>IF($A103="","",SUMIFS(Compta!$F$1:$F$675,Compta!$A$1:$A$675,$B103,Compta!$B$1:$B$675,"6231",Compta!$C$1:$C$675,$A103))</f>
        <v/>
      </c>
      <c r="AA103" t="str">
        <f>IF($A103="",""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</f>
        <v/>
      </c>
      <c r="AB103" t="str">
        <f>IF($A103="",""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</f>
        <v/>
      </c>
      <c r="AC103" t="s">
        <v>297</v>
      </c>
      <c r="AD103" t="s">
        <v>297</v>
      </c>
      <c r="AE103" t="s">
        <v>297</v>
      </c>
      <c r="AF103" t="s">
        <v>297</v>
      </c>
      <c r="AG103" t="s">
        <v>297</v>
      </c>
      <c r="AH103" t="s">
        <v>297</v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 t="str">
        <f>IF($A103="","",SUMIFS(Compta!$F$1:$F$675,Compta!$A$1:$A$675,"GRP",Compta!$B$1:$B$675,"6236",Compta!$C$1:$C$675,$A103))</f>
        <v/>
      </c>
      <c r="AP103" t="s">
        <v>297</v>
      </c>
      <c r="AQ103" t="s">
        <v>297</v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IF($A104="","",SUMIFS(Socle!$K$1:$K$175,Socle!$C$1:$C$175,$B104,Socle!$D$1:$D$175,$D104,Socle!$E$1:$E$175,$E104,Socle!$F$1:$F$175,$F104,Socle!$G$1:$G$175,$A104))</f>
        <v/>
      </c>
      <c r="K104" t="str">
        <f t="shared" si="10"/>
        <v/>
      </c>
      <c r="L104" t="str">
        <f>IF($A104="","",SUMIFS(Allocation!$I$1:$I$175,Allocation!$C$1:$C$175,$A104,Allocation!$D$1:$D$175,$B104))</f>
        <v/>
      </c>
      <c r="M104" t="str">
        <f>IF($A104="","",SUMIFS(Allocation!$J$1:$J$175,Allocation!$C$1:$C$175,$A104,Allocation!$D$1:$D$175,$B104))</f>
        <v/>
      </c>
      <c r="N104" t="str">
        <f>IF($A104="","",SUMIFS(Allocation!$K$1:$K$175,Allocation!$C$1:$C$175,$A104,Allocation!$D$1:$D$175,$B104))</f>
        <v/>
      </c>
      <c r="O104" t="str">
        <f t="shared" si="11"/>
        <v/>
      </c>
      <c r="P104" t="str">
        <f t="shared" si="12"/>
        <v/>
      </c>
      <c r="Q104" t="str">
        <f>IF($A104="","",SUMIFS(Allocation!$I$1:$I$175,Allocation!$C$1:$C$175,$A104,Allocation!$E$1:$E$175,$C104))</f>
        <v/>
      </c>
      <c r="R104" t="str">
        <f>IF($A104="","",SUMIFS(Allocation!$J$1:$J$175,Allocation!$C$1:$C$175,$A104,Allocation!$E$1:$E$175,$C104))</f>
        <v/>
      </c>
      <c r="S104" t="str">
        <f>IF($A104="","",SUMIFS(Allocation!$K$1:$K$175,Allocation!$C$1:$C$175,$A104,Allocation!$E$1:$E$175,$C104))</f>
        <v/>
      </c>
      <c r="T104" t="str">
        <f>IF($A104="","",SUMIFS(Allocation!$I$1:$I$175,Allocation!$C$1:$C$175,$A104))</f>
        <v/>
      </c>
      <c r="U104" t="str">
        <f>IF($A104="","",SUMIFS(Allocation!$J$1:$J$175,Allocation!$C$1:$C$175,$A104))</f>
        <v/>
      </c>
      <c r="V104" t="str">
        <f>IF($A104="","",SUMIFS(Allocation!$K$1:$K$175,Allocation!$C$1:$C$175,$A104))</f>
        <v/>
      </c>
      <c r="W104" t="str">
        <f>IF($A104="","",SUMIFS(Compta!$F$1:$F$675,Compta!$A$1:$A$675,$B104,Compta!$B$1:$B$675,"621",Compta!$C$1:$C$675,$A104))</f>
        <v/>
      </c>
      <c r="X104" t="str">
        <f>IF($A104="","",SUMIFS(Compta!$F$1:$F$675,Compta!$A$1:$A$675,$B104,Compta!$B$1:$B$675,"6411",Compta!$C$1:$C$675,$A104))</f>
        <v/>
      </c>
      <c r="Y104" t="str">
        <f>IF($A104="","",SUMIFS(Compta!$F$1:$F$675,Compta!$A$1:$A$675,$B104,Compta!$B$1:$B$675,"604",Compta!$C$1:$C$675,$A104)+SUMIFS(Compta!$F$1:$F$675,Compta!$A$1:$A$675,$B104,Compta!$B$1:$B$675,"6063",Compta!$C$1:$C$675,$A104))</f>
        <v/>
      </c>
      <c r="Z104" t="str">
        <f>IF($A104="","",SUMIFS(Compta!$F$1:$F$675,Compta!$A$1:$A$675,$B104,Compta!$B$1:$B$675,"6231",Compta!$C$1:$C$675,$A104))</f>
        <v/>
      </c>
      <c r="AA104" t="str">
        <f>IF($A104="",""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</f>
        <v/>
      </c>
      <c r="AB104" t="str">
        <f>IF($A104="",""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</f>
        <v/>
      </c>
      <c r="AC104" t="s">
        <v>297</v>
      </c>
      <c r="AD104" t="s">
        <v>297</v>
      </c>
      <c r="AE104" t="s">
        <v>297</v>
      </c>
      <c r="AF104" t="s">
        <v>297</v>
      </c>
      <c r="AG104" t="s">
        <v>297</v>
      </c>
      <c r="AH104" t="s">
        <v>297</v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 t="str">
        <f>IF($A104="","",SUMIFS(Compta!$F$1:$F$675,Compta!$A$1:$A$675,"GRP",Compta!$B$1:$B$675,"6236",Compta!$C$1:$C$675,$A104))</f>
        <v/>
      </c>
      <c r="AP104" t="s">
        <v>297</v>
      </c>
      <c r="AQ104" t="s">
        <v>297</v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IF($A105="","",SUMIFS(Socle!$K$1:$K$175,Socle!$C$1:$C$175,$B105,Socle!$D$1:$D$175,$D105,Socle!$E$1:$E$175,$E105,Socle!$F$1:$F$175,$F105,Socle!$G$1:$G$175,$A105))</f>
        <v/>
      </c>
      <c r="K105" t="str">
        <f t="shared" si="10"/>
        <v/>
      </c>
      <c r="L105" t="str">
        <f>IF($A105="","",SUMIFS(Allocation!$I$1:$I$175,Allocation!$C$1:$C$175,$A105,Allocation!$D$1:$D$175,$B105))</f>
        <v/>
      </c>
      <c r="M105" t="str">
        <f>IF($A105="","",SUMIFS(Allocation!$J$1:$J$175,Allocation!$C$1:$C$175,$A105,Allocation!$D$1:$D$175,$B105))</f>
        <v/>
      </c>
      <c r="N105" t="str">
        <f>IF($A105="","",SUMIFS(Allocation!$K$1:$K$175,Allocation!$C$1:$C$175,$A105,Allocation!$D$1:$D$175,$B105))</f>
        <v/>
      </c>
      <c r="O105" t="str">
        <f t="shared" si="11"/>
        <v/>
      </c>
      <c r="P105" t="str">
        <f t="shared" si="12"/>
        <v/>
      </c>
      <c r="Q105" t="str">
        <f>IF($A105="","",SUMIFS(Allocation!$I$1:$I$175,Allocation!$C$1:$C$175,$A105,Allocation!$E$1:$E$175,$C105))</f>
        <v/>
      </c>
      <c r="R105" t="str">
        <f>IF($A105="","",SUMIFS(Allocation!$J$1:$J$175,Allocation!$C$1:$C$175,$A105,Allocation!$E$1:$E$175,$C105))</f>
        <v/>
      </c>
      <c r="S105" t="str">
        <f>IF($A105="","",SUMIFS(Allocation!$K$1:$K$175,Allocation!$C$1:$C$175,$A105,Allocation!$E$1:$E$175,$C105))</f>
        <v/>
      </c>
      <c r="T105" t="str">
        <f>IF($A105="","",SUMIFS(Allocation!$I$1:$I$175,Allocation!$C$1:$C$175,$A105))</f>
        <v/>
      </c>
      <c r="U105" t="str">
        <f>IF($A105="","",SUMIFS(Allocation!$J$1:$J$175,Allocation!$C$1:$C$175,$A105))</f>
        <v/>
      </c>
      <c r="V105" t="str">
        <f>IF($A105="","",SUMIFS(Allocation!$K$1:$K$175,Allocation!$C$1:$C$175,$A105))</f>
        <v/>
      </c>
      <c r="W105" t="str">
        <f>IF($A105="","",SUMIFS(Compta!$F$1:$F$675,Compta!$A$1:$A$675,$B105,Compta!$B$1:$B$675,"621",Compta!$C$1:$C$675,$A105))</f>
        <v/>
      </c>
      <c r="X105" t="str">
        <f>IF($A105="","",SUMIFS(Compta!$F$1:$F$675,Compta!$A$1:$A$675,$B105,Compta!$B$1:$B$675,"6411",Compta!$C$1:$C$675,$A105))</f>
        <v/>
      </c>
      <c r="Y105" t="str">
        <f>IF($A105="","",SUMIFS(Compta!$F$1:$F$675,Compta!$A$1:$A$675,$B105,Compta!$B$1:$B$675,"604",Compta!$C$1:$C$675,$A105)+SUMIFS(Compta!$F$1:$F$675,Compta!$A$1:$A$675,$B105,Compta!$B$1:$B$675,"6063",Compta!$C$1:$C$675,$A105))</f>
        <v/>
      </c>
      <c r="Z105" t="str">
        <f>IF($A105="","",SUMIFS(Compta!$F$1:$F$675,Compta!$A$1:$A$675,$B105,Compta!$B$1:$B$675,"6231",Compta!$C$1:$C$675,$A105))</f>
        <v/>
      </c>
      <c r="AA105" t="str">
        <f>IF($A105="",""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</f>
        <v/>
      </c>
      <c r="AB105" t="str">
        <f>IF($A105="",""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</f>
        <v/>
      </c>
      <c r="AC105" t="s">
        <v>297</v>
      </c>
      <c r="AD105" t="s">
        <v>297</v>
      </c>
      <c r="AE105" t="s">
        <v>297</v>
      </c>
      <c r="AF105" t="s">
        <v>297</v>
      </c>
      <c r="AG105" t="s">
        <v>297</v>
      </c>
      <c r="AH105" t="s">
        <v>297</v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 t="str">
        <f>IF($A105="","",SUMIFS(Compta!$F$1:$F$675,Compta!$A$1:$A$675,"GRP",Compta!$B$1:$B$675,"6236",Compta!$C$1:$C$675,$A105))</f>
        <v/>
      </c>
      <c r="AP105" t="s">
        <v>297</v>
      </c>
      <c r="AQ105" t="s">
        <v>297</v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IF($A106="","",SUMIFS(Socle!$K$1:$K$175,Socle!$C$1:$C$175,$B106,Socle!$D$1:$D$175,$D106,Socle!$E$1:$E$175,$E106,Socle!$F$1:$F$175,$F106,Socle!$G$1:$G$175,$A106))</f>
        <v/>
      </c>
      <c r="K106" t="str">
        <f t="shared" si="10"/>
        <v/>
      </c>
      <c r="L106" t="str">
        <f>IF($A106="","",SUMIFS(Allocation!$I$1:$I$175,Allocation!$C$1:$C$175,$A106,Allocation!$D$1:$D$175,$B106))</f>
        <v/>
      </c>
      <c r="M106" t="str">
        <f>IF($A106="","",SUMIFS(Allocation!$J$1:$J$175,Allocation!$C$1:$C$175,$A106,Allocation!$D$1:$D$175,$B106))</f>
        <v/>
      </c>
      <c r="N106" t="str">
        <f>IF($A106="","",SUMIFS(Allocation!$K$1:$K$175,Allocation!$C$1:$C$175,$A106,Allocation!$D$1:$D$175,$B106))</f>
        <v/>
      </c>
      <c r="O106" t="str">
        <f t="shared" si="11"/>
        <v/>
      </c>
      <c r="P106" t="str">
        <f t="shared" si="12"/>
        <v/>
      </c>
      <c r="Q106" t="str">
        <f>IF($A106="","",SUMIFS(Allocation!$I$1:$I$175,Allocation!$C$1:$C$175,$A106,Allocation!$E$1:$E$175,$C106))</f>
        <v/>
      </c>
      <c r="R106" t="str">
        <f>IF($A106="","",SUMIFS(Allocation!$J$1:$J$175,Allocation!$C$1:$C$175,$A106,Allocation!$E$1:$E$175,$C106))</f>
        <v/>
      </c>
      <c r="S106" t="str">
        <f>IF($A106="","",SUMIFS(Allocation!$K$1:$K$175,Allocation!$C$1:$C$175,$A106,Allocation!$E$1:$E$175,$C106))</f>
        <v/>
      </c>
      <c r="T106" t="str">
        <f>IF($A106="","",SUMIFS(Allocation!$I$1:$I$175,Allocation!$C$1:$C$175,$A106))</f>
        <v/>
      </c>
      <c r="U106" t="str">
        <f>IF($A106="","",SUMIFS(Allocation!$J$1:$J$175,Allocation!$C$1:$C$175,$A106))</f>
        <v/>
      </c>
      <c r="V106" t="str">
        <f>IF($A106="","",SUMIFS(Allocation!$K$1:$K$175,Allocation!$C$1:$C$175,$A106))</f>
        <v/>
      </c>
      <c r="W106" t="str">
        <f>IF($A106="","",SUMIFS(Compta!$F$1:$F$675,Compta!$A$1:$A$675,$B106,Compta!$B$1:$B$675,"621",Compta!$C$1:$C$675,$A106))</f>
        <v/>
      </c>
      <c r="X106" t="str">
        <f>IF($A106="","",SUMIFS(Compta!$F$1:$F$675,Compta!$A$1:$A$675,$B106,Compta!$B$1:$B$675,"6411",Compta!$C$1:$C$675,$A106))</f>
        <v/>
      </c>
      <c r="Y106" t="str">
        <f>IF($A106="","",SUMIFS(Compta!$F$1:$F$675,Compta!$A$1:$A$675,$B106,Compta!$B$1:$B$675,"604",Compta!$C$1:$C$675,$A106)+SUMIFS(Compta!$F$1:$F$675,Compta!$A$1:$A$675,$B106,Compta!$B$1:$B$675,"6063",Compta!$C$1:$C$675,$A106))</f>
        <v/>
      </c>
      <c r="Z106" t="str">
        <f>IF($A106="","",SUMIFS(Compta!$F$1:$F$675,Compta!$A$1:$A$675,$B106,Compta!$B$1:$B$675,"6231",Compta!$C$1:$C$675,$A106))</f>
        <v/>
      </c>
      <c r="AA106" t="str">
        <f>IF($A106="",""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</f>
        <v/>
      </c>
      <c r="AB106" t="str">
        <f>IF($A106="",""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</f>
        <v/>
      </c>
      <c r="AC106" t="s">
        <v>297</v>
      </c>
      <c r="AD106" t="s">
        <v>297</v>
      </c>
      <c r="AE106" t="s">
        <v>297</v>
      </c>
      <c r="AF106" t="s">
        <v>297</v>
      </c>
      <c r="AG106" t="s">
        <v>297</v>
      </c>
      <c r="AH106" t="s">
        <v>297</v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 t="str">
        <f>IF($A106="","",SUMIFS(Compta!$F$1:$F$675,Compta!$A$1:$A$675,"GRP",Compta!$B$1:$B$675,"6236",Compta!$C$1:$C$675,$A106))</f>
        <v/>
      </c>
      <c r="AP106" t="s">
        <v>297</v>
      </c>
      <c r="AQ106" t="s">
        <v>297</v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IF($A107="","",SUMIFS(Socle!$K$1:$K$175,Socle!$C$1:$C$175,$B107,Socle!$D$1:$D$175,$D107,Socle!$E$1:$E$175,$E107,Socle!$F$1:$F$175,$F107,Socle!$G$1:$G$175,$A107))</f>
        <v/>
      </c>
      <c r="K107" t="str">
        <f t="shared" si="10"/>
        <v/>
      </c>
      <c r="L107" t="str">
        <f>IF($A107="","",SUMIFS(Allocation!$I$1:$I$175,Allocation!$C$1:$C$175,$A107,Allocation!$D$1:$D$175,$B107))</f>
        <v/>
      </c>
      <c r="M107" t="str">
        <f>IF($A107="","",SUMIFS(Allocation!$J$1:$J$175,Allocation!$C$1:$C$175,$A107,Allocation!$D$1:$D$175,$B107))</f>
        <v/>
      </c>
      <c r="N107" t="str">
        <f>IF($A107="","",SUMIFS(Allocation!$K$1:$K$175,Allocation!$C$1:$C$175,$A107,Allocation!$D$1:$D$175,$B107))</f>
        <v/>
      </c>
      <c r="O107" t="str">
        <f t="shared" si="11"/>
        <v/>
      </c>
      <c r="P107" t="str">
        <f t="shared" si="12"/>
        <v/>
      </c>
      <c r="Q107" t="str">
        <f>IF($A107="","",SUMIFS(Allocation!$I$1:$I$175,Allocation!$C$1:$C$175,$A107,Allocation!$E$1:$E$175,$C107))</f>
        <v/>
      </c>
      <c r="R107" t="str">
        <f>IF($A107="","",SUMIFS(Allocation!$J$1:$J$175,Allocation!$C$1:$C$175,$A107,Allocation!$E$1:$E$175,$C107))</f>
        <v/>
      </c>
      <c r="S107" t="str">
        <f>IF($A107="","",SUMIFS(Allocation!$K$1:$K$175,Allocation!$C$1:$C$175,$A107,Allocation!$E$1:$E$175,$C107))</f>
        <v/>
      </c>
      <c r="T107" t="str">
        <f>IF($A107="","",SUMIFS(Allocation!$I$1:$I$175,Allocation!$C$1:$C$175,$A107))</f>
        <v/>
      </c>
      <c r="U107" t="str">
        <f>IF($A107="","",SUMIFS(Allocation!$J$1:$J$175,Allocation!$C$1:$C$175,$A107))</f>
        <v/>
      </c>
      <c r="V107" t="str">
        <f>IF($A107="","",SUMIFS(Allocation!$K$1:$K$175,Allocation!$C$1:$C$175,$A107))</f>
        <v/>
      </c>
      <c r="W107" t="str">
        <f>IF($A107="","",SUMIFS(Compta!$F$1:$F$675,Compta!$A$1:$A$675,$B107,Compta!$B$1:$B$675,"621",Compta!$C$1:$C$675,$A107))</f>
        <v/>
      </c>
      <c r="X107" t="str">
        <f>IF($A107="","",SUMIFS(Compta!$F$1:$F$675,Compta!$A$1:$A$675,$B107,Compta!$B$1:$B$675,"6411",Compta!$C$1:$C$675,$A107))</f>
        <v/>
      </c>
      <c r="Y107" t="str">
        <f>IF($A107="","",SUMIFS(Compta!$F$1:$F$675,Compta!$A$1:$A$675,$B107,Compta!$B$1:$B$675,"604",Compta!$C$1:$C$675,$A107)+SUMIFS(Compta!$F$1:$F$675,Compta!$A$1:$A$675,$B107,Compta!$B$1:$B$675,"6063",Compta!$C$1:$C$675,$A107))</f>
        <v/>
      </c>
      <c r="Z107" t="str">
        <f>IF($A107="","",SUMIFS(Compta!$F$1:$F$675,Compta!$A$1:$A$675,$B107,Compta!$B$1:$B$675,"6231",Compta!$C$1:$C$675,$A107))</f>
        <v/>
      </c>
      <c r="AA107" t="str">
        <f>IF($A107="",""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</f>
        <v/>
      </c>
      <c r="AB107" t="str">
        <f>IF($A107="",""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</f>
        <v/>
      </c>
      <c r="AC107" t="s">
        <v>297</v>
      </c>
      <c r="AD107" t="s">
        <v>297</v>
      </c>
      <c r="AE107" t="s">
        <v>297</v>
      </c>
      <c r="AF107" t="s">
        <v>297</v>
      </c>
      <c r="AG107" t="s">
        <v>297</v>
      </c>
      <c r="AH107" t="s">
        <v>297</v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 t="str">
        <f>IF($A107="","",SUMIFS(Compta!$F$1:$F$675,Compta!$A$1:$A$675,"GRP",Compta!$B$1:$B$675,"6236",Compta!$C$1:$C$675,$A107))</f>
        <v/>
      </c>
      <c r="AP107" t="s">
        <v>297</v>
      </c>
      <c r="AQ107" t="s">
        <v>297</v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IF($A108="","",SUMIFS(Socle!$K$1:$K$175,Socle!$C$1:$C$175,$B108,Socle!$D$1:$D$175,$D108,Socle!$E$1:$E$175,$E108,Socle!$F$1:$F$175,$F108,Socle!$G$1:$G$175,$A108))</f>
        <v/>
      </c>
      <c r="K108" t="str">
        <f t="shared" si="10"/>
        <v/>
      </c>
      <c r="L108" t="str">
        <f>IF($A108="","",SUMIFS(Allocation!$I$1:$I$175,Allocation!$C$1:$C$175,$A108,Allocation!$D$1:$D$175,$B108))</f>
        <v/>
      </c>
      <c r="M108" t="str">
        <f>IF($A108="","",SUMIFS(Allocation!$J$1:$J$175,Allocation!$C$1:$C$175,$A108,Allocation!$D$1:$D$175,$B108))</f>
        <v/>
      </c>
      <c r="N108" t="str">
        <f>IF($A108="","",SUMIFS(Allocation!$K$1:$K$175,Allocation!$C$1:$C$175,$A108,Allocation!$D$1:$D$175,$B108))</f>
        <v/>
      </c>
      <c r="O108" t="str">
        <f t="shared" si="11"/>
        <v/>
      </c>
      <c r="P108" t="str">
        <f t="shared" si="12"/>
        <v/>
      </c>
      <c r="Q108" t="str">
        <f>IF($A108="","",SUMIFS(Allocation!$I$1:$I$175,Allocation!$C$1:$C$175,$A108,Allocation!$E$1:$E$175,$C108))</f>
        <v/>
      </c>
      <c r="R108" t="str">
        <f>IF($A108="","",SUMIFS(Allocation!$J$1:$J$175,Allocation!$C$1:$C$175,$A108,Allocation!$E$1:$E$175,$C108))</f>
        <v/>
      </c>
      <c r="S108" t="str">
        <f>IF($A108="","",SUMIFS(Allocation!$K$1:$K$175,Allocation!$C$1:$C$175,$A108,Allocation!$E$1:$E$175,$C108))</f>
        <v/>
      </c>
      <c r="T108" t="str">
        <f>IF($A108="","",SUMIFS(Allocation!$I$1:$I$175,Allocation!$C$1:$C$175,$A108))</f>
        <v/>
      </c>
      <c r="U108" t="str">
        <f>IF($A108="","",SUMIFS(Allocation!$J$1:$J$175,Allocation!$C$1:$C$175,$A108))</f>
        <v/>
      </c>
      <c r="V108" t="str">
        <f>IF($A108="","",SUMIFS(Allocation!$K$1:$K$175,Allocation!$C$1:$C$175,$A108))</f>
        <v/>
      </c>
      <c r="W108" t="str">
        <f>IF($A108="","",SUMIFS(Compta!$F$1:$F$675,Compta!$A$1:$A$675,$B108,Compta!$B$1:$B$675,"621",Compta!$C$1:$C$675,$A108))</f>
        <v/>
      </c>
      <c r="X108" t="str">
        <f>IF($A108="","",SUMIFS(Compta!$F$1:$F$675,Compta!$A$1:$A$675,$B108,Compta!$B$1:$B$675,"6411",Compta!$C$1:$C$675,$A108))</f>
        <v/>
      </c>
      <c r="Y108" t="str">
        <f>IF($A108="","",SUMIFS(Compta!$F$1:$F$675,Compta!$A$1:$A$675,$B108,Compta!$B$1:$B$675,"604",Compta!$C$1:$C$675,$A108)+SUMIFS(Compta!$F$1:$F$675,Compta!$A$1:$A$675,$B108,Compta!$B$1:$B$675,"6063",Compta!$C$1:$C$675,$A108))</f>
        <v/>
      </c>
      <c r="Z108" t="str">
        <f>IF($A108="","",SUMIFS(Compta!$F$1:$F$675,Compta!$A$1:$A$675,$B108,Compta!$B$1:$B$675,"6231",Compta!$C$1:$C$675,$A108))</f>
        <v/>
      </c>
      <c r="AA108" t="str">
        <f>IF($A108="",""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</f>
        <v/>
      </c>
      <c r="AB108" t="str">
        <f>IF($A108="",""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</f>
        <v/>
      </c>
      <c r="AC108" t="s">
        <v>297</v>
      </c>
      <c r="AD108" t="s">
        <v>297</v>
      </c>
      <c r="AE108" t="s">
        <v>297</v>
      </c>
      <c r="AF108" t="s">
        <v>297</v>
      </c>
      <c r="AG108" t="s">
        <v>297</v>
      </c>
      <c r="AH108" t="s">
        <v>297</v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 t="str">
        <f>IF($A108="","",SUMIFS(Compta!$F$1:$F$675,Compta!$A$1:$A$675,"GRP",Compta!$B$1:$B$675,"6236",Compta!$C$1:$C$675,$A108))</f>
        <v/>
      </c>
      <c r="AP108" t="s">
        <v>297</v>
      </c>
      <c r="AQ108" t="s">
        <v>297</v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IF($A109="","",SUMIFS(Socle!$K$1:$K$175,Socle!$C$1:$C$175,$B109,Socle!$D$1:$D$175,$D109,Socle!$E$1:$E$175,$E109,Socle!$F$1:$F$175,$F109,Socle!$G$1:$G$175,$A109))</f>
        <v/>
      </c>
      <c r="K109" t="str">
        <f t="shared" si="10"/>
        <v/>
      </c>
      <c r="L109" t="str">
        <f>IF($A109="","",SUMIFS(Allocation!$I$1:$I$175,Allocation!$C$1:$C$175,$A109,Allocation!$D$1:$D$175,$B109))</f>
        <v/>
      </c>
      <c r="M109" t="str">
        <f>IF($A109="","",SUMIFS(Allocation!$J$1:$J$175,Allocation!$C$1:$C$175,$A109,Allocation!$D$1:$D$175,$B109))</f>
        <v/>
      </c>
      <c r="N109" t="str">
        <f>IF($A109="","",SUMIFS(Allocation!$K$1:$K$175,Allocation!$C$1:$C$175,$A109,Allocation!$D$1:$D$175,$B109))</f>
        <v/>
      </c>
      <c r="O109" t="str">
        <f t="shared" si="11"/>
        <v/>
      </c>
      <c r="P109" t="str">
        <f t="shared" si="12"/>
        <v/>
      </c>
      <c r="Q109" t="str">
        <f>IF($A109="","",SUMIFS(Allocation!$I$1:$I$175,Allocation!$C$1:$C$175,$A109,Allocation!$E$1:$E$175,$C109))</f>
        <v/>
      </c>
      <c r="R109" t="str">
        <f>IF($A109="","",SUMIFS(Allocation!$J$1:$J$175,Allocation!$C$1:$C$175,$A109,Allocation!$E$1:$E$175,$C109))</f>
        <v/>
      </c>
      <c r="S109" t="str">
        <f>IF($A109="","",SUMIFS(Allocation!$K$1:$K$175,Allocation!$C$1:$C$175,$A109,Allocation!$E$1:$E$175,$C109))</f>
        <v/>
      </c>
      <c r="T109" t="str">
        <f>IF($A109="","",SUMIFS(Allocation!$I$1:$I$175,Allocation!$C$1:$C$175,$A109))</f>
        <v/>
      </c>
      <c r="U109" t="str">
        <f>IF($A109="","",SUMIFS(Allocation!$J$1:$J$175,Allocation!$C$1:$C$175,$A109))</f>
        <v/>
      </c>
      <c r="V109" t="str">
        <f>IF($A109="","",SUMIFS(Allocation!$K$1:$K$175,Allocation!$C$1:$C$175,$A109))</f>
        <v/>
      </c>
      <c r="W109" t="str">
        <f>IF($A109="","",SUMIFS(Compta!$F$1:$F$675,Compta!$A$1:$A$675,$B109,Compta!$B$1:$B$675,"621",Compta!$C$1:$C$675,$A109))</f>
        <v/>
      </c>
      <c r="X109" t="str">
        <f>IF($A109="","",SUMIFS(Compta!$F$1:$F$675,Compta!$A$1:$A$675,$B109,Compta!$B$1:$B$675,"6411",Compta!$C$1:$C$675,$A109))</f>
        <v/>
      </c>
      <c r="Y109" t="str">
        <f>IF($A109="","",SUMIFS(Compta!$F$1:$F$675,Compta!$A$1:$A$675,$B109,Compta!$B$1:$B$675,"604",Compta!$C$1:$C$675,$A109)+SUMIFS(Compta!$F$1:$F$675,Compta!$A$1:$A$675,$B109,Compta!$B$1:$B$675,"6063",Compta!$C$1:$C$675,$A109))</f>
        <v/>
      </c>
      <c r="Z109" t="str">
        <f>IF($A109="","",SUMIFS(Compta!$F$1:$F$675,Compta!$A$1:$A$675,$B109,Compta!$B$1:$B$675,"6231",Compta!$C$1:$C$675,$A109))</f>
        <v/>
      </c>
      <c r="AA109" t="str">
        <f>IF($A109="",""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</f>
        <v/>
      </c>
      <c r="AB109" t="str">
        <f>IF($A109="",""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</f>
        <v/>
      </c>
      <c r="AC109" t="s">
        <v>297</v>
      </c>
      <c r="AD109" t="s">
        <v>297</v>
      </c>
      <c r="AE109" t="s">
        <v>297</v>
      </c>
      <c r="AF109" t="s">
        <v>297</v>
      </c>
      <c r="AG109" t="s">
        <v>297</v>
      </c>
      <c r="AH109" t="s">
        <v>297</v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 t="str">
        <f>IF($A109="","",SUMIFS(Compta!$F$1:$F$675,Compta!$A$1:$A$675,"GRP",Compta!$B$1:$B$675,"6236",Compta!$C$1:$C$675,$A109))</f>
        <v/>
      </c>
      <c r="AP109" t="s">
        <v>297</v>
      </c>
      <c r="AQ109" t="s">
        <v>297</v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IF($A110="","",SUMIFS(Socle!$K$1:$K$175,Socle!$C$1:$C$175,$B110,Socle!$D$1:$D$175,$D110,Socle!$E$1:$E$175,$E110,Socle!$F$1:$F$175,$F110,Socle!$G$1:$G$175,$A110))</f>
        <v/>
      </c>
      <c r="K110" t="str">
        <f t="shared" si="10"/>
        <v/>
      </c>
      <c r="L110" t="str">
        <f>IF($A110="","",SUMIFS(Allocation!$I$1:$I$175,Allocation!$C$1:$C$175,$A110,Allocation!$D$1:$D$175,$B110))</f>
        <v/>
      </c>
      <c r="M110" t="str">
        <f>IF($A110="","",SUMIFS(Allocation!$J$1:$J$175,Allocation!$C$1:$C$175,$A110,Allocation!$D$1:$D$175,$B110))</f>
        <v/>
      </c>
      <c r="N110" t="str">
        <f>IF($A110="","",SUMIFS(Allocation!$K$1:$K$175,Allocation!$C$1:$C$175,$A110,Allocation!$D$1:$D$175,$B110))</f>
        <v/>
      </c>
      <c r="O110" t="str">
        <f t="shared" si="11"/>
        <v/>
      </c>
      <c r="P110" t="str">
        <f t="shared" si="12"/>
        <v/>
      </c>
      <c r="Q110" t="str">
        <f>IF($A110="","",SUMIFS(Allocation!$I$1:$I$175,Allocation!$C$1:$C$175,$A110,Allocation!$E$1:$E$175,$C110))</f>
        <v/>
      </c>
      <c r="R110" t="str">
        <f>IF($A110="","",SUMIFS(Allocation!$J$1:$J$175,Allocation!$C$1:$C$175,$A110,Allocation!$E$1:$E$175,$C110))</f>
        <v/>
      </c>
      <c r="S110" t="str">
        <f>IF($A110="","",SUMIFS(Allocation!$K$1:$K$175,Allocation!$C$1:$C$175,$A110,Allocation!$E$1:$E$175,$C110))</f>
        <v/>
      </c>
      <c r="T110" t="str">
        <f>IF($A110="","",SUMIFS(Allocation!$I$1:$I$175,Allocation!$C$1:$C$175,$A110))</f>
        <v/>
      </c>
      <c r="U110" t="str">
        <f>IF($A110="","",SUMIFS(Allocation!$J$1:$J$175,Allocation!$C$1:$C$175,$A110))</f>
        <v/>
      </c>
      <c r="V110" t="str">
        <f>IF($A110="","",SUMIFS(Allocation!$K$1:$K$175,Allocation!$C$1:$C$175,$A110))</f>
        <v/>
      </c>
      <c r="W110" t="str">
        <f>IF($A110="","",SUMIFS(Compta!$F$1:$F$675,Compta!$A$1:$A$675,$B110,Compta!$B$1:$B$675,"621",Compta!$C$1:$C$675,$A110))</f>
        <v/>
      </c>
      <c r="X110" t="str">
        <f>IF($A110="","",SUMIFS(Compta!$F$1:$F$675,Compta!$A$1:$A$675,$B110,Compta!$B$1:$B$675,"6411",Compta!$C$1:$C$675,$A110))</f>
        <v/>
      </c>
      <c r="Y110" t="str">
        <f>IF($A110="","",SUMIFS(Compta!$F$1:$F$675,Compta!$A$1:$A$675,$B110,Compta!$B$1:$B$675,"604",Compta!$C$1:$C$675,$A110)+SUMIFS(Compta!$F$1:$F$675,Compta!$A$1:$A$675,$B110,Compta!$B$1:$B$675,"6063",Compta!$C$1:$C$675,$A110))</f>
        <v/>
      </c>
      <c r="Z110" t="str">
        <f>IF($A110="","",SUMIFS(Compta!$F$1:$F$675,Compta!$A$1:$A$675,$B110,Compta!$B$1:$B$675,"6231",Compta!$C$1:$C$675,$A110))</f>
        <v/>
      </c>
      <c r="AA110" t="str">
        <f>IF($A110="",""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</f>
        <v/>
      </c>
      <c r="AB110" t="str">
        <f>IF($A110="",""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</f>
        <v/>
      </c>
      <c r="AC110" t="s">
        <v>297</v>
      </c>
      <c r="AD110" t="s">
        <v>297</v>
      </c>
      <c r="AE110" t="s">
        <v>297</v>
      </c>
      <c r="AF110" t="s">
        <v>297</v>
      </c>
      <c r="AG110" t="s">
        <v>297</v>
      </c>
      <c r="AH110" t="s">
        <v>297</v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 t="str">
        <f>IF($A110="","",SUMIFS(Compta!$F$1:$F$675,Compta!$A$1:$A$675,"GRP",Compta!$B$1:$B$675,"6236",Compta!$C$1:$C$675,$A110))</f>
        <v/>
      </c>
      <c r="AP110" t="s">
        <v>297</v>
      </c>
      <c r="AQ110" t="s">
        <v>297</v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IF($A111="","",SUMIFS(Socle!$K$1:$K$175,Socle!$C$1:$C$175,$B111,Socle!$D$1:$D$175,$D111,Socle!$E$1:$E$175,$E111,Socle!$F$1:$F$175,$F111,Socle!$G$1:$G$175,$A111))</f>
        <v/>
      </c>
      <c r="K111" t="str">
        <f t="shared" si="10"/>
        <v/>
      </c>
      <c r="L111" t="str">
        <f>IF($A111="","",SUMIFS(Allocation!$I$1:$I$175,Allocation!$C$1:$C$175,$A111,Allocation!$D$1:$D$175,$B111))</f>
        <v/>
      </c>
      <c r="M111" t="str">
        <f>IF($A111="","",SUMIFS(Allocation!$J$1:$J$175,Allocation!$C$1:$C$175,$A111,Allocation!$D$1:$D$175,$B111))</f>
        <v/>
      </c>
      <c r="N111" t="str">
        <f>IF($A111="","",SUMIFS(Allocation!$K$1:$K$175,Allocation!$C$1:$C$175,$A111,Allocation!$D$1:$D$175,$B111))</f>
        <v/>
      </c>
      <c r="O111" t="str">
        <f t="shared" si="11"/>
        <v/>
      </c>
      <c r="P111" t="str">
        <f t="shared" si="12"/>
        <v/>
      </c>
      <c r="Q111" t="str">
        <f>IF($A111="","",SUMIFS(Allocation!$I$1:$I$175,Allocation!$C$1:$C$175,$A111,Allocation!$E$1:$E$175,$C111))</f>
        <v/>
      </c>
      <c r="R111" t="str">
        <f>IF($A111="","",SUMIFS(Allocation!$J$1:$J$175,Allocation!$C$1:$C$175,$A111,Allocation!$E$1:$E$175,$C111))</f>
        <v/>
      </c>
      <c r="S111" t="str">
        <f>IF($A111="","",SUMIFS(Allocation!$K$1:$K$175,Allocation!$C$1:$C$175,$A111,Allocation!$E$1:$E$175,$C111))</f>
        <v/>
      </c>
      <c r="T111" t="str">
        <f>IF($A111="","",SUMIFS(Allocation!$I$1:$I$175,Allocation!$C$1:$C$175,$A111))</f>
        <v/>
      </c>
      <c r="U111" t="str">
        <f>IF($A111="","",SUMIFS(Allocation!$J$1:$J$175,Allocation!$C$1:$C$175,$A111))</f>
        <v/>
      </c>
      <c r="V111" t="str">
        <f>IF($A111="","",SUMIFS(Allocation!$K$1:$K$175,Allocation!$C$1:$C$175,$A111))</f>
        <v/>
      </c>
      <c r="W111" t="str">
        <f>IF($A111="","",SUMIFS(Compta!$F$1:$F$675,Compta!$A$1:$A$675,$B111,Compta!$B$1:$B$675,"621",Compta!$C$1:$C$675,$A111))</f>
        <v/>
      </c>
      <c r="X111" t="str">
        <f>IF($A111="","",SUMIFS(Compta!$F$1:$F$675,Compta!$A$1:$A$675,$B111,Compta!$B$1:$B$675,"6411",Compta!$C$1:$C$675,$A111))</f>
        <v/>
      </c>
      <c r="Y111" t="str">
        <f>IF($A111="","",SUMIFS(Compta!$F$1:$F$675,Compta!$A$1:$A$675,$B111,Compta!$B$1:$B$675,"604",Compta!$C$1:$C$675,$A111)+SUMIFS(Compta!$F$1:$F$675,Compta!$A$1:$A$675,$B111,Compta!$B$1:$B$675,"6063",Compta!$C$1:$C$675,$A111))</f>
        <v/>
      </c>
      <c r="Z111" t="str">
        <f>IF($A111="","",SUMIFS(Compta!$F$1:$F$675,Compta!$A$1:$A$675,$B111,Compta!$B$1:$B$675,"6231",Compta!$C$1:$C$675,$A111))</f>
        <v/>
      </c>
      <c r="AA111" t="str">
        <f>IF($A111="",""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</f>
        <v/>
      </c>
      <c r="AB111" t="str">
        <f>IF($A111="",""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</f>
        <v/>
      </c>
      <c r="AC111" t="s">
        <v>297</v>
      </c>
      <c r="AD111" t="s">
        <v>297</v>
      </c>
      <c r="AE111" t="s">
        <v>297</v>
      </c>
      <c r="AF111" t="s">
        <v>297</v>
      </c>
      <c r="AG111" t="s">
        <v>297</v>
      </c>
      <c r="AH111" t="s">
        <v>297</v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 t="str">
        <f>IF($A111="","",SUMIFS(Compta!$F$1:$F$675,Compta!$A$1:$A$675,"GRP",Compta!$B$1:$B$675,"6236",Compta!$C$1:$C$675,$A111))</f>
        <v/>
      </c>
      <c r="AP111" t="s">
        <v>297</v>
      </c>
      <c r="AQ111" t="s">
        <v>297</v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IF($A112="","",SUMIFS(Socle!$K$1:$K$175,Socle!$C$1:$C$175,$B112,Socle!$D$1:$D$175,$D112,Socle!$E$1:$E$175,$E112,Socle!$F$1:$F$175,$F112,Socle!$G$1:$G$175,$A112))</f>
        <v/>
      </c>
      <c r="K112" t="str">
        <f t="shared" si="10"/>
        <v/>
      </c>
      <c r="L112" t="str">
        <f>IF($A112="","",SUMIFS(Allocation!$I$1:$I$175,Allocation!$C$1:$C$175,$A112,Allocation!$D$1:$D$175,$B112))</f>
        <v/>
      </c>
      <c r="M112" t="str">
        <f>IF($A112="","",SUMIFS(Allocation!$J$1:$J$175,Allocation!$C$1:$C$175,$A112,Allocation!$D$1:$D$175,$B112))</f>
        <v/>
      </c>
      <c r="N112" t="str">
        <f>IF($A112="","",SUMIFS(Allocation!$K$1:$K$175,Allocation!$C$1:$C$175,$A112,Allocation!$D$1:$D$175,$B112))</f>
        <v/>
      </c>
      <c r="O112" t="str">
        <f t="shared" si="11"/>
        <v/>
      </c>
      <c r="P112" t="str">
        <f t="shared" si="12"/>
        <v/>
      </c>
      <c r="Q112" t="str">
        <f>IF($A112="","",SUMIFS(Allocation!$I$1:$I$175,Allocation!$C$1:$C$175,$A112,Allocation!$E$1:$E$175,$C112))</f>
        <v/>
      </c>
      <c r="R112" t="str">
        <f>IF($A112="","",SUMIFS(Allocation!$J$1:$J$175,Allocation!$C$1:$C$175,$A112,Allocation!$E$1:$E$175,$C112))</f>
        <v/>
      </c>
      <c r="S112" t="str">
        <f>IF($A112="","",SUMIFS(Allocation!$K$1:$K$175,Allocation!$C$1:$C$175,$A112,Allocation!$E$1:$E$175,$C112))</f>
        <v/>
      </c>
      <c r="T112" t="str">
        <f>IF($A112="","",SUMIFS(Allocation!$I$1:$I$175,Allocation!$C$1:$C$175,$A112))</f>
        <v/>
      </c>
      <c r="U112" t="str">
        <f>IF($A112="","",SUMIFS(Allocation!$J$1:$J$175,Allocation!$C$1:$C$175,$A112))</f>
        <v/>
      </c>
      <c r="V112" t="str">
        <f>IF($A112="","",SUMIFS(Allocation!$K$1:$K$175,Allocation!$C$1:$C$175,$A112))</f>
        <v/>
      </c>
      <c r="W112" t="str">
        <f>IF($A112="","",SUMIFS(Compta!$F$1:$F$675,Compta!$A$1:$A$675,$B112,Compta!$B$1:$B$675,"621",Compta!$C$1:$C$675,$A112))</f>
        <v/>
      </c>
      <c r="X112" t="str">
        <f>IF($A112="","",SUMIFS(Compta!$F$1:$F$675,Compta!$A$1:$A$675,$B112,Compta!$B$1:$B$675,"6411",Compta!$C$1:$C$675,$A112))</f>
        <v/>
      </c>
      <c r="Y112" t="str">
        <f>IF($A112="","",SUMIFS(Compta!$F$1:$F$675,Compta!$A$1:$A$675,$B112,Compta!$B$1:$B$675,"604",Compta!$C$1:$C$675,$A112)+SUMIFS(Compta!$F$1:$F$675,Compta!$A$1:$A$675,$B112,Compta!$B$1:$B$675,"6063",Compta!$C$1:$C$675,$A112))</f>
        <v/>
      </c>
      <c r="Z112" t="str">
        <f>IF($A112="","",SUMIFS(Compta!$F$1:$F$675,Compta!$A$1:$A$675,$B112,Compta!$B$1:$B$675,"6231",Compta!$C$1:$C$675,$A112))</f>
        <v/>
      </c>
      <c r="AA112" t="str">
        <f>IF($A112="",""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</f>
        <v/>
      </c>
      <c r="AB112" t="str">
        <f>IF($A112="",""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</f>
        <v/>
      </c>
      <c r="AC112" t="s">
        <v>297</v>
      </c>
      <c r="AD112" t="s">
        <v>297</v>
      </c>
      <c r="AE112" t="s">
        <v>297</v>
      </c>
      <c r="AF112" t="s">
        <v>297</v>
      </c>
      <c r="AG112" t="s">
        <v>297</v>
      </c>
      <c r="AH112" t="s">
        <v>297</v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 t="str">
        <f>IF($A112="","",SUMIFS(Compta!$F$1:$F$675,Compta!$A$1:$A$675,"GRP",Compta!$B$1:$B$675,"6236",Compta!$C$1:$C$675,$A112))</f>
        <v/>
      </c>
      <c r="AP112" t="s">
        <v>297</v>
      </c>
      <c r="AQ112" t="s">
        <v>297</v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IF($A113="","",SUMIFS(Socle!$K$1:$K$175,Socle!$C$1:$C$175,$B113,Socle!$D$1:$D$175,$D113,Socle!$E$1:$E$175,$E113,Socle!$F$1:$F$175,$F113,Socle!$G$1:$G$175,$A113))</f>
        <v/>
      </c>
      <c r="K113" t="str">
        <f t="shared" si="10"/>
        <v/>
      </c>
      <c r="L113" t="str">
        <f>IF($A113="","",SUMIFS(Allocation!$I$1:$I$175,Allocation!$C$1:$C$175,$A113,Allocation!$D$1:$D$175,$B113))</f>
        <v/>
      </c>
      <c r="M113" t="str">
        <f>IF($A113="","",SUMIFS(Allocation!$J$1:$J$175,Allocation!$C$1:$C$175,$A113,Allocation!$D$1:$D$175,$B113))</f>
        <v/>
      </c>
      <c r="N113" t="str">
        <f>IF($A113="","",SUMIFS(Allocation!$K$1:$K$175,Allocation!$C$1:$C$175,$A113,Allocation!$D$1:$D$175,$B113))</f>
        <v/>
      </c>
      <c r="O113" t="str">
        <f t="shared" si="11"/>
        <v/>
      </c>
      <c r="P113" t="str">
        <f t="shared" si="12"/>
        <v/>
      </c>
      <c r="Q113" t="str">
        <f>IF($A113="","",SUMIFS(Allocation!$I$1:$I$175,Allocation!$C$1:$C$175,$A113,Allocation!$E$1:$E$175,$C113))</f>
        <v/>
      </c>
      <c r="R113" t="str">
        <f>IF($A113="","",SUMIFS(Allocation!$J$1:$J$175,Allocation!$C$1:$C$175,$A113,Allocation!$E$1:$E$175,$C113))</f>
        <v/>
      </c>
      <c r="S113" t="str">
        <f>IF($A113="","",SUMIFS(Allocation!$K$1:$K$175,Allocation!$C$1:$C$175,$A113,Allocation!$E$1:$E$175,$C113))</f>
        <v/>
      </c>
      <c r="T113" t="str">
        <f>IF($A113="","",SUMIFS(Allocation!$I$1:$I$175,Allocation!$C$1:$C$175,$A113))</f>
        <v/>
      </c>
      <c r="U113" t="str">
        <f>IF($A113="","",SUMIFS(Allocation!$J$1:$J$175,Allocation!$C$1:$C$175,$A113))</f>
        <v/>
      </c>
      <c r="V113" t="str">
        <f>IF($A113="","",SUMIFS(Allocation!$K$1:$K$175,Allocation!$C$1:$C$175,$A113))</f>
        <v/>
      </c>
      <c r="W113" t="str">
        <f>IF($A113="","",SUMIFS(Compta!$F$1:$F$675,Compta!$A$1:$A$675,$B113,Compta!$B$1:$B$675,"621",Compta!$C$1:$C$675,$A113))</f>
        <v/>
      </c>
      <c r="X113" t="str">
        <f>IF($A113="","",SUMIFS(Compta!$F$1:$F$675,Compta!$A$1:$A$675,$B113,Compta!$B$1:$B$675,"6411",Compta!$C$1:$C$675,$A113))</f>
        <v/>
      </c>
      <c r="Y113" t="str">
        <f>IF($A113="","",SUMIFS(Compta!$F$1:$F$675,Compta!$A$1:$A$675,$B113,Compta!$B$1:$B$675,"604",Compta!$C$1:$C$675,$A113)+SUMIFS(Compta!$F$1:$F$675,Compta!$A$1:$A$675,$B113,Compta!$B$1:$B$675,"6063",Compta!$C$1:$C$675,$A113))</f>
        <v/>
      </c>
      <c r="Z113" t="str">
        <f>IF($A113="","",SUMIFS(Compta!$F$1:$F$675,Compta!$A$1:$A$675,$B113,Compta!$B$1:$B$675,"6231",Compta!$C$1:$C$675,$A113))</f>
        <v/>
      </c>
      <c r="AA113" t="str">
        <f>IF($A113="",""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</f>
        <v/>
      </c>
      <c r="AB113" t="str">
        <f>IF($A113="",""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</f>
        <v/>
      </c>
      <c r="AC113" t="s">
        <v>297</v>
      </c>
      <c r="AD113" t="s">
        <v>297</v>
      </c>
      <c r="AE113" t="s">
        <v>297</v>
      </c>
      <c r="AF113" t="s">
        <v>297</v>
      </c>
      <c r="AG113" t="s">
        <v>297</v>
      </c>
      <c r="AH113" t="s">
        <v>297</v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 t="str">
        <f>IF($A113="","",SUMIFS(Compta!$F$1:$F$675,Compta!$A$1:$A$675,"GRP",Compta!$B$1:$B$675,"6236",Compta!$C$1:$C$675,$A113))</f>
        <v/>
      </c>
      <c r="AP113" t="s">
        <v>297</v>
      </c>
      <c r="AQ113" t="s">
        <v>297</v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IF($A114="","",SUMIFS(Socle!$K$1:$K$175,Socle!$C$1:$C$175,$B114,Socle!$D$1:$D$175,$D114,Socle!$E$1:$E$175,$E114,Socle!$F$1:$F$175,$F114,Socle!$G$1:$G$175,$A114))</f>
        <v/>
      </c>
      <c r="K114" t="str">
        <f t="shared" si="10"/>
        <v/>
      </c>
      <c r="L114" t="str">
        <f>IF($A114="","",SUMIFS(Allocation!$I$1:$I$175,Allocation!$C$1:$C$175,$A114,Allocation!$D$1:$D$175,$B114))</f>
        <v/>
      </c>
      <c r="M114" t="str">
        <f>IF($A114="","",SUMIFS(Allocation!$J$1:$J$175,Allocation!$C$1:$C$175,$A114,Allocation!$D$1:$D$175,$B114))</f>
        <v/>
      </c>
      <c r="N114" t="str">
        <f>IF($A114="","",SUMIFS(Allocation!$K$1:$K$175,Allocation!$C$1:$C$175,$A114,Allocation!$D$1:$D$175,$B114))</f>
        <v/>
      </c>
      <c r="O114" t="str">
        <f t="shared" si="11"/>
        <v/>
      </c>
      <c r="P114" t="str">
        <f t="shared" si="12"/>
        <v/>
      </c>
      <c r="Q114" t="str">
        <f>IF($A114="","",SUMIFS(Allocation!$I$1:$I$175,Allocation!$C$1:$C$175,$A114,Allocation!$E$1:$E$175,$C114))</f>
        <v/>
      </c>
      <c r="R114" t="str">
        <f>IF($A114="","",SUMIFS(Allocation!$J$1:$J$175,Allocation!$C$1:$C$175,$A114,Allocation!$E$1:$E$175,$C114))</f>
        <v/>
      </c>
      <c r="S114" t="str">
        <f>IF($A114="","",SUMIFS(Allocation!$K$1:$K$175,Allocation!$C$1:$C$175,$A114,Allocation!$E$1:$E$175,$C114))</f>
        <v/>
      </c>
      <c r="T114" t="str">
        <f>IF($A114="","",SUMIFS(Allocation!$I$1:$I$175,Allocation!$C$1:$C$175,$A114))</f>
        <v/>
      </c>
      <c r="U114" t="str">
        <f>IF($A114="","",SUMIFS(Allocation!$J$1:$J$175,Allocation!$C$1:$C$175,$A114))</f>
        <v/>
      </c>
      <c r="V114" t="str">
        <f>IF($A114="","",SUMIFS(Allocation!$K$1:$K$175,Allocation!$C$1:$C$175,$A114))</f>
        <v/>
      </c>
      <c r="W114" t="str">
        <f>IF($A114="","",SUMIFS(Compta!$F$1:$F$675,Compta!$A$1:$A$675,$B114,Compta!$B$1:$B$675,"621",Compta!$C$1:$C$675,$A114))</f>
        <v/>
      </c>
      <c r="X114" t="str">
        <f>IF($A114="","",SUMIFS(Compta!$F$1:$F$675,Compta!$A$1:$A$675,$B114,Compta!$B$1:$B$675,"6411",Compta!$C$1:$C$675,$A114))</f>
        <v/>
      </c>
      <c r="Y114" t="str">
        <f>IF($A114="","",SUMIFS(Compta!$F$1:$F$675,Compta!$A$1:$A$675,$B114,Compta!$B$1:$B$675,"604",Compta!$C$1:$C$675,$A114)+SUMIFS(Compta!$F$1:$F$675,Compta!$A$1:$A$675,$B114,Compta!$B$1:$B$675,"6063",Compta!$C$1:$C$675,$A114))</f>
        <v/>
      </c>
      <c r="Z114" t="str">
        <f>IF($A114="","",SUMIFS(Compta!$F$1:$F$675,Compta!$A$1:$A$675,$B114,Compta!$B$1:$B$675,"6231",Compta!$C$1:$C$675,$A114))</f>
        <v/>
      </c>
      <c r="AA114" t="str">
        <f>IF($A114="",""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</f>
        <v/>
      </c>
      <c r="AB114" t="str">
        <f>IF($A114="",""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</f>
        <v/>
      </c>
      <c r="AC114" t="s">
        <v>297</v>
      </c>
      <c r="AD114" t="s">
        <v>297</v>
      </c>
      <c r="AE114" t="s">
        <v>297</v>
      </c>
      <c r="AF114" t="s">
        <v>297</v>
      </c>
      <c r="AG114" t="s">
        <v>297</v>
      </c>
      <c r="AH114" t="s">
        <v>297</v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 t="str">
        <f>IF($A114="","",SUMIFS(Compta!$F$1:$F$675,Compta!$A$1:$A$675,"GRP",Compta!$B$1:$B$675,"6236",Compta!$C$1:$C$675,$A114))</f>
        <v/>
      </c>
      <c r="AP114" t="s">
        <v>297</v>
      </c>
      <c r="AQ114" t="s">
        <v>297</v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IF($A115="","",SUMIFS(Socle!$K$1:$K$175,Socle!$C$1:$C$175,$B115,Socle!$D$1:$D$175,$D115,Socle!$E$1:$E$175,$E115,Socle!$F$1:$F$175,$F115,Socle!$G$1:$G$175,$A115))</f>
        <v/>
      </c>
      <c r="K115" t="str">
        <f t="shared" si="10"/>
        <v/>
      </c>
      <c r="L115" t="str">
        <f>IF($A115="","",SUMIFS(Allocation!$I$1:$I$175,Allocation!$C$1:$C$175,$A115,Allocation!$D$1:$D$175,$B115))</f>
        <v/>
      </c>
      <c r="M115" t="str">
        <f>IF($A115="","",SUMIFS(Allocation!$J$1:$J$175,Allocation!$C$1:$C$175,$A115,Allocation!$D$1:$D$175,$B115))</f>
        <v/>
      </c>
      <c r="N115" t="str">
        <f>IF($A115="","",SUMIFS(Allocation!$K$1:$K$175,Allocation!$C$1:$C$175,$A115,Allocation!$D$1:$D$175,$B115))</f>
        <v/>
      </c>
      <c r="O115" t="str">
        <f t="shared" si="11"/>
        <v/>
      </c>
      <c r="P115" t="str">
        <f t="shared" si="12"/>
        <v/>
      </c>
      <c r="Q115" t="str">
        <f>IF($A115="","",SUMIFS(Allocation!$I$1:$I$175,Allocation!$C$1:$C$175,$A115,Allocation!$E$1:$E$175,$C115))</f>
        <v/>
      </c>
      <c r="R115" t="str">
        <f>IF($A115="","",SUMIFS(Allocation!$J$1:$J$175,Allocation!$C$1:$C$175,$A115,Allocation!$E$1:$E$175,$C115))</f>
        <v/>
      </c>
      <c r="S115" t="str">
        <f>IF($A115="","",SUMIFS(Allocation!$K$1:$K$175,Allocation!$C$1:$C$175,$A115,Allocation!$E$1:$E$175,$C115))</f>
        <v/>
      </c>
      <c r="T115" t="str">
        <f>IF($A115="","",SUMIFS(Allocation!$I$1:$I$175,Allocation!$C$1:$C$175,$A115))</f>
        <v/>
      </c>
      <c r="U115" t="str">
        <f>IF($A115="","",SUMIFS(Allocation!$J$1:$J$175,Allocation!$C$1:$C$175,$A115))</f>
        <v/>
      </c>
      <c r="V115" t="str">
        <f>IF($A115="","",SUMIFS(Allocation!$K$1:$K$175,Allocation!$C$1:$C$175,$A115))</f>
        <v/>
      </c>
      <c r="W115" t="str">
        <f>IF($A115="","",SUMIFS(Compta!$F$1:$F$675,Compta!$A$1:$A$675,$B115,Compta!$B$1:$B$675,"621",Compta!$C$1:$C$675,$A115))</f>
        <v/>
      </c>
      <c r="X115" t="str">
        <f>IF($A115="","",SUMIFS(Compta!$F$1:$F$675,Compta!$A$1:$A$675,$B115,Compta!$B$1:$B$675,"6411",Compta!$C$1:$C$675,$A115))</f>
        <v/>
      </c>
      <c r="Y115" t="str">
        <f>IF($A115="","",SUMIFS(Compta!$F$1:$F$675,Compta!$A$1:$A$675,$B115,Compta!$B$1:$B$675,"604",Compta!$C$1:$C$675,$A115)+SUMIFS(Compta!$F$1:$F$675,Compta!$A$1:$A$675,$B115,Compta!$B$1:$B$675,"6063",Compta!$C$1:$C$675,$A115))</f>
        <v/>
      </c>
      <c r="Z115" t="str">
        <f>IF($A115="","",SUMIFS(Compta!$F$1:$F$675,Compta!$A$1:$A$675,$B115,Compta!$B$1:$B$675,"6231",Compta!$C$1:$C$675,$A115))</f>
        <v/>
      </c>
      <c r="AA115" t="str">
        <f>IF($A115="",""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</f>
        <v/>
      </c>
      <c r="AB115" t="str">
        <f>IF($A115="",""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</f>
        <v/>
      </c>
      <c r="AC115" t="s">
        <v>297</v>
      </c>
      <c r="AD115" t="s">
        <v>297</v>
      </c>
      <c r="AE115" t="s">
        <v>297</v>
      </c>
      <c r="AF115" t="s">
        <v>297</v>
      </c>
      <c r="AG115" t="s">
        <v>297</v>
      </c>
      <c r="AH115" t="s">
        <v>297</v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 t="str">
        <f>IF($A115="","",SUMIFS(Compta!$F$1:$F$675,Compta!$A$1:$A$675,"GRP",Compta!$B$1:$B$675,"6236",Compta!$C$1:$C$675,$A115))</f>
        <v/>
      </c>
      <c r="AP115" t="s">
        <v>297</v>
      </c>
      <c r="AQ115" t="s">
        <v>297</v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IF($A116="","",SUMIFS(Socle!$K$1:$K$175,Socle!$C$1:$C$175,$B116,Socle!$D$1:$D$175,$D116,Socle!$E$1:$E$175,$E116,Socle!$F$1:$F$175,$F116,Socle!$G$1:$G$175,$A116))</f>
        <v/>
      </c>
      <c r="K116" t="str">
        <f t="shared" si="10"/>
        <v/>
      </c>
      <c r="L116" t="str">
        <f>IF($A116="","",SUMIFS(Allocation!$I$1:$I$175,Allocation!$C$1:$C$175,$A116,Allocation!$D$1:$D$175,$B116))</f>
        <v/>
      </c>
      <c r="M116" t="str">
        <f>IF($A116="","",SUMIFS(Allocation!$J$1:$J$175,Allocation!$C$1:$C$175,$A116,Allocation!$D$1:$D$175,$B116))</f>
        <v/>
      </c>
      <c r="N116" t="str">
        <f>IF($A116="","",SUMIFS(Allocation!$K$1:$K$175,Allocation!$C$1:$C$175,$A116,Allocation!$D$1:$D$175,$B116))</f>
        <v/>
      </c>
      <c r="O116" t="str">
        <f t="shared" si="11"/>
        <v/>
      </c>
      <c r="P116" t="str">
        <f t="shared" si="12"/>
        <v/>
      </c>
      <c r="Q116" t="str">
        <f>IF($A116="","",SUMIFS(Allocation!$I$1:$I$175,Allocation!$C$1:$C$175,$A116,Allocation!$E$1:$E$175,$C116))</f>
        <v/>
      </c>
      <c r="R116" t="str">
        <f>IF($A116="","",SUMIFS(Allocation!$J$1:$J$175,Allocation!$C$1:$C$175,$A116,Allocation!$E$1:$E$175,$C116))</f>
        <v/>
      </c>
      <c r="S116" t="str">
        <f>IF($A116="","",SUMIFS(Allocation!$K$1:$K$175,Allocation!$C$1:$C$175,$A116,Allocation!$E$1:$E$175,$C116))</f>
        <v/>
      </c>
      <c r="T116" t="str">
        <f>IF($A116="","",SUMIFS(Allocation!$I$1:$I$175,Allocation!$C$1:$C$175,$A116))</f>
        <v/>
      </c>
      <c r="U116" t="str">
        <f>IF($A116="","",SUMIFS(Allocation!$J$1:$J$175,Allocation!$C$1:$C$175,$A116))</f>
        <v/>
      </c>
      <c r="V116" t="str">
        <f>IF($A116="","",SUMIFS(Allocation!$K$1:$K$175,Allocation!$C$1:$C$175,$A116))</f>
        <v/>
      </c>
      <c r="W116" t="str">
        <f>IF($A116="","",SUMIFS(Compta!$F$1:$F$675,Compta!$A$1:$A$675,$B116,Compta!$B$1:$B$675,"621",Compta!$C$1:$C$675,$A116))</f>
        <v/>
      </c>
      <c r="X116" t="str">
        <f>IF($A116="","",SUMIFS(Compta!$F$1:$F$675,Compta!$A$1:$A$675,$B116,Compta!$B$1:$B$675,"6411",Compta!$C$1:$C$675,$A116))</f>
        <v/>
      </c>
      <c r="Y116" t="str">
        <f>IF($A116="","",SUMIFS(Compta!$F$1:$F$675,Compta!$A$1:$A$675,$B116,Compta!$B$1:$B$675,"604",Compta!$C$1:$C$675,$A116)+SUMIFS(Compta!$F$1:$F$675,Compta!$A$1:$A$675,$B116,Compta!$B$1:$B$675,"6063",Compta!$C$1:$C$675,$A116))</f>
        <v/>
      </c>
      <c r="Z116" t="str">
        <f>IF($A116="","",SUMIFS(Compta!$F$1:$F$675,Compta!$A$1:$A$675,$B116,Compta!$B$1:$B$675,"6231",Compta!$C$1:$C$675,$A116))</f>
        <v/>
      </c>
      <c r="AA116" t="str">
        <f>IF($A116="",""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</f>
        <v/>
      </c>
      <c r="AB116" t="str">
        <f>IF($A116="",""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</f>
        <v/>
      </c>
      <c r="AC116" t="s">
        <v>297</v>
      </c>
      <c r="AD116" t="s">
        <v>297</v>
      </c>
      <c r="AE116" t="s">
        <v>297</v>
      </c>
      <c r="AF116" t="s">
        <v>297</v>
      </c>
      <c r="AG116" t="s">
        <v>297</v>
      </c>
      <c r="AH116" t="s">
        <v>297</v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 t="str">
        <f>IF($A116="","",SUMIFS(Compta!$F$1:$F$675,Compta!$A$1:$A$675,"GRP",Compta!$B$1:$B$675,"6236",Compta!$C$1:$C$675,$A116))</f>
        <v/>
      </c>
      <c r="AP116" t="s">
        <v>297</v>
      </c>
      <c r="AQ116" t="s">
        <v>297</v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IF($A117="","",SUMIFS(Socle!$K$1:$K$175,Socle!$C$1:$C$175,$B117,Socle!$D$1:$D$175,$D117,Socle!$E$1:$E$175,$E117,Socle!$F$1:$F$175,$F117,Socle!$G$1:$G$175,$A117))</f>
        <v/>
      </c>
      <c r="K117" t="str">
        <f t="shared" si="10"/>
        <v/>
      </c>
      <c r="L117" t="str">
        <f>IF($A117="","",SUMIFS(Allocation!$I$1:$I$175,Allocation!$C$1:$C$175,$A117,Allocation!$D$1:$D$175,$B117))</f>
        <v/>
      </c>
      <c r="M117" t="str">
        <f>IF($A117="","",SUMIFS(Allocation!$J$1:$J$175,Allocation!$C$1:$C$175,$A117,Allocation!$D$1:$D$175,$B117))</f>
        <v/>
      </c>
      <c r="N117" t="str">
        <f>IF($A117="","",SUMIFS(Allocation!$K$1:$K$175,Allocation!$C$1:$C$175,$A117,Allocation!$D$1:$D$175,$B117))</f>
        <v/>
      </c>
      <c r="O117" t="str">
        <f t="shared" si="11"/>
        <v/>
      </c>
      <c r="P117" t="str">
        <f t="shared" si="12"/>
        <v/>
      </c>
      <c r="Q117" t="str">
        <f>IF($A117="","",SUMIFS(Allocation!$I$1:$I$175,Allocation!$C$1:$C$175,$A117,Allocation!$E$1:$E$175,$C117))</f>
        <v/>
      </c>
      <c r="R117" t="str">
        <f>IF($A117="","",SUMIFS(Allocation!$J$1:$J$175,Allocation!$C$1:$C$175,$A117,Allocation!$E$1:$E$175,$C117))</f>
        <v/>
      </c>
      <c r="S117" t="str">
        <f>IF($A117="","",SUMIFS(Allocation!$K$1:$K$175,Allocation!$C$1:$C$175,$A117,Allocation!$E$1:$E$175,$C117))</f>
        <v/>
      </c>
      <c r="T117" t="str">
        <f>IF($A117="","",SUMIFS(Allocation!$I$1:$I$175,Allocation!$C$1:$C$175,$A117))</f>
        <v/>
      </c>
      <c r="U117" t="str">
        <f>IF($A117="","",SUMIFS(Allocation!$J$1:$J$175,Allocation!$C$1:$C$175,$A117))</f>
        <v/>
      </c>
      <c r="V117" t="str">
        <f>IF($A117="","",SUMIFS(Allocation!$K$1:$K$175,Allocation!$C$1:$C$175,$A117))</f>
        <v/>
      </c>
      <c r="W117" t="str">
        <f>IF($A117="","",SUMIFS(Compta!$F$1:$F$675,Compta!$A$1:$A$675,$B117,Compta!$B$1:$B$675,"621",Compta!$C$1:$C$675,$A117))</f>
        <v/>
      </c>
      <c r="X117" t="str">
        <f>IF($A117="","",SUMIFS(Compta!$F$1:$F$675,Compta!$A$1:$A$675,$B117,Compta!$B$1:$B$675,"6411",Compta!$C$1:$C$675,$A117))</f>
        <v/>
      </c>
      <c r="Y117" t="str">
        <f>IF($A117="","",SUMIFS(Compta!$F$1:$F$675,Compta!$A$1:$A$675,$B117,Compta!$B$1:$B$675,"604",Compta!$C$1:$C$675,$A117)+SUMIFS(Compta!$F$1:$F$675,Compta!$A$1:$A$675,$B117,Compta!$B$1:$B$675,"6063",Compta!$C$1:$C$675,$A117))</f>
        <v/>
      </c>
      <c r="Z117" t="str">
        <f>IF($A117="","",SUMIFS(Compta!$F$1:$F$675,Compta!$A$1:$A$675,$B117,Compta!$B$1:$B$675,"6231",Compta!$C$1:$C$675,$A117))</f>
        <v/>
      </c>
      <c r="AA117" t="str">
        <f>IF($A117="",""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</f>
        <v/>
      </c>
      <c r="AB117" t="str">
        <f>IF($A117="",""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</f>
        <v/>
      </c>
      <c r="AC117" t="s">
        <v>297</v>
      </c>
      <c r="AD117" t="s">
        <v>297</v>
      </c>
      <c r="AE117" t="s">
        <v>297</v>
      </c>
      <c r="AF117" t="s">
        <v>297</v>
      </c>
      <c r="AG117" t="s">
        <v>297</v>
      </c>
      <c r="AH117" t="s">
        <v>297</v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 t="str">
        <f>IF($A117="","",SUMIFS(Compta!$F$1:$F$675,Compta!$A$1:$A$675,"GRP",Compta!$B$1:$B$675,"6236",Compta!$C$1:$C$675,$A117))</f>
        <v/>
      </c>
      <c r="AP117" t="s">
        <v>297</v>
      </c>
      <c r="AQ117" t="s">
        <v>297</v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IF($A118="","",SUMIFS(Socle!$K$1:$K$175,Socle!$C$1:$C$175,$B118,Socle!$D$1:$D$175,$D118,Socle!$E$1:$E$175,$E118,Socle!$F$1:$F$175,$F118,Socle!$G$1:$G$175,$A118))</f>
        <v/>
      </c>
      <c r="K118" t="str">
        <f t="shared" si="10"/>
        <v/>
      </c>
      <c r="L118" t="str">
        <f>IF($A118="","",SUMIFS(Allocation!$I$1:$I$175,Allocation!$C$1:$C$175,$A118,Allocation!$D$1:$D$175,$B118))</f>
        <v/>
      </c>
      <c r="M118" t="str">
        <f>IF($A118="","",SUMIFS(Allocation!$J$1:$J$175,Allocation!$C$1:$C$175,$A118,Allocation!$D$1:$D$175,$B118))</f>
        <v/>
      </c>
      <c r="N118" t="str">
        <f>IF($A118="","",SUMIFS(Allocation!$K$1:$K$175,Allocation!$C$1:$C$175,$A118,Allocation!$D$1:$D$175,$B118))</f>
        <v/>
      </c>
      <c r="O118" t="str">
        <f t="shared" si="11"/>
        <v/>
      </c>
      <c r="P118" t="str">
        <f t="shared" si="12"/>
        <v/>
      </c>
      <c r="Q118" t="str">
        <f>IF($A118="","",SUMIFS(Allocation!$I$1:$I$175,Allocation!$C$1:$C$175,$A118,Allocation!$E$1:$E$175,$C118))</f>
        <v/>
      </c>
      <c r="R118" t="str">
        <f>IF($A118="","",SUMIFS(Allocation!$J$1:$J$175,Allocation!$C$1:$C$175,$A118,Allocation!$E$1:$E$175,$C118))</f>
        <v/>
      </c>
      <c r="S118" t="str">
        <f>IF($A118="","",SUMIFS(Allocation!$K$1:$K$175,Allocation!$C$1:$C$175,$A118,Allocation!$E$1:$E$175,$C118))</f>
        <v/>
      </c>
      <c r="T118" t="str">
        <f>IF($A118="","",SUMIFS(Allocation!$I$1:$I$175,Allocation!$C$1:$C$175,$A118))</f>
        <v/>
      </c>
      <c r="U118" t="str">
        <f>IF($A118="","",SUMIFS(Allocation!$J$1:$J$175,Allocation!$C$1:$C$175,$A118))</f>
        <v/>
      </c>
      <c r="V118" t="str">
        <f>IF($A118="","",SUMIFS(Allocation!$K$1:$K$175,Allocation!$C$1:$C$175,$A118))</f>
        <v/>
      </c>
      <c r="W118" t="str">
        <f>IF($A118="","",SUMIFS(Compta!$F$1:$F$675,Compta!$A$1:$A$675,$B118,Compta!$B$1:$B$675,"621",Compta!$C$1:$C$675,$A118))</f>
        <v/>
      </c>
      <c r="X118" t="str">
        <f>IF($A118="","",SUMIFS(Compta!$F$1:$F$675,Compta!$A$1:$A$675,$B118,Compta!$B$1:$B$675,"6411",Compta!$C$1:$C$675,$A118))</f>
        <v/>
      </c>
      <c r="Y118" t="str">
        <f>IF($A118="","",SUMIFS(Compta!$F$1:$F$675,Compta!$A$1:$A$675,$B118,Compta!$B$1:$B$675,"604",Compta!$C$1:$C$675,$A118)+SUMIFS(Compta!$F$1:$F$675,Compta!$A$1:$A$675,$B118,Compta!$B$1:$B$675,"6063",Compta!$C$1:$C$675,$A118))</f>
        <v/>
      </c>
      <c r="Z118" t="str">
        <f>IF($A118="","",SUMIFS(Compta!$F$1:$F$675,Compta!$A$1:$A$675,$B118,Compta!$B$1:$B$675,"6231",Compta!$C$1:$C$675,$A118))</f>
        <v/>
      </c>
      <c r="AA118" t="str">
        <f>IF($A118="",""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</f>
        <v/>
      </c>
      <c r="AB118" t="str">
        <f>IF($A118="",""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</f>
        <v/>
      </c>
      <c r="AC118" t="s">
        <v>297</v>
      </c>
      <c r="AD118" t="s">
        <v>297</v>
      </c>
      <c r="AE118" t="s">
        <v>297</v>
      </c>
      <c r="AF118" t="s">
        <v>297</v>
      </c>
      <c r="AG118" t="s">
        <v>297</v>
      </c>
      <c r="AH118" t="s">
        <v>297</v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 t="str">
        <f>IF($A118="","",SUMIFS(Compta!$F$1:$F$675,Compta!$A$1:$A$675,"GRP",Compta!$B$1:$B$675,"6236",Compta!$C$1:$C$675,$A118))</f>
        <v/>
      </c>
      <c r="AP118" t="s">
        <v>297</v>
      </c>
      <c r="AQ118" t="s">
        <v>297</v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IF($A119="","",SUMIFS(Socle!$K$1:$K$175,Socle!$C$1:$C$175,$B119,Socle!$D$1:$D$175,$D119,Socle!$E$1:$E$175,$E119,Socle!$F$1:$F$175,$F119,Socle!$G$1:$G$175,$A119))</f>
        <v/>
      </c>
      <c r="K119" t="str">
        <f t="shared" si="10"/>
        <v/>
      </c>
      <c r="L119" t="str">
        <f>IF($A119="","",SUMIFS(Allocation!$I$1:$I$175,Allocation!$C$1:$C$175,$A119,Allocation!$D$1:$D$175,$B119))</f>
        <v/>
      </c>
      <c r="M119" t="str">
        <f>IF($A119="","",SUMIFS(Allocation!$J$1:$J$175,Allocation!$C$1:$C$175,$A119,Allocation!$D$1:$D$175,$B119))</f>
        <v/>
      </c>
      <c r="N119" t="str">
        <f>IF($A119="","",SUMIFS(Allocation!$K$1:$K$175,Allocation!$C$1:$C$175,$A119,Allocation!$D$1:$D$175,$B119))</f>
        <v/>
      </c>
      <c r="O119" t="str">
        <f t="shared" si="11"/>
        <v/>
      </c>
      <c r="P119" t="str">
        <f t="shared" si="12"/>
        <v/>
      </c>
      <c r="Q119" t="str">
        <f>IF($A119="","",SUMIFS(Allocation!$I$1:$I$175,Allocation!$C$1:$C$175,$A119,Allocation!$E$1:$E$175,$C119))</f>
        <v/>
      </c>
      <c r="R119" t="str">
        <f>IF($A119="","",SUMIFS(Allocation!$J$1:$J$175,Allocation!$C$1:$C$175,$A119,Allocation!$E$1:$E$175,$C119))</f>
        <v/>
      </c>
      <c r="S119" t="str">
        <f>IF($A119="","",SUMIFS(Allocation!$K$1:$K$175,Allocation!$C$1:$C$175,$A119,Allocation!$E$1:$E$175,$C119))</f>
        <v/>
      </c>
      <c r="T119" t="str">
        <f>IF($A119="","",SUMIFS(Allocation!$I$1:$I$175,Allocation!$C$1:$C$175,$A119))</f>
        <v/>
      </c>
      <c r="U119" t="str">
        <f>IF($A119="","",SUMIFS(Allocation!$J$1:$J$175,Allocation!$C$1:$C$175,$A119))</f>
        <v/>
      </c>
      <c r="V119" t="str">
        <f>IF($A119="","",SUMIFS(Allocation!$K$1:$K$175,Allocation!$C$1:$C$175,$A119))</f>
        <v/>
      </c>
      <c r="W119" t="str">
        <f>IF($A119="","",SUMIFS(Compta!$F$1:$F$675,Compta!$A$1:$A$675,$B119,Compta!$B$1:$B$675,"621",Compta!$C$1:$C$675,$A119))</f>
        <v/>
      </c>
      <c r="X119" t="str">
        <f>IF($A119="","",SUMIFS(Compta!$F$1:$F$675,Compta!$A$1:$A$675,$B119,Compta!$B$1:$B$675,"6411",Compta!$C$1:$C$675,$A119))</f>
        <v/>
      </c>
      <c r="Y119" t="str">
        <f>IF($A119="","",SUMIFS(Compta!$F$1:$F$675,Compta!$A$1:$A$675,$B119,Compta!$B$1:$B$675,"604",Compta!$C$1:$C$675,$A119)+SUMIFS(Compta!$F$1:$F$675,Compta!$A$1:$A$675,$B119,Compta!$B$1:$B$675,"6063",Compta!$C$1:$C$675,$A119))</f>
        <v/>
      </c>
      <c r="Z119" t="str">
        <f>IF($A119="","",SUMIFS(Compta!$F$1:$F$675,Compta!$A$1:$A$675,$B119,Compta!$B$1:$B$675,"6231",Compta!$C$1:$C$675,$A119))</f>
        <v/>
      </c>
      <c r="AA119" t="str">
        <f>IF($A119="",""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</f>
        <v/>
      </c>
      <c r="AB119" t="str">
        <f>IF($A119="",""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</f>
        <v/>
      </c>
      <c r="AC119" t="s">
        <v>297</v>
      </c>
      <c r="AD119" t="s">
        <v>297</v>
      </c>
      <c r="AE119" t="s">
        <v>297</v>
      </c>
      <c r="AF119" t="s">
        <v>297</v>
      </c>
      <c r="AG119" t="s">
        <v>297</v>
      </c>
      <c r="AH119" t="s">
        <v>297</v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 t="str">
        <f>IF($A119="","",SUMIFS(Compta!$F$1:$F$675,Compta!$A$1:$A$675,"GRP",Compta!$B$1:$B$675,"6236",Compta!$C$1:$C$675,$A119))</f>
        <v/>
      </c>
      <c r="AP119" t="s">
        <v>297</v>
      </c>
      <c r="AQ119" t="s">
        <v>297</v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IF($A120="","",SUMIFS(Socle!$K$1:$K$175,Socle!$C$1:$C$175,$B120,Socle!$D$1:$D$175,$D120,Socle!$E$1:$E$175,$E120,Socle!$F$1:$F$175,$F120,Socle!$G$1:$G$175,$A120))</f>
        <v/>
      </c>
      <c r="K120" t="str">
        <f t="shared" si="10"/>
        <v/>
      </c>
      <c r="L120" t="str">
        <f>IF($A120="","",SUMIFS(Allocation!$I$1:$I$175,Allocation!$C$1:$C$175,$A120,Allocation!$D$1:$D$175,$B120))</f>
        <v/>
      </c>
      <c r="M120" t="str">
        <f>IF($A120="","",SUMIFS(Allocation!$J$1:$J$175,Allocation!$C$1:$C$175,$A120,Allocation!$D$1:$D$175,$B120))</f>
        <v/>
      </c>
      <c r="N120" t="str">
        <f>IF($A120="","",SUMIFS(Allocation!$K$1:$K$175,Allocation!$C$1:$C$175,$A120,Allocation!$D$1:$D$175,$B120))</f>
        <v/>
      </c>
      <c r="O120" t="str">
        <f t="shared" si="11"/>
        <v/>
      </c>
      <c r="P120" t="str">
        <f t="shared" si="12"/>
        <v/>
      </c>
      <c r="Q120" t="str">
        <f>IF($A120="","",SUMIFS(Allocation!$I$1:$I$175,Allocation!$C$1:$C$175,$A120,Allocation!$E$1:$E$175,$C120))</f>
        <v/>
      </c>
      <c r="R120" t="str">
        <f>IF($A120="","",SUMIFS(Allocation!$J$1:$J$175,Allocation!$C$1:$C$175,$A120,Allocation!$E$1:$E$175,$C120))</f>
        <v/>
      </c>
      <c r="S120" t="str">
        <f>IF($A120="","",SUMIFS(Allocation!$K$1:$K$175,Allocation!$C$1:$C$175,$A120,Allocation!$E$1:$E$175,$C120))</f>
        <v/>
      </c>
      <c r="T120" t="str">
        <f>IF($A120="","",SUMIFS(Allocation!$I$1:$I$175,Allocation!$C$1:$C$175,$A120))</f>
        <v/>
      </c>
      <c r="U120" t="str">
        <f>IF($A120="","",SUMIFS(Allocation!$J$1:$J$175,Allocation!$C$1:$C$175,$A120))</f>
        <v/>
      </c>
      <c r="V120" t="str">
        <f>IF($A120="","",SUMIFS(Allocation!$K$1:$K$175,Allocation!$C$1:$C$175,$A120))</f>
        <v/>
      </c>
      <c r="W120" t="str">
        <f>IF($A120="","",SUMIFS(Compta!$F$1:$F$675,Compta!$A$1:$A$675,$B120,Compta!$B$1:$B$675,"621",Compta!$C$1:$C$675,$A120))</f>
        <v/>
      </c>
      <c r="X120" t="str">
        <f>IF($A120="","",SUMIFS(Compta!$F$1:$F$675,Compta!$A$1:$A$675,$B120,Compta!$B$1:$B$675,"6411",Compta!$C$1:$C$675,$A120))</f>
        <v/>
      </c>
      <c r="Y120" t="str">
        <f>IF($A120="","",SUMIFS(Compta!$F$1:$F$675,Compta!$A$1:$A$675,$B120,Compta!$B$1:$B$675,"604",Compta!$C$1:$C$675,$A120)+SUMIFS(Compta!$F$1:$F$675,Compta!$A$1:$A$675,$B120,Compta!$B$1:$B$675,"6063",Compta!$C$1:$C$675,$A120))</f>
        <v/>
      </c>
      <c r="Z120" t="str">
        <f>IF($A120="","",SUMIFS(Compta!$F$1:$F$675,Compta!$A$1:$A$675,$B120,Compta!$B$1:$B$675,"6231",Compta!$C$1:$C$675,$A120))</f>
        <v/>
      </c>
      <c r="AA120" t="str">
        <f>IF($A120="",""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</f>
        <v/>
      </c>
      <c r="AB120" t="str">
        <f>IF($A120="",""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</f>
        <v/>
      </c>
      <c r="AC120" t="s">
        <v>297</v>
      </c>
      <c r="AD120" t="s">
        <v>297</v>
      </c>
      <c r="AE120" t="s">
        <v>297</v>
      </c>
      <c r="AF120" t="s">
        <v>297</v>
      </c>
      <c r="AG120" t="s">
        <v>297</v>
      </c>
      <c r="AH120" t="s">
        <v>297</v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 t="str">
        <f>IF($A120="","",SUMIFS(Compta!$F$1:$F$675,Compta!$A$1:$A$675,"GRP",Compta!$B$1:$B$675,"6236",Compta!$C$1:$C$675,$A120))</f>
        <v/>
      </c>
      <c r="AP120" t="s">
        <v>297</v>
      </c>
      <c r="AQ120" t="s">
        <v>297</v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IF($A121="","",SUMIFS(Socle!$K$1:$K$175,Socle!$C$1:$C$175,$B121,Socle!$D$1:$D$175,$D121,Socle!$E$1:$E$175,$E121,Socle!$F$1:$F$175,$F121,Socle!$G$1:$G$175,$A121))</f>
        <v/>
      </c>
      <c r="K121" t="str">
        <f t="shared" si="10"/>
        <v/>
      </c>
      <c r="L121" t="str">
        <f>IF($A121="","",SUMIFS(Allocation!$I$1:$I$175,Allocation!$C$1:$C$175,$A121,Allocation!$D$1:$D$175,$B121))</f>
        <v/>
      </c>
      <c r="M121" t="str">
        <f>IF($A121="","",SUMIFS(Allocation!$J$1:$J$175,Allocation!$C$1:$C$175,$A121,Allocation!$D$1:$D$175,$B121))</f>
        <v/>
      </c>
      <c r="N121" t="str">
        <f>IF($A121="","",SUMIFS(Allocation!$K$1:$K$175,Allocation!$C$1:$C$175,$A121,Allocation!$D$1:$D$175,$B121))</f>
        <v/>
      </c>
      <c r="O121" t="str">
        <f t="shared" si="11"/>
        <v/>
      </c>
      <c r="P121" t="str">
        <f t="shared" si="12"/>
        <v/>
      </c>
      <c r="Q121" t="str">
        <f>IF($A121="","",SUMIFS(Allocation!$I$1:$I$175,Allocation!$C$1:$C$175,$A121,Allocation!$E$1:$E$175,$C121))</f>
        <v/>
      </c>
      <c r="R121" t="str">
        <f>IF($A121="","",SUMIFS(Allocation!$J$1:$J$175,Allocation!$C$1:$C$175,$A121,Allocation!$E$1:$E$175,$C121))</f>
        <v/>
      </c>
      <c r="S121" t="str">
        <f>IF($A121="","",SUMIFS(Allocation!$K$1:$K$175,Allocation!$C$1:$C$175,$A121,Allocation!$E$1:$E$175,$C121))</f>
        <v/>
      </c>
      <c r="T121" t="str">
        <f>IF($A121="","",SUMIFS(Allocation!$I$1:$I$175,Allocation!$C$1:$C$175,$A121))</f>
        <v/>
      </c>
      <c r="U121" t="str">
        <f>IF($A121="","",SUMIFS(Allocation!$J$1:$J$175,Allocation!$C$1:$C$175,$A121))</f>
        <v/>
      </c>
      <c r="V121" t="str">
        <f>IF($A121="","",SUMIFS(Allocation!$K$1:$K$175,Allocation!$C$1:$C$175,$A121))</f>
        <v/>
      </c>
      <c r="W121" t="str">
        <f>IF($A121="","",SUMIFS(Compta!$F$1:$F$675,Compta!$A$1:$A$675,$B121,Compta!$B$1:$B$675,"621",Compta!$C$1:$C$675,$A121))</f>
        <v/>
      </c>
      <c r="X121" t="str">
        <f>IF($A121="","",SUMIFS(Compta!$F$1:$F$675,Compta!$A$1:$A$675,$B121,Compta!$B$1:$B$675,"6411",Compta!$C$1:$C$675,$A121))</f>
        <v/>
      </c>
      <c r="Y121" t="str">
        <f>IF($A121="","",SUMIFS(Compta!$F$1:$F$675,Compta!$A$1:$A$675,$B121,Compta!$B$1:$B$675,"604",Compta!$C$1:$C$675,$A121)+SUMIFS(Compta!$F$1:$F$675,Compta!$A$1:$A$675,$B121,Compta!$B$1:$B$675,"6063",Compta!$C$1:$C$675,$A121))</f>
        <v/>
      </c>
      <c r="Z121" t="str">
        <f>IF($A121="","",SUMIFS(Compta!$F$1:$F$675,Compta!$A$1:$A$675,$B121,Compta!$B$1:$B$675,"6231",Compta!$C$1:$C$675,$A121))</f>
        <v/>
      </c>
      <c r="AA121" t="str">
        <f>IF($A121="",""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</f>
        <v/>
      </c>
      <c r="AB121" t="str">
        <f>IF($A121="",""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</f>
        <v/>
      </c>
      <c r="AC121" t="s">
        <v>297</v>
      </c>
      <c r="AD121" t="s">
        <v>297</v>
      </c>
      <c r="AE121" t="s">
        <v>297</v>
      </c>
      <c r="AF121" t="s">
        <v>297</v>
      </c>
      <c r="AG121" t="s">
        <v>297</v>
      </c>
      <c r="AH121" t="s">
        <v>297</v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 t="str">
        <f>IF($A121="","",SUMIFS(Compta!$F$1:$F$675,Compta!$A$1:$A$675,"GRP",Compta!$B$1:$B$675,"6236",Compta!$C$1:$C$675,$A121))</f>
        <v/>
      </c>
      <c r="AP121" t="s">
        <v>297</v>
      </c>
      <c r="AQ121" t="s">
        <v>297</v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IF($A122="","",SUMIFS(Socle!$K$1:$K$175,Socle!$C$1:$C$175,$B122,Socle!$D$1:$D$175,$D122,Socle!$E$1:$E$175,$E122,Socle!$F$1:$F$175,$F122,Socle!$G$1:$G$175,$A122))</f>
        <v/>
      </c>
      <c r="K122" t="str">
        <f t="shared" si="10"/>
        <v/>
      </c>
      <c r="L122" t="str">
        <f>IF($A122="","",SUMIFS(Allocation!$I$1:$I$175,Allocation!$C$1:$C$175,$A122,Allocation!$D$1:$D$175,$B122))</f>
        <v/>
      </c>
      <c r="M122" t="str">
        <f>IF($A122="","",SUMIFS(Allocation!$J$1:$J$175,Allocation!$C$1:$C$175,$A122,Allocation!$D$1:$D$175,$B122))</f>
        <v/>
      </c>
      <c r="N122" t="str">
        <f>IF($A122="","",SUMIFS(Allocation!$K$1:$K$175,Allocation!$C$1:$C$175,$A122,Allocation!$D$1:$D$175,$B122))</f>
        <v/>
      </c>
      <c r="O122" t="str">
        <f t="shared" si="11"/>
        <v/>
      </c>
      <c r="P122" t="str">
        <f t="shared" si="12"/>
        <v/>
      </c>
      <c r="Q122" t="str">
        <f>IF($A122="","",SUMIFS(Allocation!$I$1:$I$175,Allocation!$C$1:$C$175,$A122,Allocation!$E$1:$E$175,$C122))</f>
        <v/>
      </c>
      <c r="R122" t="str">
        <f>IF($A122="","",SUMIFS(Allocation!$J$1:$J$175,Allocation!$C$1:$C$175,$A122,Allocation!$E$1:$E$175,$C122))</f>
        <v/>
      </c>
      <c r="S122" t="str">
        <f>IF($A122="","",SUMIFS(Allocation!$K$1:$K$175,Allocation!$C$1:$C$175,$A122,Allocation!$E$1:$E$175,$C122))</f>
        <v/>
      </c>
      <c r="T122" t="str">
        <f>IF($A122="","",SUMIFS(Allocation!$I$1:$I$175,Allocation!$C$1:$C$175,$A122))</f>
        <v/>
      </c>
      <c r="U122" t="str">
        <f>IF($A122="","",SUMIFS(Allocation!$J$1:$J$175,Allocation!$C$1:$C$175,$A122))</f>
        <v/>
      </c>
      <c r="V122" t="str">
        <f>IF($A122="","",SUMIFS(Allocation!$K$1:$K$175,Allocation!$C$1:$C$175,$A122))</f>
        <v/>
      </c>
      <c r="W122" t="str">
        <f>IF($A122="","",SUMIFS(Compta!$F$1:$F$675,Compta!$A$1:$A$675,$B122,Compta!$B$1:$B$675,"621",Compta!$C$1:$C$675,$A122))</f>
        <v/>
      </c>
      <c r="X122" t="str">
        <f>IF($A122="","",SUMIFS(Compta!$F$1:$F$675,Compta!$A$1:$A$675,$B122,Compta!$B$1:$B$675,"6411",Compta!$C$1:$C$675,$A122))</f>
        <v/>
      </c>
      <c r="Y122" t="str">
        <f>IF($A122="","",SUMIFS(Compta!$F$1:$F$675,Compta!$A$1:$A$675,$B122,Compta!$B$1:$B$675,"604",Compta!$C$1:$C$675,$A122)+SUMIFS(Compta!$F$1:$F$675,Compta!$A$1:$A$675,$B122,Compta!$B$1:$B$675,"6063",Compta!$C$1:$C$675,$A122))</f>
        <v/>
      </c>
      <c r="Z122" t="str">
        <f>IF($A122="","",SUMIFS(Compta!$F$1:$F$675,Compta!$A$1:$A$675,$B122,Compta!$B$1:$B$675,"6231",Compta!$C$1:$C$675,$A122))</f>
        <v/>
      </c>
      <c r="AA122" t="str">
        <f>IF($A122="",""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</f>
        <v/>
      </c>
      <c r="AB122" t="str">
        <f>IF($A122="",""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</f>
        <v/>
      </c>
      <c r="AC122" t="s">
        <v>297</v>
      </c>
      <c r="AD122" t="s">
        <v>297</v>
      </c>
      <c r="AE122" t="s">
        <v>297</v>
      </c>
      <c r="AF122" t="s">
        <v>297</v>
      </c>
      <c r="AG122" t="s">
        <v>297</v>
      </c>
      <c r="AH122" t="s">
        <v>297</v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 t="str">
        <f>IF($A122="","",SUMIFS(Compta!$F$1:$F$675,Compta!$A$1:$A$675,"GRP",Compta!$B$1:$B$675,"6236",Compta!$C$1:$C$675,$A122))</f>
        <v/>
      </c>
      <c r="AP122" t="s">
        <v>297</v>
      </c>
      <c r="AQ122" t="s">
        <v>297</v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IF($A123="","",SUMIFS(Socle!$K$1:$K$175,Socle!$C$1:$C$175,$B123,Socle!$D$1:$D$175,$D123,Socle!$E$1:$E$175,$E123,Socle!$F$1:$F$175,$F123,Socle!$G$1:$G$175,$A123))</f>
        <v/>
      </c>
      <c r="K123" t="str">
        <f t="shared" si="10"/>
        <v/>
      </c>
      <c r="L123" t="str">
        <f>IF($A123="","",SUMIFS(Allocation!$I$1:$I$175,Allocation!$C$1:$C$175,$A123,Allocation!$D$1:$D$175,$B123))</f>
        <v/>
      </c>
      <c r="M123" t="str">
        <f>IF($A123="","",SUMIFS(Allocation!$J$1:$J$175,Allocation!$C$1:$C$175,$A123,Allocation!$D$1:$D$175,$B123))</f>
        <v/>
      </c>
      <c r="N123" t="str">
        <f>IF($A123="","",SUMIFS(Allocation!$K$1:$K$175,Allocation!$C$1:$C$175,$A123,Allocation!$D$1:$D$175,$B123))</f>
        <v/>
      </c>
      <c r="O123" t="str">
        <f t="shared" si="11"/>
        <v/>
      </c>
      <c r="P123" t="str">
        <f t="shared" si="12"/>
        <v/>
      </c>
      <c r="Q123" t="str">
        <f>IF($A123="","",SUMIFS(Allocation!$I$1:$I$175,Allocation!$C$1:$C$175,$A123,Allocation!$E$1:$E$175,$C123))</f>
        <v/>
      </c>
      <c r="R123" t="str">
        <f>IF($A123="","",SUMIFS(Allocation!$J$1:$J$175,Allocation!$C$1:$C$175,$A123,Allocation!$E$1:$E$175,$C123))</f>
        <v/>
      </c>
      <c r="S123" t="str">
        <f>IF($A123="","",SUMIFS(Allocation!$K$1:$K$175,Allocation!$C$1:$C$175,$A123,Allocation!$E$1:$E$175,$C123))</f>
        <v/>
      </c>
      <c r="T123" t="str">
        <f>IF($A123="","",SUMIFS(Allocation!$I$1:$I$175,Allocation!$C$1:$C$175,$A123))</f>
        <v/>
      </c>
      <c r="U123" t="str">
        <f>IF($A123="","",SUMIFS(Allocation!$J$1:$J$175,Allocation!$C$1:$C$175,$A123))</f>
        <v/>
      </c>
      <c r="V123" t="str">
        <f>IF($A123="","",SUMIFS(Allocation!$K$1:$K$175,Allocation!$C$1:$C$175,$A123))</f>
        <v/>
      </c>
      <c r="W123" t="str">
        <f>IF($A123="","",SUMIFS(Compta!$F$1:$F$675,Compta!$A$1:$A$675,$B123,Compta!$B$1:$B$675,"621",Compta!$C$1:$C$675,$A123))</f>
        <v/>
      </c>
      <c r="X123" t="str">
        <f>IF($A123="","",SUMIFS(Compta!$F$1:$F$675,Compta!$A$1:$A$675,$B123,Compta!$B$1:$B$675,"6411",Compta!$C$1:$C$675,$A123))</f>
        <v/>
      </c>
      <c r="Y123" t="str">
        <f>IF($A123="","",SUMIFS(Compta!$F$1:$F$675,Compta!$A$1:$A$675,$B123,Compta!$B$1:$B$675,"604",Compta!$C$1:$C$675,$A123)+SUMIFS(Compta!$F$1:$F$675,Compta!$A$1:$A$675,$B123,Compta!$B$1:$B$675,"6063",Compta!$C$1:$C$675,$A123))</f>
        <v/>
      </c>
      <c r="Z123" t="str">
        <f>IF($A123="","",SUMIFS(Compta!$F$1:$F$675,Compta!$A$1:$A$675,$B123,Compta!$B$1:$B$675,"6231",Compta!$C$1:$C$675,$A123))</f>
        <v/>
      </c>
      <c r="AA123" t="str">
        <f>IF($A123="",""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</f>
        <v/>
      </c>
      <c r="AB123" t="str">
        <f>IF($A123="",""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</f>
        <v/>
      </c>
      <c r="AC123" t="s">
        <v>297</v>
      </c>
      <c r="AD123" t="s">
        <v>297</v>
      </c>
      <c r="AE123" t="s">
        <v>297</v>
      </c>
      <c r="AF123" t="s">
        <v>297</v>
      </c>
      <c r="AG123" t="s">
        <v>297</v>
      </c>
      <c r="AH123" t="s">
        <v>297</v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 t="str">
        <f>IF($A123="","",SUMIFS(Compta!$F$1:$F$675,Compta!$A$1:$A$675,"GRP",Compta!$B$1:$B$675,"6236",Compta!$C$1:$C$675,$A123))</f>
        <v/>
      </c>
      <c r="AP123" t="s">
        <v>297</v>
      </c>
      <c r="AQ123" t="s">
        <v>297</v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IF($A124="","",SUMIFS(Socle!$K$1:$K$175,Socle!$C$1:$C$175,$B124,Socle!$D$1:$D$175,$D124,Socle!$E$1:$E$175,$E124,Socle!$F$1:$F$175,$F124,Socle!$G$1:$G$175,$A124))</f>
        <v/>
      </c>
      <c r="K124" t="str">
        <f t="shared" si="10"/>
        <v/>
      </c>
      <c r="L124" t="str">
        <f>IF($A124="","",SUMIFS(Allocation!$I$1:$I$175,Allocation!$C$1:$C$175,$A124,Allocation!$D$1:$D$175,$B124))</f>
        <v/>
      </c>
      <c r="M124" t="str">
        <f>IF($A124="","",SUMIFS(Allocation!$J$1:$J$175,Allocation!$C$1:$C$175,$A124,Allocation!$D$1:$D$175,$B124))</f>
        <v/>
      </c>
      <c r="N124" t="str">
        <f>IF($A124="","",SUMIFS(Allocation!$K$1:$K$175,Allocation!$C$1:$C$175,$A124,Allocation!$D$1:$D$175,$B124))</f>
        <v/>
      </c>
      <c r="O124" t="str">
        <f t="shared" si="11"/>
        <v/>
      </c>
      <c r="P124" t="str">
        <f t="shared" si="12"/>
        <v/>
      </c>
      <c r="Q124" t="str">
        <f>IF($A124="","",SUMIFS(Allocation!$I$1:$I$175,Allocation!$C$1:$C$175,$A124,Allocation!$E$1:$E$175,$C124))</f>
        <v/>
      </c>
      <c r="R124" t="str">
        <f>IF($A124="","",SUMIFS(Allocation!$J$1:$J$175,Allocation!$C$1:$C$175,$A124,Allocation!$E$1:$E$175,$C124))</f>
        <v/>
      </c>
      <c r="S124" t="str">
        <f>IF($A124="","",SUMIFS(Allocation!$K$1:$K$175,Allocation!$C$1:$C$175,$A124,Allocation!$E$1:$E$175,$C124))</f>
        <v/>
      </c>
      <c r="T124" t="str">
        <f>IF($A124="","",SUMIFS(Allocation!$I$1:$I$175,Allocation!$C$1:$C$175,$A124))</f>
        <v/>
      </c>
      <c r="U124" t="str">
        <f>IF($A124="","",SUMIFS(Allocation!$J$1:$J$175,Allocation!$C$1:$C$175,$A124))</f>
        <v/>
      </c>
      <c r="V124" t="str">
        <f>IF($A124="","",SUMIFS(Allocation!$K$1:$K$175,Allocation!$C$1:$C$175,$A124))</f>
        <v/>
      </c>
      <c r="W124" t="str">
        <f>IF($A124="","",SUMIFS(Compta!$F$1:$F$675,Compta!$A$1:$A$675,$B124,Compta!$B$1:$B$675,"621",Compta!$C$1:$C$675,$A124))</f>
        <v/>
      </c>
      <c r="X124" t="str">
        <f>IF($A124="","",SUMIFS(Compta!$F$1:$F$675,Compta!$A$1:$A$675,$B124,Compta!$B$1:$B$675,"6411",Compta!$C$1:$C$675,$A124))</f>
        <v/>
      </c>
      <c r="Y124" t="str">
        <f>IF($A124="","",SUMIFS(Compta!$F$1:$F$675,Compta!$A$1:$A$675,$B124,Compta!$B$1:$B$675,"604",Compta!$C$1:$C$675,$A124)+SUMIFS(Compta!$F$1:$F$675,Compta!$A$1:$A$675,$B124,Compta!$B$1:$B$675,"6063",Compta!$C$1:$C$675,$A124))</f>
        <v/>
      </c>
      <c r="Z124" t="str">
        <f>IF($A124="","",SUMIFS(Compta!$F$1:$F$675,Compta!$A$1:$A$675,$B124,Compta!$B$1:$B$675,"6231",Compta!$C$1:$C$675,$A124))</f>
        <v/>
      </c>
      <c r="AA124" t="str">
        <f>IF($A124="",""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</f>
        <v/>
      </c>
      <c r="AB124" t="str">
        <f>IF($A124="",""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</f>
        <v/>
      </c>
      <c r="AC124" t="s">
        <v>297</v>
      </c>
      <c r="AD124" t="s">
        <v>297</v>
      </c>
      <c r="AE124" t="s">
        <v>297</v>
      </c>
      <c r="AF124" t="s">
        <v>297</v>
      </c>
      <c r="AG124" t="s">
        <v>297</v>
      </c>
      <c r="AH124" t="s">
        <v>297</v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 t="str">
        <f>IF($A124="","",SUMIFS(Compta!$F$1:$F$675,Compta!$A$1:$A$675,"GRP",Compta!$B$1:$B$675,"6236",Compta!$C$1:$C$675,$A124))</f>
        <v/>
      </c>
      <c r="AP124" t="s">
        <v>297</v>
      </c>
      <c r="AQ124" t="s">
        <v>297</v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IF($A125="","",SUMIFS(Socle!$K$1:$K$175,Socle!$C$1:$C$175,$B125,Socle!$D$1:$D$175,$D125,Socle!$E$1:$E$175,$E125,Socle!$F$1:$F$175,$F125,Socle!$G$1:$G$175,$A125))</f>
        <v/>
      </c>
      <c r="K125" t="str">
        <f t="shared" si="10"/>
        <v/>
      </c>
      <c r="L125" t="str">
        <f>IF($A125="","",SUMIFS(Allocation!$I$1:$I$175,Allocation!$C$1:$C$175,$A125,Allocation!$D$1:$D$175,$B125))</f>
        <v/>
      </c>
      <c r="M125" t="str">
        <f>IF($A125="","",SUMIFS(Allocation!$J$1:$J$175,Allocation!$C$1:$C$175,$A125,Allocation!$D$1:$D$175,$B125))</f>
        <v/>
      </c>
      <c r="N125" t="str">
        <f>IF($A125="","",SUMIFS(Allocation!$K$1:$K$175,Allocation!$C$1:$C$175,$A125,Allocation!$D$1:$D$175,$B125))</f>
        <v/>
      </c>
      <c r="O125" t="str">
        <f t="shared" si="11"/>
        <v/>
      </c>
      <c r="P125" t="str">
        <f t="shared" si="12"/>
        <v/>
      </c>
      <c r="Q125" t="str">
        <f>IF($A125="","",SUMIFS(Allocation!$I$1:$I$175,Allocation!$C$1:$C$175,$A125,Allocation!$E$1:$E$175,$C125))</f>
        <v/>
      </c>
      <c r="R125" t="str">
        <f>IF($A125="","",SUMIFS(Allocation!$J$1:$J$175,Allocation!$C$1:$C$175,$A125,Allocation!$E$1:$E$175,$C125))</f>
        <v/>
      </c>
      <c r="S125" t="str">
        <f>IF($A125="","",SUMIFS(Allocation!$K$1:$K$175,Allocation!$C$1:$C$175,$A125,Allocation!$E$1:$E$175,$C125))</f>
        <v/>
      </c>
      <c r="T125" t="str">
        <f>IF($A125="","",SUMIFS(Allocation!$I$1:$I$175,Allocation!$C$1:$C$175,$A125))</f>
        <v/>
      </c>
      <c r="U125" t="str">
        <f>IF($A125="","",SUMIFS(Allocation!$J$1:$J$175,Allocation!$C$1:$C$175,$A125))</f>
        <v/>
      </c>
      <c r="V125" t="str">
        <f>IF($A125="","",SUMIFS(Allocation!$K$1:$K$175,Allocation!$C$1:$C$175,$A125))</f>
        <v/>
      </c>
      <c r="W125" t="str">
        <f>IF($A125="","",SUMIFS(Compta!$F$1:$F$675,Compta!$A$1:$A$675,$B125,Compta!$B$1:$B$675,"621",Compta!$C$1:$C$675,$A125))</f>
        <v/>
      </c>
      <c r="X125" t="str">
        <f>IF($A125="","",SUMIFS(Compta!$F$1:$F$675,Compta!$A$1:$A$675,$B125,Compta!$B$1:$B$675,"6411",Compta!$C$1:$C$675,$A125))</f>
        <v/>
      </c>
      <c r="Y125" t="str">
        <f>IF($A125="","",SUMIFS(Compta!$F$1:$F$675,Compta!$A$1:$A$675,$B125,Compta!$B$1:$B$675,"604",Compta!$C$1:$C$675,$A125)+SUMIFS(Compta!$F$1:$F$675,Compta!$A$1:$A$675,$B125,Compta!$B$1:$B$675,"6063",Compta!$C$1:$C$675,$A125))</f>
        <v/>
      </c>
      <c r="Z125" t="str">
        <f>IF($A125="","",SUMIFS(Compta!$F$1:$F$675,Compta!$A$1:$A$675,$B125,Compta!$B$1:$B$675,"6231",Compta!$C$1:$C$675,$A125))</f>
        <v/>
      </c>
      <c r="AA125" t="str">
        <f>IF($A125="",""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</f>
        <v/>
      </c>
      <c r="AB125" t="str">
        <f>IF($A125="",""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</f>
        <v/>
      </c>
      <c r="AC125" t="s">
        <v>297</v>
      </c>
      <c r="AD125" t="s">
        <v>297</v>
      </c>
      <c r="AE125" t="s">
        <v>297</v>
      </c>
      <c r="AF125" t="s">
        <v>297</v>
      </c>
      <c r="AG125" t="s">
        <v>297</v>
      </c>
      <c r="AH125" t="s">
        <v>297</v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 t="str">
        <f>IF($A125="","",SUMIFS(Compta!$F$1:$F$675,Compta!$A$1:$A$675,"GRP",Compta!$B$1:$B$675,"6236",Compta!$C$1:$C$675,$A125))</f>
        <v/>
      </c>
      <c r="AP125" t="s">
        <v>297</v>
      </c>
      <c r="AQ125" t="s">
        <v>297</v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IF($A126="","",SUMIFS(Socle!$K$1:$K$175,Socle!$C$1:$C$175,$B126,Socle!$D$1:$D$175,$D126,Socle!$E$1:$E$175,$E126,Socle!$F$1:$F$175,$F126,Socle!$G$1:$G$175,$A126))</f>
        <v/>
      </c>
      <c r="K126" t="str">
        <f t="shared" si="10"/>
        <v/>
      </c>
      <c r="L126" t="str">
        <f>IF($A126="","",SUMIFS(Allocation!$I$1:$I$175,Allocation!$C$1:$C$175,$A126,Allocation!$D$1:$D$175,$B126))</f>
        <v/>
      </c>
      <c r="M126" t="str">
        <f>IF($A126="","",SUMIFS(Allocation!$J$1:$J$175,Allocation!$C$1:$C$175,$A126,Allocation!$D$1:$D$175,$B126))</f>
        <v/>
      </c>
      <c r="N126" t="str">
        <f>IF($A126="","",SUMIFS(Allocation!$K$1:$K$175,Allocation!$C$1:$C$175,$A126,Allocation!$D$1:$D$175,$B126))</f>
        <v/>
      </c>
      <c r="O126" t="str">
        <f t="shared" si="11"/>
        <v/>
      </c>
      <c r="P126" t="str">
        <f t="shared" si="12"/>
        <v/>
      </c>
      <c r="Q126" t="str">
        <f>IF($A126="","",SUMIFS(Allocation!$I$1:$I$175,Allocation!$C$1:$C$175,$A126,Allocation!$E$1:$E$175,$C126))</f>
        <v/>
      </c>
      <c r="R126" t="str">
        <f>IF($A126="","",SUMIFS(Allocation!$J$1:$J$175,Allocation!$C$1:$C$175,$A126,Allocation!$E$1:$E$175,$C126))</f>
        <v/>
      </c>
      <c r="S126" t="str">
        <f>IF($A126="","",SUMIFS(Allocation!$K$1:$K$175,Allocation!$C$1:$C$175,$A126,Allocation!$E$1:$E$175,$C126))</f>
        <v/>
      </c>
      <c r="T126" t="str">
        <f>IF($A126="","",SUMIFS(Allocation!$I$1:$I$175,Allocation!$C$1:$C$175,$A126))</f>
        <v/>
      </c>
      <c r="U126" t="str">
        <f>IF($A126="","",SUMIFS(Allocation!$J$1:$J$175,Allocation!$C$1:$C$175,$A126))</f>
        <v/>
      </c>
      <c r="V126" t="str">
        <f>IF($A126="","",SUMIFS(Allocation!$K$1:$K$175,Allocation!$C$1:$C$175,$A126))</f>
        <v/>
      </c>
      <c r="W126" t="str">
        <f>IF($A126="","",SUMIFS(Compta!$F$1:$F$675,Compta!$A$1:$A$675,$B126,Compta!$B$1:$B$675,"621",Compta!$C$1:$C$675,$A126))</f>
        <v/>
      </c>
      <c r="X126" t="str">
        <f>IF($A126="","",SUMIFS(Compta!$F$1:$F$675,Compta!$A$1:$A$675,$B126,Compta!$B$1:$B$675,"6411",Compta!$C$1:$C$675,$A126))</f>
        <v/>
      </c>
      <c r="Y126" t="str">
        <f>IF($A126="","",SUMIFS(Compta!$F$1:$F$675,Compta!$A$1:$A$675,$B126,Compta!$B$1:$B$675,"604",Compta!$C$1:$C$675,$A126)+SUMIFS(Compta!$F$1:$F$675,Compta!$A$1:$A$675,$B126,Compta!$B$1:$B$675,"6063",Compta!$C$1:$C$675,$A126))</f>
        <v/>
      </c>
      <c r="Z126" t="str">
        <f>IF($A126="","",SUMIFS(Compta!$F$1:$F$675,Compta!$A$1:$A$675,$B126,Compta!$B$1:$B$675,"6231",Compta!$C$1:$C$675,$A126))</f>
        <v/>
      </c>
      <c r="AA126" t="str">
        <f>IF($A126="",""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</f>
        <v/>
      </c>
      <c r="AB126" t="str">
        <f>IF($A126="",""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</f>
        <v/>
      </c>
      <c r="AC126" t="s">
        <v>297</v>
      </c>
      <c r="AD126" t="s">
        <v>297</v>
      </c>
      <c r="AE126" t="s">
        <v>297</v>
      </c>
      <c r="AF126" t="s">
        <v>297</v>
      </c>
      <c r="AG126" t="s">
        <v>297</v>
      </c>
      <c r="AH126" t="s">
        <v>297</v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 t="str">
        <f>IF($A126="","",SUMIFS(Compta!$F$1:$F$675,Compta!$A$1:$A$675,"GRP",Compta!$B$1:$B$675,"6236",Compta!$C$1:$C$675,$A126))</f>
        <v/>
      </c>
      <c r="AP126" t="s">
        <v>297</v>
      </c>
      <c r="AQ126" t="s">
        <v>297</v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IF($A127="","",SUMIFS(Socle!$K$1:$K$175,Socle!$C$1:$C$175,$B127,Socle!$D$1:$D$175,$D127,Socle!$E$1:$E$175,$E127,Socle!$F$1:$F$175,$F127,Socle!$G$1:$G$175,$A127))</f>
        <v/>
      </c>
      <c r="K127" t="str">
        <f t="shared" si="10"/>
        <v/>
      </c>
      <c r="L127" t="str">
        <f>IF($A127="","",SUMIFS(Allocation!$I$1:$I$175,Allocation!$C$1:$C$175,$A127,Allocation!$D$1:$D$175,$B127))</f>
        <v/>
      </c>
      <c r="M127" t="str">
        <f>IF($A127="","",SUMIFS(Allocation!$J$1:$J$175,Allocation!$C$1:$C$175,$A127,Allocation!$D$1:$D$175,$B127))</f>
        <v/>
      </c>
      <c r="N127" t="str">
        <f>IF($A127="","",SUMIFS(Allocation!$K$1:$K$175,Allocation!$C$1:$C$175,$A127,Allocation!$D$1:$D$175,$B127))</f>
        <v/>
      </c>
      <c r="O127" t="str">
        <f t="shared" si="11"/>
        <v/>
      </c>
      <c r="P127" t="str">
        <f t="shared" si="12"/>
        <v/>
      </c>
      <c r="Q127" t="str">
        <f>IF($A127="","",SUMIFS(Allocation!$I$1:$I$175,Allocation!$C$1:$C$175,$A127,Allocation!$E$1:$E$175,$C127))</f>
        <v/>
      </c>
      <c r="R127" t="str">
        <f>IF($A127="","",SUMIFS(Allocation!$J$1:$J$175,Allocation!$C$1:$C$175,$A127,Allocation!$E$1:$E$175,$C127))</f>
        <v/>
      </c>
      <c r="S127" t="str">
        <f>IF($A127="","",SUMIFS(Allocation!$K$1:$K$175,Allocation!$C$1:$C$175,$A127,Allocation!$E$1:$E$175,$C127))</f>
        <v/>
      </c>
      <c r="T127" t="str">
        <f>IF($A127="","",SUMIFS(Allocation!$I$1:$I$175,Allocation!$C$1:$C$175,$A127))</f>
        <v/>
      </c>
      <c r="U127" t="str">
        <f>IF($A127="","",SUMIFS(Allocation!$J$1:$J$175,Allocation!$C$1:$C$175,$A127))</f>
        <v/>
      </c>
      <c r="V127" t="str">
        <f>IF($A127="","",SUMIFS(Allocation!$K$1:$K$175,Allocation!$C$1:$C$175,$A127))</f>
        <v/>
      </c>
      <c r="W127" t="str">
        <f>IF($A127="","",SUMIFS(Compta!$F$1:$F$675,Compta!$A$1:$A$675,$B127,Compta!$B$1:$B$675,"621",Compta!$C$1:$C$675,$A127))</f>
        <v/>
      </c>
      <c r="X127" t="str">
        <f>IF($A127="","",SUMIFS(Compta!$F$1:$F$675,Compta!$A$1:$A$675,$B127,Compta!$B$1:$B$675,"6411",Compta!$C$1:$C$675,$A127))</f>
        <v/>
      </c>
      <c r="Y127" t="str">
        <f>IF($A127="","",SUMIFS(Compta!$F$1:$F$675,Compta!$A$1:$A$675,$B127,Compta!$B$1:$B$675,"604",Compta!$C$1:$C$675,$A127)+SUMIFS(Compta!$F$1:$F$675,Compta!$A$1:$A$675,$B127,Compta!$B$1:$B$675,"6063",Compta!$C$1:$C$675,$A127))</f>
        <v/>
      </c>
      <c r="Z127" t="str">
        <f>IF($A127="","",SUMIFS(Compta!$F$1:$F$675,Compta!$A$1:$A$675,$B127,Compta!$B$1:$B$675,"6231",Compta!$C$1:$C$675,$A127))</f>
        <v/>
      </c>
      <c r="AA127" t="str">
        <f>IF($A127="",""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</f>
        <v/>
      </c>
      <c r="AB127" t="str">
        <f>IF($A127="",""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</f>
        <v/>
      </c>
      <c r="AC127" t="s">
        <v>297</v>
      </c>
      <c r="AD127" t="s">
        <v>297</v>
      </c>
      <c r="AE127" t="s">
        <v>297</v>
      </c>
      <c r="AF127" t="s">
        <v>297</v>
      </c>
      <c r="AG127" t="s">
        <v>297</v>
      </c>
      <c r="AH127" t="s">
        <v>297</v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 t="str">
        <f>IF($A127="","",SUMIFS(Compta!$F$1:$F$675,Compta!$A$1:$A$675,"GRP",Compta!$B$1:$B$675,"6236",Compta!$C$1:$C$675,$A127))</f>
        <v/>
      </c>
      <c r="AP127" t="s">
        <v>297</v>
      </c>
      <c r="AQ127" t="s">
        <v>297</v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IF($A128="","",SUMIFS(Socle!$K$1:$K$175,Socle!$C$1:$C$175,$B128,Socle!$D$1:$D$175,$D128,Socle!$E$1:$E$175,$E128,Socle!$F$1:$F$175,$F128,Socle!$G$1:$G$175,$A128))</f>
        <v/>
      </c>
      <c r="K128" t="str">
        <f t="shared" si="10"/>
        <v/>
      </c>
      <c r="L128" t="str">
        <f>IF($A128="","",SUMIFS(Allocation!$I$1:$I$175,Allocation!$C$1:$C$175,$A128,Allocation!$D$1:$D$175,$B128))</f>
        <v/>
      </c>
      <c r="M128" t="str">
        <f>IF($A128="","",SUMIFS(Allocation!$J$1:$J$175,Allocation!$C$1:$C$175,$A128,Allocation!$D$1:$D$175,$B128))</f>
        <v/>
      </c>
      <c r="N128" t="str">
        <f>IF($A128="","",SUMIFS(Allocation!$K$1:$K$175,Allocation!$C$1:$C$175,$A128,Allocation!$D$1:$D$175,$B128))</f>
        <v/>
      </c>
      <c r="O128" t="str">
        <f t="shared" si="11"/>
        <v/>
      </c>
      <c r="P128" t="str">
        <f t="shared" si="12"/>
        <v/>
      </c>
      <c r="Q128" t="str">
        <f>IF($A128="","",SUMIFS(Allocation!$I$1:$I$175,Allocation!$C$1:$C$175,$A128,Allocation!$E$1:$E$175,$C128))</f>
        <v/>
      </c>
      <c r="R128" t="str">
        <f>IF($A128="","",SUMIFS(Allocation!$J$1:$J$175,Allocation!$C$1:$C$175,$A128,Allocation!$E$1:$E$175,$C128))</f>
        <v/>
      </c>
      <c r="S128" t="str">
        <f>IF($A128="","",SUMIFS(Allocation!$K$1:$K$175,Allocation!$C$1:$C$175,$A128,Allocation!$E$1:$E$175,$C128))</f>
        <v/>
      </c>
      <c r="T128" t="str">
        <f>IF($A128="","",SUMIFS(Allocation!$I$1:$I$175,Allocation!$C$1:$C$175,$A128))</f>
        <v/>
      </c>
      <c r="U128" t="str">
        <f>IF($A128="","",SUMIFS(Allocation!$J$1:$J$175,Allocation!$C$1:$C$175,$A128))</f>
        <v/>
      </c>
      <c r="V128" t="str">
        <f>IF($A128="","",SUMIFS(Allocation!$K$1:$K$175,Allocation!$C$1:$C$175,$A128))</f>
        <v/>
      </c>
      <c r="W128" t="str">
        <f>IF($A128="","",SUMIFS(Compta!$F$1:$F$675,Compta!$A$1:$A$675,$B128,Compta!$B$1:$B$675,"621",Compta!$C$1:$C$675,$A128))</f>
        <v/>
      </c>
      <c r="X128" t="str">
        <f>IF($A128="","",SUMIFS(Compta!$F$1:$F$675,Compta!$A$1:$A$675,$B128,Compta!$B$1:$B$675,"6411",Compta!$C$1:$C$675,$A128))</f>
        <v/>
      </c>
      <c r="Y128" t="str">
        <f>IF($A128="","",SUMIFS(Compta!$F$1:$F$675,Compta!$A$1:$A$675,$B128,Compta!$B$1:$B$675,"604",Compta!$C$1:$C$675,$A128)+SUMIFS(Compta!$F$1:$F$675,Compta!$A$1:$A$675,$B128,Compta!$B$1:$B$675,"6063",Compta!$C$1:$C$675,$A128))</f>
        <v/>
      </c>
      <c r="Z128" t="str">
        <f>IF($A128="","",SUMIFS(Compta!$F$1:$F$675,Compta!$A$1:$A$675,$B128,Compta!$B$1:$B$675,"6231",Compta!$C$1:$C$675,$A128))</f>
        <v/>
      </c>
      <c r="AA128" t="str">
        <f>IF($A128="",""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</f>
        <v/>
      </c>
      <c r="AB128" t="str">
        <f>IF($A128="",""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</f>
        <v/>
      </c>
      <c r="AC128" t="s">
        <v>297</v>
      </c>
      <c r="AD128" t="s">
        <v>297</v>
      </c>
      <c r="AE128" t="s">
        <v>297</v>
      </c>
      <c r="AF128" t="s">
        <v>297</v>
      </c>
      <c r="AG128" t="s">
        <v>297</v>
      </c>
      <c r="AH128" t="s">
        <v>297</v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 t="str">
        <f>IF($A128="","",SUMIFS(Compta!$F$1:$F$675,Compta!$A$1:$A$675,"GRP",Compta!$B$1:$B$675,"6236",Compta!$C$1:$C$675,$A128))</f>
        <v/>
      </c>
      <c r="AP128" t="s">
        <v>297</v>
      </c>
      <c r="AQ128" t="s">
        <v>297</v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IF($A129="","",SUMIFS(Socle!$K$1:$K$175,Socle!$C$1:$C$175,$B129,Socle!$D$1:$D$175,$D129,Socle!$E$1:$E$175,$E129,Socle!$F$1:$F$175,$F129,Socle!$G$1:$G$175,$A129))</f>
        <v/>
      </c>
      <c r="K129" t="str">
        <f t="shared" si="10"/>
        <v/>
      </c>
      <c r="L129" t="str">
        <f>IF($A129="","",SUMIFS(Allocation!$I$1:$I$175,Allocation!$C$1:$C$175,$A129,Allocation!$D$1:$D$175,$B129))</f>
        <v/>
      </c>
      <c r="M129" t="str">
        <f>IF($A129="","",SUMIFS(Allocation!$J$1:$J$175,Allocation!$C$1:$C$175,$A129,Allocation!$D$1:$D$175,$B129))</f>
        <v/>
      </c>
      <c r="N129" t="str">
        <f>IF($A129="","",SUMIFS(Allocation!$K$1:$K$175,Allocation!$C$1:$C$175,$A129,Allocation!$D$1:$D$175,$B129))</f>
        <v/>
      </c>
      <c r="O129" t="str">
        <f t="shared" si="11"/>
        <v/>
      </c>
      <c r="P129" t="str">
        <f t="shared" si="12"/>
        <v/>
      </c>
      <c r="Q129" t="str">
        <f>IF($A129="","",SUMIFS(Allocation!$I$1:$I$175,Allocation!$C$1:$C$175,$A129,Allocation!$E$1:$E$175,$C129))</f>
        <v/>
      </c>
      <c r="R129" t="str">
        <f>IF($A129="","",SUMIFS(Allocation!$J$1:$J$175,Allocation!$C$1:$C$175,$A129,Allocation!$E$1:$E$175,$C129))</f>
        <v/>
      </c>
      <c r="S129" t="str">
        <f>IF($A129="","",SUMIFS(Allocation!$K$1:$K$175,Allocation!$C$1:$C$175,$A129,Allocation!$E$1:$E$175,$C129))</f>
        <v/>
      </c>
      <c r="T129" t="str">
        <f>IF($A129="","",SUMIFS(Allocation!$I$1:$I$175,Allocation!$C$1:$C$175,$A129))</f>
        <v/>
      </c>
      <c r="U129" t="str">
        <f>IF($A129="","",SUMIFS(Allocation!$J$1:$J$175,Allocation!$C$1:$C$175,$A129))</f>
        <v/>
      </c>
      <c r="V129" t="str">
        <f>IF($A129="","",SUMIFS(Allocation!$K$1:$K$175,Allocation!$C$1:$C$175,$A129))</f>
        <v/>
      </c>
      <c r="W129" t="str">
        <f>IF($A129="","",SUMIFS(Compta!$F$1:$F$675,Compta!$A$1:$A$675,$B129,Compta!$B$1:$B$675,"621",Compta!$C$1:$C$675,$A129))</f>
        <v/>
      </c>
      <c r="X129" t="str">
        <f>IF($A129="","",SUMIFS(Compta!$F$1:$F$675,Compta!$A$1:$A$675,$B129,Compta!$B$1:$B$675,"6411",Compta!$C$1:$C$675,$A129))</f>
        <v/>
      </c>
      <c r="Y129" t="str">
        <f>IF($A129="","",SUMIFS(Compta!$F$1:$F$675,Compta!$A$1:$A$675,$B129,Compta!$B$1:$B$675,"604",Compta!$C$1:$C$675,$A129)+SUMIFS(Compta!$F$1:$F$675,Compta!$A$1:$A$675,$B129,Compta!$B$1:$B$675,"6063",Compta!$C$1:$C$675,$A129))</f>
        <v/>
      </c>
      <c r="Z129" t="str">
        <f>IF($A129="","",SUMIFS(Compta!$F$1:$F$675,Compta!$A$1:$A$675,$B129,Compta!$B$1:$B$675,"6231",Compta!$C$1:$C$675,$A129))</f>
        <v/>
      </c>
      <c r="AA129" t="str">
        <f>IF($A129="",""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</f>
        <v/>
      </c>
      <c r="AB129" t="str">
        <f>IF($A129="",""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</f>
        <v/>
      </c>
      <c r="AC129" t="s">
        <v>297</v>
      </c>
      <c r="AD129" t="s">
        <v>297</v>
      </c>
      <c r="AE129" t="s">
        <v>297</v>
      </c>
      <c r="AF129" t="s">
        <v>297</v>
      </c>
      <c r="AG129" t="s">
        <v>297</v>
      </c>
      <c r="AH129" t="s">
        <v>297</v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 t="str">
        <f>IF($A129="","",SUMIFS(Compta!$F$1:$F$675,Compta!$A$1:$A$675,"GRP",Compta!$B$1:$B$675,"6236",Compta!$C$1:$C$675,$A129))</f>
        <v/>
      </c>
      <c r="AP129" t="s">
        <v>297</v>
      </c>
      <c r="AQ129" t="s">
        <v>297</v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IF($A130="","",SUMIFS(Socle!$K$1:$K$175,Socle!$C$1:$C$175,$B130,Socle!$D$1:$D$175,$D130,Socle!$E$1:$E$175,$E130,Socle!$F$1:$F$175,$F130,Socle!$G$1:$G$175,$A130))</f>
        <v/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IF($A130="","",SUMIFS(Allocation!$I$1:$I$175,Allocation!$C$1:$C$175,$A130,Allocation!$D$1:$D$175,$B130))</f>
        <v/>
      </c>
      <c r="M130" t="str">
        <f>IF($A130="","",SUMIFS(Allocation!$J$1:$J$175,Allocation!$C$1:$C$175,$A130,Allocation!$D$1:$D$175,$B130))</f>
        <v/>
      </c>
      <c r="N130" t="str">
        <f>IF($A130="","",SUMIFS(Allocation!$K$1:$K$175,Allocation!$C$1:$C$175,$A130,Allocation!$D$1:$D$175,$B130))</f>
        <v/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 t="str">
        <f>IF($A130="","",SUMIFS(Allocation!$I$1:$I$175,Allocation!$C$1:$C$175,$A130,Allocation!$E$1:$E$175,$C130))</f>
        <v/>
      </c>
      <c r="R130" t="str">
        <f>IF($A130="","",SUMIFS(Allocation!$J$1:$J$175,Allocation!$C$1:$C$175,$A130,Allocation!$E$1:$E$175,$C130))</f>
        <v/>
      </c>
      <c r="S130" t="str">
        <f>IF($A130="","",SUMIFS(Allocation!$K$1:$K$175,Allocation!$C$1:$C$175,$A130,Allocation!$E$1:$E$175,$C130))</f>
        <v/>
      </c>
      <c r="T130" t="str">
        <f>IF($A130="","",SUMIFS(Allocation!$I$1:$I$175,Allocation!$C$1:$C$175,$A130))</f>
        <v/>
      </c>
      <c r="U130" t="str">
        <f>IF($A130="","",SUMIFS(Allocation!$J$1:$J$175,Allocation!$C$1:$C$175,$A130))</f>
        <v/>
      </c>
      <c r="V130" t="str">
        <f>IF($A130="","",SUMIFS(Allocation!$K$1:$K$175,Allocation!$C$1:$C$175,$A130))</f>
        <v/>
      </c>
      <c r="W130" t="str">
        <f>IF($A130="","",SUMIFS(Compta!$F$1:$F$675,Compta!$A$1:$A$675,$B130,Compta!$B$1:$B$675,"621",Compta!$C$1:$C$675,$A130))</f>
        <v/>
      </c>
      <c r="X130" t="str">
        <f>IF($A130="","",SUMIFS(Compta!$F$1:$F$675,Compta!$A$1:$A$675,$B130,Compta!$B$1:$B$675,"6411",Compta!$C$1:$C$675,$A130))</f>
        <v/>
      </c>
      <c r="Y130" t="str">
        <f>IF($A130="","",SUMIFS(Compta!$F$1:$F$675,Compta!$A$1:$A$675,$B130,Compta!$B$1:$B$675,"604",Compta!$C$1:$C$675,$A130)+SUMIFS(Compta!$F$1:$F$675,Compta!$A$1:$A$675,$B130,Compta!$B$1:$B$675,"6063",Compta!$C$1:$C$675,$A130))</f>
        <v/>
      </c>
      <c r="Z130" t="str">
        <f>IF($A130="","",SUMIFS(Compta!$F$1:$F$675,Compta!$A$1:$A$675,$B130,Compta!$B$1:$B$675,"6231",Compta!$C$1:$C$675,$A130))</f>
        <v/>
      </c>
      <c r="AA130" t="str">
        <f>IF($A130="",""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</f>
        <v/>
      </c>
      <c r="AB130" t="str">
        <f>IF($A130="",""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</f>
        <v/>
      </c>
      <c r="AC130" t="s">
        <v>297</v>
      </c>
      <c r="AD130" t="s">
        <v>297</v>
      </c>
      <c r="AE130" t="s">
        <v>297</v>
      </c>
      <c r="AF130" t="s">
        <v>297</v>
      </c>
      <c r="AG130" t="s">
        <v>297</v>
      </c>
      <c r="AH130" t="s">
        <v>297</v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 t="str">
        <f>IF($A130="","",SUMIFS(Compta!$F$1:$F$675,Compta!$A$1:$A$675,"GRP",Compta!$B$1:$B$675,"6236",Compta!$C$1:$C$675,$A130))</f>
        <v/>
      </c>
      <c r="AP130" t="s">
        <v>297</v>
      </c>
      <c r="AQ130" t="s">
        <v>297</v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IF($A131="","",SUMIFS(Socle!$K$1:$K$175,Socle!$C$1:$C$175,$B131,Socle!$D$1:$D$175,$D131,Socle!$E$1:$E$175,$E131,Socle!$F$1:$F$175,$F131,Socle!$G$1:$G$175,$A131))</f>
        <v/>
      </c>
      <c r="K131" t="str">
        <f t="shared" si="20"/>
        <v/>
      </c>
      <c r="L131" t="str">
        <f>IF($A131="","",SUMIFS(Allocation!$I$1:$I$175,Allocation!$C$1:$C$175,$A131,Allocation!$D$1:$D$175,$B131))</f>
        <v/>
      </c>
      <c r="M131" t="str">
        <f>IF($A131="","",SUMIFS(Allocation!$J$1:$J$175,Allocation!$C$1:$C$175,$A131,Allocation!$D$1:$D$175,$B131))</f>
        <v/>
      </c>
      <c r="N131" t="str">
        <f>IF($A131="","",SUMIFS(Allocation!$K$1:$K$175,Allocation!$C$1:$C$175,$A131,Allocation!$D$1:$D$175,$B131))</f>
        <v/>
      </c>
      <c r="O131" t="str">
        <f t="shared" si="21"/>
        <v/>
      </c>
      <c r="P131" t="str">
        <f t="shared" si="22"/>
        <v/>
      </c>
      <c r="Q131" t="str">
        <f>IF($A131="","",SUMIFS(Allocation!$I$1:$I$175,Allocation!$C$1:$C$175,$A131,Allocation!$E$1:$E$175,$C131))</f>
        <v/>
      </c>
      <c r="R131" t="str">
        <f>IF($A131="","",SUMIFS(Allocation!$J$1:$J$175,Allocation!$C$1:$C$175,$A131,Allocation!$E$1:$E$175,$C131))</f>
        <v/>
      </c>
      <c r="S131" t="str">
        <f>IF($A131="","",SUMIFS(Allocation!$K$1:$K$175,Allocation!$C$1:$C$175,$A131,Allocation!$E$1:$E$175,$C131))</f>
        <v/>
      </c>
      <c r="T131" t="str">
        <f>IF($A131="","",SUMIFS(Allocation!$I$1:$I$175,Allocation!$C$1:$C$175,$A131))</f>
        <v/>
      </c>
      <c r="U131" t="str">
        <f>IF($A131="","",SUMIFS(Allocation!$J$1:$J$175,Allocation!$C$1:$C$175,$A131))</f>
        <v/>
      </c>
      <c r="V131" t="str">
        <f>IF($A131="","",SUMIFS(Allocation!$K$1:$K$175,Allocation!$C$1:$C$175,$A131))</f>
        <v/>
      </c>
      <c r="W131" t="str">
        <f>IF($A131="","",SUMIFS(Compta!$F$1:$F$675,Compta!$A$1:$A$675,$B131,Compta!$B$1:$B$675,"621",Compta!$C$1:$C$675,$A131))</f>
        <v/>
      </c>
      <c r="X131" t="str">
        <f>IF($A131="","",SUMIFS(Compta!$F$1:$F$675,Compta!$A$1:$A$675,$B131,Compta!$B$1:$B$675,"6411",Compta!$C$1:$C$675,$A131))</f>
        <v/>
      </c>
      <c r="Y131" t="str">
        <f>IF($A131="","",SUMIFS(Compta!$F$1:$F$675,Compta!$A$1:$A$675,$B131,Compta!$B$1:$B$675,"604",Compta!$C$1:$C$675,$A131)+SUMIFS(Compta!$F$1:$F$675,Compta!$A$1:$A$675,$B131,Compta!$B$1:$B$675,"6063",Compta!$C$1:$C$675,$A131))</f>
        <v/>
      </c>
      <c r="Z131" t="str">
        <f>IF($A131="","",SUMIFS(Compta!$F$1:$F$675,Compta!$A$1:$A$675,$B131,Compta!$B$1:$B$675,"6231",Compta!$C$1:$C$675,$A131))</f>
        <v/>
      </c>
      <c r="AA131" t="str">
        <f>IF($A131="",""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</f>
        <v/>
      </c>
      <c r="AB131" t="str">
        <f>IF($A131="",""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</f>
        <v/>
      </c>
      <c r="AC131" t="s">
        <v>297</v>
      </c>
      <c r="AD131" t="s">
        <v>297</v>
      </c>
      <c r="AE131" t="s">
        <v>297</v>
      </c>
      <c r="AF131" t="s">
        <v>297</v>
      </c>
      <c r="AG131" t="s">
        <v>297</v>
      </c>
      <c r="AH131" t="s">
        <v>297</v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 t="str">
        <f>IF($A131="","",SUMIFS(Compta!$F$1:$F$675,Compta!$A$1:$A$675,"GRP",Compta!$B$1:$B$675,"6236",Compta!$C$1:$C$675,$A131))</f>
        <v/>
      </c>
      <c r="AP131" t="s">
        <v>297</v>
      </c>
      <c r="AQ131" t="s">
        <v>297</v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IF($A132="","",SUMIFS(Socle!$K$1:$K$175,Socle!$C$1:$C$175,$B132,Socle!$D$1:$D$175,$D132,Socle!$E$1:$E$175,$E132,Socle!$F$1:$F$175,$F132,Socle!$G$1:$G$175,$A132))</f>
        <v/>
      </c>
      <c r="K132" t="str">
        <f t="shared" si="20"/>
        <v/>
      </c>
      <c r="L132" t="str">
        <f>IF($A132="","",SUMIFS(Allocation!$I$1:$I$175,Allocation!$C$1:$C$175,$A132,Allocation!$D$1:$D$175,$B132))</f>
        <v/>
      </c>
      <c r="M132" t="str">
        <f>IF($A132="","",SUMIFS(Allocation!$J$1:$J$175,Allocation!$C$1:$C$175,$A132,Allocation!$D$1:$D$175,$B132))</f>
        <v/>
      </c>
      <c r="N132" t="str">
        <f>IF($A132="","",SUMIFS(Allocation!$K$1:$K$175,Allocation!$C$1:$C$175,$A132,Allocation!$D$1:$D$175,$B132))</f>
        <v/>
      </c>
      <c r="O132" t="str">
        <f t="shared" si="21"/>
        <v/>
      </c>
      <c r="P132" t="str">
        <f t="shared" si="22"/>
        <v/>
      </c>
      <c r="Q132" t="str">
        <f>IF($A132="","",SUMIFS(Allocation!$I$1:$I$175,Allocation!$C$1:$C$175,$A132,Allocation!$E$1:$E$175,$C132))</f>
        <v/>
      </c>
      <c r="R132" t="str">
        <f>IF($A132="","",SUMIFS(Allocation!$J$1:$J$175,Allocation!$C$1:$C$175,$A132,Allocation!$E$1:$E$175,$C132))</f>
        <v/>
      </c>
      <c r="S132" t="str">
        <f>IF($A132="","",SUMIFS(Allocation!$K$1:$K$175,Allocation!$C$1:$C$175,$A132,Allocation!$E$1:$E$175,$C132))</f>
        <v/>
      </c>
      <c r="T132" t="str">
        <f>IF($A132="","",SUMIFS(Allocation!$I$1:$I$175,Allocation!$C$1:$C$175,$A132))</f>
        <v/>
      </c>
      <c r="U132" t="str">
        <f>IF($A132="","",SUMIFS(Allocation!$J$1:$J$175,Allocation!$C$1:$C$175,$A132))</f>
        <v/>
      </c>
      <c r="V132" t="str">
        <f>IF($A132="","",SUMIFS(Allocation!$K$1:$K$175,Allocation!$C$1:$C$175,$A132))</f>
        <v/>
      </c>
      <c r="W132" t="str">
        <f>IF($A132="","",SUMIFS(Compta!$F$1:$F$675,Compta!$A$1:$A$675,$B132,Compta!$B$1:$B$675,"621",Compta!$C$1:$C$675,$A132))</f>
        <v/>
      </c>
      <c r="X132" t="str">
        <f>IF($A132="","",SUMIFS(Compta!$F$1:$F$675,Compta!$A$1:$A$675,$B132,Compta!$B$1:$B$675,"6411",Compta!$C$1:$C$675,$A132))</f>
        <v/>
      </c>
      <c r="Y132" t="str">
        <f>IF($A132="","",SUMIFS(Compta!$F$1:$F$675,Compta!$A$1:$A$675,$B132,Compta!$B$1:$B$675,"604",Compta!$C$1:$C$675,$A132)+SUMIFS(Compta!$F$1:$F$675,Compta!$A$1:$A$675,$B132,Compta!$B$1:$B$675,"6063",Compta!$C$1:$C$675,$A132))</f>
        <v/>
      </c>
      <c r="Z132" t="str">
        <f>IF($A132="","",SUMIFS(Compta!$F$1:$F$675,Compta!$A$1:$A$675,$B132,Compta!$B$1:$B$675,"6231",Compta!$C$1:$C$675,$A132))</f>
        <v/>
      </c>
      <c r="AA132" t="str">
        <f>IF($A132="",""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</f>
        <v/>
      </c>
      <c r="AB132" t="str">
        <f>IF($A132="",""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</f>
        <v/>
      </c>
      <c r="AC132" t="s">
        <v>297</v>
      </c>
      <c r="AD132" t="s">
        <v>297</v>
      </c>
      <c r="AE132" t="s">
        <v>297</v>
      </c>
      <c r="AF132" t="s">
        <v>297</v>
      </c>
      <c r="AG132" t="s">
        <v>297</v>
      </c>
      <c r="AH132" t="s">
        <v>297</v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 t="str">
        <f>IF($A132="","",SUMIFS(Compta!$F$1:$F$675,Compta!$A$1:$A$675,"GRP",Compta!$B$1:$B$675,"6236",Compta!$C$1:$C$675,$A132))</f>
        <v/>
      </c>
      <c r="AP132" t="s">
        <v>297</v>
      </c>
      <c r="AQ132" t="s">
        <v>297</v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IF($A133="","",SUMIFS(Socle!$K$1:$K$175,Socle!$C$1:$C$175,$B133,Socle!$D$1:$D$175,$D133,Socle!$E$1:$E$175,$E133,Socle!$F$1:$F$175,$F133,Socle!$G$1:$G$175,$A133))</f>
        <v/>
      </c>
      <c r="K133" t="str">
        <f t="shared" si="20"/>
        <v/>
      </c>
      <c r="L133" t="str">
        <f>IF($A133="","",SUMIFS(Allocation!$I$1:$I$175,Allocation!$C$1:$C$175,$A133,Allocation!$D$1:$D$175,$B133))</f>
        <v/>
      </c>
      <c r="M133" t="str">
        <f>IF($A133="","",SUMIFS(Allocation!$J$1:$J$175,Allocation!$C$1:$C$175,$A133,Allocation!$D$1:$D$175,$B133))</f>
        <v/>
      </c>
      <c r="N133" t="str">
        <f>IF($A133="","",SUMIFS(Allocation!$K$1:$K$175,Allocation!$C$1:$C$175,$A133,Allocation!$D$1:$D$175,$B133))</f>
        <v/>
      </c>
      <c r="O133" t="str">
        <f t="shared" si="21"/>
        <v/>
      </c>
      <c r="P133" t="str">
        <f t="shared" si="22"/>
        <v/>
      </c>
      <c r="Q133" t="str">
        <f>IF($A133="","",SUMIFS(Allocation!$I$1:$I$175,Allocation!$C$1:$C$175,$A133,Allocation!$E$1:$E$175,$C133))</f>
        <v/>
      </c>
      <c r="R133" t="str">
        <f>IF($A133="","",SUMIFS(Allocation!$J$1:$J$175,Allocation!$C$1:$C$175,$A133,Allocation!$E$1:$E$175,$C133))</f>
        <v/>
      </c>
      <c r="S133" t="str">
        <f>IF($A133="","",SUMIFS(Allocation!$K$1:$K$175,Allocation!$C$1:$C$175,$A133,Allocation!$E$1:$E$175,$C133))</f>
        <v/>
      </c>
      <c r="T133" t="str">
        <f>IF($A133="","",SUMIFS(Allocation!$I$1:$I$175,Allocation!$C$1:$C$175,$A133))</f>
        <v/>
      </c>
      <c r="U133" t="str">
        <f>IF($A133="","",SUMIFS(Allocation!$J$1:$J$175,Allocation!$C$1:$C$175,$A133))</f>
        <v/>
      </c>
      <c r="V133" t="str">
        <f>IF($A133="","",SUMIFS(Allocation!$K$1:$K$175,Allocation!$C$1:$C$175,$A133))</f>
        <v/>
      </c>
      <c r="W133" t="str">
        <f>IF($A133="","",SUMIFS(Compta!$F$1:$F$675,Compta!$A$1:$A$675,$B133,Compta!$B$1:$B$675,"621",Compta!$C$1:$C$675,$A133))</f>
        <v/>
      </c>
      <c r="X133" t="str">
        <f>IF($A133="","",SUMIFS(Compta!$F$1:$F$675,Compta!$A$1:$A$675,$B133,Compta!$B$1:$B$675,"6411",Compta!$C$1:$C$675,$A133))</f>
        <v/>
      </c>
      <c r="Y133" t="str">
        <f>IF($A133="","",SUMIFS(Compta!$F$1:$F$675,Compta!$A$1:$A$675,$B133,Compta!$B$1:$B$675,"604",Compta!$C$1:$C$675,$A133)+SUMIFS(Compta!$F$1:$F$675,Compta!$A$1:$A$675,$B133,Compta!$B$1:$B$675,"6063",Compta!$C$1:$C$675,$A133))</f>
        <v/>
      </c>
      <c r="Z133" t="str">
        <f>IF($A133="","",SUMIFS(Compta!$F$1:$F$675,Compta!$A$1:$A$675,$B133,Compta!$B$1:$B$675,"6231",Compta!$C$1:$C$675,$A133))</f>
        <v/>
      </c>
      <c r="AA133" t="str">
        <f>IF($A133="",""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</f>
        <v/>
      </c>
      <c r="AB133" t="str">
        <f>IF($A133="",""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</f>
        <v/>
      </c>
      <c r="AC133" t="s">
        <v>297</v>
      </c>
      <c r="AD133" t="s">
        <v>297</v>
      </c>
      <c r="AE133" t="s">
        <v>297</v>
      </c>
      <c r="AF133" t="s">
        <v>297</v>
      </c>
      <c r="AG133" t="s">
        <v>297</v>
      </c>
      <c r="AH133" t="s">
        <v>297</v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 t="str">
        <f>IF($A133="","",SUMIFS(Compta!$F$1:$F$675,Compta!$A$1:$A$675,"GRP",Compta!$B$1:$B$675,"6236",Compta!$C$1:$C$675,$A133))</f>
        <v/>
      </c>
      <c r="AP133" t="s">
        <v>297</v>
      </c>
      <c r="AQ133" t="s">
        <v>297</v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IF($A134="","",SUMIFS(Socle!$K$1:$K$175,Socle!$C$1:$C$175,$B134,Socle!$D$1:$D$175,$D134,Socle!$E$1:$E$175,$E134,Socle!$F$1:$F$175,$F134,Socle!$G$1:$G$175,$A134))</f>
        <v/>
      </c>
      <c r="K134" t="str">
        <f t="shared" si="20"/>
        <v/>
      </c>
      <c r="L134" t="str">
        <f>IF($A134="","",SUMIFS(Allocation!$I$1:$I$175,Allocation!$C$1:$C$175,$A134,Allocation!$D$1:$D$175,$B134))</f>
        <v/>
      </c>
      <c r="M134" t="str">
        <f>IF($A134="","",SUMIFS(Allocation!$J$1:$J$175,Allocation!$C$1:$C$175,$A134,Allocation!$D$1:$D$175,$B134))</f>
        <v/>
      </c>
      <c r="N134" t="str">
        <f>IF($A134="","",SUMIFS(Allocation!$K$1:$K$175,Allocation!$C$1:$C$175,$A134,Allocation!$D$1:$D$175,$B134))</f>
        <v/>
      </c>
      <c r="O134" t="str">
        <f t="shared" si="21"/>
        <v/>
      </c>
      <c r="P134" t="str">
        <f t="shared" si="22"/>
        <v/>
      </c>
      <c r="Q134" t="str">
        <f>IF($A134="","",SUMIFS(Allocation!$I$1:$I$175,Allocation!$C$1:$C$175,$A134,Allocation!$E$1:$E$175,$C134))</f>
        <v/>
      </c>
      <c r="R134" t="str">
        <f>IF($A134="","",SUMIFS(Allocation!$J$1:$J$175,Allocation!$C$1:$C$175,$A134,Allocation!$E$1:$E$175,$C134))</f>
        <v/>
      </c>
      <c r="S134" t="str">
        <f>IF($A134="","",SUMIFS(Allocation!$K$1:$K$175,Allocation!$C$1:$C$175,$A134,Allocation!$E$1:$E$175,$C134))</f>
        <v/>
      </c>
      <c r="T134" t="str">
        <f>IF($A134="","",SUMIFS(Allocation!$I$1:$I$175,Allocation!$C$1:$C$175,$A134))</f>
        <v/>
      </c>
      <c r="U134" t="str">
        <f>IF($A134="","",SUMIFS(Allocation!$J$1:$J$175,Allocation!$C$1:$C$175,$A134))</f>
        <v/>
      </c>
      <c r="V134" t="str">
        <f>IF($A134="","",SUMIFS(Allocation!$K$1:$K$175,Allocation!$C$1:$C$175,$A134))</f>
        <v/>
      </c>
      <c r="W134" t="str">
        <f>IF($A134="","",SUMIFS(Compta!$F$1:$F$675,Compta!$A$1:$A$675,$B134,Compta!$B$1:$B$675,"621",Compta!$C$1:$C$675,$A134))</f>
        <v/>
      </c>
      <c r="X134" t="str">
        <f>IF($A134="","",SUMIFS(Compta!$F$1:$F$675,Compta!$A$1:$A$675,$B134,Compta!$B$1:$B$675,"6411",Compta!$C$1:$C$675,$A134))</f>
        <v/>
      </c>
      <c r="Y134" t="str">
        <f>IF($A134="","",SUMIFS(Compta!$F$1:$F$675,Compta!$A$1:$A$675,$B134,Compta!$B$1:$B$675,"604",Compta!$C$1:$C$675,$A134)+SUMIFS(Compta!$F$1:$F$675,Compta!$A$1:$A$675,$B134,Compta!$B$1:$B$675,"6063",Compta!$C$1:$C$675,$A134))</f>
        <v/>
      </c>
      <c r="Z134" t="str">
        <f>IF($A134="","",SUMIFS(Compta!$F$1:$F$675,Compta!$A$1:$A$675,$B134,Compta!$B$1:$B$675,"6231",Compta!$C$1:$C$675,$A134))</f>
        <v/>
      </c>
      <c r="AA134" t="str">
        <f>IF($A134="",""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</f>
        <v/>
      </c>
      <c r="AB134" t="str">
        <f>IF($A134="",""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</f>
        <v/>
      </c>
      <c r="AC134" t="s">
        <v>297</v>
      </c>
      <c r="AD134" t="s">
        <v>297</v>
      </c>
      <c r="AE134" t="s">
        <v>297</v>
      </c>
      <c r="AF134" t="s">
        <v>297</v>
      </c>
      <c r="AG134" t="s">
        <v>297</v>
      </c>
      <c r="AH134" t="s">
        <v>297</v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 t="str">
        <f>IF($A134="","",SUMIFS(Compta!$F$1:$F$675,Compta!$A$1:$A$675,"GRP",Compta!$B$1:$B$675,"6236",Compta!$C$1:$C$675,$A134))</f>
        <v/>
      </c>
      <c r="AP134" t="s">
        <v>297</v>
      </c>
      <c r="AQ134" t="s">
        <v>297</v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IF($A135="","",SUMIFS(Socle!$K$1:$K$175,Socle!$C$1:$C$175,$B135,Socle!$D$1:$D$175,$D135,Socle!$E$1:$E$175,$E135,Socle!$F$1:$F$175,$F135,Socle!$G$1:$G$175,$A135))</f>
        <v/>
      </c>
      <c r="K135" t="str">
        <f t="shared" si="20"/>
        <v/>
      </c>
      <c r="L135" t="str">
        <f>IF($A135="","",SUMIFS(Allocation!$I$1:$I$175,Allocation!$C$1:$C$175,$A135,Allocation!$D$1:$D$175,$B135))</f>
        <v/>
      </c>
      <c r="M135" t="str">
        <f>IF($A135="","",SUMIFS(Allocation!$J$1:$J$175,Allocation!$C$1:$C$175,$A135,Allocation!$D$1:$D$175,$B135))</f>
        <v/>
      </c>
      <c r="N135" t="str">
        <f>IF($A135="","",SUMIFS(Allocation!$K$1:$K$175,Allocation!$C$1:$C$175,$A135,Allocation!$D$1:$D$175,$B135))</f>
        <v/>
      </c>
      <c r="O135" t="str">
        <f t="shared" si="21"/>
        <v/>
      </c>
      <c r="P135" t="str">
        <f t="shared" si="22"/>
        <v/>
      </c>
      <c r="Q135" t="str">
        <f>IF($A135="","",SUMIFS(Allocation!$I$1:$I$175,Allocation!$C$1:$C$175,$A135,Allocation!$E$1:$E$175,$C135))</f>
        <v/>
      </c>
      <c r="R135" t="str">
        <f>IF($A135="","",SUMIFS(Allocation!$J$1:$J$175,Allocation!$C$1:$C$175,$A135,Allocation!$E$1:$E$175,$C135))</f>
        <v/>
      </c>
      <c r="S135" t="str">
        <f>IF($A135="","",SUMIFS(Allocation!$K$1:$K$175,Allocation!$C$1:$C$175,$A135,Allocation!$E$1:$E$175,$C135))</f>
        <v/>
      </c>
      <c r="T135" t="str">
        <f>IF($A135="","",SUMIFS(Allocation!$I$1:$I$175,Allocation!$C$1:$C$175,$A135))</f>
        <v/>
      </c>
      <c r="U135" t="str">
        <f>IF($A135="","",SUMIFS(Allocation!$J$1:$J$175,Allocation!$C$1:$C$175,$A135))</f>
        <v/>
      </c>
      <c r="V135" t="str">
        <f>IF($A135="","",SUMIFS(Allocation!$K$1:$K$175,Allocation!$C$1:$C$175,$A135))</f>
        <v/>
      </c>
      <c r="W135" t="str">
        <f>IF($A135="","",SUMIFS(Compta!$F$1:$F$675,Compta!$A$1:$A$675,$B135,Compta!$B$1:$B$675,"621",Compta!$C$1:$C$675,$A135))</f>
        <v/>
      </c>
      <c r="X135" t="str">
        <f>IF($A135="","",SUMIFS(Compta!$F$1:$F$675,Compta!$A$1:$A$675,$B135,Compta!$B$1:$B$675,"6411",Compta!$C$1:$C$675,$A135))</f>
        <v/>
      </c>
      <c r="Y135" t="str">
        <f>IF($A135="","",SUMIFS(Compta!$F$1:$F$675,Compta!$A$1:$A$675,$B135,Compta!$B$1:$B$675,"604",Compta!$C$1:$C$675,$A135)+SUMIFS(Compta!$F$1:$F$675,Compta!$A$1:$A$675,$B135,Compta!$B$1:$B$675,"6063",Compta!$C$1:$C$675,$A135))</f>
        <v/>
      </c>
      <c r="Z135" t="str">
        <f>IF($A135="","",SUMIFS(Compta!$F$1:$F$675,Compta!$A$1:$A$675,$B135,Compta!$B$1:$B$675,"6231",Compta!$C$1:$C$675,$A135))</f>
        <v/>
      </c>
      <c r="AA135" t="str">
        <f>IF($A135="",""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</f>
        <v/>
      </c>
      <c r="AB135" t="str">
        <f>IF($A135="",""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</f>
        <v/>
      </c>
      <c r="AC135" t="s">
        <v>297</v>
      </c>
      <c r="AD135" t="s">
        <v>297</v>
      </c>
      <c r="AE135" t="s">
        <v>297</v>
      </c>
      <c r="AF135" t="s">
        <v>297</v>
      </c>
      <c r="AG135" t="s">
        <v>297</v>
      </c>
      <c r="AH135" t="s">
        <v>297</v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 t="str">
        <f>IF($A135="","",SUMIFS(Compta!$F$1:$F$675,Compta!$A$1:$A$675,"GRP",Compta!$B$1:$B$675,"6236",Compta!$C$1:$C$675,$A135))</f>
        <v/>
      </c>
      <c r="AP135" t="s">
        <v>297</v>
      </c>
      <c r="AQ135" t="s">
        <v>297</v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IF($A136="","",SUMIFS(Socle!$K$1:$K$175,Socle!$C$1:$C$175,$B136,Socle!$D$1:$D$175,$D136,Socle!$E$1:$E$175,$E136,Socle!$F$1:$F$175,$F136,Socle!$G$1:$G$175,$A136))</f>
        <v/>
      </c>
      <c r="K136" t="str">
        <f t="shared" si="20"/>
        <v/>
      </c>
      <c r="L136" t="str">
        <f>IF($A136="","",SUMIFS(Allocation!$I$1:$I$175,Allocation!$C$1:$C$175,$A136,Allocation!$D$1:$D$175,$B136))</f>
        <v/>
      </c>
      <c r="M136" t="str">
        <f>IF($A136="","",SUMIFS(Allocation!$J$1:$J$175,Allocation!$C$1:$C$175,$A136,Allocation!$D$1:$D$175,$B136))</f>
        <v/>
      </c>
      <c r="N136" t="str">
        <f>IF($A136="","",SUMIFS(Allocation!$K$1:$K$175,Allocation!$C$1:$C$175,$A136,Allocation!$D$1:$D$175,$B136))</f>
        <v/>
      </c>
      <c r="O136" t="str">
        <f t="shared" si="21"/>
        <v/>
      </c>
      <c r="P136" t="str">
        <f t="shared" si="22"/>
        <v/>
      </c>
      <c r="Q136" t="str">
        <f>IF($A136="","",SUMIFS(Allocation!$I$1:$I$175,Allocation!$C$1:$C$175,$A136,Allocation!$E$1:$E$175,$C136))</f>
        <v/>
      </c>
      <c r="R136" t="str">
        <f>IF($A136="","",SUMIFS(Allocation!$J$1:$J$175,Allocation!$C$1:$C$175,$A136,Allocation!$E$1:$E$175,$C136))</f>
        <v/>
      </c>
      <c r="S136" t="str">
        <f>IF($A136="","",SUMIFS(Allocation!$K$1:$K$175,Allocation!$C$1:$C$175,$A136,Allocation!$E$1:$E$175,$C136))</f>
        <v/>
      </c>
      <c r="T136" t="str">
        <f>IF($A136="","",SUMIFS(Allocation!$I$1:$I$175,Allocation!$C$1:$C$175,$A136))</f>
        <v/>
      </c>
      <c r="U136" t="str">
        <f>IF($A136="","",SUMIFS(Allocation!$J$1:$J$175,Allocation!$C$1:$C$175,$A136))</f>
        <v/>
      </c>
      <c r="V136" t="str">
        <f>IF($A136="","",SUMIFS(Allocation!$K$1:$K$175,Allocation!$C$1:$C$175,$A136))</f>
        <v/>
      </c>
      <c r="W136" t="str">
        <f>IF($A136="","",SUMIFS(Compta!$F$1:$F$675,Compta!$A$1:$A$675,$B136,Compta!$B$1:$B$675,"621",Compta!$C$1:$C$675,$A136))</f>
        <v/>
      </c>
      <c r="X136" t="str">
        <f>IF($A136="","",SUMIFS(Compta!$F$1:$F$675,Compta!$A$1:$A$675,$B136,Compta!$B$1:$B$675,"6411",Compta!$C$1:$C$675,$A136))</f>
        <v/>
      </c>
      <c r="Y136" t="str">
        <f>IF($A136="","",SUMIFS(Compta!$F$1:$F$675,Compta!$A$1:$A$675,$B136,Compta!$B$1:$B$675,"604",Compta!$C$1:$C$675,$A136)+SUMIFS(Compta!$F$1:$F$675,Compta!$A$1:$A$675,$B136,Compta!$B$1:$B$675,"6063",Compta!$C$1:$C$675,$A136))</f>
        <v/>
      </c>
      <c r="Z136" t="str">
        <f>IF($A136="","",SUMIFS(Compta!$F$1:$F$675,Compta!$A$1:$A$675,$B136,Compta!$B$1:$B$675,"6231",Compta!$C$1:$C$675,$A136))</f>
        <v/>
      </c>
      <c r="AA136" t="str">
        <f>IF($A136="",""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</f>
        <v/>
      </c>
      <c r="AB136" t="str">
        <f>IF($A136="",""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</f>
        <v/>
      </c>
      <c r="AC136" t="s">
        <v>297</v>
      </c>
      <c r="AD136" t="s">
        <v>297</v>
      </c>
      <c r="AE136" t="s">
        <v>297</v>
      </c>
      <c r="AF136" t="s">
        <v>297</v>
      </c>
      <c r="AG136" t="s">
        <v>297</v>
      </c>
      <c r="AH136" t="s">
        <v>297</v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 t="str">
        <f>IF($A136="","",SUMIFS(Compta!$F$1:$F$675,Compta!$A$1:$A$675,"GRP",Compta!$B$1:$B$675,"6236",Compta!$C$1:$C$675,$A136))</f>
        <v/>
      </c>
      <c r="AP136" t="s">
        <v>297</v>
      </c>
      <c r="AQ136" t="s">
        <v>297</v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IF($A137="","",SUMIFS(Socle!$K$1:$K$175,Socle!$C$1:$C$175,$B137,Socle!$D$1:$D$175,$D137,Socle!$E$1:$E$175,$E137,Socle!$F$1:$F$175,$F137,Socle!$G$1:$G$175,$A137))</f>
        <v/>
      </c>
      <c r="K137" t="str">
        <f t="shared" si="20"/>
        <v/>
      </c>
      <c r="L137" t="str">
        <f>IF($A137="","",SUMIFS(Allocation!$I$1:$I$175,Allocation!$C$1:$C$175,$A137,Allocation!$D$1:$D$175,$B137))</f>
        <v/>
      </c>
      <c r="M137" t="str">
        <f>IF($A137="","",SUMIFS(Allocation!$J$1:$J$175,Allocation!$C$1:$C$175,$A137,Allocation!$D$1:$D$175,$B137))</f>
        <v/>
      </c>
      <c r="N137" t="str">
        <f>IF($A137="","",SUMIFS(Allocation!$K$1:$K$175,Allocation!$C$1:$C$175,$A137,Allocation!$D$1:$D$175,$B137))</f>
        <v/>
      </c>
      <c r="O137" t="str">
        <f t="shared" si="21"/>
        <v/>
      </c>
      <c r="P137" t="str">
        <f t="shared" si="22"/>
        <v/>
      </c>
      <c r="Q137" t="str">
        <f>IF($A137="","",SUMIFS(Allocation!$I$1:$I$175,Allocation!$C$1:$C$175,$A137,Allocation!$E$1:$E$175,$C137))</f>
        <v/>
      </c>
      <c r="R137" t="str">
        <f>IF($A137="","",SUMIFS(Allocation!$J$1:$J$175,Allocation!$C$1:$C$175,$A137,Allocation!$E$1:$E$175,$C137))</f>
        <v/>
      </c>
      <c r="S137" t="str">
        <f>IF($A137="","",SUMIFS(Allocation!$K$1:$K$175,Allocation!$C$1:$C$175,$A137,Allocation!$E$1:$E$175,$C137))</f>
        <v/>
      </c>
      <c r="T137" t="str">
        <f>IF($A137="","",SUMIFS(Allocation!$I$1:$I$175,Allocation!$C$1:$C$175,$A137))</f>
        <v/>
      </c>
      <c r="U137" t="str">
        <f>IF($A137="","",SUMIFS(Allocation!$J$1:$J$175,Allocation!$C$1:$C$175,$A137))</f>
        <v/>
      </c>
      <c r="V137" t="str">
        <f>IF($A137="","",SUMIFS(Allocation!$K$1:$K$175,Allocation!$C$1:$C$175,$A137))</f>
        <v/>
      </c>
      <c r="W137" t="str">
        <f>IF($A137="","",SUMIFS(Compta!$F$1:$F$675,Compta!$A$1:$A$675,$B137,Compta!$B$1:$B$675,"621",Compta!$C$1:$C$675,$A137))</f>
        <v/>
      </c>
      <c r="X137" t="str">
        <f>IF($A137="","",SUMIFS(Compta!$F$1:$F$675,Compta!$A$1:$A$675,$B137,Compta!$B$1:$B$675,"6411",Compta!$C$1:$C$675,$A137))</f>
        <v/>
      </c>
      <c r="Y137" t="str">
        <f>IF($A137="","",SUMIFS(Compta!$F$1:$F$675,Compta!$A$1:$A$675,$B137,Compta!$B$1:$B$675,"604",Compta!$C$1:$C$675,$A137)+SUMIFS(Compta!$F$1:$F$675,Compta!$A$1:$A$675,$B137,Compta!$B$1:$B$675,"6063",Compta!$C$1:$C$675,$A137))</f>
        <v/>
      </c>
      <c r="Z137" t="str">
        <f>IF($A137="","",SUMIFS(Compta!$F$1:$F$675,Compta!$A$1:$A$675,$B137,Compta!$B$1:$B$675,"6231",Compta!$C$1:$C$675,$A137))</f>
        <v/>
      </c>
      <c r="AA137" t="str">
        <f>IF($A137="",""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</f>
        <v/>
      </c>
      <c r="AB137" t="str">
        <f>IF($A137="",""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</f>
        <v/>
      </c>
      <c r="AC137" t="s">
        <v>297</v>
      </c>
      <c r="AD137" t="s">
        <v>297</v>
      </c>
      <c r="AE137" t="s">
        <v>297</v>
      </c>
      <c r="AF137" t="s">
        <v>297</v>
      </c>
      <c r="AG137" t="s">
        <v>297</v>
      </c>
      <c r="AH137" t="s">
        <v>297</v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 t="str">
        <f>IF($A137="","",SUMIFS(Compta!$F$1:$F$675,Compta!$A$1:$A$675,"GRP",Compta!$B$1:$B$675,"6236",Compta!$C$1:$C$675,$A137))</f>
        <v/>
      </c>
      <c r="AP137" t="s">
        <v>297</v>
      </c>
      <c r="AQ137" t="s">
        <v>297</v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IF($A138="","",SUMIFS(Socle!$K$1:$K$175,Socle!$C$1:$C$175,$B138,Socle!$D$1:$D$175,$D138,Socle!$E$1:$E$175,$E138,Socle!$F$1:$F$175,$F138,Socle!$G$1:$G$175,$A138))</f>
        <v/>
      </c>
      <c r="K138" t="str">
        <f t="shared" si="20"/>
        <v/>
      </c>
      <c r="L138" t="str">
        <f>IF($A138="","",SUMIFS(Allocation!$I$1:$I$175,Allocation!$C$1:$C$175,$A138,Allocation!$D$1:$D$175,$B138))</f>
        <v/>
      </c>
      <c r="M138" t="str">
        <f>IF($A138="","",SUMIFS(Allocation!$J$1:$J$175,Allocation!$C$1:$C$175,$A138,Allocation!$D$1:$D$175,$B138))</f>
        <v/>
      </c>
      <c r="N138" t="str">
        <f>IF($A138="","",SUMIFS(Allocation!$K$1:$K$175,Allocation!$C$1:$C$175,$A138,Allocation!$D$1:$D$175,$B138))</f>
        <v/>
      </c>
      <c r="O138" t="str">
        <f t="shared" si="21"/>
        <v/>
      </c>
      <c r="P138" t="str">
        <f t="shared" si="22"/>
        <v/>
      </c>
      <c r="Q138" t="str">
        <f>IF($A138="","",SUMIFS(Allocation!$I$1:$I$175,Allocation!$C$1:$C$175,$A138,Allocation!$E$1:$E$175,$C138))</f>
        <v/>
      </c>
      <c r="R138" t="str">
        <f>IF($A138="","",SUMIFS(Allocation!$J$1:$J$175,Allocation!$C$1:$C$175,$A138,Allocation!$E$1:$E$175,$C138))</f>
        <v/>
      </c>
      <c r="S138" t="str">
        <f>IF($A138="","",SUMIFS(Allocation!$K$1:$K$175,Allocation!$C$1:$C$175,$A138,Allocation!$E$1:$E$175,$C138))</f>
        <v/>
      </c>
      <c r="T138" t="str">
        <f>IF($A138="","",SUMIFS(Allocation!$I$1:$I$175,Allocation!$C$1:$C$175,$A138))</f>
        <v/>
      </c>
      <c r="U138" t="str">
        <f>IF($A138="","",SUMIFS(Allocation!$J$1:$J$175,Allocation!$C$1:$C$175,$A138))</f>
        <v/>
      </c>
      <c r="V138" t="str">
        <f>IF($A138="","",SUMIFS(Allocation!$K$1:$K$175,Allocation!$C$1:$C$175,$A138))</f>
        <v/>
      </c>
      <c r="W138" t="str">
        <f>IF($A138="","",SUMIFS(Compta!$F$1:$F$675,Compta!$A$1:$A$675,$B138,Compta!$B$1:$B$675,"621",Compta!$C$1:$C$675,$A138))</f>
        <v/>
      </c>
      <c r="X138" t="str">
        <f>IF($A138="","",SUMIFS(Compta!$F$1:$F$675,Compta!$A$1:$A$675,$B138,Compta!$B$1:$B$675,"6411",Compta!$C$1:$C$675,$A138))</f>
        <v/>
      </c>
      <c r="Y138" t="str">
        <f>IF($A138="","",SUMIFS(Compta!$F$1:$F$675,Compta!$A$1:$A$675,$B138,Compta!$B$1:$B$675,"604",Compta!$C$1:$C$675,$A138)+SUMIFS(Compta!$F$1:$F$675,Compta!$A$1:$A$675,$B138,Compta!$B$1:$B$675,"6063",Compta!$C$1:$C$675,$A138))</f>
        <v/>
      </c>
      <c r="Z138" t="str">
        <f>IF($A138="","",SUMIFS(Compta!$F$1:$F$675,Compta!$A$1:$A$675,$B138,Compta!$B$1:$B$675,"6231",Compta!$C$1:$C$675,$A138))</f>
        <v/>
      </c>
      <c r="AA138" t="str">
        <f>IF($A138="",""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</f>
        <v/>
      </c>
      <c r="AB138" t="str">
        <f>IF($A138="",""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</f>
        <v/>
      </c>
      <c r="AC138" t="s">
        <v>297</v>
      </c>
      <c r="AD138" t="s">
        <v>297</v>
      </c>
      <c r="AE138" t="s">
        <v>297</v>
      </c>
      <c r="AF138" t="s">
        <v>297</v>
      </c>
      <c r="AG138" t="s">
        <v>297</v>
      </c>
      <c r="AH138" t="s">
        <v>297</v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 t="str">
        <f>IF($A138="","",SUMIFS(Compta!$F$1:$F$675,Compta!$A$1:$A$675,"GRP",Compta!$B$1:$B$675,"6236",Compta!$C$1:$C$675,$A138))</f>
        <v/>
      </c>
      <c r="AP138" t="s">
        <v>297</v>
      </c>
      <c r="AQ138" t="s">
        <v>297</v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IF($A139="","",SUMIFS(Socle!$K$1:$K$175,Socle!$C$1:$C$175,$B139,Socle!$D$1:$D$175,$D139,Socle!$E$1:$E$175,$E139,Socle!$F$1:$F$175,$F139,Socle!$G$1:$G$175,$A139))</f>
        <v/>
      </c>
      <c r="K139" t="str">
        <f t="shared" si="20"/>
        <v/>
      </c>
      <c r="L139" t="str">
        <f>IF($A139="","",SUMIFS(Allocation!$I$1:$I$175,Allocation!$C$1:$C$175,$A139,Allocation!$D$1:$D$175,$B139))</f>
        <v/>
      </c>
      <c r="M139" t="str">
        <f>IF($A139="","",SUMIFS(Allocation!$J$1:$J$175,Allocation!$C$1:$C$175,$A139,Allocation!$D$1:$D$175,$B139))</f>
        <v/>
      </c>
      <c r="N139" t="str">
        <f>IF($A139="","",SUMIFS(Allocation!$K$1:$K$175,Allocation!$C$1:$C$175,$A139,Allocation!$D$1:$D$175,$B139))</f>
        <v/>
      </c>
      <c r="O139" t="str">
        <f t="shared" si="21"/>
        <v/>
      </c>
      <c r="P139" t="str">
        <f t="shared" si="22"/>
        <v/>
      </c>
      <c r="Q139" t="str">
        <f>IF($A139="","",SUMIFS(Allocation!$I$1:$I$175,Allocation!$C$1:$C$175,$A139,Allocation!$E$1:$E$175,$C139))</f>
        <v/>
      </c>
      <c r="R139" t="str">
        <f>IF($A139="","",SUMIFS(Allocation!$J$1:$J$175,Allocation!$C$1:$C$175,$A139,Allocation!$E$1:$E$175,$C139))</f>
        <v/>
      </c>
      <c r="S139" t="str">
        <f>IF($A139="","",SUMIFS(Allocation!$K$1:$K$175,Allocation!$C$1:$C$175,$A139,Allocation!$E$1:$E$175,$C139))</f>
        <v/>
      </c>
      <c r="T139" t="str">
        <f>IF($A139="","",SUMIFS(Allocation!$I$1:$I$175,Allocation!$C$1:$C$175,$A139))</f>
        <v/>
      </c>
      <c r="U139" t="str">
        <f>IF($A139="","",SUMIFS(Allocation!$J$1:$J$175,Allocation!$C$1:$C$175,$A139))</f>
        <v/>
      </c>
      <c r="V139" t="str">
        <f>IF($A139="","",SUMIFS(Allocation!$K$1:$K$175,Allocation!$C$1:$C$175,$A139))</f>
        <v/>
      </c>
      <c r="W139" t="str">
        <f>IF($A139="","",SUMIFS(Compta!$F$1:$F$675,Compta!$A$1:$A$675,$B139,Compta!$B$1:$B$675,"621",Compta!$C$1:$C$675,$A139))</f>
        <v/>
      </c>
      <c r="X139" t="str">
        <f>IF($A139="","",SUMIFS(Compta!$F$1:$F$675,Compta!$A$1:$A$675,$B139,Compta!$B$1:$B$675,"6411",Compta!$C$1:$C$675,$A139))</f>
        <v/>
      </c>
      <c r="Y139" t="str">
        <f>IF($A139="","",SUMIFS(Compta!$F$1:$F$675,Compta!$A$1:$A$675,$B139,Compta!$B$1:$B$675,"604",Compta!$C$1:$C$675,$A139)+SUMIFS(Compta!$F$1:$F$675,Compta!$A$1:$A$675,$B139,Compta!$B$1:$B$675,"6063",Compta!$C$1:$C$675,$A139))</f>
        <v/>
      </c>
      <c r="Z139" t="str">
        <f>IF($A139="","",SUMIFS(Compta!$F$1:$F$675,Compta!$A$1:$A$675,$B139,Compta!$B$1:$B$675,"6231",Compta!$C$1:$C$675,$A139))</f>
        <v/>
      </c>
      <c r="AA139" t="str">
        <f>IF($A139="",""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</f>
        <v/>
      </c>
      <c r="AB139" t="str">
        <f>IF($A139="",""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</f>
        <v/>
      </c>
      <c r="AC139" t="s">
        <v>297</v>
      </c>
      <c r="AD139" t="s">
        <v>297</v>
      </c>
      <c r="AE139" t="s">
        <v>297</v>
      </c>
      <c r="AF139" t="s">
        <v>297</v>
      </c>
      <c r="AG139" t="s">
        <v>297</v>
      </c>
      <c r="AH139" t="s">
        <v>297</v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 t="str">
        <f>IF($A139="","",SUMIFS(Compta!$F$1:$F$675,Compta!$A$1:$A$675,"GRP",Compta!$B$1:$B$675,"6236",Compta!$C$1:$C$675,$A139))</f>
        <v/>
      </c>
      <c r="AP139" t="s">
        <v>297</v>
      </c>
      <c r="AQ139" t="s">
        <v>297</v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IF($A140="","",SUMIFS(Socle!$K$1:$K$175,Socle!$C$1:$C$175,$B140,Socle!$D$1:$D$175,$D140,Socle!$E$1:$E$175,$E140,Socle!$F$1:$F$175,$F140,Socle!$G$1:$G$175,$A140))</f>
        <v/>
      </c>
      <c r="K140" t="str">
        <f t="shared" si="20"/>
        <v/>
      </c>
      <c r="L140" t="str">
        <f>IF($A140="","",SUMIFS(Allocation!$I$1:$I$175,Allocation!$C$1:$C$175,$A140,Allocation!$D$1:$D$175,$B140))</f>
        <v/>
      </c>
      <c r="M140" t="str">
        <f>IF($A140="","",SUMIFS(Allocation!$J$1:$J$175,Allocation!$C$1:$C$175,$A140,Allocation!$D$1:$D$175,$B140))</f>
        <v/>
      </c>
      <c r="N140" t="str">
        <f>IF($A140="","",SUMIFS(Allocation!$K$1:$K$175,Allocation!$C$1:$C$175,$A140,Allocation!$D$1:$D$175,$B140))</f>
        <v/>
      </c>
      <c r="O140" t="str">
        <f t="shared" si="21"/>
        <v/>
      </c>
      <c r="P140" t="str">
        <f t="shared" si="22"/>
        <v/>
      </c>
      <c r="Q140" t="str">
        <f>IF($A140="","",SUMIFS(Allocation!$I$1:$I$175,Allocation!$C$1:$C$175,$A140,Allocation!$E$1:$E$175,$C140))</f>
        <v/>
      </c>
      <c r="R140" t="str">
        <f>IF($A140="","",SUMIFS(Allocation!$J$1:$J$175,Allocation!$C$1:$C$175,$A140,Allocation!$E$1:$E$175,$C140))</f>
        <v/>
      </c>
      <c r="S140" t="str">
        <f>IF($A140="","",SUMIFS(Allocation!$K$1:$K$175,Allocation!$C$1:$C$175,$A140,Allocation!$E$1:$E$175,$C140))</f>
        <v/>
      </c>
      <c r="T140" t="str">
        <f>IF($A140="","",SUMIFS(Allocation!$I$1:$I$175,Allocation!$C$1:$C$175,$A140))</f>
        <v/>
      </c>
      <c r="U140" t="str">
        <f>IF($A140="","",SUMIFS(Allocation!$J$1:$J$175,Allocation!$C$1:$C$175,$A140))</f>
        <v/>
      </c>
      <c r="V140" t="str">
        <f>IF($A140="","",SUMIFS(Allocation!$K$1:$K$175,Allocation!$C$1:$C$175,$A140))</f>
        <v/>
      </c>
      <c r="W140" t="str">
        <f>IF($A140="","",SUMIFS(Compta!$F$1:$F$675,Compta!$A$1:$A$675,$B140,Compta!$B$1:$B$675,"621",Compta!$C$1:$C$675,$A140))</f>
        <v/>
      </c>
      <c r="X140" t="str">
        <f>IF($A140="","",SUMIFS(Compta!$F$1:$F$675,Compta!$A$1:$A$675,$B140,Compta!$B$1:$B$675,"6411",Compta!$C$1:$C$675,$A140))</f>
        <v/>
      </c>
      <c r="Y140" t="str">
        <f>IF($A140="","",SUMIFS(Compta!$F$1:$F$675,Compta!$A$1:$A$675,$B140,Compta!$B$1:$B$675,"604",Compta!$C$1:$C$675,$A140)+SUMIFS(Compta!$F$1:$F$675,Compta!$A$1:$A$675,$B140,Compta!$B$1:$B$675,"6063",Compta!$C$1:$C$675,$A140))</f>
        <v/>
      </c>
      <c r="Z140" t="str">
        <f>IF($A140="","",SUMIFS(Compta!$F$1:$F$675,Compta!$A$1:$A$675,$B140,Compta!$B$1:$B$675,"6231",Compta!$C$1:$C$675,$A140))</f>
        <v/>
      </c>
      <c r="AA140" t="str">
        <f>IF($A140="",""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</f>
        <v/>
      </c>
      <c r="AB140" t="str">
        <f>IF($A140="",""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</f>
        <v/>
      </c>
      <c r="AC140" t="s">
        <v>297</v>
      </c>
      <c r="AD140" t="s">
        <v>297</v>
      </c>
      <c r="AE140" t="s">
        <v>297</v>
      </c>
      <c r="AF140" t="s">
        <v>297</v>
      </c>
      <c r="AG140" t="s">
        <v>297</v>
      </c>
      <c r="AH140" t="s">
        <v>297</v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 t="str">
        <f>IF($A140="","",SUMIFS(Compta!$F$1:$F$675,Compta!$A$1:$A$675,"GRP",Compta!$B$1:$B$675,"6236",Compta!$C$1:$C$675,$A140))</f>
        <v/>
      </c>
      <c r="AP140" t="s">
        <v>297</v>
      </c>
      <c r="AQ140" t="s">
        <v>297</v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IF($A141="","",SUMIFS(Socle!$K$1:$K$175,Socle!$C$1:$C$175,$B141,Socle!$D$1:$D$175,$D141,Socle!$E$1:$E$175,$E141,Socle!$F$1:$F$175,$F141,Socle!$G$1:$G$175,$A141))</f>
        <v/>
      </c>
      <c r="K141" t="str">
        <f t="shared" si="20"/>
        <v/>
      </c>
      <c r="L141" t="str">
        <f>IF($A141="","",SUMIFS(Allocation!$I$1:$I$175,Allocation!$C$1:$C$175,$A141,Allocation!$D$1:$D$175,$B141))</f>
        <v/>
      </c>
      <c r="M141" t="str">
        <f>IF($A141="","",SUMIFS(Allocation!$J$1:$J$175,Allocation!$C$1:$C$175,$A141,Allocation!$D$1:$D$175,$B141))</f>
        <v/>
      </c>
      <c r="N141" t="str">
        <f>IF($A141="","",SUMIFS(Allocation!$K$1:$K$175,Allocation!$C$1:$C$175,$A141,Allocation!$D$1:$D$175,$B141))</f>
        <v/>
      </c>
      <c r="O141" t="str">
        <f t="shared" si="21"/>
        <v/>
      </c>
      <c r="P141" t="str">
        <f t="shared" si="22"/>
        <v/>
      </c>
      <c r="Q141" t="str">
        <f>IF($A141="","",SUMIFS(Allocation!$I$1:$I$175,Allocation!$C$1:$C$175,$A141,Allocation!$E$1:$E$175,$C141))</f>
        <v/>
      </c>
      <c r="R141" t="str">
        <f>IF($A141="","",SUMIFS(Allocation!$J$1:$J$175,Allocation!$C$1:$C$175,$A141,Allocation!$E$1:$E$175,$C141))</f>
        <v/>
      </c>
      <c r="S141" t="str">
        <f>IF($A141="","",SUMIFS(Allocation!$K$1:$K$175,Allocation!$C$1:$C$175,$A141,Allocation!$E$1:$E$175,$C141))</f>
        <v/>
      </c>
      <c r="T141" t="str">
        <f>IF($A141="","",SUMIFS(Allocation!$I$1:$I$175,Allocation!$C$1:$C$175,$A141))</f>
        <v/>
      </c>
      <c r="U141" t="str">
        <f>IF($A141="","",SUMIFS(Allocation!$J$1:$J$175,Allocation!$C$1:$C$175,$A141))</f>
        <v/>
      </c>
      <c r="V141" t="str">
        <f>IF($A141="","",SUMIFS(Allocation!$K$1:$K$175,Allocation!$C$1:$C$175,$A141))</f>
        <v/>
      </c>
      <c r="W141" t="str">
        <f>IF($A141="","",SUMIFS(Compta!$F$1:$F$675,Compta!$A$1:$A$675,$B141,Compta!$B$1:$B$675,"621",Compta!$C$1:$C$675,$A141))</f>
        <v/>
      </c>
      <c r="X141" t="str">
        <f>IF($A141="","",SUMIFS(Compta!$F$1:$F$675,Compta!$A$1:$A$675,$B141,Compta!$B$1:$B$675,"6411",Compta!$C$1:$C$675,$A141))</f>
        <v/>
      </c>
      <c r="Y141" t="str">
        <f>IF($A141="","",SUMIFS(Compta!$F$1:$F$675,Compta!$A$1:$A$675,$B141,Compta!$B$1:$B$675,"604",Compta!$C$1:$C$675,$A141)+SUMIFS(Compta!$F$1:$F$675,Compta!$A$1:$A$675,$B141,Compta!$B$1:$B$675,"6063",Compta!$C$1:$C$675,$A141))</f>
        <v/>
      </c>
      <c r="Z141" t="str">
        <f>IF($A141="","",SUMIFS(Compta!$F$1:$F$675,Compta!$A$1:$A$675,$B141,Compta!$B$1:$B$675,"6231",Compta!$C$1:$C$675,$A141))</f>
        <v/>
      </c>
      <c r="AA141" t="str">
        <f>IF($A141="",""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</f>
        <v/>
      </c>
      <c r="AB141" t="str">
        <f>IF($A141="",""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</f>
        <v/>
      </c>
      <c r="AC141" t="s">
        <v>297</v>
      </c>
      <c r="AD141" t="s">
        <v>297</v>
      </c>
      <c r="AE141" t="s">
        <v>297</v>
      </c>
      <c r="AF141" t="s">
        <v>297</v>
      </c>
      <c r="AG141" t="s">
        <v>297</v>
      </c>
      <c r="AH141" t="s">
        <v>297</v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 t="str">
        <f>IF($A141="","",SUMIFS(Compta!$F$1:$F$675,Compta!$A$1:$A$675,"GRP",Compta!$B$1:$B$675,"6236",Compta!$C$1:$C$675,$A141))</f>
        <v/>
      </c>
      <c r="AP141" t="s">
        <v>297</v>
      </c>
      <c r="AQ141" t="s">
        <v>297</v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IF($A142="","",SUMIFS(Socle!$K$1:$K$175,Socle!$C$1:$C$175,$B142,Socle!$D$1:$D$175,$D142,Socle!$E$1:$E$175,$E142,Socle!$F$1:$F$175,$F142,Socle!$G$1:$G$175,$A142))</f>
        <v/>
      </c>
      <c r="K142" t="str">
        <f t="shared" si="20"/>
        <v/>
      </c>
      <c r="L142" t="str">
        <f>IF($A142="","",SUMIFS(Allocation!$I$1:$I$175,Allocation!$C$1:$C$175,$A142,Allocation!$D$1:$D$175,$B142))</f>
        <v/>
      </c>
      <c r="M142" t="str">
        <f>IF($A142="","",SUMIFS(Allocation!$J$1:$J$175,Allocation!$C$1:$C$175,$A142,Allocation!$D$1:$D$175,$B142))</f>
        <v/>
      </c>
      <c r="N142" t="str">
        <f>IF($A142="","",SUMIFS(Allocation!$K$1:$K$175,Allocation!$C$1:$C$175,$A142,Allocation!$D$1:$D$175,$B142))</f>
        <v/>
      </c>
      <c r="O142" t="str">
        <f t="shared" si="21"/>
        <v/>
      </c>
      <c r="P142" t="str">
        <f t="shared" si="22"/>
        <v/>
      </c>
      <c r="Q142" t="str">
        <f>IF($A142="","",SUMIFS(Allocation!$I$1:$I$175,Allocation!$C$1:$C$175,$A142,Allocation!$E$1:$E$175,$C142))</f>
        <v/>
      </c>
      <c r="R142" t="str">
        <f>IF($A142="","",SUMIFS(Allocation!$J$1:$J$175,Allocation!$C$1:$C$175,$A142,Allocation!$E$1:$E$175,$C142))</f>
        <v/>
      </c>
      <c r="S142" t="str">
        <f>IF($A142="","",SUMIFS(Allocation!$K$1:$K$175,Allocation!$C$1:$C$175,$A142,Allocation!$E$1:$E$175,$C142))</f>
        <v/>
      </c>
      <c r="T142" t="str">
        <f>IF($A142="","",SUMIFS(Allocation!$I$1:$I$175,Allocation!$C$1:$C$175,$A142))</f>
        <v/>
      </c>
      <c r="U142" t="str">
        <f>IF($A142="","",SUMIFS(Allocation!$J$1:$J$175,Allocation!$C$1:$C$175,$A142))</f>
        <v/>
      </c>
      <c r="V142" t="str">
        <f>IF($A142="","",SUMIFS(Allocation!$K$1:$K$175,Allocation!$C$1:$C$175,$A142))</f>
        <v/>
      </c>
      <c r="W142" t="str">
        <f>IF($A142="","",SUMIFS(Compta!$F$1:$F$675,Compta!$A$1:$A$675,$B142,Compta!$B$1:$B$675,"621",Compta!$C$1:$C$675,$A142))</f>
        <v/>
      </c>
      <c r="X142" t="str">
        <f>IF($A142="","",SUMIFS(Compta!$F$1:$F$675,Compta!$A$1:$A$675,$B142,Compta!$B$1:$B$675,"6411",Compta!$C$1:$C$675,$A142))</f>
        <v/>
      </c>
      <c r="Y142" t="str">
        <f>IF($A142="","",SUMIFS(Compta!$F$1:$F$675,Compta!$A$1:$A$675,$B142,Compta!$B$1:$B$675,"604",Compta!$C$1:$C$675,$A142)+SUMIFS(Compta!$F$1:$F$675,Compta!$A$1:$A$675,$B142,Compta!$B$1:$B$675,"6063",Compta!$C$1:$C$675,$A142))</f>
        <v/>
      </c>
      <c r="Z142" t="str">
        <f>IF($A142="","",SUMIFS(Compta!$F$1:$F$675,Compta!$A$1:$A$675,$B142,Compta!$B$1:$B$675,"6231",Compta!$C$1:$C$675,$A142))</f>
        <v/>
      </c>
      <c r="AA142" t="str">
        <f>IF($A142="",""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</f>
        <v/>
      </c>
      <c r="AB142" t="str">
        <f>IF($A142="",""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</f>
        <v/>
      </c>
      <c r="AC142" t="s">
        <v>297</v>
      </c>
      <c r="AD142" t="s">
        <v>297</v>
      </c>
      <c r="AE142" t="s">
        <v>297</v>
      </c>
      <c r="AF142" t="s">
        <v>297</v>
      </c>
      <c r="AG142" t="s">
        <v>297</v>
      </c>
      <c r="AH142" t="s">
        <v>297</v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 t="str">
        <f>IF($A142="","",SUMIFS(Compta!$F$1:$F$675,Compta!$A$1:$A$675,"GRP",Compta!$B$1:$B$675,"6236",Compta!$C$1:$C$675,$A142))</f>
        <v/>
      </c>
      <c r="AP142" t="s">
        <v>297</v>
      </c>
      <c r="AQ142" t="s">
        <v>297</v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IF($A143="","",SUMIFS(Socle!$K$1:$K$175,Socle!$C$1:$C$175,$B143,Socle!$D$1:$D$175,$D143,Socle!$E$1:$E$175,$E143,Socle!$F$1:$F$175,$F143,Socle!$G$1:$G$175,$A143))</f>
        <v/>
      </c>
      <c r="K143" t="str">
        <f t="shared" si="20"/>
        <v/>
      </c>
      <c r="L143" t="str">
        <f>IF($A143="","",SUMIFS(Allocation!$I$1:$I$175,Allocation!$C$1:$C$175,$A143,Allocation!$D$1:$D$175,$B143))</f>
        <v/>
      </c>
      <c r="M143" t="str">
        <f>IF($A143="","",SUMIFS(Allocation!$J$1:$J$175,Allocation!$C$1:$C$175,$A143,Allocation!$D$1:$D$175,$B143))</f>
        <v/>
      </c>
      <c r="N143" t="str">
        <f>IF($A143="","",SUMIFS(Allocation!$K$1:$K$175,Allocation!$C$1:$C$175,$A143,Allocation!$D$1:$D$175,$B143))</f>
        <v/>
      </c>
      <c r="O143" t="str">
        <f t="shared" si="21"/>
        <v/>
      </c>
      <c r="P143" t="str">
        <f t="shared" si="22"/>
        <v/>
      </c>
      <c r="Q143" t="str">
        <f>IF($A143="","",SUMIFS(Allocation!$I$1:$I$175,Allocation!$C$1:$C$175,$A143,Allocation!$E$1:$E$175,$C143))</f>
        <v/>
      </c>
      <c r="R143" t="str">
        <f>IF($A143="","",SUMIFS(Allocation!$J$1:$J$175,Allocation!$C$1:$C$175,$A143,Allocation!$E$1:$E$175,$C143))</f>
        <v/>
      </c>
      <c r="S143" t="str">
        <f>IF($A143="","",SUMIFS(Allocation!$K$1:$K$175,Allocation!$C$1:$C$175,$A143,Allocation!$E$1:$E$175,$C143))</f>
        <v/>
      </c>
      <c r="T143" t="str">
        <f>IF($A143="","",SUMIFS(Allocation!$I$1:$I$175,Allocation!$C$1:$C$175,$A143))</f>
        <v/>
      </c>
      <c r="U143" t="str">
        <f>IF($A143="","",SUMIFS(Allocation!$J$1:$J$175,Allocation!$C$1:$C$175,$A143))</f>
        <v/>
      </c>
      <c r="V143" t="str">
        <f>IF($A143="","",SUMIFS(Allocation!$K$1:$K$175,Allocation!$C$1:$C$175,$A143))</f>
        <v/>
      </c>
      <c r="W143" t="str">
        <f>IF($A143="","",SUMIFS(Compta!$F$1:$F$675,Compta!$A$1:$A$675,$B143,Compta!$B$1:$B$675,"621",Compta!$C$1:$C$675,$A143))</f>
        <v/>
      </c>
      <c r="X143" t="str">
        <f>IF($A143="","",SUMIFS(Compta!$F$1:$F$675,Compta!$A$1:$A$675,$B143,Compta!$B$1:$B$675,"6411",Compta!$C$1:$C$675,$A143))</f>
        <v/>
      </c>
      <c r="Y143" t="str">
        <f>IF($A143="","",SUMIFS(Compta!$F$1:$F$675,Compta!$A$1:$A$675,$B143,Compta!$B$1:$B$675,"604",Compta!$C$1:$C$675,$A143)+SUMIFS(Compta!$F$1:$F$675,Compta!$A$1:$A$675,$B143,Compta!$B$1:$B$675,"6063",Compta!$C$1:$C$675,$A143))</f>
        <v/>
      </c>
      <c r="Z143" t="str">
        <f>IF($A143="","",SUMIFS(Compta!$F$1:$F$675,Compta!$A$1:$A$675,$B143,Compta!$B$1:$B$675,"6231",Compta!$C$1:$C$675,$A143))</f>
        <v/>
      </c>
      <c r="AA143" t="str">
        <f>IF($A143="",""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</f>
        <v/>
      </c>
      <c r="AB143" t="str">
        <f>IF($A143="",""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</f>
        <v/>
      </c>
      <c r="AC143" t="s">
        <v>297</v>
      </c>
      <c r="AD143" t="s">
        <v>297</v>
      </c>
      <c r="AE143" t="s">
        <v>297</v>
      </c>
      <c r="AF143" t="s">
        <v>297</v>
      </c>
      <c r="AG143" t="s">
        <v>297</v>
      </c>
      <c r="AH143" t="s">
        <v>297</v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 t="str">
        <f>IF($A143="","",SUMIFS(Compta!$F$1:$F$675,Compta!$A$1:$A$675,"GRP",Compta!$B$1:$B$675,"6236",Compta!$C$1:$C$675,$A143))</f>
        <v/>
      </c>
      <c r="AP143" t="s">
        <v>297</v>
      </c>
      <c r="AQ143" t="s">
        <v>297</v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IF($A144="","",SUMIFS(Socle!$K$1:$K$175,Socle!$C$1:$C$175,$B144,Socle!$D$1:$D$175,$D144,Socle!$E$1:$E$175,$E144,Socle!$F$1:$F$175,$F144,Socle!$G$1:$G$175,$A144))</f>
        <v/>
      </c>
      <c r="K144" t="str">
        <f t="shared" si="20"/>
        <v/>
      </c>
      <c r="L144" t="str">
        <f>IF($A144="","",SUMIFS(Allocation!$I$1:$I$175,Allocation!$C$1:$C$175,$A144,Allocation!$D$1:$D$175,$B144))</f>
        <v/>
      </c>
      <c r="M144" t="str">
        <f>IF($A144="","",SUMIFS(Allocation!$J$1:$J$175,Allocation!$C$1:$C$175,$A144,Allocation!$D$1:$D$175,$B144))</f>
        <v/>
      </c>
      <c r="N144" t="str">
        <f>IF($A144="","",SUMIFS(Allocation!$K$1:$K$175,Allocation!$C$1:$C$175,$A144,Allocation!$D$1:$D$175,$B144))</f>
        <v/>
      </c>
      <c r="O144" t="str">
        <f t="shared" si="21"/>
        <v/>
      </c>
      <c r="P144" t="str">
        <f t="shared" si="22"/>
        <v/>
      </c>
      <c r="Q144" t="str">
        <f>IF($A144="","",SUMIFS(Allocation!$I$1:$I$175,Allocation!$C$1:$C$175,$A144,Allocation!$E$1:$E$175,$C144))</f>
        <v/>
      </c>
      <c r="R144" t="str">
        <f>IF($A144="","",SUMIFS(Allocation!$J$1:$J$175,Allocation!$C$1:$C$175,$A144,Allocation!$E$1:$E$175,$C144))</f>
        <v/>
      </c>
      <c r="S144" t="str">
        <f>IF($A144="","",SUMIFS(Allocation!$K$1:$K$175,Allocation!$C$1:$C$175,$A144,Allocation!$E$1:$E$175,$C144))</f>
        <v/>
      </c>
      <c r="T144" t="str">
        <f>IF($A144="","",SUMIFS(Allocation!$I$1:$I$175,Allocation!$C$1:$C$175,$A144))</f>
        <v/>
      </c>
      <c r="U144" t="str">
        <f>IF($A144="","",SUMIFS(Allocation!$J$1:$J$175,Allocation!$C$1:$C$175,$A144))</f>
        <v/>
      </c>
      <c r="V144" t="str">
        <f>IF($A144="","",SUMIFS(Allocation!$K$1:$K$175,Allocation!$C$1:$C$175,$A144))</f>
        <v/>
      </c>
      <c r="W144" t="str">
        <f>IF($A144="","",SUMIFS(Compta!$F$1:$F$675,Compta!$A$1:$A$675,$B144,Compta!$B$1:$B$675,"621",Compta!$C$1:$C$675,$A144))</f>
        <v/>
      </c>
      <c r="X144" t="str">
        <f>IF($A144="","",SUMIFS(Compta!$F$1:$F$675,Compta!$A$1:$A$675,$B144,Compta!$B$1:$B$675,"6411",Compta!$C$1:$C$675,$A144))</f>
        <v/>
      </c>
      <c r="Y144" t="str">
        <f>IF($A144="","",SUMIFS(Compta!$F$1:$F$675,Compta!$A$1:$A$675,$B144,Compta!$B$1:$B$675,"604",Compta!$C$1:$C$675,$A144)+SUMIFS(Compta!$F$1:$F$675,Compta!$A$1:$A$675,$B144,Compta!$B$1:$B$675,"6063",Compta!$C$1:$C$675,$A144))</f>
        <v/>
      </c>
      <c r="Z144" t="str">
        <f>IF($A144="","",SUMIFS(Compta!$F$1:$F$675,Compta!$A$1:$A$675,$B144,Compta!$B$1:$B$675,"6231",Compta!$C$1:$C$675,$A144))</f>
        <v/>
      </c>
      <c r="AA144" t="str">
        <f>IF($A144="",""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</f>
        <v/>
      </c>
      <c r="AB144" t="str">
        <f>IF($A144="",""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</f>
        <v/>
      </c>
      <c r="AC144" t="s">
        <v>297</v>
      </c>
      <c r="AD144" t="s">
        <v>297</v>
      </c>
      <c r="AE144" t="s">
        <v>297</v>
      </c>
      <c r="AF144" t="s">
        <v>297</v>
      </c>
      <c r="AG144" t="s">
        <v>297</v>
      </c>
      <c r="AH144" t="s">
        <v>297</v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 t="str">
        <f>IF($A144="","",SUMIFS(Compta!$F$1:$F$675,Compta!$A$1:$A$675,"GRP",Compta!$B$1:$B$675,"6236",Compta!$C$1:$C$675,$A144))</f>
        <v/>
      </c>
      <c r="AP144" t="s">
        <v>297</v>
      </c>
      <c r="AQ144" t="s">
        <v>297</v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IF($A145="","",SUMIFS(Socle!$K$1:$K$175,Socle!$C$1:$C$175,$B145,Socle!$D$1:$D$175,$D145,Socle!$E$1:$E$175,$E145,Socle!$F$1:$F$175,$F145,Socle!$G$1:$G$175,$A145))</f>
        <v/>
      </c>
      <c r="K145" t="str">
        <f t="shared" si="20"/>
        <v/>
      </c>
      <c r="L145" t="str">
        <f>IF($A145="","",SUMIFS(Allocation!$I$1:$I$175,Allocation!$C$1:$C$175,$A145,Allocation!$D$1:$D$175,$B145))</f>
        <v/>
      </c>
      <c r="M145" t="str">
        <f>IF($A145="","",SUMIFS(Allocation!$J$1:$J$175,Allocation!$C$1:$C$175,$A145,Allocation!$D$1:$D$175,$B145))</f>
        <v/>
      </c>
      <c r="N145" t="str">
        <f>IF($A145="","",SUMIFS(Allocation!$K$1:$K$175,Allocation!$C$1:$C$175,$A145,Allocation!$D$1:$D$175,$B145))</f>
        <v/>
      </c>
      <c r="O145" t="str">
        <f t="shared" si="21"/>
        <v/>
      </c>
      <c r="P145" t="str">
        <f t="shared" si="22"/>
        <v/>
      </c>
      <c r="Q145" t="str">
        <f>IF($A145="","",SUMIFS(Allocation!$I$1:$I$175,Allocation!$C$1:$C$175,$A145,Allocation!$E$1:$E$175,$C145))</f>
        <v/>
      </c>
      <c r="R145" t="str">
        <f>IF($A145="","",SUMIFS(Allocation!$J$1:$J$175,Allocation!$C$1:$C$175,$A145,Allocation!$E$1:$E$175,$C145))</f>
        <v/>
      </c>
      <c r="S145" t="str">
        <f>IF($A145="","",SUMIFS(Allocation!$K$1:$K$175,Allocation!$C$1:$C$175,$A145,Allocation!$E$1:$E$175,$C145))</f>
        <v/>
      </c>
      <c r="T145" t="str">
        <f>IF($A145="","",SUMIFS(Allocation!$I$1:$I$175,Allocation!$C$1:$C$175,$A145))</f>
        <v/>
      </c>
      <c r="U145" t="str">
        <f>IF($A145="","",SUMIFS(Allocation!$J$1:$J$175,Allocation!$C$1:$C$175,$A145))</f>
        <v/>
      </c>
      <c r="V145" t="str">
        <f>IF($A145="","",SUMIFS(Allocation!$K$1:$K$175,Allocation!$C$1:$C$175,$A145))</f>
        <v/>
      </c>
      <c r="W145" t="str">
        <f>IF($A145="","",SUMIFS(Compta!$F$1:$F$675,Compta!$A$1:$A$675,$B145,Compta!$B$1:$B$675,"621",Compta!$C$1:$C$675,$A145))</f>
        <v/>
      </c>
      <c r="X145" t="str">
        <f>IF($A145="","",SUMIFS(Compta!$F$1:$F$675,Compta!$A$1:$A$675,$B145,Compta!$B$1:$B$675,"6411",Compta!$C$1:$C$675,$A145))</f>
        <v/>
      </c>
      <c r="Y145" t="str">
        <f>IF($A145="","",SUMIFS(Compta!$F$1:$F$675,Compta!$A$1:$A$675,$B145,Compta!$B$1:$B$675,"604",Compta!$C$1:$C$675,$A145)+SUMIFS(Compta!$F$1:$F$675,Compta!$A$1:$A$675,$B145,Compta!$B$1:$B$675,"6063",Compta!$C$1:$C$675,$A145))</f>
        <v/>
      </c>
      <c r="Z145" t="str">
        <f>IF($A145="","",SUMIFS(Compta!$F$1:$F$675,Compta!$A$1:$A$675,$B145,Compta!$B$1:$B$675,"6231",Compta!$C$1:$C$675,$A145))</f>
        <v/>
      </c>
      <c r="AA145" t="str">
        <f>IF($A145="",""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</f>
        <v/>
      </c>
      <c r="AB145" t="str">
        <f>IF($A145="",""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</f>
        <v/>
      </c>
      <c r="AC145" t="s">
        <v>297</v>
      </c>
      <c r="AD145" t="s">
        <v>297</v>
      </c>
      <c r="AE145" t="s">
        <v>297</v>
      </c>
      <c r="AF145" t="s">
        <v>297</v>
      </c>
      <c r="AG145" t="s">
        <v>297</v>
      </c>
      <c r="AH145" t="s">
        <v>297</v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 t="str">
        <f>IF($A145="","",SUMIFS(Compta!$F$1:$F$675,Compta!$A$1:$A$675,"GRP",Compta!$B$1:$B$675,"6236",Compta!$C$1:$C$675,$A145))</f>
        <v/>
      </c>
      <c r="AP145" t="s">
        <v>297</v>
      </c>
      <c r="AQ145" t="s">
        <v>297</v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IF($A146="","",SUMIFS(Socle!$K$1:$K$175,Socle!$C$1:$C$175,$B146,Socle!$D$1:$D$175,$D146,Socle!$E$1:$E$175,$E146,Socle!$F$1:$F$175,$F146,Socle!$G$1:$G$175,$A146))</f>
        <v/>
      </c>
      <c r="K146" t="str">
        <f t="shared" si="20"/>
        <v/>
      </c>
      <c r="L146" t="str">
        <f>IF($A146="","",SUMIFS(Allocation!$I$1:$I$175,Allocation!$C$1:$C$175,$A146,Allocation!$D$1:$D$175,$B146))</f>
        <v/>
      </c>
      <c r="M146" t="str">
        <f>IF($A146="","",SUMIFS(Allocation!$J$1:$J$175,Allocation!$C$1:$C$175,$A146,Allocation!$D$1:$D$175,$B146))</f>
        <v/>
      </c>
      <c r="N146" t="str">
        <f>IF($A146="","",SUMIFS(Allocation!$K$1:$K$175,Allocation!$C$1:$C$175,$A146,Allocation!$D$1:$D$175,$B146))</f>
        <v/>
      </c>
      <c r="O146" t="str">
        <f t="shared" si="21"/>
        <v/>
      </c>
      <c r="P146" t="str">
        <f t="shared" si="22"/>
        <v/>
      </c>
      <c r="Q146" t="str">
        <f>IF($A146="","",SUMIFS(Allocation!$I$1:$I$175,Allocation!$C$1:$C$175,$A146,Allocation!$E$1:$E$175,$C146))</f>
        <v/>
      </c>
      <c r="R146" t="str">
        <f>IF($A146="","",SUMIFS(Allocation!$J$1:$J$175,Allocation!$C$1:$C$175,$A146,Allocation!$E$1:$E$175,$C146))</f>
        <v/>
      </c>
      <c r="S146" t="str">
        <f>IF($A146="","",SUMIFS(Allocation!$K$1:$K$175,Allocation!$C$1:$C$175,$A146,Allocation!$E$1:$E$175,$C146))</f>
        <v/>
      </c>
      <c r="T146" t="str">
        <f>IF($A146="","",SUMIFS(Allocation!$I$1:$I$175,Allocation!$C$1:$C$175,$A146))</f>
        <v/>
      </c>
      <c r="U146" t="str">
        <f>IF($A146="","",SUMIFS(Allocation!$J$1:$J$175,Allocation!$C$1:$C$175,$A146))</f>
        <v/>
      </c>
      <c r="V146" t="str">
        <f>IF($A146="","",SUMIFS(Allocation!$K$1:$K$175,Allocation!$C$1:$C$175,$A146))</f>
        <v/>
      </c>
      <c r="W146" t="str">
        <f>IF($A146="","",SUMIFS(Compta!$F$1:$F$675,Compta!$A$1:$A$675,$B146,Compta!$B$1:$B$675,"621",Compta!$C$1:$C$675,$A146))</f>
        <v/>
      </c>
      <c r="X146" t="str">
        <f>IF($A146="","",SUMIFS(Compta!$F$1:$F$675,Compta!$A$1:$A$675,$B146,Compta!$B$1:$B$675,"6411",Compta!$C$1:$C$675,$A146))</f>
        <v/>
      </c>
      <c r="Y146" t="str">
        <f>IF($A146="","",SUMIFS(Compta!$F$1:$F$675,Compta!$A$1:$A$675,$B146,Compta!$B$1:$B$675,"604",Compta!$C$1:$C$675,$A146)+SUMIFS(Compta!$F$1:$F$675,Compta!$A$1:$A$675,$B146,Compta!$B$1:$B$675,"6063",Compta!$C$1:$C$675,$A146))</f>
        <v/>
      </c>
      <c r="Z146" t="str">
        <f>IF($A146="","",SUMIFS(Compta!$F$1:$F$675,Compta!$A$1:$A$675,$B146,Compta!$B$1:$B$675,"6231",Compta!$C$1:$C$675,$A146))</f>
        <v/>
      </c>
      <c r="AA146" t="str">
        <f>IF($A146="",""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</f>
        <v/>
      </c>
      <c r="AB146" t="str">
        <f>IF($A146="",""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</f>
        <v/>
      </c>
      <c r="AC146" t="s">
        <v>297</v>
      </c>
      <c r="AD146" t="s">
        <v>297</v>
      </c>
      <c r="AE146" t="s">
        <v>297</v>
      </c>
      <c r="AF146" t="s">
        <v>297</v>
      </c>
      <c r="AG146" t="s">
        <v>297</v>
      </c>
      <c r="AH146" t="s">
        <v>297</v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 t="str">
        <f>IF($A146="","",SUMIFS(Compta!$F$1:$F$675,Compta!$A$1:$A$675,"GRP",Compta!$B$1:$B$675,"6236",Compta!$C$1:$C$675,$A146))</f>
        <v/>
      </c>
      <c r="AP146" t="s">
        <v>297</v>
      </c>
      <c r="AQ146" t="s">
        <v>297</v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IF($A147="","",SUMIFS(Socle!$K$1:$K$175,Socle!$C$1:$C$175,$B147,Socle!$D$1:$D$175,$D147,Socle!$E$1:$E$175,$E147,Socle!$F$1:$F$175,$F147,Socle!$G$1:$G$175,$A147))</f>
        <v/>
      </c>
      <c r="K147" t="str">
        <f t="shared" si="20"/>
        <v/>
      </c>
      <c r="L147" t="str">
        <f>IF($A147="","",SUMIFS(Allocation!$I$1:$I$175,Allocation!$C$1:$C$175,$A147,Allocation!$D$1:$D$175,$B147))</f>
        <v/>
      </c>
      <c r="M147" t="str">
        <f>IF($A147="","",SUMIFS(Allocation!$J$1:$J$175,Allocation!$C$1:$C$175,$A147,Allocation!$D$1:$D$175,$B147))</f>
        <v/>
      </c>
      <c r="N147" t="str">
        <f>IF($A147="","",SUMIFS(Allocation!$K$1:$K$175,Allocation!$C$1:$C$175,$A147,Allocation!$D$1:$D$175,$B147))</f>
        <v/>
      </c>
      <c r="O147" t="str">
        <f t="shared" si="21"/>
        <v/>
      </c>
      <c r="P147" t="str">
        <f t="shared" si="22"/>
        <v/>
      </c>
      <c r="Q147" t="str">
        <f>IF($A147="","",SUMIFS(Allocation!$I$1:$I$175,Allocation!$C$1:$C$175,$A147,Allocation!$E$1:$E$175,$C147))</f>
        <v/>
      </c>
      <c r="R147" t="str">
        <f>IF($A147="","",SUMIFS(Allocation!$J$1:$J$175,Allocation!$C$1:$C$175,$A147,Allocation!$E$1:$E$175,$C147))</f>
        <v/>
      </c>
      <c r="S147" t="str">
        <f>IF($A147="","",SUMIFS(Allocation!$K$1:$K$175,Allocation!$C$1:$C$175,$A147,Allocation!$E$1:$E$175,$C147))</f>
        <v/>
      </c>
      <c r="T147" t="str">
        <f>IF($A147="","",SUMIFS(Allocation!$I$1:$I$175,Allocation!$C$1:$C$175,$A147))</f>
        <v/>
      </c>
      <c r="U147" t="str">
        <f>IF($A147="","",SUMIFS(Allocation!$J$1:$J$175,Allocation!$C$1:$C$175,$A147))</f>
        <v/>
      </c>
      <c r="V147" t="str">
        <f>IF($A147="","",SUMIFS(Allocation!$K$1:$K$175,Allocation!$C$1:$C$175,$A147))</f>
        <v/>
      </c>
      <c r="W147" t="str">
        <f>IF($A147="","",SUMIFS(Compta!$F$1:$F$675,Compta!$A$1:$A$675,$B147,Compta!$B$1:$B$675,"621",Compta!$C$1:$C$675,$A147))</f>
        <v/>
      </c>
      <c r="X147" t="str">
        <f>IF($A147="","",SUMIFS(Compta!$F$1:$F$675,Compta!$A$1:$A$675,$B147,Compta!$B$1:$B$675,"6411",Compta!$C$1:$C$675,$A147))</f>
        <v/>
      </c>
      <c r="Y147" t="str">
        <f>IF($A147="","",SUMIFS(Compta!$F$1:$F$675,Compta!$A$1:$A$675,$B147,Compta!$B$1:$B$675,"604",Compta!$C$1:$C$675,$A147)+SUMIFS(Compta!$F$1:$F$675,Compta!$A$1:$A$675,$B147,Compta!$B$1:$B$675,"6063",Compta!$C$1:$C$675,$A147))</f>
        <v/>
      </c>
      <c r="Z147" t="str">
        <f>IF($A147="","",SUMIFS(Compta!$F$1:$F$675,Compta!$A$1:$A$675,$B147,Compta!$B$1:$B$675,"6231",Compta!$C$1:$C$675,$A147))</f>
        <v/>
      </c>
      <c r="AA147" t="str">
        <f>IF($A147="",""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</f>
        <v/>
      </c>
      <c r="AB147" t="str">
        <f>IF($A147="",""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</f>
        <v/>
      </c>
      <c r="AC147" t="s">
        <v>297</v>
      </c>
      <c r="AD147" t="s">
        <v>297</v>
      </c>
      <c r="AE147" t="s">
        <v>297</v>
      </c>
      <c r="AF147" t="s">
        <v>297</v>
      </c>
      <c r="AG147" t="s">
        <v>297</v>
      </c>
      <c r="AH147" t="s">
        <v>297</v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 t="str">
        <f>IF($A147="","",SUMIFS(Compta!$F$1:$F$675,Compta!$A$1:$A$675,"GRP",Compta!$B$1:$B$675,"6236",Compta!$C$1:$C$675,$A147))</f>
        <v/>
      </c>
      <c r="AP147" t="s">
        <v>297</v>
      </c>
      <c r="AQ147" t="s">
        <v>297</v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IF($A148="","",SUMIFS(Socle!$K$1:$K$175,Socle!$C$1:$C$175,$B148,Socle!$D$1:$D$175,$D148,Socle!$E$1:$E$175,$E148,Socle!$F$1:$F$175,$F148,Socle!$G$1:$G$175,$A148))</f>
        <v/>
      </c>
      <c r="K148" t="str">
        <f t="shared" si="20"/>
        <v/>
      </c>
      <c r="L148" t="str">
        <f>IF($A148="","",SUMIFS(Allocation!$I$1:$I$175,Allocation!$C$1:$C$175,$A148,Allocation!$D$1:$D$175,$B148))</f>
        <v/>
      </c>
      <c r="M148" t="str">
        <f>IF($A148="","",SUMIFS(Allocation!$J$1:$J$175,Allocation!$C$1:$C$175,$A148,Allocation!$D$1:$D$175,$B148))</f>
        <v/>
      </c>
      <c r="N148" t="str">
        <f>IF($A148="","",SUMIFS(Allocation!$K$1:$K$175,Allocation!$C$1:$C$175,$A148,Allocation!$D$1:$D$175,$B148))</f>
        <v/>
      </c>
      <c r="O148" t="str">
        <f t="shared" si="21"/>
        <v/>
      </c>
      <c r="P148" t="str">
        <f t="shared" si="22"/>
        <v/>
      </c>
      <c r="Q148" t="str">
        <f>IF($A148="","",SUMIFS(Allocation!$I$1:$I$175,Allocation!$C$1:$C$175,$A148,Allocation!$E$1:$E$175,$C148))</f>
        <v/>
      </c>
      <c r="R148" t="str">
        <f>IF($A148="","",SUMIFS(Allocation!$J$1:$J$175,Allocation!$C$1:$C$175,$A148,Allocation!$E$1:$E$175,$C148))</f>
        <v/>
      </c>
      <c r="S148" t="str">
        <f>IF($A148="","",SUMIFS(Allocation!$K$1:$K$175,Allocation!$C$1:$C$175,$A148,Allocation!$E$1:$E$175,$C148))</f>
        <v/>
      </c>
      <c r="T148" t="str">
        <f>IF($A148="","",SUMIFS(Allocation!$I$1:$I$175,Allocation!$C$1:$C$175,$A148))</f>
        <v/>
      </c>
      <c r="U148" t="str">
        <f>IF($A148="","",SUMIFS(Allocation!$J$1:$J$175,Allocation!$C$1:$C$175,$A148))</f>
        <v/>
      </c>
      <c r="V148" t="str">
        <f>IF($A148="","",SUMIFS(Allocation!$K$1:$K$175,Allocation!$C$1:$C$175,$A148))</f>
        <v/>
      </c>
      <c r="W148" t="str">
        <f>IF($A148="","",SUMIFS(Compta!$F$1:$F$675,Compta!$A$1:$A$675,$B148,Compta!$B$1:$B$675,"621",Compta!$C$1:$C$675,$A148))</f>
        <v/>
      </c>
      <c r="X148" t="str">
        <f>IF($A148="","",SUMIFS(Compta!$F$1:$F$675,Compta!$A$1:$A$675,$B148,Compta!$B$1:$B$675,"6411",Compta!$C$1:$C$675,$A148))</f>
        <v/>
      </c>
      <c r="Y148" t="str">
        <f>IF($A148="","",SUMIFS(Compta!$F$1:$F$675,Compta!$A$1:$A$675,$B148,Compta!$B$1:$B$675,"604",Compta!$C$1:$C$675,$A148)+SUMIFS(Compta!$F$1:$F$675,Compta!$A$1:$A$675,$B148,Compta!$B$1:$B$675,"6063",Compta!$C$1:$C$675,$A148))</f>
        <v/>
      </c>
      <c r="Z148" t="str">
        <f>IF($A148="","",SUMIFS(Compta!$F$1:$F$675,Compta!$A$1:$A$675,$B148,Compta!$B$1:$B$675,"6231",Compta!$C$1:$C$675,$A148))</f>
        <v/>
      </c>
      <c r="AA148" t="str">
        <f>IF($A148="",""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</f>
        <v/>
      </c>
      <c r="AB148" t="str">
        <f>IF($A148="",""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</f>
        <v/>
      </c>
      <c r="AC148" t="s">
        <v>297</v>
      </c>
      <c r="AD148" t="s">
        <v>297</v>
      </c>
      <c r="AE148" t="s">
        <v>297</v>
      </c>
      <c r="AF148" t="s">
        <v>297</v>
      </c>
      <c r="AG148" t="s">
        <v>297</v>
      </c>
      <c r="AH148" t="s">
        <v>297</v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 t="str">
        <f>IF($A148="","",SUMIFS(Compta!$F$1:$F$675,Compta!$A$1:$A$675,"GRP",Compta!$B$1:$B$675,"6236",Compta!$C$1:$C$675,$A148))</f>
        <v/>
      </c>
      <c r="AP148" t="s">
        <v>297</v>
      </c>
      <c r="AQ148" t="s">
        <v>297</v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IF($A149="","",SUMIFS(Socle!$K$1:$K$175,Socle!$C$1:$C$175,$B149,Socle!$D$1:$D$175,$D149,Socle!$E$1:$E$175,$E149,Socle!$F$1:$F$175,$F149,Socle!$G$1:$G$175,$A149))</f>
        <v/>
      </c>
      <c r="K149" t="str">
        <f t="shared" si="20"/>
        <v/>
      </c>
      <c r="L149" t="str">
        <f>IF($A149="","",SUMIFS(Allocation!$I$1:$I$175,Allocation!$C$1:$C$175,$A149,Allocation!$D$1:$D$175,$B149))</f>
        <v/>
      </c>
      <c r="M149" t="str">
        <f>IF($A149="","",SUMIFS(Allocation!$J$1:$J$175,Allocation!$C$1:$C$175,$A149,Allocation!$D$1:$D$175,$B149))</f>
        <v/>
      </c>
      <c r="N149" t="str">
        <f>IF($A149="","",SUMIFS(Allocation!$K$1:$K$175,Allocation!$C$1:$C$175,$A149,Allocation!$D$1:$D$175,$B149))</f>
        <v/>
      </c>
      <c r="O149" t="str">
        <f t="shared" si="21"/>
        <v/>
      </c>
      <c r="P149" t="str">
        <f t="shared" si="22"/>
        <v/>
      </c>
      <c r="Q149" t="str">
        <f>IF($A149="","",SUMIFS(Allocation!$I$1:$I$175,Allocation!$C$1:$C$175,$A149,Allocation!$E$1:$E$175,$C149))</f>
        <v/>
      </c>
      <c r="R149" t="str">
        <f>IF($A149="","",SUMIFS(Allocation!$J$1:$J$175,Allocation!$C$1:$C$175,$A149,Allocation!$E$1:$E$175,$C149))</f>
        <v/>
      </c>
      <c r="S149" t="str">
        <f>IF($A149="","",SUMIFS(Allocation!$K$1:$K$175,Allocation!$C$1:$C$175,$A149,Allocation!$E$1:$E$175,$C149))</f>
        <v/>
      </c>
      <c r="T149" t="str">
        <f>IF($A149="","",SUMIFS(Allocation!$I$1:$I$175,Allocation!$C$1:$C$175,$A149))</f>
        <v/>
      </c>
      <c r="U149" t="str">
        <f>IF($A149="","",SUMIFS(Allocation!$J$1:$J$175,Allocation!$C$1:$C$175,$A149))</f>
        <v/>
      </c>
      <c r="V149" t="str">
        <f>IF($A149="","",SUMIFS(Allocation!$K$1:$K$175,Allocation!$C$1:$C$175,$A149))</f>
        <v/>
      </c>
      <c r="W149" t="str">
        <f>IF($A149="","",SUMIFS(Compta!$F$1:$F$675,Compta!$A$1:$A$675,$B149,Compta!$B$1:$B$675,"621",Compta!$C$1:$C$675,$A149))</f>
        <v/>
      </c>
      <c r="X149" t="str">
        <f>IF($A149="","",SUMIFS(Compta!$F$1:$F$675,Compta!$A$1:$A$675,$B149,Compta!$B$1:$B$675,"6411",Compta!$C$1:$C$675,$A149))</f>
        <v/>
      </c>
      <c r="Y149" t="str">
        <f>IF($A149="","",SUMIFS(Compta!$F$1:$F$675,Compta!$A$1:$A$675,$B149,Compta!$B$1:$B$675,"604",Compta!$C$1:$C$675,$A149)+SUMIFS(Compta!$F$1:$F$675,Compta!$A$1:$A$675,$B149,Compta!$B$1:$B$675,"6063",Compta!$C$1:$C$675,$A149))</f>
        <v/>
      </c>
      <c r="Z149" t="str">
        <f>IF($A149="","",SUMIFS(Compta!$F$1:$F$675,Compta!$A$1:$A$675,$B149,Compta!$B$1:$B$675,"6231",Compta!$C$1:$C$675,$A149))</f>
        <v/>
      </c>
      <c r="AA149" t="str">
        <f>IF($A149="",""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</f>
        <v/>
      </c>
      <c r="AB149" t="str">
        <f>IF($A149="",""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</f>
        <v/>
      </c>
      <c r="AC149" t="s">
        <v>297</v>
      </c>
      <c r="AD149" t="s">
        <v>297</v>
      </c>
      <c r="AE149" t="s">
        <v>297</v>
      </c>
      <c r="AF149" t="s">
        <v>297</v>
      </c>
      <c r="AG149" t="s">
        <v>297</v>
      </c>
      <c r="AH149" t="s">
        <v>297</v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 t="str">
        <f>IF($A149="","",SUMIFS(Compta!$F$1:$F$675,Compta!$A$1:$A$675,"GRP",Compta!$B$1:$B$675,"6236",Compta!$C$1:$C$675,$A149))</f>
        <v/>
      </c>
      <c r="AP149" t="s">
        <v>297</v>
      </c>
      <c r="AQ149" t="s">
        <v>297</v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IF($A150="","",SUMIFS(Socle!$K$1:$K$175,Socle!$C$1:$C$175,$B150,Socle!$D$1:$D$175,$D150,Socle!$E$1:$E$175,$E150,Socle!$F$1:$F$175,$F150,Socle!$G$1:$G$175,$A150))</f>
        <v/>
      </c>
      <c r="K150" t="str">
        <f t="shared" si="20"/>
        <v/>
      </c>
      <c r="L150" t="str">
        <f>IF($A150="","",SUMIFS(Allocation!$I$1:$I$175,Allocation!$C$1:$C$175,$A150,Allocation!$D$1:$D$175,$B150))</f>
        <v/>
      </c>
      <c r="M150" t="str">
        <f>IF($A150="","",SUMIFS(Allocation!$J$1:$J$175,Allocation!$C$1:$C$175,$A150,Allocation!$D$1:$D$175,$B150))</f>
        <v/>
      </c>
      <c r="N150" t="str">
        <f>IF($A150="","",SUMIFS(Allocation!$K$1:$K$175,Allocation!$C$1:$C$175,$A150,Allocation!$D$1:$D$175,$B150))</f>
        <v/>
      </c>
      <c r="O150" t="str">
        <f t="shared" si="21"/>
        <v/>
      </c>
      <c r="P150" t="str">
        <f t="shared" si="22"/>
        <v/>
      </c>
      <c r="Q150" t="str">
        <f>IF($A150="","",SUMIFS(Allocation!$I$1:$I$175,Allocation!$C$1:$C$175,$A150,Allocation!$E$1:$E$175,$C150))</f>
        <v/>
      </c>
      <c r="R150" t="str">
        <f>IF($A150="","",SUMIFS(Allocation!$J$1:$J$175,Allocation!$C$1:$C$175,$A150,Allocation!$E$1:$E$175,$C150))</f>
        <v/>
      </c>
      <c r="S150" t="str">
        <f>IF($A150="","",SUMIFS(Allocation!$K$1:$K$175,Allocation!$C$1:$C$175,$A150,Allocation!$E$1:$E$175,$C150))</f>
        <v/>
      </c>
      <c r="T150" t="str">
        <f>IF($A150="","",SUMIFS(Allocation!$I$1:$I$175,Allocation!$C$1:$C$175,$A150))</f>
        <v/>
      </c>
      <c r="U150" t="str">
        <f>IF($A150="","",SUMIFS(Allocation!$J$1:$J$175,Allocation!$C$1:$C$175,$A150))</f>
        <v/>
      </c>
      <c r="V150" t="str">
        <f>IF($A150="","",SUMIFS(Allocation!$K$1:$K$175,Allocation!$C$1:$C$175,$A150))</f>
        <v/>
      </c>
      <c r="W150" t="str">
        <f>IF($A150="","",SUMIFS(Compta!$F$1:$F$675,Compta!$A$1:$A$675,$B150,Compta!$B$1:$B$675,"621",Compta!$C$1:$C$675,$A150))</f>
        <v/>
      </c>
      <c r="X150" t="str">
        <f>IF($A150="","",SUMIFS(Compta!$F$1:$F$675,Compta!$A$1:$A$675,$B150,Compta!$B$1:$B$675,"6411",Compta!$C$1:$C$675,$A150))</f>
        <v/>
      </c>
      <c r="Y150" t="str">
        <f>IF($A150="","",SUMIFS(Compta!$F$1:$F$675,Compta!$A$1:$A$675,$B150,Compta!$B$1:$B$675,"604",Compta!$C$1:$C$675,$A150)+SUMIFS(Compta!$F$1:$F$675,Compta!$A$1:$A$675,$B150,Compta!$B$1:$B$675,"6063",Compta!$C$1:$C$675,$A150))</f>
        <v/>
      </c>
      <c r="Z150" t="str">
        <f>IF($A150="","",SUMIFS(Compta!$F$1:$F$675,Compta!$A$1:$A$675,$B150,Compta!$B$1:$B$675,"6231",Compta!$C$1:$C$675,$A150))</f>
        <v/>
      </c>
      <c r="AA150" t="str">
        <f>IF($A150="",""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</f>
        <v/>
      </c>
      <c r="AB150" t="str">
        <f>IF($A150="",""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</f>
        <v/>
      </c>
      <c r="AC150" t="s">
        <v>297</v>
      </c>
      <c r="AD150" t="s">
        <v>297</v>
      </c>
      <c r="AE150" t="s">
        <v>297</v>
      </c>
      <c r="AF150" t="s">
        <v>297</v>
      </c>
      <c r="AG150" t="s">
        <v>297</v>
      </c>
      <c r="AH150" t="s">
        <v>297</v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 t="str">
        <f>IF($A150="","",SUMIFS(Compta!$F$1:$F$675,Compta!$A$1:$A$675,"GRP",Compta!$B$1:$B$675,"6236",Compta!$C$1:$C$675,$A150))</f>
        <v/>
      </c>
      <c r="AP150" t="s">
        <v>297</v>
      </c>
      <c r="AQ150" t="s">
        <v>297</v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IF($A151="","",SUMIFS(Socle!$K$1:$K$175,Socle!$C$1:$C$175,$B151,Socle!$D$1:$D$175,$D151,Socle!$E$1:$E$175,$E151,Socle!$F$1:$F$175,$F151,Socle!$G$1:$G$175,$A151))</f>
        <v/>
      </c>
      <c r="K151" t="str">
        <f t="shared" si="20"/>
        <v/>
      </c>
      <c r="L151" t="str">
        <f>IF($A151="","",SUMIFS(Allocation!$I$1:$I$175,Allocation!$C$1:$C$175,$A151,Allocation!$D$1:$D$175,$B151))</f>
        <v/>
      </c>
      <c r="M151" t="str">
        <f>IF($A151="","",SUMIFS(Allocation!$J$1:$J$175,Allocation!$C$1:$C$175,$A151,Allocation!$D$1:$D$175,$B151))</f>
        <v/>
      </c>
      <c r="N151" t="str">
        <f>IF($A151="","",SUMIFS(Allocation!$K$1:$K$175,Allocation!$C$1:$C$175,$A151,Allocation!$D$1:$D$175,$B151))</f>
        <v/>
      </c>
      <c r="O151" t="str">
        <f t="shared" si="21"/>
        <v/>
      </c>
      <c r="P151" t="str">
        <f t="shared" si="22"/>
        <v/>
      </c>
      <c r="Q151" t="str">
        <f>IF($A151="","",SUMIFS(Allocation!$I$1:$I$175,Allocation!$C$1:$C$175,$A151,Allocation!$E$1:$E$175,$C151))</f>
        <v/>
      </c>
      <c r="R151" t="str">
        <f>IF($A151="","",SUMIFS(Allocation!$J$1:$J$175,Allocation!$C$1:$C$175,$A151,Allocation!$E$1:$E$175,$C151))</f>
        <v/>
      </c>
      <c r="S151" t="str">
        <f>IF($A151="","",SUMIFS(Allocation!$K$1:$K$175,Allocation!$C$1:$C$175,$A151,Allocation!$E$1:$E$175,$C151))</f>
        <v/>
      </c>
      <c r="T151" t="str">
        <f>IF($A151="","",SUMIFS(Allocation!$I$1:$I$175,Allocation!$C$1:$C$175,$A151))</f>
        <v/>
      </c>
      <c r="U151" t="str">
        <f>IF($A151="","",SUMIFS(Allocation!$J$1:$J$175,Allocation!$C$1:$C$175,$A151))</f>
        <v/>
      </c>
      <c r="V151" t="str">
        <f>IF($A151="","",SUMIFS(Allocation!$K$1:$K$175,Allocation!$C$1:$C$175,$A151))</f>
        <v/>
      </c>
      <c r="W151" t="str">
        <f>IF($A151="","",SUMIFS(Compta!$F$1:$F$675,Compta!$A$1:$A$675,$B151,Compta!$B$1:$B$675,"621",Compta!$C$1:$C$675,$A151))</f>
        <v/>
      </c>
      <c r="X151" t="str">
        <f>IF($A151="","",SUMIFS(Compta!$F$1:$F$675,Compta!$A$1:$A$675,$B151,Compta!$B$1:$B$675,"6411",Compta!$C$1:$C$675,$A151))</f>
        <v/>
      </c>
      <c r="Y151" t="str">
        <f>IF($A151="","",SUMIFS(Compta!$F$1:$F$675,Compta!$A$1:$A$675,$B151,Compta!$B$1:$B$675,"604",Compta!$C$1:$C$675,$A151)+SUMIFS(Compta!$F$1:$F$675,Compta!$A$1:$A$675,$B151,Compta!$B$1:$B$675,"6063",Compta!$C$1:$C$675,$A151))</f>
        <v/>
      </c>
      <c r="Z151" t="str">
        <f>IF($A151="","",SUMIFS(Compta!$F$1:$F$675,Compta!$A$1:$A$675,$B151,Compta!$B$1:$B$675,"6231",Compta!$C$1:$C$675,$A151))</f>
        <v/>
      </c>
      <c r="AA151" t="str">
        <f>IF($A151="",""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</f>
        <v/>
      </c>
      <c r="AB151" t="str">
        <f>IF($A151="",""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</f>
        <v/>
      </c>
      <c r="AC151" t="s">
        <v>297</v>
      </c>
      <c r="AD151" t="s">
        <v>297</v>
      </c>
      <c r="AE151" t="s">
        <v>297</v>
      </c>
      <c r="AF151" t="s">
        <v>297</v>
      </c>
      <c r="AG151" t="s">
        <v>297</v>
      </c>
      <c r="AH151" t="s">
        <v>297</v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 t="str">
        <f>IF($A151="","",SUMIFS(Compta!$F$1:$F$675,Compta!$A$1:$A$675,"GRP",Compta!$B$1:$B$675,"6236",Compta!$C$1:$C$675,$A151))</f>
        <v/>
      </c>
      <c r="AP151" t="s">
        <v>297</v>
      </c>
      <c r="AQ151" t="s">
        <v>297</v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IF($A152="","",SUMIFS(Socle!$K$1:$K$175,Socle!$C$1:$C$175,$B152,Socle!$D$1:$D$175,$D152,Socle!$E$1:$E$175,$E152,Socle!$F$1:$F$175,$F152,Socle!$G$1:$G$175,$A152))</f>
        <v/>
      </c>
      <c r="K152" t="str">
        <f t="shared" si="20"/>
        <v/>
      </c>
      <c r="L152" t="str">
        <f>IF($A152="","",SUMIFS(Allocation!$I$1:$I$175,Allocation!$C$1:$C$175,$A152,Allocation!$D$1:$D$175,$B152))</f>
        <v/>
      </c>
      <c r="M152" t="str">
        <f>IF($A152="","",SUMIFS(Allocation!$J$1:$J$175,Allocation!$C$1:$C$175,$A152,Allocation!$D$1:$D$175,$B152))</f>
        <v/>
      </c>
      <c r="N152" t="str">
        <f>IF($A152="","",SUMIFS(Allocation!$K$1:$K$175,Allocation!$C$1:$C$175,$A152,Allocation!$D$1:$D$175,$B152))</f>
        <v/>
      </c>
      <c r="O152" t="str">
        <f t="shared" si="21"/>
        <v/>
      </c>
      <c r="P152" t="str">
        <f t="shared" si="22"/>
        <v/>
      </c>
      <c r="Q152" t="str">
        <f>IF($A152="","",SUMIFS(Allocation!$I$1:$I$175,Allocation!$C$1:$C$175,$A152,Allocation!$E$1:$E$175,$C152))</f>
        <v/>
      </c>
      <c r="R152" t="str">
        <f>IF($A152="","",SUMIFS(Allocation!$J$1:$J$175,Allocation!$C$1:$C$175,$A152,Allocation!$E$1:$E$175,$C152))</f>
        <v/>
      </c>
      <c r="S152" t="str">
        <f>IF($A152="","",SUMIFS(Allocation!$K$1:$K$175,Allocation!$C$1:$C$175,$A152,Allocation!$E$1:$E$175,$C152))</f>
        <v/>
      </c>
      <c r="T152" t="str">
        <f>IF($A152="","",SUMIFS(Allocation!$I$1:$I$175,Allocation!$C$1:$C$175,$A152))</f>
        <v/>
      </c>
      <c r="U152" t="str">
        <f>IF($A152="","",SUMIFS(Allocation!$J$1:$J$175,Allocation!$C$1:$C$175,$A152))</f>
        <v/>
      </c>
      <c r="V152" t="str">
        <f>IF($A152="","",SUMIFS(Allocation!$K$1:$K$175,Allocation!$C$1:$C$175,$A152))</f>
        <v/>
      </c>
      <c r="W152" t="str">
        <f>IF($A152="","",SUMIFS(Compta!$F$1:$F$675,Compta!$A$1:$A$675,$B152,Compta!$B$1:$B$675,"621",Compta!$C$1:$C$675,$A152))</f>
        <v/>
      </c>
      <c r="X152" t="str">
        <f>IF($A152="","",SUMIFS(Compta!$F$1:$F$675,Compta!$A$1:$A$675,$B152,Compta!$B$1:$B$675,"6411",Compta!$C$1:$C$675,$A152))</f>
        <v/>
      </c>
      <c r="Y152" t="str">
        <f>IF($A152="","",SUMIFS(Compta!$F$1:$F$675,Compta!$A$1:$A$675,$B152,Compta!$B$1:$B$675,"604",Compta!$C$1:$C$675,$A152)+SUMIFS(Compta!$F$1:$F$675,Compta!$A$1:$A$675,$B152,Compta!$B$1:$B$675,"6063",Compta!$C$1:$C$675,$A152))</f>
        <v/>
      </c>
      <c r="Z152" t="str">
        <f>IF($A152="","",SUMIFS(Compta!$F$1:$F$675,Compta!$A$1:$A$675,$B152,Compta!$B$1:$B$675,"6231",Compta!$C$1:$C$675,$A152))</f>
        <v/>
      </c>
      <c r="AA152" t="str">
        <f>IF($A152="",""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</f>
        <v/>
      </c>
      <c r="AB152" t="str">
        <f>IF($A152="",""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</f>
        <v/>
      </c>
      <c r="AC152" t="s">
        <v>297</v>
      </c>
      <c r="AD152" t="s">
        <v>297</v>
      </c>
      <c r="AE152" t="s">
        <v>297</v>
      </c>
      <c r="AF152" t="s">
        <v>297</v>
      </c>
      <c r="AG152" t="s">
        <v>297</v>
      </c>
      <c r="AH152" t="s">
        <v>297</v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 t="str">
        <f>IF($A152="","",SUMIFS(Compta!$F$1:$F$675,Compta!$A$1:$A$675,"GRP",Compta!$B$1:$B$675,"6236",Compta!$C$1:$C$675,$A152))</f>
        <v/>
      </c>
      <c r="AP152" t="s">
        <v>297</v>
      </c>
      <c r="AQ152" t="s">
        <v>297</v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IF($A153="","",SUMIFS(Socle!$K$1:$K$175,Socle!$C$1:$C$175,$B153,Socle!$D$1:$D$175,$D153,Socle!$E$1:$E$175,$E153,Socle!$F$1:$F$175,$F153,Socle!$G$1:$G$175,$A153))</f>
        <v/>
      </c>
      <c r="K153" t="str">
        <f t="shared" si="20"/>
        <v/>
      </c>
      <c r="L153" t="str">
        <f>IF($A153="","",SUMIFS(Allocation!$I$1:$I$175,Allocation!$C$1:$C$175,$A153,Allocation!$D$1:$D$175,$B153))</f>
        <v/>
      </c>
      <c r="M153" t="str">
        <f>IF($A153="","",SUMIFS(Allocation!$J$1:$J$175,Allocation!$C$1:$C$175,$A153,Allocation!$D$1:$D$175,$B153))</f>
        <v/>
      </c>
      <c r="N153" t="str">
        <f>IF($A153="","",SUMIFS(Allocation!$K$1:$K$175,Allocation!$C$1:$C$175,$A153,Allocation!$D$1:$D$175,$B153))</f>
        <v/>
      </c>
      <c r="O153" t="str">
        <f t="shared" si="21"/>
        <v/>
      </c>
      <c r="P153" t="str">
        <f t="shared" si="22"/>
        <v/>
      </c>
      <c r="Q153" t="str">
        <f>IF($A153="","",SUMIFS(Allocation!$I$1:$I$175,Allocation!$C$1:$C$175,$A153,Allocation!$E$1:$E$175,$C153))</f>
        <v/>
      </c>
      <c r="R153" t="str">
        <f>IF($A153="","",SUMIFS(Allocation!$J$1:$J$175,Allocation!$C$1:$C$175,$A153,Allocation!$E$1:$E$175,$C153))</f>
        <v/>
      </c>
      <c r="S153" t="str">
        <f>IF($A153="","",SUMIFS(Allocation!$K$1:$K$175,Allocation!$C$1:$C$175,$A153,Allocation!$E$1:$E$175,$C153))</f>
        <v/>
      </c>
      <c r="T153" t="str">
        <f>IF($A153="","",SUMIFS(Allocation!$I$1:$I$175,Allocation!$C$1:$C$175,$A153))</f>
        <v/>
      </c>
      <c r="U153" t="str">
        <f>IF($A153="","",SUMIFS(Allocation!$J$1:$J$175,Allocation!$C$1:$C$175,$A153))</f>
        <v/>
      </c>
      <c r="V153" t="str">
        <f>IF($A153="","",SUMIFS(Allocation!$K$1:$K$175,Allocation!$C$1:$C$175,$A153))</f>
        <v/>
      </c>
      <c r="W153" t="str">
        <f>IF($A153="","",SUMIFS(Compta!$F$1:$F$675,Compta!$A$1:$A$675,$B153,Compta!$B$1:$B$675,"621",Compta!$C$1:$C$675,$A153))</f>
        <v/>
      </c>
      <c r="X153" t="str">
        <f>IF($A153="","",SUMIFS(Compta!$F$1:$F$675,Compta!$A$1:$A$675,$B153,Compta!$B$1:$B$675,"6411",Compta!$C$1:$C$675,$A153))</f>
        <v/>
      </c>
      <c r="Y153" t="str">
        <f>IF($A153="","",SUMIFS(Compta!$F$1:$F$675,Compta!$A$1:$A$675,$B153,Compta!$B$1:$B$675,"604",Compta!$C$1:$C$675,$A153)+SUMIFS(Compta!$F$1:$F$675,Compta!$A$1:$A$675,$B153,Compta!$B$1:$B$675,"6063",Compta!$C$1:$C$675,$A153))</f>
        <v/>
      </c>
      <c r="Z153" t="str">
        <f>IF($A153="","",SUMIFS(Compta!$F$1:$F$675,Compta!$A$1:$A$675,$B153,Compta!$B$1:$B$675,"6231",Compta!$C$1:$C$675,$A153))</f>
        <v/>
      </c>
      <c r="AA153" t="str">
        <f>IF($A153="",""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</f>
        <v/>
      </c>
      <c r="AB153" t="str">
        <f>IF($A153="",""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</f>
        <v/>
      </c>
      <c r="AC153" t="s">
        <v>297</v>
      </c>
      <c r="AD153" t="s">
        <v>297</v>
      </c>
      <c r="AE153" t="s">
        <v>297</v>
      </c>
      <c r="AF153" t="s">
        <v>297</v>
      </c>
      <c r="AG153" t="s">
        <v>297</v>
      </c>
      <c r="AH153" t="s">
        <v>297</v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 t="str">
        <f>IF($A153="","",SUMIFS(Compta!$F$1:$F$675,Compta!$A$1:$A$675,"GRP",Compta!$B$1:$B$675,"6236",Compta!$C$1:$C$675,$A153))</f>
        <v/>
      </c>
      <c r="AP153" t="s">
        <v>297</v>
      </c>
      <c r="AQ153" t="s">
        <v>297</v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IF($A154="","",SUMIFS(Socle!$K$1:$K$175,Socle!$C$1:$C$175,$B154,Socle!$D$1:$D$175,$D154,Socle!$E$1:$E$175,$E154,Socle!$F$1:$F$175,$F154,Socle!$G$1:$G$175,$A154))</f>
        <v/>
      </c>
      <c r="K154" t="str">
        <f t="shared" si="20"/>
        <v/>
      </c>
      <c r="L154" t="str">
        <f>IF($A154="","",SUMIFS(Allocation!$I$1:$I$175,Allocation!$C$1:$C$175,$A154,Allocation!$D$1:$D$175,$B154))</f>
        <v/>
      </c>
      <c r="M154" t="str">
        <f>IF($A154="","",SUMIFS(Allocation!$J$1:$J$175,Allocation!$C$1:$C$175,$A154,Allocation!$D$1:$D$175,$B154))</f>
        <v/>
      </c>
      <c r="N154" t="str">
        <f>IF($A154="","",SUMIFS(Allocation!$K$1:$K$175,Allocation!$C$1:$C$175,$A154,Allocation!$D$1:$D$175,$B154))</f>
        <v/>
      </c>
      <c r="O154" t="str">
        <f t="shared" si="21"/>
        <v/>
      </c>
      <c r="P154" t="str">
        <f t="shared" si="22"/>
        <v/>
      </c>
      <c r="Q154" t="str">
        <f>IF($A154="","",SUMIFS(Allocation!$I$1:$I$175,Allocation!$C$1:$C$175,$A154,Allocation!$E$1:$E$175,$C154))</f>
        <v/>
      </c>
      <c r="R154" t="str">
        <f>IF($A154="","",SUMIFS(Allocation!$J$1:$J$175,Allocation!$C$1:$C$175,$A154,Allocation!$E$1:$E$175,$C154))</f>
        <v/>
      </c>
      <c r="S154" t="str">
        <f>IF($A154="","",SUMIFS(Allocation!$K$1:$K$175,Allocation!$C$1:$C$175,$A154,Allocation!$E$1:$E$175,$C154))</f>
        <v/>
      </c>
      <c r="T154" t="str">
        <f>IF($A154="","",SUMIFS(Allocation!$I$1:$I$175,Allocation!$C$1:$C$175,$A154))</f>
        <v/>
      </c>
      <c r="U154" t="str">
        <f>IF($A154="","",SUMIFS(Allocation!$J$1:$J$175,Allocation!$C$1:$C$175,$A154))</f>
        <v/>
      </c>
      <c r="V154" t="str">
        <f>IF($A154="","",SUMIFS(Allocation!$K$1:$K$175,Allocation!$C$1:$C$175,$A154))</f>
        <v/>
      </c>
      <c r="W154" t="str">
        <f>IF($A154="","",SUMIFS(Compta!$F$1:$F$675,Compta!$A$1:$A$675,$B154,Compta!$B$1:$B$675,"621",Compta!$C$1:$C$675,$A154))</f>
        <v/>
      </c>
      <c r="X154" t="str">
        <f>IF($A154="","",SUMIFS(Compta!$F$1:$F$675,Compta!$A$1:$A$675,$B154,Compta!$B$1:$B$675,"6411",Compta!$C$1:$C$675,$A154))</f>
        <v/>
      </c>
      <c r="Y154" t="str">
        <f>IF($A154="","",SUMIFS(Compta!$F$1:$F$675,Compta!$A$1:$A$675,$B154,Compta!$B$1:$B$675,"604",Compta!$C$1:$C$675,$A154)+SUMIFS(Compta!$F$1:$F$675,Compta!$A$1:$A$675,$B154,Compta!$B$1:$B$675,"6063",Compta!$C$1:$C$675,$A154))</f>
        <v/>
      </c>
      <c r="Z154" t="str">
        <f>IF($A154="","",SUMIFS(Compta!$F$1:$F$675,Compta!$A$1:$A$675,$B154,Compta!$B$1:$B$675,"6231",Compta!$C$1:$C$675,$A154))</f>
        <v/>
      </c>
      <c r="AA154" t="str">
        <f>IF($A154="",""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</f>
        <v/>
      </c>
      <c r="AB154" t="str">
        <f>IF($A154="",""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</f>
        <v/>
      </c>
      <c r="AC154" t="s">
        <v>297</v>
      </c>
      <c r="AD154" t="s">
        <v>297</v>
      </c>
      <c r="AE154" t="s">
        <v>297</v>
      </c>
      <c r="AF154" t="s">
        <v>297</v>
      </c>
      <c r="AG154" t="s">
        <v>297</v>
      </c>
      <c r="AH154" t="s">
        <v>297</v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 t="str">
        <f>IF($A154="","",SUMIFS(Compta!$F$1:$F$675,Compta!$A$1:$A$675,"GRP",Compta!$B$1:$B$675,"6236",Compta!$C$1:$C$675,$A154))</f>
        <v/>
      </c>
      <c r="AP154" t="s">
        <v>297</v>
      </c>
      <c r="AQ154" t="s">
        <v>297</v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IF($A155="","",SUMIFS(Socle!$K$1:$K$175,Socle!$C$1:$C$175,$B155,Socle!$D$1:$D$175,$D155,Socle!$E$1:$E$175,$E155,Socle!$F$1:$F$175,$F155,Socle!$G$1:$G$175,$A155))</f>
        <v/>
      </c>
      <c r="K155" t="str">
        <f t="shared" si="20"/>
        <v/>
      </c>
      <c r="L155" t="str">
        <f>IF($A155="","",SUMIFS(Allocation!$I$1:$I$175,Allocation!$C$1:$C$175,$A155,Allocation!$D$1:$D$175,$B155))</f>
        <v/>
      </c>
      <c r="M155" t="str">
        <f>IF($A155="","",SUMIFS(Allocation!$J$1:$J$175,Allocation!$C$1:$C$175,$A155,Allocation!$D$1:$D$175,$B155))</f>
        <v/>
      </c>
      <c r="N155" t="str">
        <f>IF($A155="","",SUMIFS(Allocation!$K$1:$K$175,Allocation!$C$1:$C$175,$A155,Allocation!$D$1:$D$175,$B155))</f>
        <v/>
      </c>
      <c r="O155" t="str">
        <f t="shared" si="21"/>
        <v/>
      </c>
      <c r="P155" t="str">
        <f t="shared" si="22"/>
        <v/>
      </c>
      <c r="Q155" t="str">
        <f>IF($A155="","",SUMIFS(Allocation!$I$1:$I$175,Allocation!$C$1:$C$175,$A155,Allocation!$E$1:$E$175,$C155))</f>
        <v/>
      </c>
      <c r="R155" t="str">
        <f>IF($A155="","",SUMIFS(Allocation!$J$1:$J$175,Allocation!$C$1:$C$175,$A155,Allocation!$E$1:$E$175,$C155))</f>
        <v/>
      </c>
      <c r="S155" t="str">
        <f>IF($A155="","",SUMIFS(Allocation!$K$1:$K$175,Allocation!$C$1:$C$175,$A155,Allocation!$E$1:$E$175,$C155))</f>
        <v/>
      </c>
      <c r="T155" t="str">
        <f>IF($A155="","",SUMIFS(Allocation!$I$1:$I$175,Allocation!$C$1:$C$175,$A155))</f>
        <v/>
      </c>
      <c r="U155" t="str">
        <f>IF($A155="","",SUMIFS(Allocation!$J$1:$J$175,Allocation!$C$1:$C$175,$A155))</f>
        <v/>
      </c>
      <c r="V155" t="str">
        <f>IF($A155="","",SUMIFS(Allocation!$K$1:$K$175,Allocation!$C$1:$C$175,$A155))</f>
        <v/>
      </c>
      <c r="W155" t="str">
        <f>IF($A155="","",SUMIFS(Compta!$F$1:$F$675,Compta!$A$1:$A$675,$B155,Compta!$B$1:$B$675,"621",Compta!$C$1:$C$675,$A155))</f>
        <v/>
      </c>
      <c r="X155" t="str">
        <f>IF($A155="","",SUMIFS(Compta!$F$1:$F$675,Compta!$A$1:$A$675,$B155,Compta!$B$1:$B$675,"6411",Compta!$C$1:$C$675,$A155))</f>
        <v/>
      </c>
      <c r="Y155" t="str">
        <f>IF($A155="","",SUMIFS(Compta!$F$1:$F$675,Compta!$A$1:$A$675,$B155,Compta!$B$1:$B$675,"604",Compta!$C$1:$C$675,$A155)+SUMIFS(Compta!$F$1:$F$675,Compta!$A$1:$A$675,$B155,Compta!$B$1:$B$675,"6063",Compta!$C$1:$C$675,$A155))</f>
        <v/>
      </c>
      <c r="Z155" t="str">
        <f>IF($A155="","",SUMIFS(Compta!$F$1:$F$675,Compta!$A$1:$A$675,$B155,Compta!$B$1:$B$675,"6231",Compta!$C$1:$C$675,$A155))</f>
        <v/>
      </c>
      <c r="AA155" t="str">
        <f>IF($A155="",""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</f>
        <v/>
      </c>
      <c r="AB155" t="str">
        <f>IF($A155="",""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</f>
        <v/>
      </c>
      <c r="AC155" t="s">
        <v>297</v>
      </c>
      <c r="AD155" t="s">
        <v>297</v>
      </c>
      <c r="AE155" t="s">
        <v>297</v>
      </c>
      <c r="AF155" t="s">
        <v>297</v>
      </c>
      <c r="AG155" t="s">
        <v>297</v>
      </c>
      <c r="AH155" t="s">
        <v>297</v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 t="str">
        <f>IF($A155="","",SUMIFS(Compta!$F$1:$F$675,Compta!$A$1:$A$675,"GRP",Compta!$B$1:$B$675,"6236",Compta!$C$1:$C$675,$A155))</f>
        <v/>
      </c>
      <c r="AP155" t="s">
        <v>297</v>
      </c>
      <c r="AQ155" t="s">
        <v>297</v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IF($A156="","",SUMIFS(Socle!$K$1:$K$175,Socle!$C$1:$C$175,$B156,Socle!$D$1:$D$175,$D156,Socle!$E$1:$E$175,$E156,Socle!$F$1:$F$175,$F156,Socle!$G$1:$G$175,$A156))</f>
        <v/>
      </c>
      <c r="K156" t="str">
        <f t="shared" si="20"/>
        <v/>
      </c>
      <c r="L156" t="str">
        <f>IF($A156="","",SUMIFS(Allocation!$I$1:$I$175,Allocation!$C$1:$C$175,$A156,Allocation!$D$1:$D$175,$B156))</f>
        <v/>
      </c>
      <c r="M156" t="str">
        <f>IF($A156="","",SUMIFS(Allocation!$J$1:$J$175,Allocation!$C$1:$C$175,$A156,Allocation!$D$1:$D$175,$B156))</f>
        <v/>
      </c>
      <c r="N156" t="str">
        <f>IF($A156="","",SUMIFS(Allocation!$K$1:$K$175,Allocation!$C$1:$C$175,$A156,Allocation!$D$1:$D$175,$B156))</f>
        <v/>
      </c>
      <c r="O156" t="str">
        <f t="shared" si="21"/>
        <v/>
      </c>
      <c r="P156" t="str">
        <f t="shared" si="22"/>
        <v/>
      </c>
      <c r="Q156" t="str">
        <f>IF($A156="","",SUMIFS(Allocation!$I$1:$I$175,Allocation!$C$1:$C$175,$A156,Allocation!$E$1:$E$175,$C156))</f>
        <v/>
      </c>
      <c r="R156" t="str">
        <f>IF($A156="","",SUMIFS(Allocation!$J$1:$J$175,Allocation!$C$1:$C$175,$A156,Allocation!$E$1:$E$175,$C156))</f>
        <v/>
      </c>
      <c r="S156" t="str">
        <f>IF($A156="","",SUMIFS(Allocation!$K$1:$K$175,Allocation!$C$1:$C$175,$A156,Allocation!$E$1:$E$175,$C156))</f>
        <v/>
      </c>
      <c r="T156" t="str">
        <f>IF($A156="","",SUMIFS(Allocation!$I$1:$I$175,Allocation!$C$1:$C$175,$A156))</f>
        <v/>
      </c>
      <c r="U156" t="str">
        <f>IF($A156="","",SUMIFS(Allocation!$J$1:$J$175,Allocation!$C$1:$C$175,$A156))</f>
        <v/>
      </c>
      <c r="V156" t="str">
        <f>IF($A156="","",SUMIFS(Allocation!$K$1:$K$175,Allocation!$C$1:$C$175,$A156))</f>
        <v/>
      </c>
      <c r="W156" t="str">
        <f>IF($A156="","",SUMIFS(Compta!$F$1:$F$675,Compta!$A$1:$A$675,$B156,Compta!$B$1:$B$675,"621",Compta!$C$1:$C$675,$A156))</f>
        <v/>
      </c>
      <c r="X156" t="str">
        <f>IF($A156="","",SUMIFS(Compta!$F$1:$F$675,Compta!$A$1:$A$675,$B156,Compta!$B$1:$B$675,"6411",Compta!$C$1:$C$675,$A156))</f>
        <v/>
      </c>
      <c r="Y156" t="str">
        <f>IF($A156="","",SUMIFS(Compta!$F$1:$F$675,Compta!$A$1:$A$675,$B156,Compta!$B$1:$B$675,"604",Compta!$C$1:$C$675,$A156)+SUMIFS(Compta!$F$1:$F$675,Compta!$A$1:$A$675,$B156,Compta!$B$1:$B$675,"6063",Compta!$C$1:$C$675,$A156))</f>
        <v/>
      </c>
      <c r="Z156" t="str">
        <f>IF($A156="","",SUMIFS(Compta!$F$1:$F$675,Compta!$A$1:$A$675,$B156,Compta!$B$1:$B$675,"6231",Compta!$C$1:$C$675,$A156))</f>
        <v/>
      </c>
      <c r="AA156" t="str">
        <f>IF($A156="",""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</f>
        <v/>
      </c>
      <c r="AB156" t="str">
        <f>IF($A156="",""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</f>
        <v/>
      </c>
      <c r="AC156" t="s">
        <v>297</v>
      </c>
      <c r="AD156" t="s">
        <v>297</v>
      </c>
      <c r="AE156" t="s">
        <v>297</v>
      </c>
      <c r="AF156" t="s">
        <v>297</v>
      </c>
      <c r="AG156" t="s">
        <v>297</v>
      </c>
      <c r="AH156" t="s">
        <v>297</v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 t="str">
        <f>IF($A156="","",SUMIFS(Compta!$F$1:$F$675,Compta!$A$1:$A$675,"GRP",Compta!$B$1:$B$675,"6236",Compta!$C$1:$C$675,$A156))</f>
        <v/>
      </c>
      <c r="AP156" t="s">
        <v>297</v>
      </c>
      <c r="AQ156" t="s">
        <v>297</v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IF($A157="","",SUMIFS(Socle!$K$1:$K$175,Socle!$C$1:$C$175,$B157,Socle!$D$1:$D$175,$D157,Socle!$E$1:$E$175,$E157,Socle!$F$1:$F$175,$F157,Socle!$G$1:$G$175,$A157))</f>
        <v/>
      </c>
      <c r="K157" t="str">
        <f t="shared" si="20"/>
        <v/>
      </c>
      <c r="L157" t="str">
        <f>IF($A157="","",SUMIFS(Allocation!$I$1:$I$175,Allocation!$C$1:$C$175,$A157,Allocation!$D$1:$D$175,$B157))</f>
        <v/>
      </c>
      <c r="M157" t="str">
        <f>IF($A157="","",SUMIFS(Allocation!$J$1:$J$175,Allocation!$C$1:$C$175,$A157,Allocation!$D$1:$D$175,$B157))</f>
        <v/>
      </c>
      <c r="N157" t="str">
        <f>IF($A157="","",SUMIFS(Allocation!$K$1:$K$175,Allocation!$C$1:$C$175,$A157,Allocation!$D$1:$D$175,$B157))</f>
        <v/>
      </c>
      <c r="O157" t="str">
        <f t="shared" si="21"/>
        <v/>
      </c>
      <c r="P157" t="str">
        <f t="shared" si="22"/>
        <v/>
      </c>
      <c r="Q157" t="str">
        <f>IF($A157="","",SUMIFS(Allocation!$I$1:$I$175,Allocation!$C$1:$C$175,$A157,Allocation!$E$1:$E$175,$C157))</f>
        <v/>
      </c>
      <c r="R157" t="str">
        <f>IF($A157="","",SUMIFS(Allocation!$J$1:$J$175,Allocation!$C$1:$C$175,$A157,Allocation!$E$1:$E$175,$C157))</f>
        <v/>
      </c>
      <c r="S157" t="str">
        <f>IF($A157="","",SUMIFS(Allocation!$K$1:$K$175,Allocation!$C$1:$C$175,$A157,Allocation!$E$1:$E$175,$C157))</f>
        <v/>
      </c>
      <c r="T157" t="str">
        <f>IF($A157="","",SUMIFS(Allocation!$I$1:$I$175,Allocation!$C$1:$C$175,$A157))</f>
        <v/>
      </c>
      <c r="U157" t="str">
        <f>IF($A157="","",SUMIFS(Allocation!$J$1:$J$175,Allocation!$C$1:$C$175,$A157))</f>
        <v/>
      </c>
      <c r="V157" t="str">
        <f>IF($A157="","",SUMIFS(Allocation!$K$1:$K$175,Allocation!$C$1:$C$175,$A157))</f>
        <v/>
      </c>
      <c r="W157" t="str">
        <f>IF($A157="","",SUMIFS(Compta!$F$1:$F$675,Compta!$A$1:$A$675,$B157,Compta!$B$1:$B$675,"621",Compta!$C$1:$C$675,$A157))</f>
        <v/>
      </c>
      <c r="X157" t="str">
        <f>IF($A157="","",SUMIFS(Compta!$F$1:$F$675,Compta!$A$1:$A$675,$B157,Compta!$B$1:$B$675,"6411",Compta!$C$1:$C$675,$A157))</f>
        <v/>
      </c>
      <c r="Y157" t="str">
        <f>IF($A157="","",SUMIFS(Compta!$F$1:$F$675,Compta!$A$1:$A$675,$B157,Compta!$B$1:$B$675,"604",Compta!$C$1:$C$675,$A157)+SUMIFS(Compta!$F$1:$F$675,Compta!$A$1:$A$675,$B157,Compta!$B$1:$B$675,"6063",Compta!$C$1:$C$675,$A157))</f>
        <v/>
      </c>
      <c r="Z157" t="str">
        <f>IF($A157="","",SUMIFS(Compta!$F$1:$F$675,Compta!$A$1:$A$675,$B157,Compta!$B$1:$B$675,"6231",Compta!$C$1:$C$675,$A157))</f>
        <v/>
      </c>
      <c r="AA157" t="str">
        <f>IF($A157="",""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</f>
        <v/>
      </c>
      <c r="AB157" t="str">
        <f>IF($A157="",""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</f>
        <v/>
      </c>
      <c r="AC157" t="s">
        <v>297</v>
      </c>
      <c r="AD157" t="s">
        <v>297</v>
      </c>
      <c r="AE157" t="s">
        <v>297</v>
      </c>
      <c r="AF157" t="s">
        <v>297</v>
      </c>
      <c r="AG157" t="s">
        <v>297</v>
      </c>
      <c r="AH157" t="s">
        <v>297</v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 t="str">
        <f>IF($A157="","",SUMIFS(Compta!$F$1:$F$675,Compta!$A$1:$A$675,"GRP",Compta!$B$1:$B$675,"6236",Compta!$C$1:$C$675,$A157))</f>
        <v/>
      </c>
      <c r="AP157" t="s">
        <v>297</v>
      </c>
      <c r="AQ157" t="s">
        <v>297</v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IF($A158="","",SUMIFS(Socle!$K$1:$K$175,Socle!$C$1:$C$175,$B158,Socle!$D$1:$D$175,$D158,Socle!$E$1:$E$175,$E158,Socle!$F$1:$F$175,$F158,Socle!$G$1:$G$175,$A158))</f>
        <v/>
      </c>
      <c r="K158" t="str">
        <f t="shared" si="20"/>
        <v/>
      </c>
      <c r="L158" t="str">
        <f>IF($A158="","",SUMIFS(Allocation!$I$1:$I$175,Allocation!$C$1:$C$175,$A158,Allocation!$D$1:$D$175,$B158))</f>
        <v/>
      </c>
      <c r="M158" t="str">
        <f>IF($A158="","",SUMIFS(Allocation!$J$1:$J$175,Allocation!$C$1:$C$175,$A158,Allocation!$D$1:$D$175,$B158))</f>
        <v/>
      </c>
      <c r="N158" t="str">
        <f>IF($A158="","",SUMIFS(Allocation!$K$1:$K$175,Allocation!$C$1:$C$175,$A158,Allocation!$D$1:$D$175,$B158))</f>
        <v/>
      </c>
      <c r="O158" t="str">
        <f t="shared" si="21"/>
        <v/>
      </c>
      <c r="P158" t="str">
        <f t="shared" si="22"/>
        <v/>
      </c>
      <c r="Q158" t="str">
        <f>IF($A158="","",SUMIFS(Allocation!$I$1:$I$175,Allocation!$C$1:$C$175,$A158,Allocation!$E$1:$E$175,$C158))</f>
        <v/>
      </c>
      <c r="R158" t="str">
        <f>IF($A158="","",SUMIFS(Allocation!$J$1:$J$175,Allocation!$C$1:$C$175,$A158,Allocation!$E$1:$E$175,$C158))</f>
        <v/>
      </c>
      <c r="S158" t="str">
        <f>IF($A158="","",SUMIFS(Allocation!$K$1:$K$175,Allocation!$C$1:$C$175,$A158,Allocation!$E$1:$E$175,$C158))</f>
        <v/>
      </c>
      <c r="T158" t="str">
        <f>IF($A158="","",SUMIFS(Allocation!$I$1:$I$175,Allocation!$C$1:$C$175,$A158))</f>
        <v/>
      </c>
      <c r="U158" t="str">
        <f>IF($A158="","",SUMIFS(Allocation!$J$1:$J$175,Allocation!$C$1:$C$175,$A158))</f>
        <v/>
      </c>
      <c r="V158" t="str">
        <f>IF($A158="","",SUMIFS(Allocation!$K$1:$K$175,Allocation!$C$1:$C$175,$A158))</f>
        <v/>
      </c>
      <c r="W158" t="str">
        <f>IF($A158="","",SUMIFS(Compta!$F$1:$F$675,Compta!$A$1:$A$675,$B158,Compta!$B$1:$B$675,"621",Compta!$C$1:$C$675,$A158))</f>
        <v/>
      </c>
      <c r="X158" t="str">
        <f>IF($A158="","",SUMIFS(Compta!$F$1:$F$675,Compta!$A$1:$A$675,$B158,Compta!$B$1:$B$675,"6411",Compta!$C$1:$C$675,$A158))</f>
        <v/>
      </c>
      <c r="Y158" t="str">
        <f>IF($A158="","",SUMIFS(Compta!$F$1:$F$675,Compta!$A$1:$A$675,$B158,Compta!$B$1:$B$675,"604",Compta!$C$1:$C$675,$A158)+SUMIFS(Compta!$F$1:$F$675,Compta!$A$1:$A$675,$B158,Compta!$B$1:$B$675,"6063",Compta!$C$1:$C$675,$A158))</f>
        <v/>
      </c>
      <c r="Z158" t="str">
        <f>IF($A158="","",SUMIFS(Compta!$F$1:$F$675,Compta!$A$1:$A$675,$B158,Compta!$B$1:$B$675,"6231",Compta!$C$1:$C$675,$A158))</f>
        <v/>
      </c>
      <c r="AA158" t="str">
        <f>IF($A158="",""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</f>
        <v/>
      </c>
      <c r="AB158" t="str">
        <f>IF($A158="",""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</f>
        <v/>
      </c>
      <c r="AC158" t="s">
        <v>297</v>
      </c>
      <c r="AD158" t="s">
        <v>297</v>
      </c>
      <c r="AE158" t="s">
        <v>297</v>
      </c>
      <c r="AF158" t="s">
        <v>297</v>
      </c>
      <c r="AG158" t="s">
        <v>297</v>
      </c>
      <c r="AH158" t="s">
        <v>297</v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 t="str">
        <f>IF($A158="","",SUMIFS(Compta!$F$1:$F$675,Compta!$A$1:$A$675,"GRP",Compta!$B$1:$B$675,"6236",Compta!$C$1:$C$675,$A158))</f>
        <v/>
      </c>
      <c r="AP158" t="s">
        <v>297</v>
      </c>
      <c r="AQ158" t="s">
        <v>297</v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IF($A159="","",SUMIFS(Socle!$K$1:$K$175,Socle!$C$1:$C$175,$B159,Socle!$D$1:$D$175,$D159,Socle!$E$1:$E$175,$E159,Socle!$F$1:$F$175,$F159,Socle!$G$1:$G$175,$A159))</f>
        <v/>
      </c>
      <c r="K159" t="str">
        <f t="shared" si="20"/>
        <v/>
      </c>
      <c r="L159" t="str">
        <f>IF($A159="","",SUMIFS(Allocation!$I$1:$I$175,Allocation!$C$1:$C$175,$A159,Allocation!$D$1:$D$175,$B159))</f>
        <v/>
      </c>
      <c r="M159" t="str">
        <f>IF($A159="","",SUMIFS(Allocation!$J$1:$J$175,Allocation!$C$1:$C$175,$A159,Allocation!$D$1:$D$175,$B159))</f>
        <v/>
      </c>
      <c r="N159" t="str">
        <f>IF($A159="","",SUMIFS(Allocation!$K$1:$K$175,Allocation!$C$1:$C$175,$A159,Allocation!$D$1:$D$175,$B159))</f>
        <v/>
      </c>
      <c r="O159" t="str">
        <f t="shared" si="21"/>
        <v/>
      </c>
      <c r="P159" t="str">
        <f t="shared" si="22"/>
        <v/>
      </c>
      <c r="Q159" t="str">
        <f>IF($A159="","",SUMIFS(Allocation!$I$1:$I$175,Allocation!$C$1:$C$175,$A159,Allocation!$E$1:$E$175,$C159))</f>
        <v/>
      </c>
      <c r="R159" t="str">
        <f>IF($A159="","",SUMIFS(Allocation!$J$1:$J$175,Allocation!$C$1:$C$175,$A159,Allocation!$E$1:$E$175,$C159))</f>
        <v/>
      </c>
      <c r="S159" t="str">
        <f>IF($A159="","",SUMIFS(Allocation!$K$1:$K$175,Allocation!$C$1:$C$175,$A159,Allocation!$E$1:$E$175,$C159))</f>
        <v/>
      </c>
      <c r="T159" t="str">
        <f>IF($A159="","",SUMIFS(Allocation!$I$1:$I$175,Allocation!$C$1:$C$175,$A159))</f>
        <v/>
      </c>
      <c r="U159" t="str">
        <f>IF($A159="","",SUMIFS(Allocation!$J$1:$J$175,Allocation!$C$1:$C$175,$A159))</f>
        <v/>
      </c>
      <c r="V159" t="str">
        <f>IF($A159="","",SUMIFS(Allocation!$K$1:$K$175,Allocation!$C$1:$C$175,$A159))</f>
        <v/>
      </c>
      <c r="W159" t="str">
        <f>IF($A159="","",SUMIFS(Compta!$F$1:$F$675,Compta!$A$1:$A$675,$B159,Compta!$B$1:$B$675,"621",Compta!$C$1:$C$675,$A159))</f>
        <v/>
      </c>
      <c r="X159" t="str">
        <f>IF($A159="","",SUMIFS(Compta!$F$1:$F$675,Compta!$A$1:$A$675,$B159,Compta!$B$1:$B$675,"6411",Compta!$C$1:$C$675,$A159))</f>
        <v/>
      </c>
      <c r="Y159" t="str">
        <f>IF($A159="","",SUMIFS(Compta!$F$1:$F$675,Compta!$A$1:$A$675,$B159,Compta!$B$1:$B$675,"604",Compta!$C$1:$C$675,$A159)+SUMIFS(Compta!$F$1:$F$675,Compta!$A$1:$A$675,$B159,Compta!$B$1:$B$675,"6063",Compta!$C$1:$C$675,$A159))</f>
        <v/>
      </c>
      <c r="Z159" t="str">
        <f>IF($A159="","",SUMIFS(Compta!$F$1:$F$675,Compta!$A$1:$A$675,$B159,Compta!$B$1:$B$675,"6231",Compta!$C$1:$C$675,$A159))</f>
        <v/>
      </c>
      <c r="AA159" t="str">
        <f>IF($A159="",""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</f>
        <v/>
      </c>
      <c r="AB159" t="str">
        <f>IF($A159="",""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</f>
        <v/>
      </c>
      <c r="AC159" t="s">
        <v>297</v>
      </c>
      <c r="AD159" t="s">
        <v>297</v>
      </c>
      <c r="AE159" t="s">
        <v>297</v>
      </c>
      <c r="AF159" t="s">
        <v>297</v>
      </c>
      <c r="AG159" t="s">
        <v>297</v>
      </c>
      <c r="AH159" t="s">
        <v>297</v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 t="str">
        <f>IF($A159="","",SUMIFS(Compta!$F$1:$F$675,Compta!$A$1:$A$675,"GRP",Compta!$B$1:$B$675,"6236",Compta!$C$1:$C$675,$A159))</f>
        <v/>
      </c>
      <c r="AP159" t="s">
        <v>297</v>
      </c>
      <c r="AQ159" t="s">
        <v>297</v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IF($A160="","",SUMIFS(Socle!$K$1:$K$175,Socle!$C$1:$C$175,$B160,Socle!$D$1:$D$175,$D160,Socle!$E$1:$E$175,$E160,Socle!$F$1:$F$175,$F160,Socle!$G$1:$G$175,$A160))</f>
        <v/>
      </c>
      <c r="K160" t="str">
        <f t="shared" si="20"/>
        <v/>
      </c>
      <c r="L160" t="str">
        <f>IF($A160="","",SUMIFS(Allocation!$I$1:$I$175,Allocation!$C$1:$C$175,$A160,Allocation!$D$1:$D$175,$B160))</f>
        <v/>
      </c>
      <c r="M160" t="str">
        <f>IF($A160="","",SUMIFS(Allocation!$J$1:$J$175,Allocation!$C$1:$C$175,$A160,Allocation!$D$1:$D$175,$B160))</f>
        <v/>
      </c>
      <c r="N160" t="str">
        <f>IF($A160="","",SUMIFS(Allocation!$K$1:$K$175,Allocation!$C$1:$C$175,$A160,Allocation!$D$1:$D$175,$B160))</f>
        <v/>
      </c>
      <c r="O160" t="str">
        <f t="shared" si="21"/>
        <v/>
      </c>
      <c r="P160" t="str">
        <f t="shared" si="22"/>
        <v/>
      </c>
      <c r="Q160" t="str">
        <f>IF($A160="","",SUMIFS(Allocation!$I$1:$I$175,Allocation!$C$1:$C$175,$A160,Allocation!$E$1:$E$175,$C160))</f>
        <v/>
      </c>
      <c r="R160" t="str">
        <f>IF($A160="","",SUMIFS(Allocation!$J$1:$J$175,Allocation!$C$1:$C$175,$A160,Allocation!$E$1:$E$175,$C160))</f>
        <v/>
      </c>
      <c r="S160" t="str">
        <f>IF($A160="","",SUMIFS(Allocation!$K$1:$K$175,Allocation!$C$1:$C$175,$A160,Allocation!$E$1:$E$175,$C160))</f>
        <v/>
      </c>
      <c r="T160" t="str">
        <f>IF($A160="","",SUMIFS(Allocation!$I$1:$I$175,Allocation!$C$1:$C$175,$A160))</f>
        <v/>
      </c>
      <c r="U160" t="str">
        <f>IF($A160="","",SUMIFS(Allocation!$J$1:$J$175,Allocation!$C$1:$C$175,$A160))</f>
        <v/>
      </c>
      <c r="V160" t="str">
        <f>IF($A160="","",SUMIFS(Allocation!$K$1:$K$175,Allocation!$C$1:$C$175,$A160))</f>
        <v/>
      </c>
      <c r="W160" t="str">
        <f>IF($A160="","",SUMIFS(Compta!$F$1:$F$675,Compta!$A$1:$A$675,$B160,Compta!$B$1:$B$675,"621",Compta!$C$1:$C$675,$A160))</f>
        <v/>
      </c>
      <c r="X160" t="str">
        <f>IF($A160="","",SUMIFS(Compta!$F$1:$F$675,Compta!$A$1:$A$675,$B160,Compta!$B$1:$B$675,"6411",Compta!$C$1:$C$675,$A160))</f>
        <v/>
      </c>
      <c r="Y160" t="str">
        <f>IF($A160="","",SUMIFS(Compta!$F$1:$F$675,Compta!$A$1:$A$675,$B160,Compta!$B$1:$B$675,"604",Compta!$C$1:$C$675,$A160)+SUMIFS(Compta!$F$1:$F$675,Compta!$A$1:$A$675,$B160,Compta!$B$1:$B$675,"6063",Compta!$C$1:$C$675,$A160))</f>
        <v/>
      </c>
      <c r="Z160" t="str">
        <f>IF($A160="","",SUMIFS(Compta!$F$1:$F$675,Compta!$A$1:$A$675,$B160,Compta!$B$1:$B$675,"6231",Compta!$C$1:$C$675,$A160))</f>
        <v/>
      </c>
      <c r="AA160" t="str">
        <f>IF($A160="",""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</f>
        <v/>
      </c>
      <c r="AB160" t="str">
        <f>IF($A160="",""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</f>
        <v/>
      </c>
      <c r="AC160" t="s">
        <v>297</v>
      </c>
      <c r="AD160" t="s">
        <v>297</v>
      </c>
      <c r="AE160" t="s">
        <v>297</v>
      </c>
      <c r="AF160" t="s">
        <v>297</v>
      </c>
      <c r="AG160" t="s">
        <v>297</v>
      </c>
      <c r="AH160" t="s">
        <v>297</v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 t="str">
        <f>IF($A160="","",SUMIFS(Compta!$F$1:$F$675,Compta!$A$1:$A$675,"GRP",Compta!$B$1:$B$675,"6236",Compta!$C$1:$C$675,$A160))</f>
        <v/>
      </c>
      <c r="AP160" t="s">
        <v>297</v>
      </c>
      <c r="AQ160" t="s">
        <v>297</v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IF($A161="","",SUMIFS(Socle!$K$1:$K$175,Socle!$C$1:$C$175,$B161,Socle!$D$1:$D$175,$D161,Socle!$E$1:$E$175,$E161,Socle!$F$1:$F$175,$F161,Socle!$G$1:$G$175,$A161))</f>
        <v/>
      </c>
      <c r="K161" t="str">
        <f t="shared" si="20"/>
        <v/>
      </c>
      <c r="L161" t="str">
        <f>IF($A161="","",SUMIFS(Allocation!$I$1:$I$175,Allocation!$C$1:$C$175,$A161,Allocation!$D$1:$D$175,$B161))</f>
        <v/>
      </c>
      <c r="M161" t="str">
        <f>IF($A161="","",SUMIFS(Allocation!$J$1:$J$175,Allocation!$C$1:$C$175,$A161,Allocation!$D$1:$D$175,$B161))</f>
        <v/>
      </c>
      <c r="N161" t="str">
        <f>IF($A161="","",SUMIFS(Allocation!$K$1:$K$175,Allocation!$C$1:$C$175,$A161,Allocation!$D$1:$D$175,$B161))</f>
        <v/>
      </c>
      <c r="O161" t="str">
        <f t="shared" si="21"/>
        <v/>
      </c>
      <c r="P161" t="str">
        <f t="shared" si="22"/>
        <v/>
      </c>
      <c r="Q161" t="str">
        <f>IF($A161="","",SUMIFS(Allocation!$I$1:$I$175,Allocation!$C$1:$C$175,$A161,Allocation!$E$1:$E$175,$C161))</f>
        <v/>
      </c>
      <c r="R161" t="str">
        <f>IF($A161="","",SUMIFS(Allocation!$J$1:$J$175,Allocation!$C$1:$C$175,$A161,Allocation!$E$1:$E$175,$C161))</f>
        <v/>
      </c>
      <c r="S161" t="str">
        <f>IF($A161="","",SUMIFS(Allocation!$K$1:$K$175,Allocation!$C$1:$C$175,$A161,Allocation!$E$1:$E$175,$C161))</f>
        <v/>
      </c>
      <c r="T161" t="str">
        <f>IF($A161="","",SUMIFS(Allocation!$I$1:$I$175,Allocation!$C$1:$C$175,$A161))</f>
        <v/>
      </c>
      <c r="U161" t="str">
        <f>IF($A161="","",SUMIFS(Allocation!$J$1:$J$175,Allocation!$C$1:$C$175,$A161))</f>
        <v/>
      </c>
      <c r="V161" t="str">
        <f>IF($A161="","",SUMIFS(Allocation!$K$1:$K$175,Allocation!$C$1:$C$175,$A161))</f>
        <v/>
      </c>
      <c r="W161" t="str">
        <f>IF($A161="","",SUMIFS(Compta!$F$1:$F$675,Compta!$A$1:$A$675,$B161,Compta!$B$1:$B$675,"621",Compta!$C$1:$C$675,$A161))</f>
        <v/>
      </c>
      <c r="X161" t="str">
        <f>IF($A161="","",SUMIFS(Compta!$F$1:$F$675,Compta!$A$1:$A$675,$B161,Compta!$B$1:$B$675,"6411",Compta!$C$1:$C$675,$A161))</f>
        <v/>
      </c>
      <c r="Y161" t="str">
        <f>IF($A161="","",SUMIFS(Compta!$F$1:$F$675,Compta!$A$1:$A$675,$B161,Compta!$B$1:$B$675,"604",Compta!$C$1:$C$675,$A161)+SUMIFS(Compta!$F$1:$F$675,Compta!$A$1:$A$675,$B161,Compta!$B$1:$B$675,"6063",Compta!$C$1:$C$675,$A161))</f>
        <v/>
      </c>
      <c r="Z161" t="str">
        <f>IF($A161="","",SUMIFS(Compta!$F$1:$F$675,Compta!$A$1:$A$675,$B161,Compta!$B$1:$B$675,"6231",Compta!$C$1:$C$675,$A161))</f>
        <v/>
      </c>
      <c r="AA161" t="str">
        <f>IF($A161="",""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</f>
        <v/>
      </c>
      <c r="AB161" t="str">
        <f>IF($A161="",""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</f>
        <v/>
      </c>
      <c r="AC161" t="s">
        <v>297</v>
      </c>
      <c r="AD161" t="s">
        <v>297</v>
      </c>
      <c r="AE161" t="s">
        <v>297</v>
      </c>
      <c r="AF161" t="s">
        <v>297</v>
      </c>
      <c r="AG161" t="s">
        <v>297</v>
      </c>
      <c r="AH161" t="s">
        <v>297</v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 t="str">
        <f>IF($A161="","",SUMIFS(Compta!$F$1:$F$675,Compta!$A$1:$A$675,"GRP",Compta!$B$1:$B$675,"6236",Compta!$C$1:$C$675,$A161))</f>
        <v/>
      </c>
      <c r="AP161" t="s">
        <v>297</v>
      </c>
      <c r="AQ161" t="s">
        <v>297</v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IF($A162="","",SUMIFS(Socle!$K$1:$K$175,Socle!$C$1:$C$175,$B162,Socle!$D$1:$D$175,$D162,Socle!$E$1:$E$175,$E162,Socle!$F$1:$F$175,$F162,Socle!$G$1:$G$175,$A162))</f>
        <v/>
      </c>
      <c r="K162" t="str">
        <f t="shared" si="20"/>
        <v/>
      </c>
      <c r="L162" t="str">
        <f>IF($A162="","",SUMIFS(Allocation!$I$1:$I$175,Allocation!$C$1:$C$175,$A162,Allocation!$D$1:$D$175,$B162))</f>
        <v/>
      </c>
      <c r="M162" t="str">
        <f>IF($A162="","",SUMIFS(Allocation!$J$1:$J$175,Allocation!$C$1:$C$175,$A162,Allocation!$D$1:$D$175,$B162))</f>
        <v/>
      </c>
      <c r="N162" t="str">
        <f>IF($A162="","",SUMIFS(Allocation!$K$1:$K$175,Allocation!$C$1:$C$175,$A162,Allocation!$D$1:$D$175,$B162))</f>
        <v/>
      </c>
      <c r="O162" t="str">
        <f t="shared" si="21"/>
        <v/>
      </c>
      <c r="P162" t="str">
        <f t="shared" si="22"/>
        <v/>
      </c>
      <c r="Q162" t="str">
        <f>IF($A162="","",SUMIFS(Allocation!$I$1:$I$175,Allocation!$C$1:$C$175,$A162,Allocation!$E$1:$E$175,$C162))</f>
        <v/>
      </c>
      <c r="R162" t="str">
        <f>IF($A162="","",SUMIFS(Allocation!$J$1:$J$175,Allocation!$C$1:$C$175,$A162,Allocation!$E$1:$E$175,$C162))</f>
        <v/>
      </c>
      <c r="S162" t="str">
        <f>IF($A162="","",SUMIFS(Allocation!$K$1:$K$175,Allocation!$C$1:$C$175,$A162,Allocation!$E$1:$E$175,$C162))</f>
        <v/>
      </c>
      <c r="T162" t="str">
        <f>IF($A162="","",SUMIFS(Allocation!$I$1:$I$175,Allocation!$C$1:$C$175,$A162))</f>
        <v/>
      </c>
      <c r="U162" t="str">
        <f>IF($A162="","",SUMIFS(Allocation!$J$1:$J$175,Allocation!$C$1:$C$175,$A162))</f>
        <v/>
      </c>
      <c r="V162" t="str">
        <f>IF($A162="","",SUMIFS(Allocation!$K$1:$K$175,Allocation!$C$1:$C$175,$A162))</f>
        <v/>
      </c>
      <c r="W162" t="str">
        <f>IF($A162="","",SUMIFS(Compta!$F$1:$F$675,Compta!$A$1:$A$675,$B162,Compta!$B$1:$B$675,"621",Compta!$C$1:$C$675,$A162))</f>
        <v/>
      </c>
      <c r="X162" t="str">
        <f>IF($A162="","",SUMIFS(Compta!$F$1:$F$675,Compta!$A$1:$A$675,$B162,Compta!$B$1:$B$675,"6411",Compta!$C$1:$C$675,$A162))</f>
        <v/>
      </c>
      <c r="Y162" t="str">
        <f>IF($A162="","",SUMIFS(Compta!$F$1:$F$675,Compta!$A$1:$A$675,$B162,Compta!$B$1:$B$675,"604",Compta!$C$1:$C$675,$A162)+SUMIFS(Compta!$F$1:$F$675,Compta!$A$1:$A$675,$B162,Compta!$B$1:$B$675,"6063",Compta!$C$1:$C$675,$A162))</f>
        <v/>
      </c>
      <c r="Z162" t="str">
        <f>IF($A162="","",SUMIFS(Compta!$F$1:$F$675,Compta!$A$1:$A$675,$B162,Compta!$B$1:$B$675,"6231",Compta!$C$1:$C$675,$A162))</f>
        <v/>
      </c>
      <c r="AA162" t="str">
        <f>IF($A162="",""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</f>
        <v/>
      </c>
      <c r="AB162" t="str">
        <f>IF($A162="",""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</f>
        <v/>
      </c>
      <c r="AC162" t="s">
        <v>297</v>
      </c>
      <c r="AD162" t="s">
        <v>297</v>
      </c>
      <c r="AE162" t="s">
        <v>297</v>
      </c>
      <c r="AF162" t="s">
        <v>297</v>
      </c>
      <c r="AG162" t="s">
        <v>297</v>
      </c>
      <c r="AH162" t="s">
        <v>297</v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 t="str">
        <f>IF($A162="","",SUMIFS(Compta!$F$1:$F$675,Compta!$A$1:$A$675,"GRP",Compta!$B$1:$B$675,"6236",Compta!$C$1:$C$675,$A162))</f>
        <v/>
      </c>
      <c r="AP162" t="s">
        <v>297</v>
      </c>
      <c r="AQ162" t="s">
        <v>297</v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IF($A163="","",SUMIFS(Socle!$K$1:$K$175,Socle!$C$1:$C$175,$B163,Socle!$D$1:$D$175,$D163,Socle!$E$1:$E$175,$E163,Socle!$F$1:$F$175,$F163,Socle!$G$1:$G$175,$A163))</f>
        <v/>
      </c>
      <c r="K163" t="str">
        <f t="shared" si="20"/>
        <v/>
      </c>
      <c r="L163" t="str">
        <f>IF($A163="","",SUMIFS(Allocation!$I$1:$I$175,Allocation!$C$1:$C$175,$A163,Allocation!$D$1:$D$175,$B163))</f>
        <v/>
      </c>
      <c r="M163" t="str">
        <f>IF($A163="","",SUMIFS(Allocation!$J$1:$J$175,Allocation!$C$1:$C$175,$A163,Allocation!$D$1:$D$175,$B163))</f>
        <v/>
      </c>
      <c r="N163" t="str">
        <f>IF($A163="","",SUMIFS(Allocation!$K$1:$K$175,Allocation!$C$1:$C$175,$A163,Allocation!$D$1:$D$175,$B163))</f>
        <v/>
      </c>
      <c r="O163" t="str">
        <f t="shared" si="21"/>
        <v/>
      </c>
      <c r="P163" t="str">
        <f t="shared" si="22"/>
        <v/>
      </c>
      <c r="Q163" t="str">
        <f>IF($A163="","",SUMIFS(Allocation!$I$1:$I$175,Allocation!$C$1:$C$175,$A163,Allocation!$E$1:$E$175,$C163))</f>
        <v/>
      </c>
      <c r="R163" t="str">
        <f>IF($A163="","",SUMIFS(Allocation!$J$1:$J$175,Allocation!$C$1:$C$175,$A163,Allocation!$E$1:$E$175,$C163))</f>
        <v/>
      </c>
      <c r="S163" t="str">
        <f>IF($A163="","",SUMIFS(Allocation!$K$1:$K$175,Allocation!$C$1:$C$175,$A163,Allocation!$E$1:$E$175,$C163))</f>
        <v/>
      </c>
      <c r="T163" t="str">
        <f>IF($A163="","",SUMIFS(Allocation!$I$1:$I$175,Allocation!$C$1:$C$175,$A163))</f>
        <v/>
      </c>
      <c r="U163" t="str">
        <f>IF($A163="","",SUMIFS(Allocation!$J$1:$J$175,Allocation!$C$1:$C$175,$A163))</f>
        <v/>
      </c>
      <c r="V163" t="str">
        <f>IF($A163="","",SUMIFS(Allocation!$K$1:$K$175,Allocation!$C$1:$C$175,$A163))</f>
        <v/>
      </c>
      <c r="W163" t="str">
        <f>IF($A163="","",SUMIFS(Compta!$F$1:$F$675,Compta!$A$1:$A$675,$B163,Compta!$B$1:$B$675,"621",Compta!$C$1:$C$675,$A163))</f>
        <v/>
      </c>
      <c r="X163" t="str">
        <f>IF($A163="","",SUMIFS(Compta!$F$1:$F$675,Compta!$A$1:$A$675,$B163,Compta!$B$1:$B$675,"6411",Compta!$C$1:$C$675,$A163))</f>
        <v/>
      </c>
      <c r="Y163" t="str">
        <f>IF($A163="","",SUMIFS(Compta!$F$1:$F$675,Compta!$A$1:$A$675,$B163,Compta!$B$1:$B$675,"604",Compta!$C$1:$C$675,$A163)+SUMIFS(Compta!$F$1:$F$675,Compta!$A$1:$A$675,$B163,Compta!$B$1:$B$675,"6063",Compta!$C$1:$C$675,$A163))</f>
        <v/>
      </c>
      <c r="Z163" t="str">
        <f>IF($A163="","",SUMIFS(Compta!$F$1:$F$675,Compta!$A$1:$A$675,$B163,Compta!$B$1:$B$675,"6231",Compta!$C$1:$C$675,$A163))</f>
        <v/>
      </c>
      <c r="AA163" t="str">
        <f>IF($A163="",""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</f>
        <v/>
      </c>
      <c r="AB163" t="str">
        <f>IF($A163="",""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</f>
        <v/>
      </c>
      <c r="AC163" t="s">
        <v>297</v>
      </c>
      <c r="AD163" t="s">
        <v>297</v>
      </c>
      <c r="AE163" t="s">
        <v>297</v>
      </c>
      <c r="AF163" t="s">
        <v>297</v>
      </c>
      <c r="AG163" t="s">
        <v>297</v>
      </c>
      <c r="AH163" t="s">
        <v>297</v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 t="str">
        <f>IF($A163="","",SUMIFS(Compta!$F$1:$F$675,Compta!$A$1:$A$675,"GRP",Compta!$B$1:$B$675,"6236",Compta!$C$1:$C$675,$A163))</f>
        <v/>
      </c>
      <c r="AP163" t="s">
        <v>297</v>
      </c>
      <c r="AQ163" t="s">
        <v>297</v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IF($A164="","",SUMIFS(Socle!$K$1:$K$175,Socle!$C$1:$C$175,$B164,Socle!$D$1:$D$175,$D164,Socle!$E$1:$E$175,$E164,Socle!$F$1:$F$175,$F164,Socle!$G$1:$G$175,$A164))</f>
        <v/>
      </c>
      <c r="K164" t="str">
        <f t="shared" si="20"/>
        <v/>
      </c>
      <c r="L164" t="str">
        <f>IF($A164="","",SUMIFS(Allocation!$I$1:$I$175,Allocation!$C$1:$C$175,$A164,Allocation!$D$1:$D$175,$B164))</f>
        <v/>
      </c>
      <c r="M164" t="str">
        <f>IF($A164="","",SUMIFS(Allocation!$J$1:$J$175,Allocation!$C$1:$C$175,$A164,Allocation!$D$1:$D$175,$B164))</f>
        <v/>
      </c>
      <c r="N164" t="str">
        <f>IF($A164="","",SUMIFS(Allocation!$K$1:$K$175,Allocation!$C$1:$C$175,$A164,Allocation!$D$1:$D$175,$B164))</f>
        <v/>
      </c>
      <c r="O164" t="str">
        <f t="shared" si="21"/>
        <v/>
      </c>
      <c r="P164" t="str">
        <f t="shared" si="22"/>
        <v/>
      </c>
      <c r="Q164" t="str">
        <f>IF($A164="","",SUMIFS(Allocation!$I$1:$I$175,Allocation!$C$1:$C$175,$A164,Allocation!$E$1:$E$175,$C164))</f>
        <v/>
      </c>
      <c r="R164" t="str">
        <f>IF($A164="","",SUMIFS(Allocation!$J$1:$J$175,Allocation!$C$1:$C$175,$A164,Allocation!$E$1:$E$175,$C164))</f>
        <v/>
      </c>
      <c r="S164" t="str">
        <f>IF($A164="","",SUMIFS(Allocation!$K$1:$K$175,Allocation!$C$1:$C$175,$A164,Allocation!$E$1:$E$175,$C164))</f>
        <v/>
      </c>
      <c r="T164" t="str">
        <f>IF($A164="","",SUMIFS(Allocation!$I$1:$I$175,Allocation!$C$1:$C$175,$A164))</f>
        <v/>
      </c>
      <c r="U164" t="str">
        <f>IF($A164="","",SUMIFS(Allocation!$J$1:$J$175,Allocation!$C$1:$C$175,$A164))</f>
        <v/>
      </c>
      <c r="V164" t="str">
        <f>IF($A164="","",SUMIFS(Allocation!$K$1:$K$175,Allocation!$C$1:$C$175,$A164))</f>
        <v/>
      </c>
      <c r="W164" t="str">
        <f>IF($A164="","",SUMIFS(Compta!$F$1:$F$675,Compta!$A$1:$A$675,$B164,Compta!$B$1:$B$675,"621",Compta!$C$1:$C$675,$A164))</f>
        <v/>
      </c>
      <c r="X164" t="str">
        <f>IF($A164="","",SUMIFS(Compta!$F$1:$F$675,Compta!$A$1:$A$675,$B164,Compta!$B$1:$B$675,"6411",Compta!$C$1:$C$675,$A164))</f>
        <v/>
      </c>
      <c r="Y164" t="str">
        <f>IF($A164="","",SUMIFS(Compta!$F$1:$F$675,Compta!$A$1:$A$675,$B164,Compta!$B$1:$B$675,"604",Compta!$C$1:$C$675,$A164)+SUMIFS(Compta!$F$1:$F$675,Compta!$A$1:$A$675,$B164,Compta!$B$1:$B$675,"6063",Compta!$C$1:$C$675,$A164))</f>
        <v/>
      </c>
      <c r="Z164" t="str">
        <f>IF($A164="","",SUMIFS(Compta!$F$1:$F$675,Compta!$A$1:$A$675,$B164,Compta!$B$1:$B$675,"6231",Compta!$C$1:$C$675,$A164))</f>
        <v/>
      </c>
      <c r="AA164" t="str">
        <f>IF($A164="",""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</f>
        <v/>
      </c>
      <c r="AB164" t="str">
        <f>IF($A164="",""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</f>
        <v/>
      </c>
      <c r="AC164" t="s">
        <v>297</v>
      </c>
      <c r="AD164" t="s">
        <v>297</v>
      </c>
      <c r="AE164" t="s">
        <v>297</v>
      </c>
      <c r="AF164" t="s">
        <v>297</v>
      </c>
      <c r="AG164" t="s">
        <v>297</v>
      </c>
      <c r="AH164" t="s">
        <v>297</v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 t="str">
        <f>IF($A164="","",SUMIFS(Compta!$F$1:$F$675,Compta!$A$1:$A$675,"GRP",Compta!$B$1:$B$675,"6236",Compta!$C$1:$C$675,$A164))</f>
        <v/>
      </c>
      <c r="AP164" t="s">
        <v>297</v>
      </c>
      <c r="AQ164" t="s">
        <v>297</v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IF($A165="","",SUMIFS(Socle!$K$1:$K$175,Socle!$C$1:$C$175,$B165,Socle!$D$1:$D$175,$D165,Socle!$E$1:$E$175,$E165,Socle!$F$1:$F$175,$F165,Socle!$G$1:$G$175,$A165))</f>
        <v/>
      </c>
      <c r="K165" t="str">
        <f t="shared" si="20"/>
        <v/>
      </c>
      <c r="L165" t="str">
        <f>IF($A165="","",SUMIFS(Allocation!$I$1:$I$175,Allocation!$C$1:$C$175,$A165,Allocation!$D$1:$D$175,$B165))</f>
        <v/>
      </c>
      <c r="M165" t="str">
        <f>IF($A165="","",SUMIFS(Allocation!$J$1:$J$175,Allocation!$C$1:$C$175,$A165,Allocation!$D$1:$D$175,$B165))</f>
        <v/>
      </c>
      <c r="N165" t="str">
        <f>IF($A165="","",SUMIFS(Allocation!$K$1:$K$175,Allocation!$C$1:$C$175,$A165,Allocation!$D$1:$D$175,$B165))</f>
        <v/>
      </c>
      <c r="O165" t="str">
        <f t="shared" si="21"/>
        <v/>
      </c>
      <c r="P165" t="str">
        <f t="shared" si="22"/>
        <v/>
      </c>
      <c r="Q165" t="str">
        <f>IF($A165="","",SUMIFS(Allocation!$I$1:$I$175,Allocation!$C$1:$C$175,$A165,Allocation!$E$1:$E$175,$C165))</f>
        <v/>
      </c>
      <c r="R165" t="str">
        <f>IF($A165="","",SUMIFS(Allocation!$J$1:$J$175,Allocation!$C$1:$C$175,$A165,Allocation!$E$1:$E$175,$C165))</f>
        <v/>
      </c>
      <c r="S165" t="str">
        <f>IF($A165="","",SUMIFS(Allocation!$K$1:$K$175,Allocation!$C$1:$C$175,$A165,Allocation!$E$1:$E$175,$C165))</f>
        <v/>
      </c>
      <c r="T165" t="str">
        <f>IF($A165="","",SUMIFS(Allocation!$I$1:$I$175,Allocation!$C$1:$C$175,$A165))</f>
        <v/>
      </c>
      <c r="U165" t="str">
        <f>IF($A165="","",SUMIFS(Allocation!$J$1:$J$175,Allocation!$C$1:$C$175,$A165))</f>
        <v/>
      </c>
      <c r="V165" t="str">
        <f>IF($A165="","",SUMIFS(Allocation!$K$1:$K$175,Allocation!$C$1:$C$175,$A165))</f>
        <v/>
      </c>
      <c r="W165" t="str">
        <f>IF($A165="","",SUMIFS(Compta!$F$1:$F$675,Compta!$A$1:$A$675,$B165,Compta!$B$1:$B$675,"621",Compta!$C$1:$C$675,$A165))</f>
        <v/>
      </c>
      <c r="X165" t="str">
        <f>IF($A165="","",SUMIFS(Compta!$F$1:$F$675,Compta!$A$1:$A$675,$B165,Compta!$B$1:$B$675,"6411",Compta!$C$1:$C$675,$A165))</f>
        <v/>
      </c>
      <c r="Y165" t="str">
        <f>IF($A165="","",SUMIFS(Compta!$F$1:$F$675,Compta!$A$1:$A$675,$B165,Compta!$B$1:$B$675,"604",Compta!$C$1:$C$675,$A165)+SUMIFS(Compta!$F$1:$F$675,Compta!$A$1:$A$675,$B165,Compta!$B$1:$B$675,"6063",Compta!$C$1:$C$675,$A165))</f>
        <v/>
      </c>
      <c r="Z165" t="str">
        <f>IF($A165="","",SUMIFS(Compta!$F$1:$F$675,Compta!$A$1:$A$675,$B165,Compta!$B$1:$B$675,"6231",Compta!$C$1:$C$675,$A165))</f>
        <v/>
      </c>
      <c r="AA165" t="str">
        <f>IF($A165="",""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</f>
        <v/>
      </c>
      <c r="AB165" t="str">
        <f>IF($A165="",""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</f>
        <v/>
      </c>
      <c r="AC165" t="s">
        <v>297</v>
      </c>
      <c r="AD165" t="s">
        <v>297</v>
      </c>
      <c r="AE165" t="s">
        <v>297</v>
      </c>
      <c r="AF165" t="s">
        <v>297</v>
      </c>
      <c r="AG165" t="s">
        <v>297</v>
      </c>
      <c r="AH165" t="s">
        <v>297</v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 t="str">
        <f>IF($A165="","",SUMIFS(Compta!$F$1:$F$675,Compta!$A$1:$A$675,"GRP",Compta!$B$1:$B$675,"6236",Compta!$C$1:$C$675,$A165))</f>
        <v/>
      </c>
      <c r="AP165" t="s">
        <v>297</v>
      </c>
      <c r="AQ165" t="s">
        <v>297</v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IF($A166="","",SUMIFS(Socle!$K$1:$K$175,Socle!$C$1:$C$175,$B166,Socle!$D$1:$D$175,$D166,Socle!$E$1:$E$175,$E166,Socle!$F$1:$F$175,$F166,Socle!$G$1:$G$175,$A166))</f>
        <v/>
      </c>
      <c r="K166" t="str">
        <f t="shared" si="20"/>
        <v/>
      </c>
      <c r="L166" t="str">
        <f>IF($A166="","",SUMIFS(Allocation!$I$1:$I$175,Allocation!$C$1:$C$175,$A166,Allocation!$D$1:$D$175,$B166))</f>
        <v/>
      </c>
      <c r="M166" t="str">
        <f>IF($A166="","",SUMIFS(Allocation!$J$1:$J$175,Allocation!$C$1:$C$175,$A166,Allocation!$D$1:$D$175,$B166))</f>
        <v/>
      </c>
      <c r="N166" t="str">
        <f>IF($A166="","",SUMIFS(Allocation!$K$1:$K$175,Allocation!$C$1:$C$175,$A166,Allocation!$D$1:$D$175,$B166))</f>
        <v/>
      </c>
      <c r="O166" t="str">
        <f t="shared" si="21"/>
        <v/>
      </c>
      <c r="P166" t="str">
        <f t="shared" si="22"/>
        <v/>
      </c>
      <c r="Q166" t="str">
        <f>IF($A166="","",SUMIFS(Allocation!$I$1:$I$175,Allocation!$C$1:$C$175,$A166,Allocation!$E$1:$E$175,$C166))</f>
        <v/>
      </c>
      <c r="R166" t="str">
        <f>IF($A166="","",SUMIFS(Allocation!$J$1:$J$175,Allocation!$C$1:$C$175,$A166,Allocation!$E$1:$E$175,$C166))</f>
        <v/>
      </c>
      <c r="S166" t="str">
        <f>IF($A166="","",SUMIFS(Allocation!$K$1:$K$175,Allocation!$C$1:$C$175,$A166,Allocation!$E$1:$E$175,$C166))</f>
        <v/>
      </c>
      <c r="T166" t="str">
        <f>IF($A166="","",SUMIFS(Allocation!$I$1:$I$175,Allocation!$C$1:$C$175,$A166))</f>
        <v/>
      </c>
      <c r="U166" t="str">
        <f>IF($A166="","",SUMIFS(Allocation!$J$1:$J$175,Allocation!$C$1:$C$175,$A166))</f>
        <v/>
      </c>
      <c r="V166" t="str">
        <f>IF($A166="","",SUMIFS(Allocation!$K$1:$K$175,Allocation!$C$1:$C$175,$A166))</f>
        <v/>
      </c>
      <c r="W166" t="str">
        <f>IF($A166="","",SUMIFS(Compta!$F$1:$F$675,Compta!$A$1:$A$675,$B166,Compta!$B$1:$B$675,"621",Compta!$C$1:$C$675,$A166))</f>
        <v/>
      </c>
      <c r="X166" t="str">
        <f>IF($A166="","",SUMIFS(Compta!$F$1:$F$675,Compta!$A$1:$A$675,$B166,Compta!$B$1:$B$675,"6411",Compta!$C$1:$C$675,$A166))</f>
        <v/>
      </c>
      <c r="Y166" t="str">
        <f>IF($A166="","",SUMIFS(Compta!$F$1:$F$675,Compta!$A$1:$A$675,$B166,Compta!$B$1:$B$675,"604",Compta!$C$1:$C$675,$A166)+SUMIFS(Compta!$F$1:$F$675,Compta!$A$1:$A$675,$B166,Compta!$B$1:$B$675,"6063",Compta!$C$1:$C$675,$A166))</f>
        <v/>
      </c>
      <c r="Z166" t="str">
        <f>IF($A166="","",SUMIFS(Compta!$F$1:$F$675,Compta!$A$1:$A$675,$B166,Compta!$B$1:$B$675,"6231",Compta!$C$1:$C$675,$A166))</f>
        <v/>
      </c>
      <c r="AA166" t="str">
        <f>IF($A166="",""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</f>
        <v/>
      </c>
      <c r="AB166" t="str">
        <f>IF($A166="",""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</f>
        <v/>
      </c>
      <c r="AC166" t="s">
        <v>297</v>
      </c>
      <c r="AD166" t="s">
        <v>297</v>
      </c>
      <c r="AE166" t="s">
        <v>297</v>
      </c>
      <c r="AF166" t="s">
        <v>297</v>
      </c>
      <c r="AG166" t="s">
        <v>297</v>
      </c>
      <c r="AH166" t="s">
        <v>297</v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 t="str">
        <f>IF($A166="","",SUMIFS(Compta!$F$1:$F$675,Compta!$A$1:$A$675,"GRP",Compta!$B$1:$B$675,"6236",Compta!$C$1:$C$675,$A166))</f>
        <v/>
      </c>
      <c r="AP166" t="s">
        <v>297</v>
      </c>
      <c r="AQ166" t="s">
        <v>297</v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IF($A167="","",SUMIFS(Socle!$K$1:$K$175,Socle!$C$1:$C$175,$B167,Socle!$D$1:$D$175,$D167,Socle!$E$1:$E$175,$E167,Socle!$F$1:$F$175,$F167,Socle!$G$1:$G$175,$A167))</f>
        <v/>
      </c>
      <c r="K167" t="str">
        <f t="shared" si="20"/>
        <v/>
      </c>
      <c r="L167" t="str">
        <f>IF($A167="","",SUMIFS(Allocation!$I$1:$I$175,Allocation!$C$1:$C$175,$A167,Allocation!$D$1:$D$175,$B167))</f>
        <v/>
      </c>
      <c r="M167" t="str">
        <f>IF($A167="","",SUMIFS(Allocation!$J$1:$J$175,Allocation!$C$1:$C$175,$A167,Allocation!$D$1:$D$175,$B167))</f>
        <v/>
      </c>
      <c r="N167" t="str">
        <f>IF($A167="","",SUMIFS(Allocation!$K$1:$K$175,Allocation!$C$1:$C$175,$A167,Allocation!$D$1:$D$175,$B167))</f>
        <v/>
      </c>
      <c r="O167" t="str">
        <f t="shared" si="21"/>
        <v/>
      </c>
      <c r="P167" t="str">
        <f t="shared" si="22"/>
        <v/>
      </c>
      <c r="Q167" t="str">
        <f>IF($A167="","",SUMIFS(Allocation!$I$1:$I$175,Allocation!$C$1:$C$175,$A167,Allocation!$E$1:$E$175,$C167))</f>
        <v/>
      </c>
      <c r="R167" t="str">
        <f>IF($A167="","",SUMIFS(Allocation!$J$1:$J$175,Allocation!$C$1:$C$175,$A167,Allocation!$E$1:$E$175,$C167))</f>
        <v/>
      </c>
      <c r="S167" t="str">
        <f>IF($A167="","",SUMIFS(Allocation!$K$1:$K$175,Allocation!$C$1:$C$175,$A167,Allocation!$E$1:$E$175,$C167))</f>
        <v/>
      </c>
      <c r="T167" t="str">
        <f>IF($A167="","",SUMIFS(Allocation!$I$1:$I$175,Allocation!$C$1:$C$175,$A167))</f>
        <v/>
      </c>
      <c r="U167" t="str">
        <f>IF($A167="","",SUMIFS(Allocation!$J$1:$J$175,Allocation!$C$1:$C$175,$A167))</f>
        <v/>
      </c>
      <c r="V167" t="str">
        <f>IF($A167="","",SUMIFS(Allocation!$K$1:$K$175,Allocation!$C$1:$C$175,$A167))</f>
        <v/>
      </c>
      <c r="W167" t="str">
        <f>IF($A167="","",SUMIFS(Compta!$F$1:$F$675,Compta!$A$1:$A$675,$B167,Compta!$B$1:$B$675,"621",Compta!$C$1:$C$675,$A167))</f>
        <v/>
      </c>
      <c r="X167" t="str">
        <f>IF($A167="","",SUMIFS(Compta!$F$1:$F$675,Compta!$A$1:$A$675,$B167,Compta!$B$1:$B$675,"6411",Compta!$C$1:$C$675,$A167))</f>
        <v/>
      </c>
      <c r="Y167" t="str">
        <f>IF($A167="","",SUMIFS(Compta!$F$1:$F$675,Compta!$A$1:$A$675,$B167,Compta!$B$1:$B$675,"604",Compta!$C$1:$C$675,$A167)+SUMIFS(Compta!$F$1:$F$675,Compta!$A$1:$A$675,$B167,Compta!$B$1:$B$675,"6063",Compta!$C$1:$C$675,$A167))</f>
        <v/>
      </c>
      <c r="Z167" t="str">
        <f>IF($A167="","",SUMIFS(Compta!$F$1:$F$675,Compta!$A$1:$A$675,$B167,Compta!$B$1:$B$675,"6231",Compta!$C$1:$C$675,$A167))</f>
        <v/>
      </c>
      <c r="AA167" t="str">
        <f>IF($A167="",""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</f>
        <v/>
      </c>
      <c r="AB167" t="str">
        <f>IF($A167="",""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</f>
        <v/>
      </c>
      <c r="AC167" t="s">
        <v>297</v>
      </c>
      <c r="AD167" t="s">
        <v>297</v>
      </c>
      <c r="AE167" t="s">
        <v>297</v>
      </c>
      <c r="AF167" t="s">
        <v>297</v>
      </c>
      <c r="AG167" t="s">
        <v>297</v>
      </c>
      <c r="AH167" t="s">
        <v>297</v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 t="str">
        <f>IF($A167="","",SUMIFS(Compta!$F$1:$F$675,Compta!$A$1:$A$675,"GRP",Compta!$B$1:$B$675,"6236",Compta!$C$1:$C$675,$A167))</f>
        <v/>
      </c>
      <c r="AP167" t="s">
        <v>297</v>
      </c>
      <c r="AQ167" t="s">
        <v>297</v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IF($A168="","",SUMIFS(Socle!$K$1:$K$175,Socle!$C$1:$C$175,$B168,Socle!$D$1:$D$175,$D168,Socle!$E$1:$E$175,$E168,Socle!$F$1:$F$175,$F168,Socle!$G$1:$G$175,$A168))</f>
        <v/>
      </c>
      <c r="K168" t="str">
        <f t="shared" si="20"/>
        <v/>
      </c>
      <c r="L168" t="str">
        <f>IF($A168="","",SUMIFS(Allocation!$I$1:$I$175,Allocation!$C$1:$C$175,$A168,Allocation!$D$1:$D$175,$B168))</f>
        <v/>
      </c>
      <c r="M168" t="str">
        <f>IF($A168="","",SUMIFS(Allocation!$J$1:$J$175,Allocation!$C$1:$C$175,$A168,Allocation!$D$1:$D$175,$B168))</f>
        <v/>
      </c>
      <c r="N168" t="str">
        <f>IF($A168="","",SUMIFS(Allocation!$K$1:$K$175,Allocation!$C$1:$C$175,$A168,Allocation!$D$1:$D$175,$B168))</f>
        <v/>
      </c>
      <c r="O168" t="str">
        <f t="shared" si="21"/>
        <v/>
      </c>
      <c r="P168" t="str">
        <f t="shared" si="22"/>
        <v/>
      </c>
      <c r="Q168" t="str">
        <f>IF($A168="","",SUMIFS(Allocation!$I$1:$I$175,Allocation!$C$1:$C$175,$A168,Allocation!$E$1:$E$175,$C168))</f>
        <v/>
      </c>
      <c r="R168" t="str">
        <f>IF($A168="","",SUMIFS(Allocation!$J$1:$J$175,Allocation!$C$1:$C$175,$A168,Allocation!$E$1:$E$175,$C168))</f>
        <v/>
      </c>
      <c r="S168" t="str">
        <f>IF($A168="","",SUMIFS(Allocation!$K$1:$K$175,Allocation!$C$1:$C$175,$A168,Allocation!$E$1:$E$175,$C168))</f>
        <v/>
      </c>
      <c r="T168" t="str">
        <f>IF($A168="","",SUMIFS(Allocation!$I$1:$I$175,Allocation!$C$1:$C$175,$A168))</f>
        <v/>
      </c>
      <c r="U168" t="str">
        <f>IF($A168="","",SUMIFS(Allocation!$J$1:$J$175,Allocation!$C$1:$C$175,$A168))</f>
        <v/>
      </c>
      <c r="V168" t="str">
        <f>IF($A168="","",SUMIFS(Allocation!$K$1:$K$175,Allocation!$C$1:$C$175,$A168))</f>
        <v/>
      </c>
      <c r="W168" t="str">
        <f>IF($A168="","",SUMIFS(Compta!$F$1:$F$675,Compta!$A$1:$A$675,$B168,Compta!$B$1:$B$675,"621",Compta!$C$1:$C$675,$A168))</f>
        <v/>
      </c>
      <c r="X168" t="str">
        <f>IF($A168="","",SUMIFS(Compta!$F$1:$F$675,Compta!$A$1:$A$675,$B168,Compta!$B$1:$B$675,"6411",Compta!$C$1:$C$675,$A168))</f>
        <v/>
      </c>
      <c r="Y168" t="str">
        <f>IF($A168="","",SUMIFS(Compta!$F$1:$F$675,Compta!$A$1:$A$675,$B168,Compta!$B$1:$B$675,"604",Compta!$C$1:$C$675,$A168)+SUMIFS(Compta!$F$1:$F$675,Compta!$A$1:$A$675,$B168,Compta!$B$1:$B$675,"6063",Compta!$C$1:$C$675,$A168))</f>
        <v/>
      </c>
      <c r="Z168" t="str">
        <f>IF($A168="","",SUMIFS(Compta!$F$1:$F$675,Compta!$A$1:$A$675,$B168,Compta!$B$1:$B$675,"6231",Compta!$C$1:$C$675,$A168))</f>
        <v/>
      </c>
      <c r="AA168" t="str">
        <f>IF($A168="",""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</f>
        <v/>
      </c>
      <c r="AB168" t="str">
        <f>IF($A168="",""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</f>
        <v/>
      </c>
      <c r="AC168" t="s">
        <v>297</v>
      </c>
      <c r="AD168" t="s">
        <v>297</v>
      </c>
      <c r="AE168" t="s">
        <v>297</v>
      </c>
      <c r="AF168" t="s">
        <v>297</v>
      </c>
      <c r="AG168" t="s">
        <v>297</v>
      </c>
      <c r="AH168" t="s">
        <v>297</v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 t="str">
        <f>IF($A168="","",SUMIFS(Compta!$F$1:$F$675,Compta!$A$1:$A$675,"GRP",Compta!$B$1:$B$675,"6236",Compta!$C$1:$C$675,$A168))</f>
        <v/>
      </c>
      <c r="AP168" t="s">
        <v>297</v>
      </c>
      <c r="AQ168" t="s">
        <v>297</v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IF($A169="","",SUMIFS(Socle!$K$1:$K$175,Socle!$C$1:$C$175,$B169,Socle!$D$1:$D$175,$D169,Socle!$E$1:$E$175,$E169,Socle!$F$1:$F$175,$F169,Socle!$G$1:$G$175,$A169))</f>
        <v/>
      </c>
      <c r="K169" t="str">
        <f t="shared" si="20"/>
        <v/>
      </c>
      <c r="L169" t="str">
        <f>IF($A169="","",SUMIFS(Allocation!$I$1:$I$175,Allocation!$C$1:$C$175,$A169,Allocation!$D$1:$D$175,$B169))</f>
        <v/>
      </c>
      <c r="M169" t="str">
        <f>IF($A169="","",SUMIFS(Allocation!$J$1:$J$175,Allocation!$C$1:$C$175,$A169,Allocation!$D$1:$D$175,$B169))</f>
        <v/>
      </c>
      <c r="N169" t="str">
        <f>IF($A169="","",SUMIFS(Allocation!$K$1:$K$175,Allocation!$C$1:$C$175,$A169,Allocation!$D$1:$D$175,$B169))</f>
        <v/>
      </c>
      <c r="O169" t="str">
        <f t="shared" si="21"/>
        <v/>
      </c>
      <c r="P169" t="str">
        <f t="shared" si="22"/>
        <v/>
      </c>
      <c r="Q169" t="str">
        <f>IF($A169="","",SUMIFS(Allocation!$I$1:$I$175,Allocation!$C$1:$C$175,$A169,Allocation!$E$1:$E$175,$C169))</f>
        <v/>
      </c>
      <c r="R169" t="str">
        <f>IF($A169="","",SUMIFS(Allocation!$J$1:$J$175,Allocation!$C$1:$C$175,$A169,Allocation!$E$1:$E$175,$C169))</f>
        <v/>
      </c>
      <c r="S169" t="str">
        <f>IF($A169="","",SUMIFS(Allocation!$K$1:$K$175,Allocation!$C$1:$C$175,$A169,Allocation!$E$1:$E$175,$C169))</f>
        <v/>
      </c>
      <c r="T169" t="str">
        <f>IF($A169="","",SUMIFS(Allocation!$I$1:$I$175,Allocation!$C$1:$C$175,$A169))</f>
        <v/>
      </c>
      <c r="U169" t="str">
        <f>IF($A169="","",SUMIFS(Allocation!$J$1:$J$175,Allocation!$C$1:$C$175,$A169))</f>
        <v/>
      </c>
      <c r="V169" t="str">
        <f>IF($A169="","",SUMIFS(Allocation!$K$1:$K$175,Allocation!$C$1:$C$175,$A169))</f>
        <v/>
      </c>
      <c r="W169" t="str">
        <f>IF($A169="","",SUMIFS(Compta!$F$1:$F$675,Compta!$A$1:$A$675,$B169,Compta!$B$1:$B$675,"621",Compta!$C$1:$C$675,$A169))</f>
        <v/>
      </c>
      <c r="X169" t="str">
        <f>IF($A169="","",SUMIFS(Compta!$F$1:$F$675,Compta!$A$1:$A$675,$B169,Compta!$B$1:$B$675,"6411",Compta!$C$1:$C$675,$A169))</f>
        <v/>
      </c>
      <c r="Y169" t="str">
        <f>IF($A169="","",SUMIFS(Compta!$F$1:$F$675,Compta!$A$1:$A$675,$B169,Compta!$B$1:$B$675,"604",Compta!$C$1:$C$675,$A169)+SUMIFS(Compta!$F$1:$F$675,Compta!$A$1:$A$675,$B169,Compta!$B$1:$B$675,"6063",Compta!$C$1:$C$675,$A169))</f>
        <v/>
      </c>
      <c r="Z169" t="str">
        <f>IF($A169="","",SUMIFS(Compta!$F$1:$F$675,Compta!$A$1:$A$675,$B169,Compta!$B$1:$B$675,"6231",Compta!$C$1:$C$675,$A169))</f>
        <v/>
      </c>
      <c r="AA169" t="str">
        <f>IF($A169="",""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</f>
        <v/>
      </c>
      <c r="AB169" t="str">
        <f>IF($A169="",""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</f>
        <v/>
      </c>
      <c r="AC169" t="s">
        <v>297</v>
      </c>
      <c r="AD169" t="s">
        <v>297</v>
      </c>
      <c r="AE169" t="s">
        <v>297</v>
      </c>
      <c r="AF169" t="s">
        <v>297</v>
      </c>
      <c r="AG169" t="s">
        <v>297</v>
      </c>
      <c r="AH169" t="s">
        <v>297</v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 t="str">
        <f>IF($A169="","",SUMIFS(Compta!$F$1:$F$675,Compta!$A$1:$A$675,"GRP",Compta!$B$1:$B$675,"6236",Compta!$C$1:$C$675,$A169))</f>
        <v/>
      </c>
      <c r="AP169" t="s">
        <v>297</v>
      </c>
      <c r="AQ169" t="s">
        <v>297</v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IF($A170="","",SUMIFS(Socle!$K$1:$K$175,Socle!$C$1:$C$175,$B170,Socle!$D$1:$D$175,$D170,Socle!$E$1:$E$175,$E170,Socle!$F$1:$F$175,$F170,Socle!$G$1:$G$175,$A170))</f>
        <v/>
      </c>
      <c r="K170" t="str">
        <f t="shared" si="20"/>
        <v/>
      </c>
      <c r="L170" t="str">
        <f>IF($A170="","",SUMIFS(Allocation!$I$1:$I$175,Allocation!$C$1:$C$175,$A170,Allocation!$D$1:$D$175,$B170))</f>
        <v/>
      </c>
      <c r="M170" t="str">
        <f>IF($A170="","",SUMIFS(Allocation!$J$1:$J$175,Allocation!$C$1:$C$175,$A170,Allocation!$D$1:$D$175,$B170))</f>
        <v/>
      </c>
      <c r="N170" t="str">
        <f>IF($A170="","",SUMIFS(Allocation!$K$1:$K$175,Allocation!$C$1:$C$175,$A170,Allocation!$D$1:$D$175,$B170))</f>
        <v/>
      </c>
      <c r="O170" t="str">
        <f t="shared" si="21"/>
        <v/>
      </c>
      <c r="P170" t="str">
        <f t="shared" si="22"/>
        <v/>
      </c>
      <c r="Q170" t="str">
        <f>IF($A170="","",SUMIFS(Allocation!$I$1:$I$175,Allocation!$C$1:$C$175,$A170,Allocation!$E$1:$E$175,$C170))</f>
        <v/>
      </c>
      <c r="R170" t="str">
        <f>IF($A170="","",SUMIFS(Allocation!$J$1:$J$175,Allocation!$C$1:$C$175,$A170,Allocation!$E$1:$E$175,$C170))</f>
        <v/>
      </c>
      <c r="S170" t="str">
        <f>IF($A170="","",SUMIFS(Allocation!$K$1:$K$175,Allocation!$C$1:$C$175,$A170,Allocation!$E$1:$E$175,$C170))</f>
        <v/>
      </c>
      <c r="T170" t="str">
        <f>IF($A170="","",SUMIFS(Allocation!$I$1:$I$175,Allocation!$C$1:$C$175,$A170))</f>
        <v/>
      </c>
      <c r="U170" t="str">
        <f>IF($A170="","",SUMIFS(Allocation!$J$1:$J$175,Allocation!$C$1:$C$175,$A170))</f>
        <v/>
      </c>
      <c r="V170" t="str">
        <f>IF($A170="","",SUMIFS(Allocation!$K$1:$K$175,Allocation!$C$1:$C$175,$A170))</f>
        <v/>
      </c>
      <c r="W170" t="str">
        <f>IF($A170="","",SUMIFS(Compta!$F$1:$F$675,Compta!$A$1:$A$675,$B170,Compta!$B$1:$B$675,"621",Compta!$C$1:$C$675,$A170))</f>
        <v/>
      </c>
      <c r="X170" t="str">
        <f>IF($A170="","",SUMIFS(Compta!$F$1:$F$675,Compta!$A$1:$A$675,$B170,Compta!$B$1:$B$675,"6411",Compta!$C$1:$C$675,$A170))</f>
        <v/>
      </c>
      <c r="Y170" t="str">
        <f>IF($A170="","",SUMIFS(Compta!$F$1:$F$675,Compta!$A$1:$A$675,$B170,Compta!$B$1:$B$675,"604",Compta!$C$1:$C$675,$A170)+SUMIFS(Compta!$F$1:$F$675,Compta!$A$1:$A$675,$B170,Compta!$B$1:$B$675,"6063",Compta!$C$1:$C$675,$A170))</f>
        <v/>
      </c>
      <c r="Z170" t="str">
        <f>IF($A170="","",SUMIFS(Compta!$F$1:$F$675,Compta!$A$1:$A$675,$B170,Compta!$B$1:$B$675,"6231",Compta!$C$1:$C$675,$A170))</f>
        <v/>
      </c>
      <c r="AA170" t="str">
        <f>IF($A170="",""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</f>
        <v/>
      </c>
      <c r="AB170" t="str">
        <f>IF($A170="",""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</f>
        <v/>
      </c>
      <c r="AC170" t="s">
        <v>297</v>
      </c>
      <c r="AD170" t="s">
        <v>297</v>
      </c>
      <c r="AE170" t="s">
        <v>297</v>
      </c>
      <c r="AF170" t="s">
        <v>297</v>
      </c>
      <c r="AG170" t="s">
        <v>297</v>
      </c>
      <c r="AH170" t="s">
        <v>297</v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 t="str">
        <f>IF($A170="","",SUMIFS(Compta!$F$1:$F$675,Compta!$A$1:$A$675,"GRP",Compta!$B$1:$B$675,"6236",Compta!$C$1:$C$675,$A170))</f>
        <v/>
      </c>
      <c r="AP170" t="s">
        <v>297</v>
      </c>
      <c r="AQ170" t="s">
        <v>297</v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IF($A171="","",SUMIFS(Socle!$K$1:$K$175,Socle!$C$1:$C$175,$B171,Socle!$D$1:$D$175,$D171,Socle!$E$1:$E$175,$E171,Socle!$F$1:$F$175,$F171,Socle!$G$1:$G$175,$A171))</f>
        <v/>
      </c>
      <c r="K171" t="str">
        <f t="shared" si="20"/>
        <v/>
      </c>
      <c r="L171" t="str">
        <f>IF($A171="","",SUMIFS(Allocation!$I$1:$I$175,Allocation!$C$1:$C$175,$A171,Allocation!$D$1:$D$175,$B171))</f>
        <v/>
      </c>
      <c r="M171" t="str">
        <f>IF($A171="","",SUMIFS(Allocation!$J$1:$J$175,Allocation!$C$1:$C$175,$A171,Allocation!$D$1:$D$175,$B171))</f>
        <v/>
      </c>
      <c r="N171" t="str">
        <f>IF($A171="","",SUMIFS(Allocation!$K$1:$K$175,Allocation!$C$1:$C$175,$A171,Allocation!$D$1:$D$175,$B171))</f>
        <v/>
      </c>
      <c r="O171" t="str">
        <f t="shared" si="21"/>
        <v/>
      </c>
      <c r="P171" t="str">
        <f t="shared" si="22"/>
        <v/>
      </c>
      <c r="Q171" t="str">
        <f>IF($A171="","",SUMIFS(Allocation!$I$1:$I$175,Allocation!$C$1:$C$175,$A171,Allocation!$E$1:$E$175,$C171))</f>
        <v/>
      </c>
      <c r="R171" t="str">
        <f>IF($A171="","",SUMIFS(Allocation!$J$1:$J$175,Allocation!$C$1:$C$175,$A171,Allocation!$E$1:$E$175,$C171))</f>
        <v/>
      </c>
      <c r="S171" t="str">
        <f>IF($A171="","",SUMIFS(Allocation!$K$1:$K$175,Allocation!$C$1:$C$175,$A171,Allocation!$E$1:$E$175,$C171))</f>
        <v/>
      </c>
      <c r="T171" t="str">
        <f>IF($A171="","",SUMIFS(Allocation!$I$1:$I$175,Allocation!$C$1:$C$175,$A171))</f>
        <v/>
      </c>
      <c r="U171" t="str">
        <f>IF($A171="","",SUMIFS(Allocation!$J$1:$J$175,Allocation!$C$1:$C$175,$A171))</f>
        <v/>
      </c>
      <c r="V171" t="str">
        <f>IF($A171="","",SUMIFS(Allocation!$K$1:$K$175,Allocation!$C$1:$C$175,$A171))</f>
        <v/>
      </c>
      <c r="W171" t="str">
        <f>IF($A171="","",SUMIFS(Compta!$F$1:$F$675,Compta!$A$1:$A$675,$B171,Compta!$B$1:$B$675,"621",Compta!$C$1:$C$675,$A171))</f>
        <v/>
      </c>
      <c r="X171" t="str">
        <f>IF($A171="","",SUMIFS(Compta!$F$1:$F$675,Compta!$A$1:$A$675,$B171,Compta!$B$1:$B$675,"6411",Compta!$C$1:$C$675,$A171))</f>
        <v/>
      </c>
      <c r="Y171" t="str">
        <f>IF($A171="","",SUMIFS(Compta!$F$1:$F$675,Compta!$A$1:$A$675,$B171,Compta!$B$1:$B$675,"604",Compta!$C$1:$C$675,$A171)+SUMIFS(Compta!$F$1:$F$675,Compta!$A$1:$A$675,$B171,Compta!$B$1:$B$675,"6063",Compta!$C$1:$C$675,$A171))</f>
        <v/>
      </c>
      <c r="Z171" t="str">
        <f>IF($A171="","",SUMIFS(Compta!$F$1:$F$675,Compta!$A$1:$A$675,$B171,Compta!$B$1:$B$675,"6231",Compta!$C$1:$C$675,$A171))</f>
        <v/>
      </c>
      <c r="AA171" t="str">
        <f>IF($A171="",""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</f>
        <v/>
      </c>
      <c r="AB171" t="str">
        <f>IF($A171="",""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</f>
        <v/>
      </c>
      <c r="AC171" t="s">
        <v>297</v>
      </c>
      <c r="AD171" t="s">
        <v>297</v>
      </c>
      <c r="AE171" t="s">
        <v>297</v>
      </c>
      <c r="AF171" t="s">
        <v>297</v>
      </c>
      <c r="AG171" t="s">
        <v>297</v>
      </c>
      <c r="AH171" t="s">
        <v>297</v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 t="str">
        <f>IF($A171="","",SUMIFS(Compta!$F$1:$F$675,Compta!$A$1:$A$675,"GRP",Compta!$B$1:$B$675,"6236",Compta!$C$1:$C$675,$A171))</f>
        <v/>
      </c>
      <c r="AP171" t="s">
        <v>297</v>
      </c>
      <c r="AQ171" t="s">
        <v>297</v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IF($A172="","",SUMIFS(Socle!$K$1:$K$175,Socle!$C$1:$C$175,$B172,Socle!$D$1:$D$175,$D172,Socle!$E$1:$E$175,$E172,Socle!$F$1:$F$175,$F172,Socle!$G$1:$G$175,$A172))</f>
        <v/>
      </c>
      <c r="K172" t="str">
        <f t="shared" si="20"/>
        <v/>
      </c>
      <c r="L172" t="str">
        <f>IF($A172="","",SUMIFS(Allocation!$I$1:$I$175,Allocation!$C$1:$C$175,$A172,Allocation!$D$1:$D$175,$B172))</f>
        <v/>
      </c>
      <c r="M172" t="str">
        <f>IF($A172="","",SUMIFS(Allocation!$J$1:$J$175,Allocation!$C$1:$C$175,$A172,Allocation!$D$1:$D$175,$B172))</f>
        <v/>
      </c>
      <c r="N172" t="str">
        <f>IF($A172="","",SUMIFS(Allocation!$K$1:$K$175,Allocation!$C$1:$C$175,$A172,Allocation!$D$1:$D$175,$B172))</f>
        <v/>
      </c>
      <c r="O172" t="str">
        <f t="shared" si="21"/>
        <v/>
      </c>
      <c r="P172" t="str">
        <f t="shared" si="22"/>
        <v/>
      </c>
      <c r="Q172" t="str">
        <f>IF($A172="","",SUMIFS(Allocation!$I$1:$I$175,Allocation!$C$1:$C$175,$A172,Allocation!$E$1:$E$175,$C172))</f>
        <v/>
      </c>
      <c r="R172" t="str">
        <f>IF($A172="","",SUMIFS(Allocation!$J$1:$J$175,Allocation!$C$1:$C$175,$A172,Allocation!$E$1:$E$175,$C172))</f>
        <v/>
      </c>
      <c r="S172" t="str">
        <f>IF($A172="","",SUMIFS(Allocation!$K$1:$K$175,Allocation!$C$1:$C$175,$A172,Allocation!$E$1:$E$175,$C172))</f>
        <v/>
      </c>
      <c r="T172" t="str">
        <f>IF($A172="","",SUMIFS(Allocation!$I$1:$I$175,Allocation!$C$1:$C$175,$A172))</f>
        <v/>
      </c>
      <c r="U172" t="str">
        <f>IF($A172="","",SUMIFS(Allocation!$J$1:$J$175,Allocation!$C$1:$C$175,$A172))</f>
        <v/>
      </c>
      <c r="V172" t="str">
        <f>IF($A172="","",SUMIFS(Allocation!$K$1:$K$175,Allocation!$C$1:$C$175,$A172))</f>
        <v/>
      </c>
      <c r="W172" t="str">
        <f>IF($A172="","",SUMIFS(Compta!$F$1:$F$675,Compta!$A$1:$A$675,$B172,Compta!$B$1:$B$675,"621",Compta!$C$1:$C$675,$A172))</f>
        <v/>
      </c>
      <c r="X172" t="str">
        <f>IF($A172="","",SUMIFS(Compta!$F$1:$F$675,Compta!$A$1:$A$675,$B172,Compta!$B$1:$B$675,"6411",Compta!$C$1:$C$675,$A172))</f>
        <v/>
      </c>
      <c r="Y172" t="str">
        <f>IF($A172="","",SUMIFS(Compta!$F$1:$F$675,Compta!$A$1:$A$675,$B172,Compta!$B$1:$B$675,"604",Compta!$C$1:$C$675,$A172)+SUMIFS(Compta!$F$1:$F$675,Compta!$A$1:$A$675,$B172,Compta!$B$1:$B$675,"6063",Compta!$C$1:$C$675,$A172))</f>
        <v/>
      </c>
      <c r="Z172" t="str">
        <f>IF($A172="","",SUMIFS(Compta!$F$1:$F$675,Compta!$A$1:$A$675,$B172,Compta!$B$1:$B$675,"6231",Compta!$C$1:$C$675,$A172))</f>
        <v/>
      </c>
      <c r="AA172" t="str">
        <f>IF($A172="",""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</f>
        <v/>
      </c>
      <c r="AB172" t="str">
        <f>IF($A172="",""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</f>
        <v/>
      </c>
      <c r="AC172" t="s">
        <v>297</v>
      </c>
      <c r="AD172" t="s">
        <v>297</v>
      </c>
      <c r="AE172" t="s">
        <v>297</v>
      </c>
      <c r="AF172" t="s">
        <v>297</v>
      </c>
      <c r="AG172" t="s">
        <v>297</v>
      </c>
      <c r="AH172" t="s">
        <v>297</v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 t="str">
        <f>IF($A172="","",SUMIFS(Compta!$F$1:$F$675,Compta!$A$1:$A$675,"GRP",Compta!$B$1:$B$675,"6236",Compta!$C$1:$C$675,$A172))</f>
        <v/>
      </c>
      <c r="AP172" t="s">
        <v>297</v>
      </c>
      <c r="AQ172" t="s">
        <v>297</v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IF($A173="","",SUMIFS(Socle!$K$1:$K$175,Socle!$C$1:$C$175,$B173,Socle!$D$1:$D$175,$D173,Socle!$E$1:$E$175,$E173,Socle!$F$1:$F$175,$F173,Socle!$G$1:$G$175,$A173))</f>
        <v/>
      </c>
      <c r="K173" t="str">
        <f t="shared" si="20"/>
        <v/>
      </c>
      <c r="L173" t="str">
        <f>IF($A173="","",SUMIFS(Allocation!$I$1:$I$175,Allocation!$C$1:$C$175,$A173,Allocation!$D$1:$D$175,$B173))</f>
        <v/>
      </c>
      <c r="M173" t="str">
        <f>IF($A173="","",SUMIFS(Allocation!$J$1:$J$175,Allocation!$C$1:$C$175,$A173,Allocation!$D$1:$D$175,$B173))</f>
        <v/>
      </c>
      <c r="N173" t="str">
        <f>IF($A173="","",SUMIFS(Allocation!$K$1:$K$175,Allocation!$C$1:$C$175,$A173,Allocation!$D$1:$D$175,$B173))</f>
        <v/>
      </c>
      <c r="O173" t="str">
        <f t="shared" si="21"/>
        <v/>
      </c>
      <c r="P173" t="str">
        <f t="shared" si="22"/>
        <v/>
      </c>
      <c r="Q173" t="str">
        <f>IF($A173="","",SUMIFS(Allocation!$I$1:$I$175,Allocation!$C$1:$C$175,$A173,Allocation!$E$1:$E$175,$C173))</f>
        <v/>
      </c>
      <c r="R173" t="str">
        <f>IF($A173="","",SUMIFS(Allocation!$J$1:$J$175,Allocation!$C$1:$C$175,$A173,Allocation!$E$1:$E$175,$C173))</f>
        <v/>
      </c>
      <c r="S173" t="str">
        <f>IF($A173="","",SUMIFS(Allocation!$K$1:$K$175,Allocation!$C$1:$C$175,$A173,Allocation!$E$1:$E$175,$C173))</f>
        <v/>
      </c>
      <c r="T173" t="str">
        <f>IF($A173="","",SUMIFS(Allocation!$I$1:$I$175,Allocation!$C$1:$C$175,$A173))</f>
        <v/>
      </c>
      <c r="U173" t="str">
        <f>IF($A173="","",SUMIFS(Allocation!$J$1:$J$175,Allocation!$C$1:$C$175,$A173))</f>
        <v/>
      </c>
      <c r="V173" t="str">
        <f>IF($A173="","",SUMIFS(Allocation!$K$1:$K$175,Allocation!$C$1:$C$175,$A173))</f>
        <v/>
      </c>
      <c r="W173" t="str">
        <f>IF($A173="","",SUMIFS(Compta!$F$1:$F$675,Compta!$A$1:$A$675,$B173,Compta!$B$1:$B$675,"621",Compta!$C$1:$C$675,$A173))</f>
        <v/>
      </c>
      <c r="X173" t="str">
        <f>IF($A173="","",SUMIFS(Compta!$F$1:$F$675,Compta!$A$1:$A$675,$B173,Compta!$B$1:$B$675,"6411",Compta!$C$1:$C$675,$A173))</f>
        <v/>
      </c>
      <c r="Y173" t="str">
        <f>IF($A173="","",SUMIFS(Compta!$F$1:$F$675,Compta!$A$1:$A$675,$B173,Compta!$B$1:$B$675,"604",Compta!$C$1:$C$675,$A173)+SUMIFS(Compta!$F$1:$F$675,Compta!$A$1:$A$675,$B173,Compta!$B$1:$B$675,"6063",Compta!$C$1:$C$675,$A173))</f>
        <v/>
      </c>
      <c r="Z173" t="str">
        <f>IF($A173="","",SUMIFS(Compta!$F$1:$F$675,Compta!$A$1:$A$675,$B173,Compta!$B$1:$B$675,"6231",Compta!$C$1:$C$675,$A173))</f>
        <v/>
      </c>
      <c r="AA173" t="str">
        <f>IF($A173="",""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</f>
        <v/>
      </c>
      <c r="AB173" t="str">
        <f>IF($A173="",""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</f>
        <v/>
      </c>
      <c r="AC173" t="s">
        <v>297</v>
      </c>
      <c r="AD173" t="s">
        <v>297</v>
      </c>
      <c r="AE173" t="s">
        <v>297</v>
      </c>
      <c r="AF173" t="s">
        <v>297</v>
      </c>
      <c r="AG173" t="s">
        <v>297</v>
      </c>
      <c r="AH173" t="s">
        <v>297</v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 t="str">
        <f>IF($A173="","",SUMIFS(Compta!$F$1:$F$675,Compta!$A$1:$A$675,"GRP",Compta!$B$1:$B$675,"6236",Compta!$C$1:$C$675,$A173))</f>
        <v/>
      </c>
      <c r="AP173" t="s">
        <v>297</v>
      </c>
      <c r="AQ173" t="s">
        <v>297</v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IF($A174="","",SUMIFS(Socle!$K$1:$K$175,Socle!$C$1:$C$175,$B174,Socle!$D$1:$D$175,$D174,Socle!$E$1:$E$175,$E174,Socle!$F$1:$F$175,$F174,Socle!$G$1:$G$175,$A174))</f>
        <v/>
      </c>
      <c r="K174" t="str">
        <f t="shared" si="20"/>
        <v/>
      </c>
      <c r="L174" t="str">
        <f>IF($A174="","",SUMIFS(Allocation!$I$1:$I$175,Allocation!$C$1:$C$175,$A174,Allocation!$D$1:$D$175,$B174))</f>
        <v/>
      </c>
      <c r="M174" t="str">
        <f>IF($A174="","",SUMIFS(Allocation!$J$1:$J$175,Allocation!$C$1:$C$175,$A174,Allocation!$D$1:$D$175,$B174))</f>
        <v/>
      </c>
      <c r="N174" t="str">
        <f>IF($A174="","",SUMIFS(Allocation!$K$1:$K$175,Allocation!$C$1:$C$175,$A174,Allocation!$D$1:$D$175,$B174))</f>
        <v/>
      </c>
      <c r="O174" t="str">
        <f t="shared" si="21"/>
        <v/>
      </c>
      <c r="P174" t="str">
        <f t="shared" si="22"/>
        <v/>
      </c>
      <c r="Q174" t="str">
        <f>IF($A174="","",SUMIFS(Allocation!$I$1:$I$175,Allocation!$C$1:$C$175,$A174,Allocation!$E$1:$E$175,$C174))</f>
        <v/>
      </c>
      <c r="R174" t="str">
        <f>IF($A174="","",SUMIFS(Allocation!$J$1:$J$175,Allocation!$C$1:$C$175,$A174,Allocation!$E$1:$E$175,$C174))</f>
        <v/>
      </c>
      <c r="S174" t="str">
        <f>IF($A174="","",SUMIFS(Allocation!$K$1:$K$175,Allocation!$C$1:$C$175,$A174,Allocation!$E$1:$E$175,$C174))</f>
        <v/>
      </c>
      <c r="T174" t="str">
        <f>IF($A174="","",SUMIFS(Allocation!$I$1:$I$175,Allocation!$C$1:$C$175,$A174))</f>
        <v/>
      </c>
      <c r="U174" t="str">
        <f>IF($A174="","",SUMIFS(Allocation!$J$1:$J$175,Allocation!$C$1:$C$175,$A174))</f>
        <v/>
      </c>
      <c r="V174" t="str">
        <f>IF($A174="","",SUMIFS(Allocation!$K$1:$K$175,Allocation!$C$1:$C$175,$A174))</f>
        <v/>
      </c>
      <c r="W174" t="str">
        <f>IF($A174="","",SUMIFS(Compta!$F$1:$F$675,Compta!$A$1:$A$675,$B174,Compta!$B$1:$B$675,"621",Compta!$C$1:$C$675,$A174))</f>
        <v/>
      </c>
      <c r="X174" t="str">
        <f>IF($A174="","",SUMIFS(Compta!$F$1:$F$675,Compta!$A$1:$A$675,$B174,Compta!$B$1:$B$675,"6411",Compta!$C$1:$C$675,$A174))</f>
        <v/>
      </c>
      <c r="Y174" t="str">
        <f>IF($A174="","",SUMIFS(Compta!$F$1:$F$675,Compta!$A$1:$A$675,$B174,Compta!$B$1:$B$675,"604",Compta!$C$1:$C$675,$A174)+SUMIFS(Compta!$F$1:$F$675,Compta!$A$1:$A$675,$B174,Compta!$B$1:$B$675,"6063",Compta!$C$1:$C$675,$A174))</f>
        <v/>
      </c>
      <c r="Z174" t="str">
        <f>IF($A174="","",SUMIFS(Compta!$F$1:$F$675,Compta!$A$1:$A$675,$B174,Compta!$B$1:$B$675,"6231",Compta!$C$1:$C$675,$A174))</f>
        <v/>
      </c>
      <c r="AA174" t="str">
        <f>IF($A174="",""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</f>
        <v/>
      </c>
      <c r="AB174" t="str">
        <f>IF($A174="",""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</f>
        <v/>
      </c>
      <c r="AC174" t="s">
        <v>297</v>
      </c>
      <c r="AD174" t="s">
        <v>297</v>
      </c>
      <c r="AE174" t="s">
        <v>297</v>
      </c>
      <c r="AF174" t="s">
        <v>297</v>
      </c>
      <c r="AG174" t="s">
        <v>297</v>
      </c>
      <c r="AH174" t="s">
        <v>297</v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 t="str">
        <f>IF($A174="","",SUMIFS(Compta!$F$1:$F$675,Compta!$A$1:$A$675,"GRP",Compta!$B$1:$B$675,"6236",Compta!$C$1:$C$675,$A174))</f>
        <v/>
      </c>
      <c r="AP174" t="s">
        <v>297</v>
      </c>
      <c r="AQ174" t="s">
        <v>297</v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IF($A175="","",SUMIFS(Socle!$K$1:$K$175,Socle!$C$1:$C$175,$B175,Socle!$D$1:$D$175,$D175,Socle!$E$1:$E$175,$E175,Socle!$F$1:$F$175,$F175,Socle!$G$1:$G$175,$A175))</f>
        <v/>
      </c>
      <c r="K175" t="str">
        <f t="shared" si="20"/>
        <v/>
      </c>
      <c r="L175" t="str">
        <f>IF($A175="","",SUMIFS(Allocation!$I$1:$I$175,Allocation!$C$1:$C$175,$A175,Allocation!$D$1:$D$175,$B175))</f>
        <v/>
      </c>
      <c r="M175" t="str">
        <f>IF($A175="","",SUMIFS(Allocation!$J$1:$J$175,Allocation!$C$1:$C$175,$A175,Allocation!$D$1:$D$175,$B175))</f>
        <v/>
      </c>
      <c r="N175" t="str">
        <f>IF($A175="","",SUMIFS(Allocation!$K$1:$K$175,Allocation!$C$1:$C$175,$A175,Allocation!$D$1:$D$175,$B175))</f>
        <v/>
      </c>
      <c r="O175" t="str">
        <f t="shared" si="21"/>
        <v/>
      </c>
      <c r="P175" t="str">
        <f t="shared" si="22"/>
        <v/>
      </c>
      <c r="Q175" t="str">
        <f>IF($A175="","",SUMIFS(Allocation!$I$1:$I$175,Allocation!$C$1:$C$175,$A175,Allocation!$E$1:$E$175,$C175))</f>
        <v/>
      </c>
      <c r="R175" t="str">
        <f>IF($A175="","",SUMIFS(Allocation!$J$1:$J$175,Allocation!$C$1:$C$175,$A175,Allocation!$E$1:$E$175,$C175))</f>
        <v/>
      </c>
      <c r="S175" t="str">
        <f>IF($A175="","",SUMIFS(Allocation!$K$1:$K$175,Allocation!$C$1:$C$175,$A175,Allocation!$E$1:$E$175,$C175))</f>
        <v/>
      </c>
      <c r="T175" t="str">
        <f>IF($A175="","",SUMIFS(Allocation!$I$1:$I$175,Allocation!$C$1:$C$175,$A175))</f>
        <v/>
      </c>
      <c r="U175" t="str">
        <f>IF($A175="","",SUMIFS(Allocation!$J$1:$J$175,Allocation!$C$1:$C$175,$A175))</f>
        <v/>
      </c>
      <c r="V175" t="str">
        <f>IF($A175="","",SUMIFS(Allocation!$K$1:$K$175,Allocation!$C$1:$C$175,$A175))</f>
        <v/>
      </c>
      <c r="W175" t="str">
        <f>IF($A175="","",SUMIFS(Compta!$F$1:$F$675,Compta!$A$1:$A$675,$B175,Compta!$B$1:$B$675,"621",Compta!$C$1:$C$675,$A175))</f>
        <v/>
      </c>
      <c r="X175" t="str">
        <f>IF($A175="","",SUMIFS(Compta!$F$1:$F$675,Compta!$A$1:$A$675,$B175,Compta!$B$1:$B$675,"6411",Compta!$C$1:$C$675,$A175))</f>
        <v/>
      </c>
      <c r="Y175" t="str">
        <f>IF($A175="","",SUMIFS(Compta!$F$1:$F$675,Compta!$A$1:$A$675,$B175,Compta!$B$1:$B$675,"604",Compta!$C$1:$C$675,$A175)+SUMIFS(Compta!$F$1:$F$675,Compta!$A$1:$A$675,$B175,Compta!$B$1:$B$675,"6063",Compta!$C$1:$C$675,$A175))</f>
        <v/>
      </c>
      <c r="Z175" t="str">
        <f>IF($A175="","",SUMIFS(Compta!$F$1:$F$675,Compta!$A$1:$A$675,$B175,Compta!$B$1:$B$675,"6231",Compta!$C$1:$C$675,$A175))</f>
        <v/>
      </c>
      <c r="AA175" t="str">
        <f>IF($A175="",""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</f>
        <v/>
      </c>
      <c r="AB175" t="str">
        <f>IF($A175="",""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</f>
        <v/>
      </c>
      <c r="AC175" t="s">
        <v>297</v>
      </c>
      <c r="AD175" t="s">
        <v>297</v>
      </c>
      <c r="AE175" t="s">
        <v>297</v>
      </c>
      <c r="AF175" t="s">
        <v>297</v>
      </c>
      <c r="AG175" t="s">
        <v>297</v>
      </c>
      <c r="AH175" t="s">
        <v>297</v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 t="str">
        <f>IF($A175="","",SUMIFS(Compta!$F$1:$F$675,Compta!$A$1:$A$675,"GRP",Compta!$B$1:$B$675,"6236",Compta!$C$1:$C$675,$A175))</f>
        <v/>
      </c>
      <c r="AP175" t="s">
        <v>297</v>
      </c>
      <c r="AQ175" t="s">
        <v>297</v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E297D01-E1E8-4404-A146-57591BE904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2026-08-25T23:23:26Z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95c9002b-9545-4060-bff2-17e4280b0ebe</vt:lpwstr>
  </op:property>
  <op:property fmtid="{D5CDD505-2E9C-101B-9397-08002B2CF9AE}" pid="5" name="TGK_STATUS">
    <vt:lpstr>ADH_TPL</vt:lpstr>
  </op:property>
  <op:property fmtid="{D5CDD505-2E9C-101B-9397-08002B2CF9AE}" pid="6" name="TGK_CUSTOM_XML">
    <vt:lpwstr>{3E297D01-E1E8-4404-A146-57591BE9042C}</vt:lpwstr>
  </op:property>
</op:Properties>
</file>