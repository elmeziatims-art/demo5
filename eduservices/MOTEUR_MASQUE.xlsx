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Le coût variab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0.0%;-0.0%;&quot;—&quot;"/>
    <numFmt numFmtId="165" formatCode="#,##0&quot; €&quot;"/>
    <numFmt numFmtId="166" formatCode="0.00&quot; €&quot;"/>
    <numFmt numFmtId="167" formatCode="0.000"/>
    <numFmt numFmtId="168" formatCode="0.0%"/>
    <numFmt numFmtId="169" formatCode="#,##0.0"/>
    <numFmt numFmtId="170" formatCode="0.0&quot; h&quot;"/>
    <numFmt numFmtId="171" formatCode="+0.0%;-0.0%"/>
    <numFmt numFmtId="172" formatCode="#,##0&quot; h&quot;"/>
  </numFmts>
  <fonts count="24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C41822"/>
      <sz val="18"/>
    </font>
    <font>
      <name val="Arial"/>
      <i val="1"/>
      <color rgb="006B7075"/>
      <sz val="6.5"/>
    </font>
    <font>
      <name val="Arial"/>
      <color rgb="00262626"/>
      <sz val="18"/>
    </font>
    <font>
      <name val="Arial"/>
      <color rgb="005F8A17"/>
      <sz val="18"/>
    </font>
    <font>
      <name val="Arial"/>
      <color rgb="00007AC3"/>
      <sz val="18"/>
    </font>
    <font>
      <name val="Arial"/>
      <b val="1"/>
      <color rgb="00262626"/>
      <sz val="10"/>
    </font>
    <font>
      <name val="Arial"/>
      <i val="1"/>
      <color rgb="006B7075"/>
      <sz val="7.5"/>
    </font>
    <font>
      <name val="Arial"/>
      <b val="1"/>
      <color rgb="00007AC3"/>
      <sz val="10"/>
    </font>
    <font>
      <name val="Arial"/>
      <b val="1"/>
      <color rgb="00262626"/>
      <sz val="8"/>
    </font>
    <font>
      <name val="Arial"/>
      <b val="1"/>
      <color rgb="00007AC3"/>
      <sz val="8"/>
    </font>
    <font>
      <name val="Arial"/>
      <color rgb="00262626"/>
      <sz val="8"/>
    </font>
    <font>
      <name val="Arial"/>
      <b val="1"/>
      <color rgb="00B26B00"/>
      <sz val="10"/>
    </font>
    <font>
      <name val="Arial"/>
      <b val="1"/>
      <color rgb="00262626"/>
      <sz val="12"/>
    </font>
    <font>
      <name val="Arial"/>
      <i val="1"/>
      <color rgb="006B7075"/>
      <sz val="8"/>
    </font>
    <font>
      <name val="Arial"/>
      <b val="1"/>
      <color rgb="00C41822"/>
      <sz val="8"/>
    </font>
    <font>
      <name val="Arial"/>
      <b val="1"/>
      <color rgb="005F8A17"/>
      <sz val="8"/>
    </font>
    <font>
      <name val="Arial"/>
      <b val="1"/>
      <color rgb="00007AC3"/>
      <sz val="9"/>
    </font>
  </fonts>
  <fills count="9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DF3E7"/>
      </patternFill>
    </fill>
  </fills>
  <borders count="12">
    <border>
      <left/>
      <right/>
      <top/>
      <bottom/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bottom style="thin">
        <color rgb="00262626"/>
      </bottom>
    </border>
    <border>
      <top style="thin">
        <color rgb="00007AC3"/>
      </top>
    </border>
    <border>
      <bottom style="thin">
        <color rgb="00007AC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1" applyAlignment="1" pivotButton="0" quotePrefix="0" xfId="0">
      <alignment horizontal="right" vertical="center"/>
    </xf>
    <xf numFmtId="164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5" fontId="7" fillId="5" borderId="0" applyAlignment="1" pivotButton="0" quotePrefix="0" xfId="0">
      <alignment horizontal="left" vertical="center" indent="1"/>
    </xf>
    <xf numFmtId="165" fontId="9" fillId="5" borderId="0" applyAlignment="1" pivotButton="0" quotePrefix="0" xfId="0">
      <alignment horizontal="left" vertical="center" indent="1"/>
    </xf>
    <xf numFmtId="165" fontId="10" fillId="5" borderId="0" applyAlignment="1" pivotButton="0" quotePrefix="0" xfId="0">
      <alignment horizontal="left" vertical="center" indent="1"/>
    </xf>
    <xf numFmtId="166" fontId="11" fillId="5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12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4" applyAlignment="1" pivotButton="0" quotePrefix="0" xfId="0">
      <alignment horizontal="left" vertical="center"/>
    </xf>
    <xf numFmtId="0" fontId="15" fillId="2" borderId="4" applyAlignment="1" pivotButton="0" quotePrefix="0" xfId="0">
      <alignment horizontal="center" vertical="bottom" wrapText="1"/>
    </xf>
    <xf numFmtId="0" fontId="16" fillId="7" borderId="5" applyAlignment="1" pivotButton="0" quotePrefix="0" xfId="0">
      <alignment horizontal="left" vertical="center"/>
    </xf>
    <xf numFmtId="0" fontId="17" fillId="7" borderId="5" applyAlignment="1" pivotButton="0" quotePrefix="0" xfId="0">
      <alignment horizontal="left" vertical="center"/>
    </xf>
    <xf numFmtId="3" fontId="17" fillId="7" borderId="5" applyAlignment="1" pivotButton="0" quotePrefix="0" xfId="0">
      <alignment horizontal="right" vertical="center"/>
    </xf>
    <xf numFmtId="165" fontId="17" fillId="7" borderId="5" applyAlignment="1" pivotButton="0" quotePrefix="0" xfId="0">
      <alignment horizontal="right" vertical="center"/>
    </xf>
    <xf numFmtId="167" fontId="17" fillId="7" borderId="5" applyAlignment="1" pivotButton="0" quotePrefix="0" xfId="0">
      <alignment horizontal="right" vertical="center"/>
    </xf>
    <xf numFmtId="0" fontId="15" fillId="6" borderId="6" applyAlignment="1" pivotButton="0" quotePrefix="0" xfId="0">
      <alignment horizontal="left" vertical="center"/>
    </xf>
    <xf numFmtId="3" fontId="15" fillId="6" borderId="6" applyAlignment="1" pivotButton="0" quotePrefix="0" xfId="0">
      <alignment horizontal="right" vertical="center"/>
    </xf>
    <xf numFmtId="165" fontId="15" fillId="6" borderId="6" applyAlignment="1" pivotButton="0" quotePrefix="0" xfId="0">
      <alignment horizontal="right" vertical="center"/>
    </xf>
    <xf numFmtId="167" fontId="15" fillId="6" borderId="6" applyAlignment="1" pivotButton="0" quotePrefix="0" xfId="0">
      <alignment horizontal="right" vertical="center"/>
    </xf>
    <xf numFmtId="0" fontId="18" fillId="2" borderId="0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17" fillId="8" borderId="7" applyAlignment="1" pivotButton="0" quotePrefix="0" xfId="0">
      <alignment horizontal="left" vertical="center"/>
    </xf>
    <xf numFmtId="168" fontId="17" fillId="8" borderId="7" applyAlignment="1" pivotButton="0" quotePrefix="0" xfId="0">
      <alignment horizontal="right" vertical="center"/>
    </xf>
    <xf numFmtId="165" fontId="17" fillId="8" borderId="7" applyAlignment="1" pivotButton="0" quotePrefix="0" xfId="0">
      <alignment horizontal="right" vertical="center"/>
    </xf>
    <xf numFmtId="3" fontId="17" fillId="8" borderId="7" applyAlignment="1" pivotButton="0" quotePrefix="0" xfId="0">
      <alignment horizontal="right" vertical="center"/>
    </xf>
    <xf numFmtId="169" fontId="17" fillId="8" borderId="7" applyAlignment="1" pivotButton="0" quotePrefix="0" xfId="0">
      <alignment horizontal="right" vertical="center"/>
    </xf>
    <xf numFmtId="168" fontId="15" fillId="6" borderId="6" applyAlignment="1" pivotButton="0" quotePrefix="0" xfId="0">
      <alignment horizontal="right" vertical="center"/>
    </xf>
    <xf numFmtId="169" fontId="15" fillId="6" borderId="6" applyAlignment="1" pivotButton="0" quotePrefix="0" xfId="0">
      <alignment horizontal="righ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15" fillId="5" borderId="8" applyAlignment="1" pivotButton="0" quotePrefix="0" xfId="0">
      <alignment horizontal="left" vertical="center"/>
    </xf>
    <xf numFmtId="0" fontId="17" fillId="5" borderId="8" applyAlignment="1" pivotButton="0" quotePrefix="0" xfId="0">
      <alignment horizontal="right" vertical="center"/>
    </xf>
    <xf numFmtId="0" fontId="21" fillId="5" borderId="8" applyAlignment="1" pivotButton="0" quotePrefix="0" xfId="0">
      <alignment horizontal="right" vertical="center"/>
    </xf>
    <xf numFmtId="0" fontId="22" fillId="5" borderId="8" applyAlignment="1" pivotButton="0" quotePrefix="0" xfId="0">
      <alignment horizontal="right" vertical="center"/>
    </xf>
    <xf numFmtId="3" fontId="17" fillId="5" borderId="8" applyAlignment="1" pivotButton="0" quotePrefix="0" xfId="0">
      <alignment horizontal="right" vertical="center"/>
    </xf>
    <xf numFmtId="170" fontId="17" fillId="5" borderId="8" applyAlignment="1" pivotButton="0" quotePrefix="0" xfId="0">
      <alignment horizontal="right" vertical="center"/>
    </xf>
    <xf numFmtId="166" fontId="17" fillId="5" borderId="8" applyAlignment="1" pivotButton="0" quotePrefix="0" xfId="0">
      <alignment horizontal="right" vertical="center"/>
    </xf>
    <xf numFmtId="165" fontId="15" fillId="5" borderId="8" applyAlignment="1" pivotButton="0" quotePrefix="0" xfId="0">
      <alignment horizontal="right" vertical="center"/>
    </xf>
    <xf numFmtId="165" fontId="17" fillId="5" borderId="8" applyAlignment="1" pivotButton="0" quotePrefix="0" xfId="0">
      <alignment horizontal="right" vertical="center"/>
    </xf>
    <xf numFmtId="171" fontId="17" fillId="5" borderId="8" applyAlignment="1" pivotButton="0" quotePrefix="0" xfId="0">
      <alignment horizontal="right" vertical="center"/>
    </xf>
    <xf numFmtId="0" fontId="15" fillId="6" borderId="9" applyAlignment="1" pivotButton="0" quotePrefix="0" xfId="0">
      <alignment horizontal="left" vertical="center"/>
    </xf>
    <xf numFmtId="3" fontId="15" fillId="6" borderId="9" applyAlignment="1" pivotButton="0" quotePrefix="0" xfId="0">
      <alignment horizontal="right" vertical="center"/>
    </xf>
    <xf numFmtId="170" fontId="15" fillId="6" borderId="9" applyAlignment="1" pivotButton="0" quotePrefix="0" xfId="0">
      <alignment horizontal="right" vertical="center"/>
    </xf>
    <xf numFmtId="166" fontId="15" fillId="6" borderId="9" applyAlignment="1" pivotButton="0" quotePrefix="0" xfId="0">
      <alignment horizontal="right" vertical="center"/>
    </xf>
    <xf numFmtId="165" fontId="15" fillId="6" borderId="9" applyAlignment="1" pivotButton="0" quotePrefix="0" xfId="0">
      <alignment horizontal="right" vertical="center"/>
    </xf>
    <xf numFmtId="171" fontId="15" fillId="6" borderId="9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/>
    </xf>
    <xf numFmtId="0" fontId="22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 vertical="center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172" fontId="17" fillId="5" borderId="8" applyAlignment="1" pivotButton="0" quotePrefix="0" xfId="0">
      <alignment horizontal="right" vertical="center"/>
    </xf>
    <xf numFmtId="0" fontId="20" fillId="5" borderId="8" applyAlignment="1" pivotButton="0" quotePrefix="0" xfId="0">
      <alignment horizontal="left" vertical="center"/>
    </xf>
    <xf numFmtId="0" fontId="23" fillId="5" borderId="10" applyAlignment="1" pivotButton="0" quotePrefix="0" xfId="0">
      <alignment horizontal="left" vertical="center"/>
    </xf>
    <xf numFmtId="0" fontId="0" fillId="5" borderId="10" pivotButton="0" quotePrefix="0" xfId="0"/>
    <xf numFmtId="0" fontId="13" fillId="5" borderId="11" applyAlignment="1" pivotButton="0" quotePrefix="0" xfId="0">
      <alignment horizontal="left" vertical="center"/>
    </xf>
    <xf numFmtId="0" fontId="0" fillId="5" borderId="11" pivotButton="0" quotePrefix="0" xfId="0"/>
  </cellXfs>
  <cellStyles count="1">
    <cellStyle name="Normal" xfId="0" builtinId="0" hidden="0"/>
  </cellStyles>
  <dxfs count="1">
    <dxf>
      <font>
        <name val="Arial"/>
        <b val="1"/>
        <color rgb="00C41822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24" customHeight="1">
      <c r="A2" s="1" t="n"/>
      <c r="B2" s="3" t="inlineStr">
        <is>
          <t>CALIBRATION &amp; EFFET D'UN +Δ%  —  campus groupé par marque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22" customHeight="1">
      <c r="A4" s="5" t="n"/>
      <c r="B4" s="6" t="inlineStr">
        <is>
          <t>LE GESTE  ·  la seule cellule à saisir</t>
        </is>
      </c>
      <c r="C4" s="7" t="n"/>
      <c r="D4" s="8" t="inlineStr">
        <is>
          <t>Δ budget d'acquisition</t>
        </is>
      </c>
      <c r="E4" s="7" t="n"/>
      <c r="F4" s="9" t="n">
        <v>0.08</v>
      </c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8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</row>
    <row r="6" ht="24" customHeight="1">
      <c r="A6" s="5" t="n"/>
      <c r="B6" s="10">
        <f>"Je dépense "&amp;TEXT(H58,"#,##0 €")&amp;".   J'encaisse "&amp;TEXT(J58,"#,##0 €")&amp;".   Les servir coûte "&amp;TEXT(I58*K58,"#,##0 €")&amp;".   Il me reste "&amp;TEXT(L58,"#,##0 €")&amp;"."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 ht="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  <c r="N8" s="11" t="n"/>
      <c r="O8" s="11" t="n"/>
      <c r="P8" s="11" t="n"/>
      <c r="Q8" s="5" t="n"/>
      <c r="R8" s="5" t="n"/>
    </row>
    <row r="9" ht="12" customHeight="1">
      <c r="A9" s="5" t="n"/>
      <c r="B9" s="12" t="inlineStr">
        <is>
          <t>JE DÉPENSE</t>
        </is>
      </c>
      <c r="C9" s="13" t="n"/>
      <c r="D9" s="13" t="n"/>
      <c r="E9" s="12" t="inlineStr">
        <is>
          <t>J'ENCAISSE</t>
        </is>
      </c>
      <c r="F9" s="13" t="n"/>
      <c r="G9" s="13" t="n"/>
      <c r="H9" s="12" t="inlineStr">
        <is>
          <t>LES SERVIR COÛTE</t>
        </is>
      </c>
      <c r="I9" s="13" t="n"/>
      <c r="J9" s="13" t="n"/>
      <c r="K9" s="12" t="inlineStr">
        <is>
          <t>IL ME RESTE</t>
        </is>
      </c>
      <c r="L9" s="13" t="n"/>
      <c r="M9" s="13" t="n"/>
      <c r="N9" s="12" t="inlineStr">
        <is>
          <t>PAR EURO INVESTI</t>
        </is>
      </c>
      <c r="O9" s="13" t="n"/>
      <c r="P9" s="13" t="n"/>
      <c r="Q9" s="5" t="n"/>
      <c r="R9" s="5" t="n"/>
    </row>
    <row r="10" ht="28" customHeight="1">
      <c r="A10" s="5" t="n"/>
      <c r="B10" s="14">
        <f>H58</f>
        <v/>
      </c>
      <c r="C10" s="13" t="n"/>
      <c r="D10" s="13" t="n"/>
      <c r="E10" s="15">
        <f>J58</f>
        <v/>
      </c>
      <c r="F10" s="13" t="n"/>
      <c r="G10" s="13" t="n"/>
      <c r="H10" s="14">
        <f>I58*K58</f>
        <v/>
      </c>
      <c r="I10" s="13" t="n"/>
      <c r="J10" s="13" t="n"/>
      <c r="K10" s="16">
        <f>L58</f>
        <v/>
      </c>
      <c r="L10" s="13" t="n"/>
      <c r="M10" s="13" t="n"/>
      <c r="N10" s="17">
        <f>IFERROR(L58/H58,0)</f>
        <v/>
      </c>
      <c r="O10" s="13" t="n"/>
      <c r="P10" s="13" t="n"/>
      <c r="Q10" s="5" t="n"/>
      <c r="R10" s="5" t="n"/>
    </row>
    <row r="11" ht="14" customHeight="1">
      <c r="A11" s="5" t="n"/>
      <c r="B11" s="18" t="inlineStr">
        <is>
          <t>le Δ appliqué au budget 2026</t>
        </is>
      </c>
      <c r="C11" s="19" t="n"/>
      <c r="D11" s="19" t="n"/>
      <c r="E11" s="18" t="inlineStr">
        <is>
          <t>les inscrits gagnés × le CA par inscrit</t>
        </is>
      </c>
      <c r="F11" s="19" t="n"/>
      <c r="G11" s="19" t="n"/>
      <c r="H11" s="18" t="inlineStr">
        <is>
          <t>consommables, et vacataire si une classe doit ouvrir</t>
        </is>
      </c>
      <c r="I11" s="19" t="n"/>
      <c r="J11" s="19" t="n"/>
      <c r="K11" s="18" t="inlineStr">
        <is>
          <t>d'EBITDA en plus, première année</t>
        </is>
      </c>
      <c r="L11" s="19" t="n"/>
      <c r="M11" s="19" t="n"/>
      <c r="N11" s="18" t="inlineStr">
        <is>
          <t>d'EBITDA pour un euro d'acquisition</t>
        </is>
      </c>
      <c r="O11" s="19" t="n"/>
      <c r="P11" s="19" t="n"/>
      <c r="Q11" s="5" t="n"/>
      <c r="R11" s="5" t="n"/>
    </row>
    <row r="12" ht="8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 ht="20" customHeight="1">
      <c r="A13" s="5" t="n"/>
      <c r="B13" s="20">
        <f>"JUSQU'OÙ ?   Le geste gagne "&amp;TEXT(I58,"#,##0")&amp;" inscrits pour "&amp;TEXT(G58,"#,##0")&amp;" places libres dans le réseau, soit "&amp;TEXT(I58/G58,"0.0%")&amp;" de la capacité disponible."</f>
        <v/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</row>
    <row r="14" ht="16" customHeight="1">
      <c r="A14" s="5" t="n"/>
      <c r="B14" s="22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</row>
    <row r="15" ht="1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 ht="20" customHeight="1">
      <c r="A17" s="5" t="n"/>
      <c r="B17" s="23" t="inlineStr">
        <is>
          <t>①  CE QUE LA VUE RESTITUE  ·  V_MOTEUR_CAL, une ligne par campus, aucun calcul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</row>
    <row r="18" ht="14" customHeight="1">
      <c r="A18" s="5" t="n"/>
      <c r="B18" s="24" t="inlineStr">
        <is>
          <t>Ces dix-sept colonnes sortent de la base. Elles sont additives : on peut les sommer, les filtrer, les remonter à la marque — rien n'y est un ratio.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 ht="34" customHeight="1">
      <c r="A19" s="5" t="n"/>
      <c r="B19" s="25" t="inlineStr">
        <is>
          <t>Marque</t>
        </is>
      </c>
      <c r="C19" s="25" t="inlineStr">
        <is>
          <t>Campus</t>
        </is>
      </c>
      <c r="D19" s="26" t="inlineStr">
        <is>
          <t>Leads payants 2024</t>
        </is>
      </c>
      <c r="E19" s="26" t="inlineStr">
        <is>
          <t>Leads payants 2025</t>
        </is>
      </c>
      <c r="F19" s="26" t="inlineStr">
        <is>
          <t>Leads payants 2026</t>
        </is>
      </c>
      <c r="G19" s="26" t="inlineStr">
        <is>
          <t>Budget acq. 2024</t>
        </is>
      </c>
      <c r="H19" s="26" t="inlineStr">
        <is>
          <t>Budget acq. 2025</t>
        </is>
      </c>
      <c r="I19" s="26" t="inlineStr">
        <is>
          <t>Budget acq. 2026</t>
        </is>
      </c>
      <c r="J19" s="26" t="inlineStr">
        <is>
          <t>Élasticité</t>
        </is>
      </c>
      <c r="K19" s="26" t="inlineStr">
        <is>
          <t>Leads totaux 2026</t>
        </is>
      </c>
      <c r="L19" s="26" t="inlineStr">
        <is>
          <t>Inscrits 2026</t>
        </is>
      </c>
      <c r="M19" s="26" t="inlineStr">
        <is>
          <t>CA nouveaux 2026</t>
        </is>
      </c>
      <c r="N19" s="26" t="inlineStr">
        <is>
          <t>Effectifs 2026</t>
        </is>
      </c>
      <c r="O19" s="26" t="inlineStr">
        <is>
          <t>Places 2026</t>
        </is>
      </c>
      <c r="P19" s="26" t="inlineStr">
        <is>
          <t>Classes 2026</t>
        </is>
      </c>
      <c r="Q19" s="26" t="inlineStr">
        <is>
          <t>Consommables 604+6063</t>
        </is>
      </c>
      <c r="R19" s="26" t="inlineStr">
        <is>
          <t>Vacataires 621</t>
        </is>
      </c>
    </row>
    <row r="20">
      <c r="A20" s="5" t="n"/>
      <c r="B20" s="27" t="inlineStr">
        <is>
          <t>Ipac Bachelor Factory</t>
        </is>
      </c>
      <c r="C20" s="28" t="inlineStr">
        <is>
          <t>Montpellier</t>
        </is>
      </c>
      <c r="D20" s="29" t="n">
        <v>377</v>
      </c>
      <c r="E20" s="29" t="n">
        <v>399</v>
      </c>
      <c r="F20" s="29" t="n">
        <v>422</v>
      </c>
      <c r="G20" s="30" t="n">
        <v>12543</v>
      </c>
      <c r="H20" s="30" t="n">
        <v>13798</v>
      </c>
      <c r="I20" s="30" t="n">
        <v>15178</v>
      </c>
      <c r="J20" s="31" t="n">
        <v>0.5913448933445277</v>
      </c>
      <c r="K20" s="29" t="n">
        <v>680</v>
      </c>
      <c r="L20" s="29" t="n">
        <v>40</v>
      </c>
      <c r="M20" s="30" t="n">
        <v>269600</v>
      </c>
      <c r="N20" s="29" t="n">
        <v>117</v>
      </c>
      <c r="O20" s="29" t="n">
        <v>192</v>
      </c>
      <c r="P20" s="29" t="n">
        <v>6</v>
      </c>
      <c r="Q20" s="30" t="n">
        <v>43535</v>
      </c>
      <c r="R20" s="30" t="n">
        <v>72438</v>
      </c>
    </row>
    <row r="21">
      <c r="A21" s="5" t="n"/>
      <c r="B21" s="27" t="inlineStr"/>
      <c r="C21" s="28" t="inlineStr">
        <is>
          <t>Nantes</t>
        </is>
      </c>
      <c r="D21" s="29" t="n">
        <v>489</v>
      </c>
      <c r="E21" s="29" t="n">
        <v>516</v>
      </c>
      <c r="F21" s="29" t="n">
        <v>544</v>
      </c>
      <c r="G21" s="30" t="n">
        <v>17983</v>
      </c>
      <c r="H21" s="30" t="n">
        <v>19782</v>
      </c>
      <c r="I21" s="30" t="n">
        <v>21760</v>
      </c>
      <c r="J21" s="31" t="n">
        <v>0.5590807860887932</v>
      </c>
      <c r="K21" s="29" t="n">
        <v>850</v>
      </c>
      <c r="L21" s="29" t="n">
        <v>50</v>
      </c>
      <c r="M21" s="30" t="n">
        <v>354500</v>
      </c>
      <c r="N21" s="29" t="n">
        <v>145</v>
      </c>
      <c r="O21" s="29" t="n">
        <v>192</v>
      </c>
      <c r="P21" s="29" t="n">
        <v>6</v>
      </c>
      <c r="Q21" s="30" t="n">
        <v>53954</v>
      </c>
      <c r="R21" s="30" t="n">
        <v>72438</v>
      </c>
    </row>
    <row r="22">
      <c r="A22" s="5" t="n"/>
      <c r="B22" s="27" t="inlineStr"/>
      <c r="C22" s="28" t="inlineStr">
        <is>
          <t>Rennes</t>
        </is>
      </c>
      <c r="D22" s="29" t="n">
        <v>371</v>
      </c>
      <c r="E22" s="29" t="n">
        <v>392</v>
      </c>
      <c r="F22" s="29" t="n">
        <v>415</v>
      </c>
      <c r="G22" s="30" t="n">
        <v>12341</v>
      </c>
      <c r="H22" s="30" t="n">
        <v>13575</v>
      </c>
      <c r="I22" s="30" t="n">
        <v>14933</v>
      </c>
      <c r="J22" s="31" t="n">
        <v>0.5878765643775008</v>
      </c>
      <c r="K22" s="29" t="n">
        <v>680</v>
      </c>
      <c r="L22" s="29" t="n">
        <v>40</v>
      </c>
      <c r="M22" s="30" t="n">
        <v>269600</v>
      </c>
      <c r="N22" s="29" t="n">
        <v>117</v>
      </c>
      <c r="O22" s="29" t="n">
        <v>192</v>
      </c>
      <c r="P22" s="29" t="n">
        <v>6</v>
      </c>
      <c r="Q22" s="30" t="n">
        <v>43535</v>
      </c>
      <c r="R22" s="30" t="n">
        <v>72438</v>
      </c>
    </row>
    <row r="23">
      <c r="A23" s="5" t="n"/>
      <c r="B23" s="27" t="inlineStr">
        <is>
          <t>ISCOM</t>
        </is>
      </c>
      <c r="C23" s="28" t="inlineStr">
        <is>
          <t>Lille</t>
        </is>
      </c>
      <c r="D23" s="29" t="n">
        <v>571</v>
      </c>
      <c r="E23" s="29" t="n">
        <v>600</v>
      </c>
      <c r="F23" s="29" t="n">
        <v>630</v>
      </c>
      <c r="G23" s="30" t="n">
        <v>20843</v>
      </c>
      <c r="H23" s="30" t="n">
        <v>22927</v>
      </c>
      <c r="I23" s="30" t="n">
        <v>25220</v>
      </c>
      <c r="J23" s="31" t="n">
        <v>0.5158483081894893</v>
      </c>
      <c r="K23" s="29" t="n">
        <v>1260</v>
      </c>
      <c r="L23" s="29" t="n">
        <v>100</v>
      </c>
      <c r="M23" s="30" t="n">
        <v>744000</v>
      </c>
      <c r="N23" s="29" t="n">
        <v>244</v>
      </c>
      <c r="O23" s="29" t="n">
        <v>296</v>
      </c>
      <c r="P23" s="29" t="n">
        <v>10</v>
      </c>
      <c r="Q23" s="30" t="n">
        <v>90791</v>
      </c>
      <c r="R23" s="30" t="n">
        <v>120729</v>
      </c>
    </row>
    <row r="24">
      <c r="A24" s="5" t="n"/>
      <c r="B24" s="27" t="inlineStr"/>
      <c r="C24" s="28" t="inlineStr">
        <is>
          <t>Paris</t>
        </is>
      </c>
      <c r="D24" s="29" t="n">
        <v>1035</v>
      </c>
      <c r="E24" s="29" t="n">
        <v>1080</v>
      </c>
      <c r="F24" s="29" t="n">
        <v>1126</v>
      </c>
      <c r="G24" s="30" t="n">
        <v>50248</v>
      </c>
      <c r="H24" s="30" t="n">
        <v>55272</v>
      </c>
      <c r="I24" s="30" t="n">
        <v>60800</v>
      </c>
      <c r="J24" s="31" t="n">
        <v>0.4420862663670903</v>
      </c>
      <c r="K24" s="29" t="n">
        <v>1816</v>
      </c>
      <c r="L24" s="29" t="n">
        <v>144</v>
      </c>
      <c r="M24" s="30" t="n">
        <v>1222560</v>
      </c>
      <c r="N24" s="29" t="n">
        <v>354</v>
      </c>
      <c r="O24" s="29" t="n">
        <v>444</v>
      </c>
      <c r="P24" s="29" t="n">
        <v>15</v>
      </c>
      <c r="Q24" s="30" t="n">
        <v>131722</v>
      </c>
      <c r="R24" s="30" t="n">
        <v>181094</v>
      </c>
    </row>
    <row r="25">
      <c r="A25" s="5" t="n"/>
      <c r="B25" s="27" t="inlineStr"/>
      <c r="C25" s="28" t="inlineStr">
        <is>
          <t>Toulouse</t>
        </is>
      </c>
      <c r="D25" s="29" t="n">
        <v>526</v>
      </c>
      <c r="E25" s="29" t="n">
        <v>553</v>
      </c>
      <c r="F25" s="29" t="n">
        <v>581</v>
      </c>
      <c r="G25" s="30" t="n">
        <v>18251</v>
      </c>
      <c r="H25" s="30" t="n">
        <v>20076</v>
      </c>
      <c r="I25" s="30" t="n">
        <v>22083</v>
      </c>
      <c r="J25" s="31" t="n">
        <v>0.5218033692330478</v>
      </c>
      <c r="K25" s="29" t="n">
        <v>1186</v>
      </c>
      <c r="L25" s="29" t="n">
        <v>94</v>
      </c>
      <c r="M25" s="30" t="n">
        <v>685260</v>
      </c>
      <c r="N25" s="29" t="n">
        <v>231</v>
      </c>
      <c r="O25" s="29" t="n">
        <v>296</v>
      </c>
      <c r="P25" s="29" t="n">
        <v>10</v>
      </c>
      <c r="Q25" s="30" t="n">
        <v>85954</v>
      </c>
      <c r="R25" s="30" t="n">
        <v>120729</v>
      </c>
    </row>
    <row r="26">
      <c r="A26" s="5" t="n"/>
      <c r="B26" s="27" t="inlineStr">
        <is>
          <t>MBway</t>
        </is>
      </c>
      <c r="C26" s="28" t="inlineStr">
        <is>
          <t>Bordeaux</t>
        </is>
      </c>
      <c r="D26" s="29" t="n">
        <v>592</v>
      </c>
      <c r="E26" s="29" t="n">
        <v>623</v>
      </c>
      <c r="F26" s="29" t="n">
        <v>656</v>
      </c>
      <c r="G26" s="30" t="n">
        <v>20597</v>
      </c>
      <c r="H26" s="30" t="n">
        <v>22657</v>
      </c>
      <c r="I26" s="30" t="n">
        <v>24923</v>
      </c>
      <c r="J26" s="31" t="n">
        <v>0.5384552935105315</v>
      </c>
      <c r="K26" s="29" t="n">
        <v>1286</v>
      </c>
      <c r="L26" s="29" t="n">
        <v>102</v>
      </c>
      <c r="M26" s="30" t="n">
        <v>751230</v>
      </c>
      <c r="N26" s="29" t="n">
        <v>249</v>
      </c>
      <c r="O26" s="29" t="n">
        <v>296</v>
      </c>
      <c r="P26" s="29" t="n">
        <v>10</v>
      </c>
      <c r="Q26" s="30" t="n">
        <v>92652</v>
      </c>
      <c r="R26" s="30" t="n">
        <v>120729</v>
      </c>
    </row>
    <row r="27">
      <c r="A27" s="5" t="n"/>
      <c r="B27" s="27" t="inlineStr"/>
      <c r="C27" s="28" t="inlineStr">
        <is>
          <t>Lyon</t>
        </is>
      </c>
      <c r="D27" s="29" t="n">
        <v>863</v>
      </c>
      <c r="E27" s="29" t="n">
        <v>905</v>
      </c>
      <c r="F27" s="29" t="n">
        <v>950</v>
      </c>
      <c r="G27" s="30" t="n">
        <v>34532</v>
      </c>
      <c r="H27" s="30" t="n">
        <v>37985</v>
      </c>
      <c r="I27" s="30" t="n">
        <v>41783</v>
      </c>
      <c r="J27" s="31" t="n">
        <v>0.5039124108122846</v>
      </c>
      <c r="K27" s="29" t="n">
        <v>1666</v>
      </c>
      <c r="L27" s="29" t="n">
        <v>132</v>
      </c>
      <c r="M27" s="30" t="n">
        <v>1051380</v>
      </c>
      <c r="N27" s="29" t="n">
        <v>324</v>
      </c>
      <c r="O27" s="29" t="n">
        <v>380</v>
      </c>
      <c r="P27" s="29" t="n">
        <v>13</v>
      </c>
      <c r="Q27" s="30" t="n">
        <v>120559</v>
      </c>
      <c r="R27" s="30" t="n">
        <v>156948</v>
      </c>
    </row>
    <row r="28">
      <c r="A28" s="5" t="n"/>
      <c r="B28" s="27" t="inlineStr"/>
      <c r="C28" s="28" t="inlineStr">
        <is>
          <t>Nantes</t>
        </is>
      </c>
      <c r="D28" s="29" t="n">
        <v>713</v>
      </c>
      <c r="E28" s="29" t="n">
        <v>749</v>
      </c>
      <c r="F28" s="29" t="n">
        <v>788</v>
      </c>
      <c r="G28" s="30" t="n">
        <v>26060</v>
      </c>
      <c r="H28" s="30" t="n">
        <v>28666</v>
      </c>
      <c r="I28" s="30" t="n">
        <v>31533</v>
      </c>
      <c r="J28" s="31" t="n">
        <v>0.5246556424650306</v>
      </c>
      <c r="K28" s="29" t="n">
        <v>1516</v>
      </c>
      <c r="L28" s="29" t="n">
        <v>120</v>
      </c>
      <c r="M28" s="30" t="n">
        <v>910800</v>
      </c>
      <c r="N28" s="29" t="n">
        <v>294</v>
      </c>
      <c r="O28" s="29" t="n">
        <v>348</v>
      </c>
      <c r="P28" s="29" t="n">
        <v>12</v>
      </c>
      <c r="Q28" s="30" t="n">
        <v>109396</v>
      </c>
      <c r="R28" s="30" t="n">
        <v>144875</v>
      </c>
    </row>
    <row r="29">
      <c r="A29" s="5" t="n"/>
      <c r="B29" s="27" t="inlineStr"/>
      <c r="C29" s="28" t="inlineStr">
        <is>
          <t>Paris</t>
        </is>
      </c>
      <c r="D29" s="29" t="n">
        <v>1158</v>
      </c>
      <c r="E29" s="29" t="n">
        <v>1210</v>
      </c>
      <c r="F29" s="29" t="n">
        <v>1265</v>
      </c>
      <c r="G29" s="30" t="n">
        <v>56438</v>
      </c>
      <c r="H29" s="30" t="n">
        <v>62082</v>
      </c>
      <c r="I29" s="30" t="n">
        <v>68291</v>
      </c>
      <c r="J29" s="31" t="n">
        <v>0.4635959485149866</v>
      </c>
      <c r="K29" s="29" t="n">
        <v>1976</v>
      </c>
      <c r="L29" s="29" t="n">
        <v>156</v>
      </c>
      <c r="M29" s="30" t="n">
        <v>1324440</v>
      </c>
      <c r="N29" s="29" t="n">
        <v>382</v>
      </c>
      <c r="O29" s="29" t="n">
        <v>444</v>
      </c>
      <c r="P29" s="29" t="n">
        <v>15</v>
      </c>
      <c r="Q29" s="30" t="n">
        <v>142140</v>
      </c>
      <c r="R29" s="30" t="n">
        <v>181094</v>
      </c>
    </row>
    <row r="30">
      <c r="A30" s="5" t="n"/>
      <c r="B30" s="27" t="inlineStr">
        <is>
          <t>Pigier</t>
        </is>
      </c>
      <c r="C30" s="28" t="inlineStr">
        <is>
          <t>Bordeaux</t>
        </is>
      </c>
      <c r="D30" s="29" t="n">
        <v>528</v>
      </c>
      <c r="E30" s="29" t="n">
        <v>552</v>
      </c>
      <c r="F30" s="29" t="n">
        <v>578</v>
      </c>
      <c r="G30" s="30" t="n">
        <v>18155</v>
      </c>
      <c r="H30" s="30" t="n">
        <v>19971</v>
      </c>
      <c r="I30" s="30" t="n">
        <v>21968</v>
      </c>
      <c r="J30" s="31" t="n">
        <v>0.4745966332856332</v>
      </c>
      <c r="K30" s="29" t="n">
        <v>1230</v>
      </c>
      <c r="L30" s="29" t="n">
        <v>72</v>
      </c>
      <c r="M30" s="30" t="n">
        <v>460440</v>
      </c>
      <c r="N30" s="29" t="n">
        <v>176</v>
      </c>
      <c r="O30" s="29" t="n">
        <v>312</v>
      </c>
      <c r="P30" s="29" t="n">
        <v>10</v>
      </c>
      <c r="Q30" s="30" t="n">
        <v>52838</v>
      </c>
      <c r="R30" s="30" t="n">
        <v>96583</v>
      </c>
    </row>
    <row r="31">
      <c r="A31" s="5" t="n"/>
      <c r="B31" s="27" t="inlineStr"/>
      <c r="C31" s="28" t="inlineStr">
        <is>
          <t>Lyon</t>
        </is>
      </c>
      <c r="D31" s="29" t="n">
        <v>765</v>
      </c>
      <c r="E31" s="29" t="n">
        <v>798</v>
      </c>
      <c r="F31" s="29" t="n">
        <v>832</v>
      </c>
      <c r="G31" s="30" t="n">
        <v>30258</v>
      </c>
      <c r="H31" s="30" t="n">
        <v>33284</v>
      </c>
      <c r="I31" s="30" t="n">
        <v>36612</v>
      </c>
      <c r="J31" s="31" t="n">
        <v>0.4404502617145888</v>
      </c>
      <c r="K31" s="29" t="n">
        <v>1570</v>
      </c>
      <c r="L31" s="29" t="n">
        <v>92</v>
      </c>
      <c r="M31" s="30" t="n">
        <v>636180</v>
      </c>
      <c r="N31" s="29" t="n">
        <v>226</v>
      </c>
      <c r="O31" s="29" t="n">
        <v>312</v>
      </c>
      <c r="P31" s="29" t="n">
        <v>10</v>
      </c>
      <c r="Q31" s="30" t="n">
        <v>67722</v>
      </c>
      <c r="R31" s="30" t="n">
        <v>96583</v>
      </c>
    </row>
    <row r="32">
      <c r="A32" s="5" t="n"/>
      <c r="B32" s="27" t="inlineStr">
        <is>
          <t>Tunon</t>
        </is>
      </c>
      <c r="C32" s="28" t="inlineStr">
        <is>
          <t>Lyon</t>
        </is>
      </c>
      <c r="D32" s="29" t="n">
        <v>392</v>
      </c>
      <c r="E32" s="29" t="n">
        <v>410</v>
      </c>
      <c r="F32" s="29" t="n">
        <v>428</v>
      </c>
      <c r="G32" s="30" t="n">
        <v>15578</v>
      </c>
      <c r="H32" s="30" t="n">
        <v>17136</v>
      </c>
      <c r="I32" s="30" t="n">
        <v>18850</v>
      </c>
      <c r="J32" s="31" t="n">
        <v>0.4608435621433195</v>
      </c>
      <c r="K32" s="29" t="n">
        <v>680</v>
      </c>
      <c r="L32" s="29" t="n">
        <v>40</v>
      </c>
      <c r="M32" s="30" t="n">
        <v>297600</v>
      </c>
      <c r="N32" s="29" t="n">
        <v>117</v>
      </c>
      <c r="O32" s="29" t="n">
        <v>192</v>
      </c>
      <c r="P32" s="29" t="n">
        <v>6</v>
      </c>
      <c r="Q32" s="30" t="n">
        <v>43535</v>
      </c>
      <c r="R32" s="30" t="n">
        <v>72438</v>
      </c>
    </row>
    <row r="33">
      <c r="A33" s="5" t="n"/>
      <c r="B33" s="27" t="inlineStr"/>
      <c r="C33" s="28" t="inlineStr">
        <is>
          <t>Paris</t>
        </is>
      </c>
      <c r="D33" s="29" t="n">
        <v>517</v>
      </c>
      <c r="E33" s="29" t="n">
        <v>538</v>
      </c>
      <c r="F33" s="29" t="n">
        <v>560</v>
      </c>
      <c r="G33" s="30" t="n">
        <v>24992</v>
      </c>
      <c r="H33" s="30" t="n">
        <v>27491</v>
      </c>
      <c r="I33" s="30" t="n">
        <v>30240</v>
      </c>
      <c r="J33" s="31" t="n">
        <v>0.419149069971356</v>
      </c>
      <c r="K33" s="29" t="n">
        <v>800</v>
      </c>
      <c r="L33" s="29" t="n">
        <v>47</v>
      </c>
      <c r="M33" s="30" t="n">
        <v>372710</v>
      </c>
      <c r="N33" s="29" t="n">
        <v>138</v>
      </c>
      <c r="O33" s="29" t="n">
        <v>192</v>
      </c>
      <c r="P33" s="29" t="n">
        <v>6</v>
      </c>
      <c r="Q33" s="30" t="n">
        <v>51349</v>
      </c>
      <c r="R33" s="30" t="n">
        <v>72438</v>
      </c>
    </row>
    <row r="34">
      <c r="A34" s="5" t="n"/>
      <c r="B34" s="32" t="inlineStr">
        <is>
          <t>GROUPE</t>
        </is>
      </c>
      <c r="C34" s="32" t="inlineStr">
        <is>
          <t>14 campus</t>
        </is>
      </c>
      <c r="D34" s="33">
        <f>SUM(D20:D33)</f>
        <v/>
      </c>
      <c r="E34" s="33">
        <f>SUM(E20:E33)</f>
        <v/>
      </c>
      <c r="F34" s="33">
        <f>SUM(F20:F33)</f>
        <v/>
      </c>
      <c r="G34" s="34">
        <f>SUM(G20:G33)</f>
        <v/>
      </c>
      <c r="H34" s="34">
        <f>SUM(H20:H33)</f>
        <v/>
      </c>
      <c r="I34" s="34">
        <f>SUM(I20:I33)</f>
        <v/>
      </c>
      <c r="J34" s="35" t="inlineStr">
        <is>
          <t>—</t>
        </is>
      </c>
      <c r="K34" s="33">
        <f>SUM(K20:K33)</f>
        <v/>
      </c>
      <c r="L34" s="33">
        <f>SUM(L20:L33)</f>
        <v/>
      </c>
      <c r="M34" s="34">
        <f>SUM(M20:M33)</f>
        <v/>
      </c>
      <c r="N34" s="33">
        <f>SUM(N20:N33)</f>
        <v/>
      </c>
      <c r="O34" s="33">
        <f>SUM(O20:O33)</f>
        <v/>
      </c>
      <c r="P34" s="33">
        <f>SUM(P20:P33)</f>
        <v/>
      </c>
      <c r="Q34" s="34">
        <f>SUM(Q20:Q33)</f>
        <v/>
      </c>
      <c r="R34" s="34">
        <f>SUM(R20:R33)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 ht="20" customHeight="1">
      <c r="A41" s="5" t="n"/>
      <c r="B41" s="36" t="inlineStr">
        <is>
          <t>②  CE QUE LE MASQUE CALCULE  ·  chaque formule pointe une cellule du tableau ①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</row>
    <row r="42" ht="14" customHeight="1">
      <c r="A42" s="5" t="n"/>
      <c r="B42" s="24" t="inlineStr">
        <is>
          <t>Rien n'est stocké ici. Cliquez une cellule : la formule remonte au tableau du dessus, et la seule saisie du classeur est F4.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 ht="34" customHeight="1">
      <c r="A43" s="5" t="n"/>
      <c r="B43" s="25" t="inlineStr">
        <is>
          <t>Marque</t>
        </is>
      </c>
      <c r="C43" s="25" t="inlineStr">
        <is>
          <t>Campus</t>
        </is>
      </c>
      <c r="D43" s="26" t="inlineStr">
        <is>
          <t>Conversion lead → inscrit</t>
        </is>
      </c>
      <c r="E43" s="26" t="inlineStr">
        <is>
          <t>CA par inscrit</t>
        </is>
      </c>
      <c r="F43" s="26" t="inlineStr">
        <is>
          <t>Consommables / élève</t>
        </is>
      </c>
      <c r="G43" s="26" t="inlineStr">
        <is>
          <t>Places libres</t>
        </is>
      </c>
      <c r="H43" s="26" t="inlineStr">
        <is>
          <t>Δ budget</t>
        </is>
      </c>
      <c r="I43" s="26" t="inlineStr">
        <is>
          <t>Inscrits gagnés</t>
        </is>
      </c>
      <c r="J43" s="26" t="inlineStr">
        <is>
          <t>CA gagné</t>
        </is>
      </c>
      <c r="K43" s="26" t="inlineStr">
        <is>
          <t>Coût marginal / élève</t>
        </is>
      </c>
      <c r="L43" s="26" t="inlineStr">
        <is>
          <t>EBITDA gagné</t>
        </is>
      </c>
      <c r="M43" s="26" t="inlineStr">
        <is>
          <t>CAC marginal</t>
        </is>
      </c>
      <c r="N43" s="5" t="n"/>
      <c r="O43" s="5" t="n"/>
      <c r="P43" s="5" t="n"/>
      <c r="Q43" s="5" t="n"/>
      <c r="R43" s="5" t="n"/>
    </row>
    <row r="44">
      <c r="A44" s="5" t="n"/>
      <c r="B44" s="37" t="inlineStr">
        <is>
          <t>Ipac Bachelor Factory</t>
        </is>
      </c>
      <c r="C44" s="38">
        <f>C20</f>
        <v/>
      </c>
      <c r="D44" s="39">
        <f>IFERROR(L20/K20,0)</f>
        <v/>
      </c>
      <c r="E44" s="40">
        <f>IFERROR(M20/L20,0)</f>
        <v/>
      </c>
      <c r="F44" s="40">
        <f>IFERROR(Q20/N20,0)</f>
        <v/>
      </c>
      <c r="G44" s="41">
        <f>O20-N20</f>
        <v/>
      </c>
      <c r="H44" s="40">
        <f>I20*$F$4</f>
        <v/>
      </c>
      <c r="I44" s="42">
        <f>F20*((1+$F$4)^J20-1)*D44</f>
        <v/>
      </c>
      <c r="J44" s="40">
        <f>I44*E44</f>
        <v/>
      </c>
      <c r="K44" s="40">
        <f>IF(I44&lt;=G44,F44,F44+R20/O20)</f>
        <v/>
      </c>
      <c r="L44" s="40">
        <f>J44-H44-I44*K44</f>
        <v/>
      </c>
      <c r="M44" s="40">
        <f>IFERROR(H44/I44,0)</f>
        <v/>
      </c>
      <c r="N44" s="5" t="n"/>
      <c r="O44" s="5" t="n"/>
      <c r="P44" s="5" t="n"/>
      <c r="Q44" s="5" t="n"/>
      <c r="R44" s="5" t="n"/>
    </row>
    <row r="45">
      <c r="A45" s="5" t="n"/>
      <c r="B45" s="37" t="inlineStr"/>
      <c r="C45" s="38">
        <f>C21</f>
        <v/>
      </c>
      <c r="D45" s="39">
        <f>IFERROR(L21/K21,0)</f>
        <v/>
      </c>
      <c r="E45" s="40">
        <f>IFERROR(M21/L21,0)</f>
        <v/>
      </c>
      <c r="F45" s="40">
        <f>IFERROR(Q21/N21,0)</f>
        <v/>
      </c>
      <c r="G45" s="41">
        <f>O21-N21</f>
        <v/>
      </c>
      <c r="H45" s="40">
        <f>I21*$F$4</f>
        <v/>
      </c>
      <c r="I45" s="42">
        <f>F21*((1+$F$4)^J21-1)*D45</f>
        <v/>
      </c>
      <c r="J45" s="40">
        <f>I45*E45</f>
        <v/>
      </c>
      <c r="K45" s="40">
        <f>IF(I45&lt;=G45,F45,F45+R21/O21)</f>
        <v/>
      </c>
      <c r="L45" s="40">
        <f>J45-H45-I45*K45</f>
        <v/>
      </c>
      <c r="M45" s="40">
        <f>IFERROR(H45/I45,0)</f>
        <v/>
      </c>
      <c r="N45" s="5" t="n"/>
      <c r="O45" s="5" t="n"/>
      <c r="P45" s="5" t="n"/>
      <c r="Q45" s="5" t="n"/>
      <c r="R45" s="5" t="n"/>
    </row>
    <row r="46">
      <c r="A46" s="5" t="n"/>
      <c r="B46" s="37" t="inlineStr"/>
      <c r="C46" s="38">
        <f>C22</f>
        <v/>
      </c>
      <c r="D46" s="39">
        <f>IFERROR(L22/K22,0)</f>
        <v/>
      </c>
      <c r="E46" s="40">
        <f>IFERROR(M22/L22,0)</f>
        <v/>
      </c>
      <c r="F46" s="40">
        <f>IFERROR(Q22/N22,0)</f>
        <v/>
      </c>
      <c r="G46" s="41">
        <f>O22-N22</f>
        <v/>
      </c>
      <c r="H46" s="40">
        <f>I22*$F$4</f>
        <v/>
      </c>
      <c r="I46" s="42">
        <f>F22*((1+$F$4)^J22-1)*D46</f>
        <v/>
      </c>
      <c r="J46" s="40">
        <f>I46*E46</f>
        <v/>
      </c>
      <c r="K46" s="40">
        <f>IF(I46&lt;=G46,F46,F46+R22/O22)</f>
        <v/>
      </c>
      <c r="L46" s="40">
        <f>J46-H46-I46*K46</f>
        <v/>
      </c>
      <c r="M46" s="40">
        <f>IFERROR(H46/I46,0)</f>
        <v/>
      </c>
      <c r="N46" s="5" t="n"/>
      <c r="O46" s="5" t="n"/>
      <c r="P46" s="5" t="n"/>
      <c r="Q46" s="5" t="n"/>
      <c r="R46" s="5" t="n"/>
    </row>
    <row r="47">
      <c r="A47" s="5" t="n"/>
      <c r="B47" s="37" t="inlineStr">
        <is>
          <t>ISCOM</t>
        </is>
      </c>
      <c r="C47" s="38">
        <f>C23</f>
        <v/>
      </c>
      <c r="D47" s="39">
        <f>IFERROR(L23/K23,0)</f>
        <v/>
      </c>
      <c r="E47" s="40">
        <f>IFERROR(M23/L23,0)</f>
        <v/>
      </c>
      <c r="F47" s="40">
        <f>IFERROR(Q23/N23,0)</f>
        <v/>
      </c>
      <c r="G47" s="41">
        <f>O23-N23</f>
        <v/>
      </c>
      <c r="H47" s="40">
        <f>I23*$F$4</f>
        <v/>
      </c>
      <c r="I47" s="42">
        <f>F23*((1+$F$4)^J23-1)*D47</f>
        <v/>
      </c>
      <c r="J47" s="40">
        <f>I47*E47</f>
        <v/>
      </c>
      <c r="K47" s="40">
        <f>IF(I47&lt;=G47,F47,F47+R23/O23)</f>
        <v/>
      </c>
      <c r="L47" s="40">
        <f>J47-H47-I47*K47</f>
        <v/>
      </c>
      <c r="M47" s="40">
        <f>IFERROR(H47/I47,0)</f>
        <v/>
      </c>
      <c r="N47" s="5" t="n"/>
      <c r="O47" s="5" t="n"/>
      <c r="P47" s="5" t="n"/>
      <c r="Q47" s="5" t="n"/>
      <c r="R47" s="5" t="n"/>
    </row>
    <row r="48">
      <c r="A48" s="5" t="n"/>
      <c r="B48" s="37" t="inlineStr"/>
      <c r="C48" s="38">
        <f>C24</f>
        <v/>
      </c>
      <c r="D48" s="39">
        <f>IFERROR(L24/K24,0)</f>
        <v/>
      </c>
      <c r="E48" s="40">
        <f>IFERROR(M24/L24,0)</f>
        <v/>
      </c>
      <c r="F48" s="40">
        <f>IFERROR(Q24/N24,0)</f>
        <v/>
      </c>
      <c r="G48" s="41">
        <f>O24-N24</f>
        <v/>
      </c>
      <c r="H48" s="40">
        <f>I24*$F$4</f>
        <v/>
      </c>
      <c r="I48" s="42">
        <f>F24*((1+$F$4)^J24-1)*D48</f>
        <v/>
      </c>
      <c r="J48" s="40">
        <f>I48*E48</f>
        <v/>
      </c>
      <c r="K48" s="40">
        <f>IF(I48&lt;=G48,F48,F48+R24/O24)</f>
        <v/>
      </c>
      <c r="L48" s="40">
        <f>J48-H48-I48*K48</f>
        <v/>
      </c>
      <c r="M48" s="40">
        <f>IFERROR(H48/I48,0)</f>
        <v/>
      </c>
      <c r="N48" s="5" t="n"/>
      <c r="O48" s="5" t="n"/>
      <c r="P48" s="5" t="n"/>
      <c r="Q48" s="5" t="n"/>
      <c r="R48" s="5" t="n"/>
    </row>
    <row r="49">
      <c r="A49" s="5" t="n"/>
      <c r="B49" s="37" t="inlineStr"/>
      <c r="C49" s="38">
        <f>C25</f>
        <v/>
      </c>
      <c r="D49" s="39">
        <f>IFERROR(L25/K25,0)</f>
        <v/>
      </c>
      <c r="E49" s="40">
        <f>IFERROR(M25/L25,0)</f>
        <v/>
      </c>
      <c r="F49" s="40">
        <f>IFERROR(Q25/N25,0)</f>
        <v/>
      </c>
      <c r="G49" s="41">
        <f>O25-N25</f>
        <v/>
      </c>
      <c r="H49" s="40">
        <f>I25*$F$4</f>
        <v/>
      </c>
      <c r="I49" s="42">
        <f>F25*((1+$F$4)^J25-1)*D49</f>
        <v/>
      </c>
      <c r="J49" s="40">
        <f>I49*E49</f>
        <v/>
      </c>
      <c r="K49" s="40">
        <f>IF(I49&lt;=G49,F49,F49+R25/O25)</f>
        <v/>
      </c>
      <c r="L49" s="40">
        <f>J49-H49-I49*K49</f>
        <v/>
      </c>
      <c r="M49" s="40">
        <f>IFERROR(H49/I49,0)</f>
        <v/>
      </c>
      <c r="N49" s="5" t="n"/>
      <c r="O49" s="5" t="n"/>
      <c r="P49" s="5" t="n"/>
      <c r="Q49" s="5" t="n"/>
      <c r="R49" s="5" t="n"/>
    </row>
    <row r="50">
      <c r="A50" s="5" t="n"/>
      <c r="B50" s="37" t="inlineStr">
        <is>
          <t>MBway</t>
        </is>
      </c>
      <c r="C50" s="38">
        <f>C26</f>
        <v/>
      </c>
      <c r="D50" s="39">
        <f>IFERROR(L26/K26,0)</f>
        <v/>
      </c>
      <c r="E50" s="40">
        <f>IFERROR(M26/L26,0)</f>
        <v/>
      </c>
      <c r="F50" s="40">
        <f>IFERROR(Q26/N26,0)</f>
        <v/>
      </c>
      <c r="G50" s="41">
        <f>O26-N26</f>
        <v/>
      </c>
      <c r="H50" s="40">
        <f>I26*$F$4</f>
        <v/>
      </c>
      <c r="I50" s="42">
        <f>F26*((1+$F$4)^J26-1)*D50</f>
        <v/>
      </c>
      <c r="J50" s="40">
        <f>I50*E50</f>
        <v/>
      </c>
      <c r="K50" s="40">
        <f>IF(I50&lt;=G50,F50,F50+R26/O26)</f>
        <v/>
      </c>
      <c r="L50" s="40">
        <f>J50-H50-I50*K50</f>
        <v/>
      </c>
      <c r="M50" s="40">
        <f>IFERROR(H50/I50,0)</f>
        <v/>
      </c>
      <c r="N50" s="5" t="n"/>
      <c r="O50" s="5" t="n"/>
      <c r="P50" s="5" t="n"/>
      <c r="Q50" s="5" t="n"/>
      <c r="R50" s="5" t="n"/>
    </row>
    <row r="51">
      <c r="A51" s="5" t="n"/>
      <c r="B51" s="37" t="inlineStr"/>
      <c r="C51" s="38">
        <f>C27</f>
        <v/>
      </c>
      <c r="D51" s="39">
        <f>IFERROR(L27/K27,0)</f>
        <v/>
      </c>
      <c r="E51" s="40">
        <f>IFERROR(M27/L27,0)</f>
        <v/>
      </c>
      <c r="F51" s="40">
        <f>IFERROR(Q27/N27,0)</f>
        <v/>
      </c>
      <c r="G51" s="41">
        <f>O27-N27</f>
        <v/>
      </c>
      <c r="H51" s="40">
        <f>I27*$F$4</f>
        <v/>
      </c>
      <c r="I51" s="42">
        <f>F27*((1+$F$4)^J27-1)*D51</f>
        <v/>
      </c>
      <c r="J51" s="40">
        <f>I51*E51</f>
        <v/>
      </c>
      <c r="K51" s="40">
        <f>IF(I51&lt;=G51,F51,F51+R27/O27)</f>
        <v/>
      </c>
      <c r="L51" s="40">
        <f>J51-H51-I51*K51</f>
        <v/>
      </c>
      <c r="M51" s="40">
        <f>IFERROR(H51/I51,0)</f>
        <v/>
      </c>
      <c r="N51" s="5" t="n"/>
      <c r="O51" s="5" t="n"/>
      <c r="P51" s="5" t="n"/>
      <c r="Q51" s="5" t="n"/>
      <c r="R51" s="5" t="n"/>
    </row>
    <row r="52">
      <c r="A52" s="5" t="n"/>
      <c r="B52" s="37" t="inlineStr"/>
      <c r="C52" s="38">
        <f>C28</f>
        <v/>
      </c>
      <c r="D52" s="39">
        <f>IFERROR(L28/K28,0)</f>
        <v/>
      </c>
      <c r="E52" s="40">
        <f>IFERROR(M28/L28,0)</f>
        <v/>
      </c>
      <c r="F52" s="40">
        <f>IFERROR(Q28/N28,0)</f>
        <v/>
      </c>
      <c r="G52" s="41">
        <f>O28-N28</f>
        <v/>
      </c>
      <c r="H52" s="40">
        <f>I28*$F$4</f>
        <v/>
      </c>
      <c r="I52" s="42">
        <f>F28*((1+$F$4)^J28-1)*D52</f>
        <v/>
      </c>
      <c r="J52" s="40">
        <f>I52*E52</f>
        <v/>
      </c>
      <c r="K52" s="40">
        <f>IF(I52&lt;=G52,F52,F52+R28/O28)</f>
        <v/>
      </c>
      <c r="L52" s="40">
        <f>J52-H52-I52*K52</f>
        <v/>
      </c>
      <c r="M52" s="40">
        <f>IFERROR(H52/I52,0)</f>
        <v/>
      </c>
      <c r="N52" s="5" t="n"/>
      <c r="O52" s="5" t="n"/>
      <c r="P52" s="5" t="n"/>
      <c r="Q52" s="5" t="n"/>
      <c r="R52" s="5" t="n"/>
    </row>
    <row r="53">
      <c r="A53" s="5" t="n"/>
      <c r="B53" s="37" t="inlineStr"/>
      <c r="C53" s="38">
        <f>C29</f>
        <v/>
      </c>
      <c r="D53" s="39">
        <f>IFERROR(L29/K29,0)</f>
        <v/>
      </c>
      <c r="E53" s="40">
        <f>IFERROR(M29/L29,0)</f>
        <v/>
      </c>
      <c r="F53" s="40">
        <f>IFERROR(Q29/N29,0)</f>
        <v/>
      </c>
      <c r="G53" s="41">
        <f>O29-N29</f>
        <v/>
      </c>
      <c r="H53" s="40">
        <f>I29*$F$4</f>
        <v/>
      </c>
      <c r="I53" s="42">
        <f>F29*((1+$F$4)^J29-1)*D53</f>
        <v/>
      </c>
      <c r="J53" s="40">
        <f>I53*E53</f>
        <v/>
      </c>
      <c r="K53" s="40">
        <f>IF(I53&lt;=G53,F53,F53+R29/O29)</f>
        <v/>
      </c>
      <c r="L53" s="40">
        <f>J53-H53-I53*K53</f>
        <v/>
      </c>
      <c r="M53" s="40">
        <f>IFERROR(H53/I53,0)</f>
        <v/>
      </c>
      <c r="N53" s="5" t="n"/>
      <c r="O53" s="5" t="n"/>
      <c r="P53" s="5" t="n"/>
      <c r="Q53" s="5" t="n"/>
      <c r="R53" s="5" t="n"/>
    </row>
    <row r="54">
      <c r="A54" s="5" t="n"/>
      <c r="B54" s="37" t="inlineStr">
        <is>
          <t>Pigier</t>
        </is>
      </c>
      <c r="C54" s="38">
        <f>C30</f>
        <v/>
      </c>
      <c r="D54" s="39">
        <f>IFERROR(L30/K30,0)</f>
        <v/>
      </c>
      <c r="E54" s="40">
        <f>IFERROR(M30/L30,0)</f>
        <v/>
      </c>
      <c r="F54" s="40">
        <f>IFERROR(Q30/N30,0)</f>
        <v/>
      </c>
      <c r="G54" s="41">
        <f>O30-N30</f>
        <v/>
      </c>
      <c r="H54" s="40">
        <f>I30*$F$4</f>
        <v/>
      </c>
      <c r="I54" s="42">
        <f>F30*((1+$F$4)^J30-1)*D54</f>
        <v/>
      </c>
      <c r="J54" s="40">
        <f>I54*E54</f>
        <v/>
      </c>
      <c r="K54" s="40">
        <f>IF(I54&lt;=G54,F54,F54+R30/O30)</f>
        <v/>
      </c>
      <c r="L54" s="40">
        <f>J54-H54-I54*K54</f>
        <v/>
      </c>
      <c r="M54" s="40">
        <f>IFERROR(H54/I54,0)</f>
        <v/>
      </c>
      <c r="N54" s="5" t="n"/>
      <c r="O54" s="5" t="n"/>
      <c r="P54" s="5" t="n"/>
      <c r="Q54" s="5" t="n"/>
      <c r="R54" s="5" t="n"/>
    </row>
    <row r="55">
      <c r="A55" s="5" t="n"/>
      <c r="B55" s="37" t="inlineStr"/>
      <c r="C55" s="38">
        <f>C31</f>
        <v/>
      </c>
      <c r="D55" s="39">
        <f>IFERROR(L31/K31,0)</f>
        <v/>
      </c>
      <c r="E55" s="40">
        <f>IFERROR(M31/L31,0)</f>
        <v/>
      </c>
      <c r="F55" s="40">
        <f>IFERROR(Q31/N31,0)</f>
        <v/>
      </c>
      <c r="G55" s="41">
        <f>O31-N31</f>
        <v/>
      </c>
      <c r="H55" s="40">
        <f>I31*$F$4</f>
        <v/>
      </c>
      <c r="I55" s="42">
        <f>F31*((1+$F$4)^J31-1)*D55</f>
        <v/>
      </c>
      <c r="J55" s="40">
        <f>I55*E55</f>
        <v/>
      </c>
      <c r="K55" s="40">
        <f>IF(I55&lt;=G55,F55,F55+R31/O31)</f>
        <v/>
      </c>
      <c r="L55" s="40">
        <f>J55-H55-I55*K55</f>
        <v/>
      </c>
      <c r="M55" s="40">
        <f>IFERROR(H55/I55,0)</f>
        <v/>
      </c>
      <c r="N55" s="5" t="n"/>
      <c r="O55" s="5" t="n"/>
      <c r="P55" s="5" t="n"/>
      <c r="Q55" s="5" t="n"/>
      <c r="R55" s="5" t="n"/>
    </row>
    <row r="56">
      <c r="A56" s="5" t="n"/>
      <c r="B56" s="37" t="inlineStr">
        <is>
          <t>Tunon</t>
        </is>
      </c>
      <c r="C56" s="38">
        <f>C32</f>
        <v/>
      </c>
      <c r="D56" s="39">
        <f>IFERROR(L32/K32,0)</f>
        <v/>
      </c>
      <c r="E56" s="40">
        <f>IFERROR(M32/L32,0)</f>
        <v/>
      </c>
      <c r="F56" s="40">
        <f>IFERROR(Q32/N32,0)</f>
        <v/>
      </c>
      <c r="G56" s="41">
        <f>O32-N32</f>
        <v/>
      </c>
      <c r="H56" s="40">
        <f>I32*$F$4</f>
        <v/>
      </c>
      <c r="I56" s="42">
        <f>F32*((1+$F$4)^J32-1)*D56</f>
        <v/>
      </c>
      <c r="J56" s="40">
        <f>I56*E56</f>
        <v/>
      </c>
      <c r="K56" s="40">
        <f>IF(I56&lt;=G56,F56,F56+R32/O32)</f>
        <v/>
      </c>
      <c r="L56" s="40">
        <f>J56-H56-I56*K56</f>
        <v/>
      </c>
      <c r="M56" s="40">
        <f>IFERROR(H56/I56,0)</f>
        <v/>
      </c>
      <c r="N56" s="5" t="n"/>
      <c r="O56" s="5" t="n"/>
      <c r="P56" s="5" t="n"/>
      <c r="Q56" s="5" t="n"/>
      <c r="R56" s="5" t="n"/>
    </row>
    <row r="57">
      <c r="A57" s="5" t="n"/>
      <c r="B57" s="37" t="inlineStr"/>
      <c r="C57" s="38">
        <f>C33</f>
        <v/>
      </c>
      <c r="D57" s="39">
        <f>IFERROR(L33/K33,0)</f>
        <v/>
      </c>
      <c r="E57" s="40">
        <f>IFERROR(M33/L33,0)</f>
        <v/>
      </c>
      <c r="F57" s="40">
        <f>IFERROR(Q33/N33,0)</f>
        <v/>
      </c>
      <c r="G57" s="41">
        <f>O33-N33</f>
        <v/>
      </c>
      <c r="H57" s="40">
        <f>I33*$F$4</f>
        <v/>
      </c>
      <c r="I57" s="42">
        <f>F33*((1+$F$4)^J33-1)*D57</f>
        <v/>
      </c>
      <c r="J57" s="40">
        <f>I57*E57</f>
        <v/>
      </c>
      <c r="K57" s="40">
        <f>IF(I57&lt;=G57,F57,F57+R33/O33)</f>
        <v/>
      </c>
      <c r="L57" s="40">
        <f>J57-H57-I57*K57</f>
        <v/>
      </c>
      <c r="M57" s="40">
        <f>IFERROR(H57/I57,0)</f>
        <v/>
      </c>
      <c r="N57" s="5" t="n"/>
      <c r="O57" s="5" t="n"/>
      <c r="P57" s="5" t="n"/>
      <c r="Q57" s="5" t="n"/>
      <c r="R57" s="5" t="n"/>
    </row>
    <row r="58">
      <c r="A58" s="5" t="n"/>
      <c r="B58" s="32" t="inlineStr">
        <is>
          <t>GROUPE</t>
        </is>
      </c>
      <c r="C58" s="32" t="inlineStr">
        <is>
          <t>14 campus</t>
        </is>
      </c>
      <c r="D58" s="43">
        <f>IFERROR(L34/K34,0)</f>
        <v/>
      </c>
      <c r="E58" s="34">
        <f>IFERROR(M34/L34,0)</f>
        <v/>
      </c>
      <c r="F58" s="34">
        <f>IFERROR(Q34/N34,0)</f>
        <v/>
      </c>
      <c r="G58" s="33">
        <f>SUM(G44:G57)</f>
        <v/>
      </c>
      <c r="H58" s="34">
        <f>SUM(H44:H57)</f>
        <v/>
      </c>
      <c r="I58" s="44">
        <f>SUM(I44:I57)</f>
        <v/>
      </c>
      <c r="J58" s="34">
        <f>SUM(J44:J57)</f>
        <v/>
      </c>
      <c r="K58" s="34">
        <f>IFERROR(SUMPRODUCT(I44:I57,K44:K57)/I58,0)</f>
        <v/>
      </c>
      <c r="L58" s="34">
        <f>SUM(L44:L57)</f>
        <v/>
      </c>
      <c r="M58" s="34">
        <f>IFERROR(H58/I58,0)</f>
        <v/>
      </c>
      <c r="N58" s="5" t="n"/>
      <c r="O58" s="5" t="n"/>
      <c r="P58" s="5" t="n"/>
      <c r="Q58" s="5" t="n"/>
      <c r="R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5" t="n"/>
      <c r="B60" s="24" t="inlineStr">
        <is>
          <t>Lecture des fonds :  bleu = restitué par la vue,  ocre = calculé par le masque.  Un coût marginal en rouge signale un campus où la classe doit ouvrir.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</row>
  </sheetData>
  <conditionalFormatting sqref="M44:M57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4:K57">
    <cfRule type="cellIs" priority="2" operator="greaterThan" dxfId="0">
      <formula>F44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6" customWidth="1" min="2" max="2"/>
    <col width="14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</row>
    <row r="2" ht="24" customHeight="1">
      <c r="A2" s="1" t="n"/>
      <c r="B2" s="3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 ht="22" customHeight="1">
      <c r="A5" s="5" t="n"/>
      <c r="B5" s="45" t="inlineStr">
        <is>
          <t>La comptabilité ne connaît pas le programme.</t>
        </is>
      </c>
      <c r="C5" s="5" t="n"/>
      <c r="D5" s="5" t="n"/>
      <c r="E5" s="5" t="n"/>
      <c r="F5" s="5" t="n"/>
      <c r="G5" s="5" t="n"/>
      <c r="H5" s="5" t="n"/>
      <c r="I5" s="5" t="n"/>
    </row>
    <row r="6" ht="16" customHeight="1">
      <c r="A6" s="5" t="n"/>
      <c r="B6" s="46" t="inlineStr">
        <is>
          <t>AW_002_000004_000001 est au grain CAMPUS × COMPTE. Un coût par élève et par programme ne se lit donc pas : il s'alloue. V_ALLOCATION le fait déjà, avec deux clés différentes — et c'est de là que vient toute la suite.</t>
        </is>
      </c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 ht="20" customHeight="1">
      <c r="A8" s="5" t="n"/>
      <c r="B8" s="23" t="inlineStr">
        <is>
          <t>①  Deux poches, deux clés</t>
        </is>
      </c>
      <c r="C8" s="5" t="n"/>
      <c r="D8" s="5" t="n"/>
      <c r="E8" s="5" t="n"/>
      <c r="F8" s="5" t="n"/>
      <c r="G8" s="5" t="n"/>
      <c r="H8" s="5" t="n"/>
      <c r="I8" s="5" t="n"/>
    </row>
    <row r="9" ht="14" customHeight="1">
      <c r="A9" s="5" t="n"/>
      <c r="B9" s="24" t="inlineStr">
        <is>
          <t>Le même euro de charge variable ne se répartit pas de la même façon selon ce qu'il paie.</t>
        </is>
      </c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 ht="30" customHeight="1">
      <c r="A11" s="5" t="n"/>
      <c r="B11" s="25" t="inlineStr">
        <is>
          <t>Poche</t>
        </is>
      </c>
      <c r="C11" s="26" t="inlineStr">
        <is>
          <t>Comptes</t>
        </is>
      </c>
      <c r="D11" s="26" t="inlineStr">
        <is>
          <t>Clé d'allocation</t>
        </is>
      </c>
      <c r="E11" s="26" t="inlineStr">
        <is>
          <t>Varie avec</t>
        </is>
      </c>
      <c r="F11" s="26" t="inlineStr">
        <is>
          <t>Uniforme à l'intérieur d'un campus ?</t>
        </is>
      </c>
      <c r="G11" s="5" t="n"/>
      <c r="H11" s="5" t="n"/>
      <c r="I11" s="5" t="n"/>
    </row>
    <row r="12">
      <c r="A12" s="5" t="n"/>
      <c r="B12" s="47" t="inlineStr">
        <is>
          <t>Vacataires</t>
        </is>
      </c>
      <c r="C12" s="48" t="inlineStr">
        <is>
          <t>621</t>
        </is>
      </c>
      <c r="D12" s="48" t="inlineStr">
        <is>
          <t>HEURES</t>
        </is>
      </c>
      <c r="E12" s="48" t="inlineStr">
        <is>
          <t>le programme et la modalité</t>
        </is>
      </c>
      <c r="F12" s="49" t="inlineStr">
        <is>
          <t>NON</t>
        </is>
      </c>
      <c r="G12" s="5" t="n"/>
      <c r="H12" s="5" t="n"/>
      <c r="I12" s="5" t="n"/>
    </row>
    <row r="13">
      <c r="A13" s="5" t="n"/>
      <c r="B13" s="47" t="inlineStr">
        <is>
          <t>Consommables</t>
        </is>
      </c>
      <c r="C13" s="48" t="inlineStr">
        <is>
          <t>604 + 6063</t>
        </is>
      </c>
      <c r="D13" s="48" t="inlineStr">
        <is>
          <t>EFFECTIFS</t>
        </is>
      </c>
      <c r="E13" s="48" t="inlineStr">
        <is>
          <t>le campus seulement</t>
        </is>
      </c>
      <c r="F13" s="50" t="inlineStr">
        <is>
          <t>OUI</t>
        </is>
      </c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24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 ht="20" customHeight="1">
      <c r="A18" s="5" t="n"/>
      <c r="B18" s="23" t="inlineStr">
        <is>
          <t>②  Le coût variable MOYEN, au grain cycle × modalité</t>
        </is>
      </c>
      <c r="C18" s="5" t="n"/>
      <c r="D18" s="5" t="n"/>
      <c r="E18" s="5" t="n"/>
      <c r="F18" s="5" t="n"/>
      <c r="G18" s="5" t="n"/>
      <c r="H18" s="5" t="n"/>
      <c r="I18" s="5" t="n"/>
    </row>
    <row r="19" ht="14" customHeight="1">
      <c r="A19" s="5" t="n"/>
      <c r="B19" s="24" t="inlineStr">
        <is>
          <t>Ce que coûte un élève déjà inscrit, tous frais variables confondus. Chaque ligne est une réalité du réseau ; la moyenne, elle, n'est nulle part.</t>
        </is>
      </c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A21" s="5" t="n"/>
      <c r="B21" s="25" t="inlineStr">
        <is>
          <t>Cycle · modalité</t>
        </is>
      </c>
      <c r="C21" s="26" t="inlineStr">
        <is>
          <t>Effectifs 2026</t>
        </is>
      </c>
      <c r="D21" s="26" t="inlineStr">
        <is>
          <t>Heures / élève</t>
        </is>
      </c>
      <c r="E21" s="26" t="inlineStr">
        <is>
          <t>Tarif horaire</t>
        </is>
      </c>
      <c r="F21" s="26" t="inlineStr">
        <is>
          <t>Vacataires / élève</t>
        </is>
      </c>
      <c r="G21" s="26" t="inlineStr">
        <is>
          <t>Consommables / élève</t>
        </is>
      </c>
      <c r="H21" s="26" t="inlineStr">
        <is>
          <t>Coût moyen / élève</t>
        </is>
      </c>
      <c r="I21" s="26" t="inlineStr">
        <is>
          <t>Écart à la moyenne</t>
        </is>
      </c>
    </row>
    <row r="22">
      <c r="A22" s="5" t="n"/>
      <c r="B22" s="47" t="inlineStr">
        <is>
          <t>Mastère · alternance</t>
        </is>
      </c>
      <c r="C22" s="51" t="n">
        <v>840</v>
      </c>
      <c r="D22" s="52" t="n">
        <v>18</v>
      </c>
      <c r="E22" s="53" t="n">
        <v>23.80424443106562</v>
      </c>
      <c r="F22" s="54">
        <f>D22*E22</f>
        <v/>
      </c>
      <c r="G22" s="55" t="n">
        <v>372.0952839268527</v>
      </c>
      <c r="H22" s="54">
        <f>F22+G22</f>
        <v/>
      </c>
      <c r="I22" s="56">
        <f>IFERROR(H22/$H$26-1,0)</f>
        <v/>
      </c>
    </row>
    <row r="23">
      <c r="A23" s="5" t="n"/>
      <c r="B23" s="47" t="inlineStr">
        <is>
          <t>Bachelor · alternance</t>
        </is>
      </c>
      <c r="C23" s="51" t="n">
        <v>1688</v>
      </c>
      <c r="D23" s="52" t="n">
        <v>21.04265402843602</v>
      </c>
      <c r="E23" s="53" t="n">
        <v>23.80424443106562</v>
      </c>
      <c r="F23" s="54">
        <f>D23*E23</f>
        <v/>
      </c>
      <c r="G23" s="55" t="n">
        <v>362.7752087347463</v>
      </c>
      <c r="H23" s="54">
        <f>F23+G23</f>
        <v/>
      </c>
      <c r="I23" s="56">
        <f>IFERROR(H23/$H$26-1,0)</f>
        <v/>
      </c>
    </row>
    <row r="24">
      <c r="A24" s="5" t="n"/>
      <c r="B24" s="47" t="inlineStr">
        <is>
          <t>Bachelor · initial</t>
        </is>
      </c>
      <c r="C24" s="51" t="n">
        <v>424</v>
      </c>
      <c r="D24" s="52" t="n">
        <v>24.05660377358491</v>
      </c>
      <c r="E24" s="53" t="n">
        <v>23.80424443106562</v>
      </c>
      <c r="F24" s="54">
        <f>D24*E24</f>
        <v/>
      </c>
      <c r="G24" s="55" t="n">
        <v>372.0952839268527</v>
      </c>
      <c r="H24" s="54">
        <f>F24+G24</f>
        <v/>
      </c>
      <c r="I24" s="56">
        <f>IFERROR(H24/$H$26-1,0)</f>
        <v/>
      </c>
    </row>
    <row r="25">
      <c r="A25" s="5" t="n"/>
      <c r="B25" s="47" t="inlineStr">
        <is>
          <t>BTS · alternance</t>
        </is>
      </c>
      <c r="C25" s="51" t="n">
        <v>162</v>
      </c>
      <c r="D25" s="52" t="n">
        <v>34.5679012345679</v>
      </c>
      <c r="E25" s="53" t="n">
        <v>23.80424443106562</v>
      </c>
      <c r="F25" s="54">
        <f>D25*E25</f>
        <v/>
      </c>
      <c r="G25" s="55" t="n">
        <v>299.9004975124378</v>
      </c>
      <c r="H25" s="54">
        <f>F25+G25</f>
        <v/>
      </c>
      <c r="I25" s="56">
        <f>IFERROR(H25/$H$26-1,0)</f>
        <v/>
      </c>
    </row>
    <row r="26">
      <c r="A26" s="5" t="n"/>
      <c r="B26" s="57" t="inlineStr">
        <is>
          <t>MOYENNE PONDÉRÉE</t>
        </is>
      </c>
      <c r="C26" s="58">
        <f>SUM(C22:C25)</f>
        <v/>
      </c>
      <c r="D26" s="59">
        <f>IFERROR(SUMPRODUCT(C22:C25,D22:D25)/C26,0)</f>
        <v/>
      </c>
      <c r="E26" s="60" t="n">
        <v>23.80424443106562</v>
      </c>
      <c r="F26" s="61">
        <f>D26*E26</f>
        <v/>
      </c>
      <c r="G26" s="61">
        <f>IFERROR(SUMPRODUCT(C22:C25,G22:G25)/C26,0)</f>
        <v/>
      </c>
      <c r="H26" s="61">
        <f>F26+G26</f>
        <v/>
      </c>
      <c r="I26" s="62" t="inlineStr">
        <is>
          <t>—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63" t="inlineStr">
        <is>
          <t>Un facteur 1,40 entre les extrêmes. Le coût variable « moyen » du réseau ne décrit aucun élève réel — il ne sert qu'à cadrer, jamais à décider.</t>
        </is>
      </c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 ht="20" customHeight="1">
      <c r="A30" s="5" t="n"/>
      <c r="B30" s="23" t="inlineStr">
        <is>
          <t>③  La poche uniforme : les consommables, campus par campus</t>
        </is>
      </c>
      <c r="C30" s="5" t="n"/>
      <c r="D30" s="5" t="n"/>
      <c r="E30" s="5" t="n"/>
      <c r="F30" s="5" t="n"/>
      <c r="G30" s="5" t="n"/>
      <c r="H30" s="5" t="n"/>
      <c r="I30" s="5" t="n"/>
    </row>
    <row r="31" ht="14" customHeight="1">
      <c r="A31" s="5" t="n"/>
      <c r="B31" s="24" t="inlineStr">
        <is>
          <t>Clé EFFECTIFS. À l'intérieur d'un campus, tous les élèves portent le même montant — mais d'un campus à l'autre l'écart est de 24 %.</t>
        </is>
      </c>
      <c r="C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 ht="24" customHeight="1">
      <c r="A33" s="5" t="n"/>
      <c r="B33" s="25" t="inlineStr">
        <is>
          <t>Campus</t>
        </is>
      </c>
      <c r="C33" s="26" t="inlineStr">
        <is>
          <t>Effectifs 2026</t>
        </is>
      </c>
      <c r="D33" s="26" t="inlineStr">
        <is>
          <t>Consommables 604+6063</t>
        </is>
      </c>
      <c r="E33" s="26" t="inlineStr">
        <is>
          <t>Consommables / élève</t>
        </is>
      </c>
      <c r="F33" s="26" t="inlineStr">
        <is>
          <t>Places libres</t>
        </is>
      </c>
      <c r="G33" s="5" t="n"/>
      <c r="H33" s="5" t="n"/>
      <c r="I33" s="5" t="n"/>
    </row>
    <row r="34">
      <c r="A34" s="5" t="n"/>
      <c r="B34" s="47" t="inlineStr">
        <is>
          <t>Ipac Bachelor Factory Montpellier</t>
        </is>
      </c>
      <c r="C34" s="51">
        <f>'Le moteur'!N20</f>
        <v/>
      </c>
      <c r="D34" s="55">
        <f>'Le moteur'!Q20</f>
        <v/>
      </c>
      <c r="E34" s="55">
        <f>IFERROR(D34/C34,0)</f>
        <v/>
      </c>
      <c r="F34" s="51">
        <f>'Le moteur'!G44</f>
        <v/>
      </c>
      <c r="G34" s="5" t="n"/>
      <c r="H34" s="5" t="n"/>
      <c r="I34" s="5" t="n"/>
    </row>
    <row r="35">
      <c r="A35" s="5" t="n"/>
      <c r="B35" s="47" t="inlineStr">
        <is>
          <t>Ipac Bachelor Factory Nantes</t>
        </is>
      </c>
      <c r="C35" s="51">
        <f>'Le moteur'!N21</f>
        <v/>
      </c>
      <c r="D35" s="55">
        <f>'Le moteur'!Q21</f>
        <v/>
      </c>
      <c r="E35" s="55">
        <f>IFERROR(D35/C35,0)</f>
        <v/>
      </c>
      <c r="F35" s="51">
        <f>'Le moteur'!G45</f>
        <v/>
      </c>
      <c r="G35" s="5" t="n"/>
      <c r="H35" s="5" t="n"/>
      <c r="I35" s="5" t="n"/>
    </row>
    <row r="36">
      <c r="A36" s="5" t="n"/>
      <c r="B36" s="47" t="inlineStr">
        <is>
          <t>Ipac Bachelor Factory Rennes</t>
        </is>
      </c>
      <c r="C36" s="51">
        <f>'Le moteur'!N22</f>
        <v/>
      </c>
      <c r="D36" s="55">
        <f>'Le moteur'!Q22</f>
        <v/>
      </c>
      <c r="E36" s="55">
        <f>IFERROR(D36/C36,0)</f>
        <v/>
      </c>
      <c r="F36" s="51">
        <f>'Le moteur'!G46</f>
        <v/>
      </c>
      <c r="G36" s="5" t="n"/>
      <c r="H36" s="5" t="n"/>
      <c r="I36" s="5" t="n"/>
    </row>
    <row r="37">
      <c r="A37" s="5" t="n"/>
      <c r="B37" s="47" t="inlineStr">
        <is>
          <t>ISCOM Lille</t>
        </is>
      </c>
      <c r="C37" s="51">
        <f>'Le moteur'!N23</f>
        <v/>
      </c>
      <c r="D37" s="55">
        <f>'Le moteur'!Q23</f>
        <v/>
      </c>
      <c r="E37" s="55">
        <f>IFERROR(D37/C37,0)</f>
        <v/>
      </c>
      <c r="F37" s="51">
        <f>'Le moteur'!G47</f>
        <v/>
      </c>
      <c r="G37" s="5" t="n"/>
      <c r="H37" s="5" t="n"/>
      <c r="I37" s="5" t="n"/>
    </row>
    <row r="38">
      <c r="A38" s="5" t="n"/>
      <c r="B38" s="47" t="inlineStr">
        <is>
          <t>ISCOM Paris</t>
        </is>
      </c>
      <c r="C38" s="51">
        <f>'Le moteur'!N24</f>
        <v/>
      </c>
      <c r="D38" s="55">
        <f>'Le moteur'!Q24</f>
        <v/>
      </c>
      <c r="E38" s="55">
        <f>IFERROR(D38/C38,0)</f>
        <v/>
      </c>
      <c r="F38" s="51">
        <f>'Le moteur'!G48</f>
        <v/>
      </c>
      <c r="G38" s="5" t="n"/>
      <c r="H38" s="5" t="n"/>
      <c r="I38" s="5" t="n"/>
    </row>
    <row r="39">
      <c r="A39" s="5" t="n"/>
      <c r="B39" s="47" t="inlineStr">
        <is>
          <t>ISCOM Toulouse</t>
        </is>
      </c>
      <c r="C39" s="51">
        <f>'Le moteur'!N25</f>
        <v/>
      </c>
      <c r="D39" s="55">
        <f>'Le moteur'!Q25</f>
        <v/>
      </c>
      <c r="E39" s="55">
        <f>IFERROR(D39/C39,0)</f>
        <v/>
      </c>
      <c r="F39" s="51">
        <f>'Le moteur'!G49</f>
        <v/>
      </c>
      <c r="G39" s="5" t="n"/>
      <c r="H39" s="5" t="n"/>
      <c r="I39" s="5" t="n"/>
    </row>
    <row r="40">
      <c r="A40" s="5" t="n"/>
      <c r="B40" s="47" t="inlineStr">
        <is>
          <t>MBway Bordeaux</t>
        </is>
      </c>
      <c r="C40" s="51">
        <f>'Le moteur'!N26</f>
        <v/>
      </c>
      <c r="D40" s="55">
        <f>'Le moteur'!Q26</f>
        <v/>
      </c>
      <c r="E40" s="55">
        <f>IFERROR(D40/C40,0)</f>
        <v/>
      </c>
      <c r="F40" s="51">
        <f>'Le moteur'!G50</f>
        <v/>
      </c>
      <c r="G40" s="5" t="n"/>
      <c r="H40" s="5" t="n"/>
      <c r="I40" s="5" t="n"/>
    </row>
    <row r="41">
      <c r="A41" s="5" t="n"/>
      <c r="B41" s="47" t="inlineStr">
        <is>
          <t>MBway Lyon</t>
        </is>
      </c>
      <c r="C41" s="51">
        <f>'Le moteur'!N27</f>
        <v/>
      </c>
      <c r="D41" s="55">
        <f>'Le moteur'!Q27</f>
        <v/>
      </c>
      <c r="E41" s="55">
        <f>IFERROR(D41/C41,0)</f>
        <v/>
      </c>
      <c r="F41" s="51">
        <f>'Le moteur'!G51</f>
        <v/>
      </c>
      <c r="G41" s="5" t="n"/>
      <c r="H41" s="5" t="n"/>
      <c r="I41" s="5" t="n"/>
    </row>
    <row r="42">
      <c r="A42" s="5" t="n"/>
      <c r="B42" s="47" t="inlineStr">
        <is>
          <t>MBway Nantes</t>
        </is>
      </c>
      <c r="C42" s="51">
        <f>'Le moteur'!N28</f>
        <v/>
      </c>
      <c r="D42" s="55">
        <f>'Le moteur'!Q28</f>
        <v/>
      </c>
      <c r="E42" s="55">
        <f>IFERROR(D42/C42,0)</f>
        <v/>
      </c>
      <c r="F42" s="51">
        <f>'Le moteur'!G52</f>
        <v/>
      </c>
      <c r="G42" s="5" t="n"/>
      <c r="H42" s="5" t="n"/>
      <c r="I42" s="5" t="n"/>
    </row>
    <row r="43">
      <c r="A43" s="5" t="n"/>
      <c r="B43" s="47" t="inlineStr">
        <is>
          <t>MBway Paris</t>
        </is>
      </c>
      <c r="C43" s="51">
        <f>'Le moteur'!N29</f>
        <v/>
      </c>
      <c r="D43" s="55">
        <f>'Le moteur'!Q29</f>
        <v/>
      </c>
      <c r="E43" s="55">
        <f>IFERROR(D43/C43,0)</f>
        <v/>
      </c>
      <c r="F43" s="51">
        <f>'Le moteur'!G53</f>
        <v/>
      </c>
      <c r="G43" s="5" t="n"/>
      <c r="H43" s="5" t="n"/>
      <c r="I43" s="5" t="n"/>
    </row>
    <row r="44">
      <c r="A44" s="5" t="n"/>
      <c r="B44" s="47" t="inlineStr">
        <is>
          <t>Pigier Bordeaux</t>
        </is>
      </c>
      <c r="C44" s="51">
        <f>'Le moteur'!N30</f>
        <v/>
      </c>
      <c r="D44" s="55">
        <f>'Le moteur'!Q30</f>
        <v/>
      </c>
      <c r="E44" s="55">
        <f>IFERROR(D44/C44,0)</f>
        <v/>
      </c>
      <c r="F44" s="51">
        <f>'Le moteur'!G54</f>
        <v/>
      </c>
      <c r="G44" s="5" t="n"/>
      <c r="H44" s="5" t="n"/>
      <c r="I44" s="5" t="n"/>
    </row>
    <row r="45">
      <c r="A45" s="5" t="n"/>
      <c r="B45" s="47" t="inlineStr">
        <is>
          <t>Pigier Lyon</t>
        </is>
      </c>
      <c r="C45" s="51">
        <f>'Le moteur'!N31</f>
        <v/>
      </c>
      <c r="D45" s="55">
        <f>'Le moteur'!Q31</f>
        <v/>
      </c>
      <c r="E45" s="55">
        <f>IFERROR(D45/C45,0)</f>
        <v/>
      </c>
      <c r="F45" s="51">
        <f>'Le moteur'!G55</f>
        <v/>
      </c>
      <c r="G45" s="5" t="n"/>
      <c r="H45" s="5" t="n"/>
      <c r="I45" s="5" t="n"/>
    </row>
    <row r="46">
      <c r="A46" s="5" t="n"/>
      <c r="B46" s="47" t="inlineStr">
        <is>
          <t>Tunon Lyon</t>
        </is>
      </c>
      <c r="C46" s="51">
        <f>'Le moteur'!N32</f>
        <v/>
      </c>
      <c r="D46" s="55">
        <f>'Le moteur'!Q32</f>
        <v/>
      </c>
      <c r="E46" s="55">
        <f>IFERROR(D46/C46,0)</f>
        <v/>
      </c>
      <c r="F46" s="51">
        <f>'Le moteur'!G56</f>
        <v/>
      </c>
      <c r="G46" s="5" t="n"/>
      <c r="H46" s="5" t="n"/>
      <c r="I46" s="5" t="n"/>
    </row>
    <row r="47">
      <c r="A47" s="5" t="n"/>
      <c r="B47" s="47" t="inlineStr">
        <is>
          <t>Tunon Paris</t>
        </is>
      </c>
      <c r="C47" s="51">
        <f>'Le moteur'!N33</f>
        <v/>
      </c>
      <c r="D47" s="55">
        <f>'Le moteur'!Q33</f>
        <v/>
      </c>
      <c r="E47" s="55">
        <f>IFERROR(D47/C47,0)</f>
        <v/>
      </c>
      <c r="F47" s="51">
        <f>'Le moteur'!G57</f>
        <v/>
      </c>
      <c r="G47" s="5" t="n"/>
      <c r="H47" s="5" t="n"/>
      <c r="I47" s="5" t="n"/>
    </row>
    <row r="48">
      <c r="A48" s="5" t="n"/>
      <c r="B48" s="57" t="inlineStr">
        <is>
          <t>GROUPE</t>
        </is>
      </c>
      <c r="C48" s="58">
        <f>SUM(C34:C47)</f>
        <v/>
      </c>
      <c r="D48" s="61">
        <f>SUM(D34:D47)</f>
        <v/>
      </c>
      <c r="E48" s="61">
        <f>IFERROR(D48/C48,0)</f>
        <v/>
      </c>
      <c r="F48" s="58">
        <f>SUM(F34:F47)</f>
        <v/>
      </c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 ht="20" customHeight="1">
      <c r="A51" s="5" t="n"/>
      <c r="B51" s="36" t="inlineStr">
        <is>
          <t>④  Mais ce n'est pas ce coût-là que le masque soustrait</t>
        </is>
      </c>
      <c r="C51" s="5" t="n"/>
      <c r="D51" s="5" t="n"/>
      <c r="E51" s="5" t="n"/>
      <c r="F51" s="5" t="n"/>
      <c r="G51" s="5" t="n"/>
      <c r="H51" s="5" t="n"/>
      <c r="I51" s="5" t="n"/>
    </row>
    <row r="52" ht="14" customHeight="1">
      <c r="A52" s="5" t="n"/>
      <c r="B52" s="24" t="inlineStr">
        <is>
          <t>Le geste ajoute des élèves dans des classes qui existent déjà. Leur vacataire est déjà payé : il ne coûte pas un euro de plus. Le coût MARGINAL n'est donc pas le coût moyen.</t>
        </is>
      </c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64" t="inlineStr">
        <is>
          <t>TANT QU'IL RESTE UNE PLACE</t>
        </is>
      </c>
      <c r="C54" s="21" t="n"/>
      <c r="D54" s="21" t="n"/>
      <c r="E54" s="65" t="inlineStr">
        <is>
          <t>les consommables seuls  —  300 ou 372 € selon le campus</t>
        </is>
      </c>
      <c r="F54" s="21" t="n"/>
      <c r="G54" s="21" t="n"/>
      <c r="H54" s="21" t="n"/>
      <c r="I54" s="21" t="n"/>
    </row>
    <row r="55">
      <c r="A55" s="5" t="n"/>
      <c r="B55" s="66" t="inlineStr">
        <is>
          <t>QUAND LA CLASSE EST PLEINE</t>
        </is>
      </c>
      <c r="C55" s="13" t="n"/>
      <c r="D55" s="13" t="n"/>
      <c r="E55" s="67" t="inlineStr">
        <is>
          <t>+ la quote-part du vacataire d'une classe neuve  —  et là, le programme compte</t>
        </is>
      </c>
      <c r="F55" s="13" t="n"/>
      <c r="G55" s="13" t="n"/>
      <c r="H55" s="13" t="n"/>
      <c r="I55" s="13" t="n"/>
    </row>
    <row r="56">
      <c r="A56" s="5" t="n"/>
      <c r="B56" s="19" t="n"/>
      <c r="C56" s="19" t="n"/>
      <c r="D56" s="19" t="n"/>
      <c r="E56" s="68" t="inlineStr">
        <is>
          <t>Le masque bascule seul : IF(inscrits gagnés &lt;= places libres ; conso ; conso + vacataires du campus / places du campus).</t>
        </is>
      </c>
      <c r="F56" s="19" t="n"/>
      <c r="G56" s="19" t="n"/>
      <c r="H56" s="19" t="n"/>
      <c r="I56" s="19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 ht="30" customHeight="1">
      <c r="A59" s="5" t="n"/>
      <c r="B59" s="25" t="inlineStr">
        <is>
          <t>Programme qui ouvre</t>
        </is>
      </c>
      <c r="C59" s="26" t="inlineStr">
        <is>
          <t>Heures / classe</t>
        </is>
      </c>
      <c r="D59" s="26" t="inlineStr">
        <is>
          <t>Tarif horaire</t>
        </is>
      </c>
      <c r="E59" s="26" t="inlineStr">
        <is>
          <t>Coût du vacataire</t>
        </is>
      </c>
      <c r="F59" s="26" t="inlineStr">
        <is>
          <t>Capacité de la classe</t>
        </is>
      </c>
      <c r="G59" s="26" t="inlineStr">
        <is>
          <t>Coût d'ouverture / place</t>
        </is>
      </c>
      <c r="H59" s="26" t="inlineStr">
        <is>
          <t>+ consommables ⇒ coût marginal</t>
        </is>
      </c>
      <c r="I59" s="5" t="n"/>
    </row>
    <row r="60">
      <c r="A60" s="5" t="n"/>
      <c r="B60" s="47" t="inlineStr">
        <is>
          <t>Bachelor · alternance</t>
        </is>
      </c>
      <c r="C60" s="69" t="n">
        <v>480</v>
      </c>
      <c r="D60" s="53" t="n">
        <v>23.80424443106562</v>
      </c>
      <c r="E60" s="55">
        <f>C60*D60</f>
        <v/>
      </c>
      <c r="F60" s="51" t="n">
        <v>32</v>
      </c>
      <c r="G60" s="54">
        <f>E60/F60</f>
        <v/>
      </c>
      <c r="H60" s="70" t="inlineStr">
        <is>
          <t>de 657 à 729 € selon le campus</t>
        </is>
      </c>
      <c r="I60" s="5" t="n"/>
    </row>
    <row r="61">
      <c r="A61" s="5" t="n"/>
      <c r="B61" s="47" t="inlineStr">
        <is>
          <t>Mastère · alternance</t>
        </is>
      </c>
      <c r="C61" s="69" t="n">
        <v>420</v>
      </c>
      <c r="D61" s="53" t="n">
        <v>23.80424443106562</v>
      </c>
      <c r="E61" s="55">
        <f>C61*D61</f>
        <v/>
      </c>
      <c r="F61" s="51" t="n">
        <v>26</v>
      </c>
      <c r="G61" s="54">
        <f>E61/F61</f>
        <v/>
      </c>
      <c r="H61" s="70" t="inlineStr">
        <is>
          <t>de 684 à 756 € selon le campus</t>
        </is>
      </c>
      <c r="I61" s="5" t="n"/>
    </row>
    <row r="62">
      <c r="A62" s="5" t="n"/>
      <c r="B62" s="47" t="inlineStr">
        <is>
          <t>Bachelor · initial</t>
        </is>
      </c>
      <c r="C62" s="69" t="n">
        <v>600</v>
      </c>
      <c r="D62" s="53" t="n">
        <v>23.80424443106562</v>
      </c>
      <c r="E62" s="55">
        <f>C62*D62</f>
        <v/>
      </c>
      <c r="F62" s="51" t="n">
        <v>32</v>
      </c>
      <c r="G62" s="54">
        <f>E62/F62</f>
        <v/>
      </c>
      <c r="H62" s="70" t="inlineStr">
        <is>
          <t>de 746 à 818 € selon le campus</t>
        </is>
      </c>
      <c r="I62" s="5" t="n"/>
    </row>
    <row r="63">
      <c r="A63" s="5" t="n"/>
      <c r="B63" s="47" t="inlineStr">
        <is>
          <t>BTS · alternance</t>
        </is>
      </c>
      <c r="C63" s="69" t="n">
        <v>700</v>
      </c>
      <c r="D63" s="53" t="n">
        <v>23.80424443106562</v>
      </c>
      <c r="E63" s="55">
        <f>C63*D63</f>
        <v/>
      </c>
      <c r="F63" s="51" t="n">
        <v>30</v>
      </c>
      <c r="G63" s="54">
        <f>E63/F63</f>
        <v/>
      </c>
      <c r="H63" s="70" t="inlineStr">
        <is>
          <t>de 855 à 927 € selon le campus</t>
        </is>
      </c>
      <c r="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</row>
    <row r="66" ht="18" customHeight="1">
      <c r="A66" s="5" t="n"/>
      <c r="B66" s="71" t="inlineStr">
        <is>
          <t>Et le compte 6231 n'est jamais là-dedans.</t>
        </is>
      </c>
      <c r="C66" s="72" t="n"/>
      <c r="D66" s="72" t="n"/>
      <c r="E66" s="72" t="n"/>
      <c r="F66" s="72" t="n"/>
      <c r="G66" s="72" t="n"/>
      <c r="H66" s="72" t="n"/>
      <c r="I66" s="72" t="n"/>
    </row>
    <row r="67">
      <c r="A67" s="5" t="n"/>
      <c r="B67" s="73" t="inlineStr">
        <is>
          <t>6231 est le budget d'acquisition lui-même. Il est déjà soustrait comme Δ budget dans le compte de résultat du geste : le remettre dans le coût variable le compterait deux fois.</t>
        </is>
      </c>
      <c r="C67" s="74" t="n"/>
      <c r="D67" s="74" t="n"/>
      <c r="E67" s="74" t="n"/>
      <c r="F67" s="74" t="n"/>
      <c r="G67" s="74" t="n"/>
      <c r="H67" s="74" t="n"/>
      <c r="I67" s="74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E34:E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2026-09-07T16:29:46Z</dcterms:created>
  <dcterms:modified xsi:type="dcterms:W3CDTF">2026-09-07T16:29:47Z</dcterms:modified>
</cp:coreProperties>
</file>