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 moteur" sheetId="1" state="visible" r:id="rId1"/>
    <sheet name="Le coût variable" sheetId="2" state="visible" r:id="rId2"/>
    <sheet name="Intégration &amp; contrôles" sheetId="3" state="visible" r:id="rId3"/>
  </sheets>
  <definedNames/>
  <calcPr calcId="124519" fullCalcOnLoad="1"/>
</workbook>
</file>

<file path=xl/styles.xml><?xml version="1.0" encoding="utf-8"?>
<styleSheet xmlns="http://schemas.openxmlformats.org/spreadsheetml/2006/main">
  <numFmts count="9">
    <numFmt numFmtId="164" formatCode="+0.0%;-0.0%;&quot;—&quot;"/>
    <numFmt numFmtId="165" formatCode="#,##0&quot; €&quot;"/>
    <numFmt numFmtId="166" formatCode="0.00&quot; €&quot;"/>
    <numFmt numFmtId="167" formatCode="0.000"/>
    <numFmt numFmtId="168" formatCode="#,##0&quot; h&quot;"/>
    <numFmt numFmtId="169" formatCode="0.0%"/>
    <numFmt numFmtId="170" formatCode="#,##0.0"/>
    <numFmt numFmtId="171" formatCode="0.0&quot; h&quot;"/>
    <numFmt numFmtId="172" formatCode="+0.0%;-0.0%"/>
  </numFmts>
  <fonts count="37">
    <font>
      <name val="Calibri"/>
      <family val="2"/>
      <color theme="1"/>
      <sz val="11"/>
      <scheme val="minor"/>
    </font>
    <font>
      <name val="Arial"/>
      <color rgb="00A6D0EA"/>
      <sz val="7.5"/>
    </font>
    <font>
      <name val="Arial"/>
      <b val="1"/>
      <color rgb="00FFFFFF"/>
      <sz val="14"/>
    </font>
    <font>
      <name val="Arial"/>
      <b val="1"/>
      <color rgb="006B7075"/>
      <sz val="7.5"/>
    </font>
    <font>
      <name val="Arial"/>
      <b val="1"/>
      <color rgb="00007AC3"/>
      <sz val="11"/>
    </font>
    <font>
      <name val="Arial"/>
      <b val="1"/>
      <color rgb="00262626"/>
      <sz val="13"/>
    </font>
    <font>
      <name val="Arial"/>
      <b val="1"/>
      <color rgb="00262626"/>
      <sz val="7"/>
    </font>
    <font>
      <name val="Arial"/>
      <color rgb="00C41822"/>
      <sz val="18"/>
    </font>
    <font>
      <name val="Arial"/>
      <i val="1"/>
      <color rgb="006B7075"/>
      <sz val="6.5"/>
    </font>
    <font>
      <name val="Arial"/>
      <color rgb="00262626"/>
      <sz val="18"/>
    </font>
    <font>
      <name val="Arial"/>
      <color rgb="005F8A17"/>
      <sz val="18"/>
    </font>
    <font>
      <name val="Arial"/>
      <color rgb="00007AC3"/>
      <sz val="18"/>
    </font>
    <font>
      <name val="Arial"/>
      <b val="1"/>
      <color rgb="00262626"/>
      <sz val="10"/>
    </font>
    <font>
      <name val="Arial"/>
      <i val="1"/>
      <color rgb="006B7075"/>
      <sz val="7.5"/>
    </font>
    <font>
      <name val="Arial"/>
      <b val="1"/>
      <color rgb="00007AC3"/>
      <sz val="10"/>
    </font>
    <font>
      <name val="Arial"/>
      <b val="1"/>
      <color rgb="00262626"/>
      <sz val="8"/>
    </font>
    <font>
      <name val="Arial"/>
      <b val="1"/>
      <color rgb="00007AC3"/>
      <sz val="8"/>
    </font>
    <font>
      <name val="Arial"/>
      <color rgb="00262626"/>
      <sz val="8"/>
    </font>
    <font>
      <name val="Arial"/>
      <b val="1"/>
      <color rgb="00B26B00"/>
      <sz val="10"/>
    </font>
    <font>
      <name val="Arial"/>
      <b val="1"/>
      <i val="1"/>
      <color rgb="006B7075"/>
      <sz val="8"/>
    </font>
    <font>
      <name val="Arial"/>
      <i val="1"/>
      <color rgb="006B7075"/>
      <sz val="8"/>
    </font>
    <font>
      <name val="Arial"/>
      <b val="1"/>
      <color rgb="00262626"/>
      <sz val="12"/>
    </font>
    <font>
      <name val="Arial"/>
      <b val="1"/>
      <color rgb="005F8A17"/>
      <sz val="8"/>
    </font>
    <font>
      <name val="Arial"/>
      <color rgb="005F8A17"/>
      <sz val="8"/>
    </font>
    <font>
      <name val="Arial"/>
      <b val="1"/>
      <color rgb="00B26B00"/>
      <sz val="8"/>
    </font>
    <font>
      <name val="Arial"/>
      <color rgb="00B26B00"/>
      <sz val="8"/>
    </font>
    <font>
      <name val="Arial"/>
      <b val="1"/>
      <color rgb="00C41822"/>
      <sz val="8"/>
    </font>
    <font>
      <name val="Arial"/>
      <color rgb="00C41822"/>
      <sz val="8"/>
    </font>
    <font>
      <name val="Arial"/>
      <b val="1"/>
      <color rgb="00C41822"/>
      <sz val="10"/>
    </font>
    <font>
      <name val="Arial"/>
      <color rgb="00007AC3"/>
      <sz val="8"/>
    </font>
    <font>
      <name val="Arial"/>
      <b val="1"/>
      <color rgb="006B7075"/>
      <sz val="8"/>
    </font>
    <font>
      <name val="Arial"/>
      <color rgb="006B7075"/>
      <sz val="8"/>
    </font>
    <font>
      <name val="Arial"/>
      <b val="1"/>
      <color rgb="005F8A17"/>
      <sz val="9"/>
    </font>
    <font>
      <name val="Arial"/>
      <b val="1"/>
      <color rgb="00262626"/>
      <sz val="9"/>
    </font>
    <font>
      <name val="Consolas"/>
      <b val="1"/>
      <color rgb="00007AC3"/>
      <sz val="7.5"/>
    </font>
    <font>
      <name val="Consolas"/>
      <color rgb="00262626"/>
      <sz val="7.5"/>
    </font>
    <font>
      <name val="Arial"/>
      <b val="1"/>
      <color rgb="00007AC3"/>
      <sz val="9"/>
    </font>
  </fonts>
  <fills count="10">
    <fill>
      <patternFill/>
    </fill>
    <fill>
      <patternFill patternType="gray125"/>
    </fill>
    <fill>
      <patternFill patternType="solid">
        <fgColor rgb="00F5F6F7"/>
      </patternFill>
    </fill>
    <fill>
      <patternFill patternType="solid">
        <fgColor rgb="00262626"/>
      </patternFill>
    </fill>
    <fill>
      <patternFill patternType="solid">
        <fgColor rgb="00007AC3"/>
      </patternFill>
    </fill>
    <fill>
      <patternFill patternType="solid">
        <fgColor rgb="00FFFFFF"/>
      </patternFill>
    </fill>
    <fill>
      <patternFill patternType="solid">
        <fgColor rgb="00E7E6E6"/>
      </patternFill>
    </fill>
    <fill>
      <patternFill patternType="solid">
        <fgColor rgb="00E8F1F9"/>
      </patternFill>
    </fill>
    <fill>
      <patternFill patternType="solid">
        <fgColor rgb="00FDF3E7"/>
      </patternFill>
    </fill>
    <fill>
      <patternFill patternType="solid">
        <fgColor rgb="00F0EDE4"/>
      </patternFill>
    </fill>
  </fills>
  <borders count="13">
    <border>
      <left/>
      <right/>
      <top/>
      <bottom/>
      <diagonal/>
    </border>
    <border>
      <bottom style="thin">
        <color rgb="00D5D7DA"/>
      </bottom>
    </border>
    <border>
      <left style="thin">
        <color rgb="00007AC3"/>
      </left>
      <right style="thin">
        <color rgb="00007AC3"/>
      </right>
      <top style="thin">
        <color rgb="00007AC3"/>
      </top>
      <bottom style="thin">
        <color rgb="00007AC3"/>
      </bottom>
    </border>
    <border>
      <top style="thin">
        <color rgb="00D5D7DA"/>
      </top>
    </border>
    <border>
      <top style="thin">
        <color rgb="00D5D7DA"/>
      </top>
      <bottom style="thin">
        <color rgb="00262626"/>
      </bottom>
    </border>
    <border>
      <bottom style="thin">
        <color rgb="00EAF0F6"/>
      </bottom>
    </border>
    <border>
      <top style="thin">
        <color rgb="00262626"/>
      </top>
      <bottom style="thin">
        <color rgb="00262626"/>
      </bottom>
    </border>
    <border>
      <bottom style="thin">
        <color rgb="00F5E6D2"/>
      </bottom>
    </border>
    <border>
      <bottom style="thin">
        <color rgb="00EDEEF0"/>
      </bottom>
    </border>
    <border>
      <bottom style="thin">
        <color rgb="00262626"/>
      </bottom>
    </border>
    <border>
      <top style="thin">
        <color rgb="00007AC3"/>
      </top>
      <bottom style="thin">
        <color rgb="00007AC3"/>
      </bottom>
    </border>
    <border>
      <top style="thin">
        <color rgb="00007AC3"/>
      </top>
    </border>
    <border>
      <bottom style="thin">
        <color rgb="00007AC3"/>
      </bottom>
    </border>
  </borders>
  <cellStyleXfs count="1">
    <xf numFmtId="0" fontId="0" fillId="0" borderId="0"/>
  </cellStyleXfs>
  <cellXfs count="113">
    <xf numFmtId="0" fontId="0" fillId="0" borderId="0" pivotButton="0" quotePrefix="0" xfId="0"/>
    <xf numFmtId="0" fontId="0" fillId="3" borderId="0" pivotButton="0" quotePrefix="0" xfId="0"/>
    <xf numFmtId="0" fontId="1" fillId="3" borderId="0" applyAlignment="1" pivotButton="0" quotePrefix="0" xfId="0">
      <alignment horizontal="left" vertical="center"/>
    </xf>
    <xf numFmtId="0" fontId="2" fillId="3" borderId="0" applyAlignment="1" pivotButton="0" quotePrefix="0" xfId="0">
      <alignment horizontal="left" vertical="center"/>
    </xf>
    <xf numFmtId="0" fontId="0" fillId="4" borderId="0" pivotButton="0" quotePrefix="0" xfId="0"/>
    <xf numFmtId="0" fontId="0" fillId="2" borderId="0" pivotButton="0" quotePrefix="0" xfId="0"/>
    <xf numFmtId="0" fontId="3" fillId="2" borderId="1" applyAlignment="1" pivotButton="0" quotePrefix="0" xfId="0">
      <alignment horizontal="left" vertical="center"/>
    </xf>
    <xf numFmtId="0" fontId="0" fillId="2" borderId="1" pivotButton="0" quotePrefix="0" xfId="0"/>
    <xf numFmtId="0" fontId="3" fillId="2" borderId="1" applyAlignment="1" pivotButton="0" quotePrefix="0" xfId="0">
      <alignment horizontal="right" vertical="center"/>
    </xf>
    <xf numFmtId="164" fontId="4" fillId="5" borderId="2" applyAlignment="1" pivotButton="0" quotePrefix="0" xfId="0">
      <alignment horizontal="center" vertical="center"/>
    </xf>
    <xf numFmtId="0" fontId="5" fillId="2" borderId="0" applyAlignment="1" pivotButton="0" quotePrefix="0" xfId="0">
      <alignment horizontal="left" vertical="center"/>
    </xf>
    <xf numFmtId="0" fontId="0" fillId="6" borderId="0" pivotButton="0" quotePrefix="0" xfId="0"/>
    <xf numFmtId="0" fontId="6" fillId="5" borderId="0" applyAlignment="1" pivotButton="0" quotePrefix="0" xfId="0">
      <alignment horizontal="left" vertical="center" indent="1"/>
    </xf>
    <xf numFmtId="0" fontId="0" fillId="5" borderId="0" pivotButton="0" quotePrefix="0" xfId="0"/>
    <xf numFmtId="165" fontId="7" fillId="5" borderId="0" applyAlignment="1" pivotButton="0" quotePrefix="0" xfId="0">
      <alignment horizontal="left" vertical="center" indent="1"/>
    </xf>
    <xf numFmtId="165" fontId="9" fillId="5" borderId="0" applyAlignment="1" pivotButton="0" quotePrefix="0" xfId="0">
      <alignment horizontal="left" vertical="center" indent="1"/>
    </xf>
    <xf numFmtId="165" fontId="10" fillId="5" borderId="0" applyAlignment="1" pivotButton="0" quotePrefix="0" xfId="0">
      <alignment horizontal="left" vertical="center" indent="1"/>
    </xf>
    <xf numFmtId="166" fontId="11" fillId="5" borderId="0" applyAlignment="1" pivotButton="0" quotePrefix="0" xfId="0">
      <alignment horizontal="left" vertical="center" indent="1"/>
    </xf>
    <xf numFmtId="0" fontId="8" fillId="5" borderId="1" applyAlignment="1" pivotButton="0" quotePrefix="0" xfId="0">
      <alignment horizontal="left" vertical="center" indent="1"/>
    </xf>
    <xf numFmtId="0" fontId="0" fillId="5" borderId="1" pivotButton="0" quotePrefix="0" xfId="0"/>
    <xf numFmtId="0" fontId="12" fillId="5" borderId="3" applyAlignment="1" pivotButton="0" quotePrefix="0" xfId="0">
      <alignment horizontal="left" vertical="center" indent="1"/>
    </xf>
    <xf numFmtId="0" fontId="0" fillId="5" borderId="3" pivotButton="0" quotePrefix="0" xfId="0"/>
    <xf numFmtId="0" fontId="13" fillId="5" borderId="1" applyAlignment="1" pivotButton="0" quotePrefix="0" xfId="0">
      <alignment horizontal="left" vertical="center" indent="1"/>
    </xf>
    <xf numFmtId="0" fontId="14" fillId="2" borderId="0" applyAlignment="1" pivotButton="0" quotePrefix="0" xfId="0">
      <alignment horizontal="left" vertical="center"/>
    </xf>
    <xf numFmtId="0" fontId="13" fillId="2" borderId="0" applyAlignment="1" pivotButton="0" quotePrefix="0" xfId="0">
      <alignment horizontal="left" vertical="center"/>
    </xf>
    <xf numFmtId="0" fontId="15" fillId="2" borderId="4" applyAlignment="1" pivotButton="0" quotePrefix="0" xfId="0">
      <alignment horizontal="left" vertical="center"/>
    </xf>
    <xf numFmtId="0" fontId="15" fillId="2" borderId="4" applyAlignment="1" pivotButton="0" quotePrefix="0" xfId="0">
      <alignment horizontal="center" vertical="bottom" wrapText="1"/>
    </xf>
    <xf numFmtId="0" fontId="16" fillId="7" borderId="5" applyAlignment="1" pivotButton="0" quotePrefix="0" xfId="0">
      <alignment horizontal="left" vertical="center"/>
    </xf>
    <xf numFmtId="0" fontId="17" fillId="7" borderId="5" applyAlignment="1" pivotButton="0" quotePrefix="0" xfId="0">
      <alignment horizontal="left" vertical="center"/>
    </xf>
    <xf numFmtId="3" fontId="17" fillId="7" borderId="5" applyAlignment="1" pivotButton="0" quotePrefix="0" xfId="0">
      <alignment horizontal="right" vertical="center"/>
    </xf>
    <xf numFmtId="165" fontId="17" fillId="7" borderId="5" applyAlignment="1" pivotButton="0" quotePrefix="0" xfId="0">
      <alignment horizontal="right" vertical="center"/>
    </xf>
    <xf numFmtId="167" fontId="17" fillId="7" borderId="5" applyAlignment="1" pivotButton="0" quotePrefix="0" xfId="0">
      <alignment horizontal="right" vertical="center"/>
    </xf>
    <xf numFmtId="168" fontId="17" fillId="7" borderId="5" applyAlignment="1" pivotButton="0" quotePrefix="0" xfId="0">
      <alignment horizontal="right" vertical="center"/>
    </xf>
    <xf numFmtId="0" fontId="15" fillId="6" borderId="6" applyAlignment="1" pivotButton="0" quotePrefix="0" xfId="0">
      <alignment horizontal="left" vertical="center"/>
    </xf>
    <xf numFmtId="3" fontId="15" fillId="6" borderId="6" applyAlignment="1" pivotButton="0" quotePrefix="0" xfId="0">
      <alignment horizontal="right" vertical="center"/>
    </xf>
    <xf numFmtId="165" fontId="15" fillId="6" borderId="6" applyAlignment="1" pivotButton="0" quotePrefix="0" xfId="0">
      <alignment horizontal="right" vertical="center"/>
    </xf>
    <xf numFmtId="167" fontId="15" fillId="6" borderId="6" applyAlignment="1" pivotButton="0" quotePrefix="0" xfId="0">
      <alignment horizontal="right" vertical="center"/>
    </xf>
    <xf numFmtId="168" fontId="15" fillId="6" borderId="6" applyAlignment="1" pivotButton="0" quotePrefix="0" xfId="0">
      <alignment horizontal="right" vertical="center"/>
    </xf>
    <xf numFmtId="0" fontId="18" fillId="2" borderId="0" applyAlignment="1" pivotButton="0" quotePrefix="0" xfId="0">
      <alignment horizontal="left" vertical="center"/>
    </xf>
    <xf numFmtId="0" fontId="15" fillId="8" borderId="7" applyAlignment="1" pivotButton="0" quotePrefix="0" xfId="0">
      <alignment horizontal="left" vertical="center"/>
    </xf>
    <xf numFmtId="0" fontId="17" fillId="8" borderId="7" applyAlignment="1" pivotButton="0" quotePrefix="0" xfId="0">
      <alignment horizontal="left" vertical="center"/>
    </xf>
    <xf numFmtId="169" fontId="17" fillId="8" borderId="7" applyAlignment="1" pivotButton="0" quotePrefix="0" xfId="0">
      <alignment horizontal="right" vertical="center"/>
    </xf>
    <xf numFmtId="165" fontId="17" fillId="8" borderId="7" applyAlignment="1" pivotButton="0" quotePrefix="0" xfId="0">
      <alignment horizontal="right" vertical="center"/>
    </xf>
    <xf numFmtId="3" fontId="17" fillId="8" borderId="7" applyAlignment="1" pivotButton="0" quotePrefix="0" xfId="0">
      <alignment horizontal="right" vertical="center"/>
    </xf>
    <xf numFmtId="170" fontId="17" fillId="8" borderId="7" applyAlignment="1" pivotButton="0" quotePrefix="0" xfId="0">
      <alignment horizontal="right" vertical="center"/>
    </xf>
    <xf numFmtId="169" fontId="15" fillId="6" borderId="6" applyAlignment="1" pivotButton="0" quotePrefix="0" xfId="0">
      <alignment horizontal="right" vertical="center"/>
    </xf>
    <xf numFmtId="170" fontId="15" fillId="6" borderId="6" applyAlignment="1" pivotButton="0" quotePrefix="0" xfId="0">
      <alignment horizontal="right" vertical="center"/>
    </xf>
    <xf numFmtId="0" fontId="21" fillId="2" borderId="0" applyAlignment="1" pivotButton="0" quotePrefix="0" xfId="0">
      <alignment horizontal="left" vertical="center"/>
    </xf>
    <xf numFmtId="0" fontId="20" fillId="2" borderId="0" applyAlignment="1" pivotButton="0" quotePrefix="0" xfId="0">
      <alignment horizontal="left" vertical="center"/>
    </xf>
    <xf numFmtId="0" fontId="15" fillId="5" borderId="8" applyAlignment="1" pivotButton="0" quotePrefix="0" xfId="0">
      <alignment horizontal="left" vertical="center"/>
    </xf>
    <xf numFmtId="0" fontId="17" fillId="5" borderId="8" applyAlignment="1" pivotButton="0" quotePrefix="0" xfId="0">
      <alignment horizontal="right" vertical="center"/>
    </xf>
    <xf numFmtId="165" fontId="17" fillId="5" borderId="8" applyAlignment="1" pivotButton="0" quotePrefix="0" xfId="0">
      <alignment horizontal="right" vertical="center"/>
    </xf>
    <xf numFmtId="0" fontId="17" fillId="5" borderId="8" applyAlignment="1" pivotButton="0" quotePrefix="0" xfId="0">
      <alignment horizontal="left" vertical="center"/>
    </xf>
    <xf numFmtId="0" fontId="22" fillId="5" borderId="8" applyAlignment="1" pivotButton="0" quotePrefix="0" xfId="0">
      <alignment horizontal="left" vertical="center"/>
    </xf>
    <xf numFmtId="0" fontId="23" fillId="5" borderId="8" applyAlignment="1" pivotButton="0" quotePrefix="0" xfId="0">
      <alignment horizontal="left" vertical="center"/>
    </xf>
    <xf numFmtId="0" fontId="24" fillId="5" borderId="8" applyAlignment="1" pivotButton="0" quotePrefix="0" xfId="0">
      <alignment horizontal="left" vertical="center"/>
    </xf>
    <xf numFmtId="0" fontId="25" fillId="5" borderId="8" applyAlignment="1" pivotButton="0" quotePrefix="0" xfId="0">
      <alignment horizontal="left" vertical="center"/>
    </xf>
    <xf numFmtId="0" fontId="26" fillId="5" borderId="8" applyAlignment="1" pivotButton="0" quotePrefix="0" xfId="0">
      <alignment horizontal="left" vertical="center"/>
    </xf>
    <xf numFmtId="0" fontId="27" fillId="5" borderId="8" applyAlignment="1" pivotButton="0" quotePrefix="0" xfId="0">
      <alignment horizontal="left" vertical="center"/>
    </xf>
    <xf numFmtId="3" fontId="17" fillId="5" borderId="8" applyAlignment="1" pivotButton="0" quotePrefix="0" xfId="0">
      <alignment horizontal="right" vertical="center"/>
    </xf>
    <xf numFmtId="171" fontId="17" fillId="5" borderId="8" applyAlignment="1" pivotButton="0" quotePrefix="0" xfId="0">
      <alignment horizontal="right" vertical="center"/>
    </xf>
    <xf numFmtId="166" fontId="17" fillId="5" borderId="8" applyAlignment="1" pivotButton="0" quotePrefix="0" xfId="0">
      <alignment horizontal="right" vertical="center"/>
    </xf>
    <xf numFmtId="165" fontId="15" fillId="5" borderId="8" applyAlignment="1" pivotButton="0" quotePrefix="0" xfId="0">
      <alignment horizontal="right" vertical="center"/>
    </xf>
    <xf numFmtId="172" fontId="17" fillId="5" borderId="8" applyAlignment="1" pivotButton="0" quotePrefix="0" xfId="0">
      <alignment horizontal="right" vertical="center"/>
    </xf>
    <xf numFmtId="0" fontId="15" fillId="6" borderId="9" applyAlignment="1" pivotButton="0" quotePrefix="0" xfId="0">
      <alignment horizontal="left" vertical="center"/>
    </xf>
    <xf numFmtId="3" fontId="15" fillId="6" borderId="9" applyAlignment="1" pivotButton="0" quotePrefix="0" xfId="0">
      <alignment horizontal="right" vertical="center"/>
    </xf>
    <xf numFmtId="171" fontId="15" fillId="6" borderId="9" applyAlignment="1" pivotButton="0" quotePrefix="0" xfId="0">
      <alignment horizontal="right" vertical="center"/>
    </xf>
    <xf numFmtId="166" fontId="15" fillId="6" borderId="9" applyAlignment="1" pivotButton="0" quotePrefix="0" xfId="0">
      <alignment horizontal="right" vertical="center"/>
    </xf>
    <xf numFmtId="165" fontId="15" fillId="6" borderId="9" applyAlignment="1" pivotButton="0" quotePrefix="0" xfId="0">
      <alignment horizontal="right" vertical="center"/>
    </xf>
    <xf numFmtId="172" fontId="15" fillId="6" borderId="9" applyAlignment="1" pivotButton="0" quotePrefix="0" xfId="0">
      <alignment horizontal="right" vertical="center"/>
    </xf>
    <xf numFmtId="0" fontId="15" fillId="2" borderId="0" applyAlignment="1" pivotButton="0" quotePrefix="0" xfId="0">
      <alignment horizontal="left" vertical="center"/>
    </xf>
    <xf numFmtId="168" fontId="17" fillId="5" borderId="8" applyAlignment="1" pivotButton="0" quotePrefix="0" xfId="0">
      <alignment horizontal="right" vertical="center"/>
    </xf>
    <xf numFmtId="168" fontId="15" fillId="6" borderId="9" applyAlignment="1" pivotButton="0" quotePrefix="0" xfId="0">
      <alignment horizontal="right" vertical="center"/>
    </xf>
    <xf numFmtId="0" fontId="22" fillId="5" borderId="3" applyAlignment="1" pivotButton="0" quotePrefix="0" xfId="0">
      <alignment horizontal="left" vertical="center"/>
    </xf>
    <xf numFmtId="0" fontId="17" fillId="5" borderId="3" applyAlignment="1" pivotButton="0" quotePrefix="0" xfId="0">
      <alignment horizontal="left" vertical="center"/>
    </xf>
    <xf numFmtId="0" fontId="26" fillId="5" borderId="0" applyAlignment="1" pivotButton="0" quotePrefix="0" xfId="0">
      <alignment horizontal="left" vertical="center"/>
    </xf>
    <xf numFmtId="0" fontId="17" fillId="5" borderId="0" applyAlignment="1" pivotButton="0" quotePrefix="0" xfId="0">
      <alignment horizontal="left" vertical="center"/>
    </xf>
    <xf numFmtId="0" fontId="13" fillId="5" borderId="1" applyAlignment="1" pivotButton="0" quotePrefix="0" xfId="0">
      <alignment horizontal="left" vertical="center"/>
    </xf>
    <xf numFmtId="0" fontId="20" fillId="5" borderId="8" applyAlignment="1" pivotButton="0" quotePrefix="0" xfId="0">
      <alignment horizontal="left" vertical="center"/>
    </xf>
    <xf numFmtId="0" fontId="28" fillId="2" borderId="0" applyAlignment="1" pivotButton="0" quotePrefix="0" xfId="0">
      <alignment horizontal="left" vertical="center"/>
    </xf>
    <xf numFmtId="0" fontId="17" fillId="2" borderId="0" applyAlignment="1" pivotButton="0" quotePrefix="0" xfId="0">
      <alignment horizontal="left" vertical="center"/>
    </xf>
    <xf numFmtId="169" fontId="17" fillId="5" borderId="8" applyAlignment="1" pivotButton="0" quotePrefix="0" xfId="0">
      <alignment horizontal="right" vertical="center"/>
    </xf>
    <xf numFmtId="0" fontId="16" fillId="5" borderId="8" applyAlignment="1" pivotButton="0" quotePrefix="0" xfId="0">
      <alignment horizontal="left" vertical="center"/>
    </xf>
    <xf numFmtId="0" fontId="29" fillId="5" borderId="8" applyAlignment="1" pivotButton="0" quotePrefix="0" xfId="0">
      <alignment horizontal="left" vertical="center"/>
    </xf>
    <xf numFmtId="0" fontId="30" fillId="5" borderId="8" applyAlignment="1" pivotButton="0" quotePrefix="0" xfId="0">
      <alignment horizontal="left" vertical="center"/>
    </xf>
    <xf numFmtId="0" fontId="31" fillId="5" borderId="8" applyAlignment="1" pivotButton="0" quotePrefix="0" xfId="0">
      <alignment horizontal="left" vertical="center"/>
    </xf>
    <xf numFmtId="169" fontId="15" fillId="6" borderId="9" applyAlignment="1" pivotButton="0" quotePrefix="0" xfId="0">
      <alignment horizontal="right" vertical="center"/>
    </xf>
    <xf numFmtId="0" fontId="15" fillId="7" borderId="8" applyAlignment="1" pivotButton="0" quotePrefix="0" xfId="0">
      <alignment horizontal="left" vertical="center"/>
    </xf>
    <xf numFmtId="165" fontId="15" fillId="7" borderId="8" applyAlignment="1" pivotButton="0" quotePrefix="0" xfId="0">
      <alignment horizontal="right" vertical="center"/>
    </xf>
    <xf numFmtId="169" fontId="15" fillId="7" borderId="8" applyAlignment="1" pivotButton="0" quotePrefix="0" xfId="0">
      <alignment horizontal="right" vertical="center"/>
    </xf>
    <xf numFmtId="165" fontId="32" fillId="6" borderId="9" applyAlignment="1" pivotButton="0" quotePrefix="0" xfId="0">
      <alignment horizontal="right" vertical="center"/>
    </xf>
    <xf numFmtId="0" fontId="33" fillId="5" borderId="10" applyAlignment="1" pivotButton="0" quotePrefix="0" xfId="0">
      <alignment horizontal="left" vertical="center"/>
    </xf>
    <xf numFmtId="0" fontId="0" fillId="5" borderId="10" pivotButton="0" quotePrefix="0" xfId="0"/>
    <xf numFmtId="0" fontId="15" fillId="9" borderId="8" applyAlignment="1" pivotButton="0" quotePrefix="0" xfId="0">
      <alignment horizontal="left" vertical="center"/>
    </xf>
    <xf numFmtId="168" fontId="17" fillId="9" borderId="8" applyAlignment="1" pivotButton="0" quotePrefix="0" xfId="0">
      <alignment horizontal="right" vertical="center"/>
    </xf>
    <xf numFmtId="3" fontId="17" fillId="9" borderId="8" applyAlignment="1" pivotButton="0" quotePrefix="0" xfId="0">
      <alignment horizontal="right" vertical="center"/>
    </xf>
    <xf numFmtId="0" fontId="17" fillId="9" borderId="8" applyAlignment="1" pivotButton="0" quotePrefix="0" xfId="0">
      <alignment horizontal="left" vertical="center"/>
    </xf>
    <xf numFmtId="0" fontId="19" fillId="9" borderId="8" applyAlignment="1" pivotButton="0" quotePrefix="0" xfId="0">
      <alignment horizontal="left" vertical="center"/>
    </xf>
    <xf numFmtId="168" fontId="20" fillId="9" borderId="8" applyAlignment="1" pivotButton="0" quotePrefix="0" xfId="0">
      <alignment horizontal="right" vertical="center"/>
    </xf>
    <xf numFmtId="3" fontId="20" fillId="9" borderId="8" applyAlignment="1" pivotButton="0" quotePrefix="0" xfId="0">
      <alignment horizontal="right" vertical="center"/>
    </xf>
    <xf numFmtId="0" fontId="20" fillId="9" borderId="8" applyAlignment="1" pivotButton="0" quotePrefix="0" xfId="0">
      <alignment horizontal="left" vertical="center"/>
    </xf>
    <xf numFmtId="0" fontId="17" fillId="7" borderId="8" applyAlignment="1" pivotButton="0" quotePrefix="0" xfId="0">
      <alignment horizontal="left" vertical="center"/>
    </xf>
    <xf numFmtId="0" fontId="24" fillId="7" borderId="8" applyAlignment="1" pivotButton="0" quotePrefix="0" xfId="0">
      <alignment horizontal="left" vertical="center"/>
    </xf>
    <xf numFmtId="0" fontId="26" fillId="7" borderId="8" applyAlignment="1" pivotButton="0" quotePrefix="0" xfId="0">
      <alignment horizontal="left" vertical="center"/>
    </xf>
    <xf numFmtId="0" fontId="27" fillId="7" borderId="8" applyAlignment="1" pivotButton="0" quotePrefix="0" xfId="0">
      <alignment horizontal="left" vertical="center"/>
    </xf>
    <xf numFmtId="0" fontId="34" fillId="5" borderId="8" applyAlignment="1" pivotButton="0" quotePrefix="0" xfId="0">
      <alignment horizontal="left" vertical="center"/>
    </xf>
    <xf numFmtId="0" fontId="15" fillId="8" borderId="8" applyAlignment="1" pivotButton="0" quotePrefix="0" xfId="0">
      <alignment horizontal="left" vertical="center"/>
    </xf>
    <xf numFmtId="0" fontId="17" fillId="8" borderId="8" applyAlignment="1" pivotButton="0" quotePrefix="0" xfId="0">
      <alignment horizontal="left" vertical="center"/>
    </xf>
    <xf numFmtId="0" fontId="35" fillId="8" borderId="8" applyAlignment="1" pivotButton="0" quotePrefix="0" xfId="0">
      <alignment horizontal="left" vertical="center"/>
    </xf>
    <xf numFmtId="0" fontId="36" fillId="5" borderId="11" applyAlignment="1" pivotButton="0" quotePrefix="0" xfId="0">
      <alignment horizontal="left" vertical="center"/>
    </xf>
    <xf numFmtId="0" fontId="0" fillId="5" borderId="11" pivotButton="0" quotePrefix="0" xfId="0"/>
    <xf numFmtId="0" fontId="13" fillId="5" borderId="12" applyAlignment="1" pivotButton="0" quotePrefix="0" xfId="0">
      <alignment horizontal="left" vertical="center"/>
    </xf>
    <xf numFmtId="0" fontId="0" fillId="5" borderId="12" pivotButton="0" quotePrefix="0" xfId="0"/>
  </cellXfs>
  <cellStyles count="1">
    <cellStyle name="Normal" xfId="0" builtinId="0" hidden="0"/>
  </cellStyles>
  <dxfs count="3">
    <dxf>
      <font>
        <name val="Arial"/>
        <b val="1"/>
        <color rgb="00C41822"/>
        <sz val="8"/>
      </font>
    </dxf>
    <dxf>
      <font>
        <name val="Arial"/>
        <b val="1"/>
        <color rgb="005F8A17"/>
        <sz val="8"/>
      </font>
    </dxf>
    <dxf>
      <font>
        <name val="Arial"/>
        <b val="1"/>
        <color rgb="00C41822"/>
        <sz val="8"/>
      </font>
      <fill>
        <patternFill patternType="solid">
          <fgColor rgb="00F6C9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9"/>
  <sheetViews>
    <sheetView showGridLines="0" workbookViewId="0">
      <pane xSplit="3" topLeftCell="D1" activePane="topRight" state="frozen"/>
      <selection pane="topRight" activeCell="A1" sqref="A1"/>
    </sheetView>
  </sheetViews>
  <sheetFormatPr baseColWidth="8" defaultRowHeight="15"/>
  <cols>
    <col width="2.4" customWidth="1" min="1" max="1"/>
    <col width="21" customWidth="1" min="2" max="2"/>
    <col width="13"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 width="11.5" customWidth="1" min="19" max="19"/>
    <col width="11.5" customWidth="1" min="20" max="20"/>
  </cols>
  <sheetData>
    <row r="1" ht="14" customHeight="1">
      <c r="A1" s="1" t="n"/>
      <c r="B1" s="2" t="inlineStr">
        <is>
          <t>EDUSERVICES · le moteur d'acquisition</t>
        </is>
      </c>
      <c r="C1" s="1" t="n"/>
      <c r="D1" s="1" t="n"/>
      <c r="E1" s="1" t="n"/>
      <c r="F1" s="1" t="n"/>
      <c r="G1" s="1" t="n"/>
      <c r="H1" s="1" t="n"/>
      <c r="I1" s="1" t="n"/>
      <c r="J1" s="1" t="n"/>
      <c r="K1" s="1" t="n"/>
      <c r="L1" s="1" t="n"/>
      <c r="M1" s="1" t="n"/>
      <c r="N1" s="1" t="n"/>
      <c r="O1" s="1" t="n"/>
      <c r="P1" s="1" t="n"/>
      <c r="Q1" s="1" t="n"/>
      <c r="R1" s="1" t="n"/>
      <c r="S1" s="1" t="n"/>
      <c r="T1" s="1" t="n"/>
    </row>
    <row r="2" ht="24" customHeight="1">
      <c r="A2" s="1" t="n"/>
      <c r="B2" s="3" t="inlineStr">
        <is>
          <t>CALIBRATION &amp; EFFET D'UN +Δ%  —  campus groupé par marque</t>
        </is>
      </c>
      <c r="C2" s="1" t="n"/>
      <c r="D2" s="1" t="n"/>
      <c r="E2" s="1" t="n"/>
      <c r="F2" s="1" t="n"/>
      <c r="G2" s="1" t="n"/>
      <c r="H2" s="1" t="n"/>
      <c r="I2" s="1" t="n"/>
      <c r="J2" s="1" t="n"/>
      <c r="K2" s="1" t="n"/>
      <c r="L2" s="1" t="n"/>
      <c r="M2" s="1" t="n"/>
      <c r="N2" s="1" t="n"/>
      <c r="O2" s="1" t="n"/>
      <c r="P2" s="1" t="n"/>
      <c r="Q2" s="1" t="n"/>
      <c r="R2" s="1" t="n"/>
      <c r="S2" s="1" t="n"/>
      <c r="T2" s="1" t="n"/>
    </row>
    <row r="3" ht="3" customHeight="1">
      <c r="A3" s="4" t="n"/>
      <c r="B3" s="4" t="n"/>
      <c r="C3" s="4" t="n"/>
      <c r="D3" s="4" t="n"/>
      <c r="E3" s="4" t="n"/>
      <c r="F3" s="4" t="n"/>
      <c r="G3" s="4" t="n"/>
      <c r="H3" s="4" t="n"/>
      <c r="I3" s="4" t="n"/>
      <c r="J3" s="4" t="n"/>
      <c r="K3" s="4" t="n"/>
      <c r="L3" s="4" t="n"/>
      <c r="M3" s="4" t="n"/>
      <c r="N3" s="4" t="n"/>
      <c r="O3" s="4" t="n"/>
      <c r="P3" s="4" t="n"/>
      <c r="Q3" s="4" t="n"/>
      <c r="R3" s="4" t="n"/>
      <c r="S3" s="4" t="n"/>
      <c r="T3" s="4" t="n"/>
    </row>
    <row r="4" ht="22" customHeight="1">
      <c r="A4" s="5" t="n"/>
      <c r="B4" s="6" t="inlineStr">
        <is>
          <t>LE GESTE  ·  la seule cellule à saisir</t>
        </is>
      </c>
      <c r="C4" s="7" t="n"/>
      <c r="D4" s="8" t="inlineStr">
        <is>
          <t>Δ budget d'acquisition</t>
        </is>
      </c>
      <c r="E4" s="7" t="n"/>
      <c r="F4" s="9" t="n">
        <v>0.08</v>
      </c>
      <c r="G4" s="7" t="n"/>
      <c r="H4" s="7" t="n"/>
      <c r="I4" s="7" t="n"/>
      <c r="J4" s="7" t="n"/>
      <c r="K4" s="7" t="n"/>
      <c r="L4" s="7" t="n"/>
      <c r="M4" s="7" t="n"/>
      <c r="N4" s="7" t="n"/>
      <c r="O4" s="7" t="n"/>
      <c r="P4" s="7" t="n"/>
      <c r="Q4" s="7" t="n"/>
      <c r="R4" s="7" t="n"/>
      <c r="S4" s="7" t="n"/>
      <c r="T4" s="7" t="n"/>
    </row>
    <row r="5" ht="8" customHeight="1">
      <c r="A5" s="5" t="n"/>
      <c r="B5" s="5" t="n"/>
      <c r="C5" s="5" t="n"/>
      <c r="D5" s="5" t="n"/>
      <c r="E5" s="5" t="n"/>
      <c r="F5" s="5" t="n"/>
      <c r="G5" s="5" t="n"/>
      <c r="H5" s="5" t="n"/>
      <c r="I5" s="5" t="n"/>
      <c r="J5" s="5" t="n"/>
      <c r="K5" s="5" t="n"/>
      <c r="L5" s="5" t="n"/>
      <c r="M5" s="5" t="n"/>
      <c r="N5" s="5" t="n"/>
      <c r="O5" s="5" t="n"/>
      <c r="P5" s="5" t="n"/>
      <c r="Q5" s="5" t="n"/>
      <c r="R5" s="5" t="n"/>
      <c r="S5" s="5" t="n"/>
      <c r="T5" s="5" t="n"/>
    </row>
    <row r="6" ht="24" customHeight="1">
      <c r="A6" s="5" t="n"/>
      <c r="B6" s="10">
        <f>"Je dépense "&amp;TEXT(H58,"#,##0 €")&amp;".   J'encaisse "&amp;TEXT(J58,"#,##0 €")&amp;".   Les servir coûte "&amp;TEXT(I58*K58,"#,##0 €")&amp;".   Il me reste "&amp;TEXT(L58,"#,##0 €")&amp;"."</f>
        <v/>
      </c>
      <c r="C6" s="5" t="n"/>
      <c r="D6" s="5" t="n"/>
      <c r="E6" s="5" t="n"/>
      <c r="F6" s="5" t="n"/>
      <c r="G6" s="5" t="n"/>
      <c r="H6" s="5" t="n"/>
      <c r="I6" s="5" t="n"/>
      <c r="J6" s="5" t="n"/>
      <c r="K6" s="5" t="n"/>
      <c r="L6" s="5" t="n"/>
      <c r="M6" s="5" t="n"/>
      <c r="N6" s="5" t="n"/>
      <c r="O6" s="5" t="n"/>
      <c r="P6" s="5" t="n"/>
      <c r="Q6" s="5" t="n"/>
      <c r="R6" s="5" t="n"/>
      <c r="S6" s="5" t="n"/>
      <c r="T6" s="5" t="n"/>
    </row>
    <row r="7" ht="8" customHeight="1">
      <c r="A7" s="5" t="n"/>
      <c r="B7" s="5" t="n"/>
      <c r="C7" s="5" t="n"/>
      <c r="D7" s="5" t="n"/>
      <c r="E7" s="5" t="n"/>
      <c r="F7" s="5" t="n"/>
      <c r="G7" s="5" t="n"/>
      <c r="H7" s="5" t="n"/>
      <c r="I7" s="5" t="n"/>
      <c r="J7" s="5" t="n"/>
      <c r="K7" s="5" t="n"/>
      <c r="L7" s="5" t="n"/>
      <c r="M7" s="5" t="n"/>
      <c r="N7" s="5" t="n"/>
      <c r="O7" s="5" t="n"/>
      <c r="P7" s="5" t="n"/>
      <c r="Q7" s="5" t="n"/>
      <c r="R7" s="5" t="n"/>
      <c r="S7" s="5" t="n"/>
      <c r="T7" s="5" t="n"/>
    </row>
    <row r="8" ht="3" customHeight="1">
      <c r="A8" s="5" t="n"/>
      <c r="B8" s="11" t="n"/>
      <c r="C8" s="11" t="n"/>
      <c r="D8" s="11" t="n"/>
      <c r="E8" s="11" t="n"/>
      <c r="F8" s="11" t="n"/>
      <c r="G8" s="11" t="n"/>
      <c r="H8" s="11" t="n"/>
      <c r="I8" s="11" t="n"/>
      <c r="J8" s="11" t="n"/>
      <c r="K8" s="4" t="n"/>
      <c r="L8" s="4" t="n"/>
      <c r="M8" s="4" t="n"/>
      <c r="N8" s="11" t="n"/>
      <c r="O8" s="11" t="n"/>
      <c r="P8" s="11" t="n"/>
      <c r="Q8" s="5" t="n"/>
      <c r="R8" s="5" t="n"/>
      <c r="S8" s="5" t="n"/>
      <c r="T8" s="5" t="n"/>
    </row>
    <row r="9" ht="12" customHeight="1">
      <c r="A9" s="5" t="n"/>
      <c r="B9" s="12" t="inlineStr">
        <is>
          <t>JE DÉPENSE</t>
        </is>
      </c>
      <c r="C9" s="13" t="n"/>
      <c r="D9" s="13" t="n"/>
      <c r="E9" s="12" t="inlineStr">
        <is>
          <t>J'ENCAISSE</t>
        </is>
      </c>
      <c r="F9" s="13" t="n"/>
      <c r="G9" s="13" t="n"/>
      <c r="H9" s="12" t="inlineStr">
        <is>
          <t>LES SERVIR COÛTE</t>
        </is>
      </c>
      <c r="I9" s="13" t="n"/>
      <c r="J9" s="13" t="n"/>
      <c r="K9" s="12" t="inlineStr">
        <is>
          <t>IL ME RESTE</t>
        </is>
      </c>
      <c r="L9" s="13" t="n"/>
      <c r="M9" s="13" t="n"/>
      <c r="N9" s="12" t="inlineStr">
        <is>
          <t>PAR EURO INVESTI</t>
        </is>
      </c>
      <c r="O9" s="13" t="n"/>
      <c r="P9" s="13" t="n"/>
      <c r="Q9" s="5" t="n"/>
      <c r="R9" s="5" t="n"/>
      <c r="S9" s="5" t="n"/>
      <c r="T9" s="5" t="n"/>
    </row>
    <row r="10" ht="28" customHeight="1">
      <c r="A10" s="5" t="n"/>
      <c r="B10" s="14">
        <f>H58</f>
        <v/>
      </c>
      <c r="C10" s="13" t="n"/>
      <c r="D10" s="13" t="n"/>
      <c r="E10" s="15">
        <f>J58</f>
        <v/>
      </c>
      <c r="F10" s="13" t="n"/>
      <c r="G10" s="13" t="n"/>
      <c r="H10" s="14">
        <f>I58*K58</f>
        <v/>
      </c>
      <c r="I10" s="13" t="n"/>
      <c r="J10" s="13" t="n"/>
      <c r="K10" s="16">
        <f>L58</f>
        <v/>
      </c>
      <c r="L10" s="13" t="n"/>
      <c r="M10" s="13" t="n"/>
      <c r="N10" s="17">
        <f>IFERROR(L58/H58,0)</f>
        <v/>
      </c>
      <c r="O10" s="13" t="n"/>
      <c r="P10" s="13" t="n"/>
      <c r="Q10" s="5" t="n"/>
      <c r="R10" s="5" t="n"/>
      <c r="S10" s="5" t="n"/>
      <c r="T10" s="5" t="n"/>
    </row>
    <row r="11" ht="14" customHeight="1">
      <c r="A11" s="5" t="n"/>
      <c r="B11" s="18" t="inlineStr">
        <is>
          <t>le Δ appliqué au budget 2026</t>
        </is>
      </c>
      <c r="C11" s="19" t="n"/>
      <c r="D11" s="19" t="n"/>
      <c r="E11" s="18" t="inlineStr">
        <is>
          <t>les inscrits gagnés × le CA par inscrit</t>
        </is>
      </c>
      <c r="F11" s="19" t="n"/>
      <c r="G11" s="19" t="n"/>
      <c r="H11" s="18" t="inlineStr">
        <is>
          <t>consommables, et vacataire si une classe doit ouvrir</t>
        </is>
      </c>
      <c r="I11" s="19" t="n"/>
      <c r="J11" s="19" t="n"/>
      <c r="K11" s="18" t="inlineStr">
        <is>
          <t>d'EBITDA en plus, première année</t>
        </is>
      </c>
      <c r="L11" s="19" t="n"/>
      <c r="M11" s="19" t="n"/>
      <c r="N11" s="18" t="inlineStr">
        <is>
          <t>d'EBITDA pour un euro d'acquisition</t>
        </is>
      </c>
      <c r="O11" s="19" t="n"/>
      <c r="P11" s="19" t="n"/>
      <c r="Q11" s="5" t="n"/>
      <c r="R11" s="5" t="n"/>
      <c r="S11" s="5" t="n"/>
      <c r="T11" s="5" t="n"/>
    </row>
    <row r="12" ht="8" customHeight="1">
      <c r="A12" s="5" t="n"/>
      <c r="B12" s="5" t="n"/>
      <c r="C12" s="5" t="n"/>
      <c r="D12" s="5" t="n"/>
      <c r="E12" s="5" t="n"/>
      <c r="F12" s="5" t="n"/>
      <c r="G12" s="5" t="n"/>
      <c r="H12" s="5" t="n"/>
      <c r="I12" s="5" t="n"/>
      <c r="J12" s="5" t="n"/>
      <c r="K12" s="5" t="n"/>
      <c r="L12" s="5" t="n"/>
      <c r="M12" s="5" t="n"/>
      <c r="N12" s="5" t="n"/>
      <c r="O12" s="5" t="n"/>
      <c r="P12" s="5" t="n"/>
      <c r="Q12" s="5" t="n"/>
      <c r="R12" s="5" t="n"/>
      <c r="S12" s="5" t="n"/>
      <c r="T12" s="5" t="n"/>
    </row>
    <row r="13" ht="20" customHeight="1">
      <c r="A13" s="5" t="n"/>
      <c r="B13" s="20">
        <f>"JUSQU'OÙ ?   Le geste gagne "&amp;TEXT(I58,"#,##0")&amp;" inscrits pour "&amp;TEXT(G58,"#,##0")&amp;" places libres dans le réseau, soit "&amp;TEXT(I58/G58,"0.0%")&amp;" de la capacité disponible."</f>
        <v/>
      </c>
      <c r="C13" s="21" t="n"/>
      <c r="D13" s="21" t="n"/>
      <c r="E13" s="21" t="n"/>
      <c r="F13" s="21" t="n"/>
      <c r="G13" s="21" t="n"/>
      <c r="H13" s="21" t="n"/>
      <c r="I13" s="21" t="n"/>
      <c r="J13" s="21" t="n"/>
      <c r="K13" s="21" t="n"/>
      <c r="L13" s="21" t="n"/>
      <c r="M13" s="21" t="n"/>
      <c r="N13" s="21" t="n"/>
      <c r="O13" s="21" t="n"/>
      <c r="P13" s="21" t="n"/>
      <c r="Q13" s="21" t="n"/>
      <c r="R13" s="21" t="n"/>
      <c r="S13" s="21" t="n"/>
      <c r="T13" s="21" t="n"/>
    </row>
    <row r="14" ht="16" customHeight="1">
      <c r="A14" s="5" t="n"/>
      <c r="B14" s="22" t="inlineStr">
        <is>
          <t>La limite n'est pas économique — l'euro d'acquisition reste rentable très loin — elle est PHYSIQUE. Le modèle ne compte que le vacataire d'une classe qui ouvre ; il ne dit rien du jour où il faudrait un campus de plus.</t>
        </is>
      </c>
      <c r="C14" s="19" t="n"/>
      <c r="D14" s="19" t="n"/>
      <c r="E14" s="19" t="n"/>
      <c r="F14" s="19" t="n"/>
      <c r="G14" s="19" t="n"/>
      <c r="H14" s="19" t="n"/>
      <c r="I14" s="19" t="n"/>
      <c r="J14" s="19" t="n"/>
      <c r="K14" s="19" t="n"/>
      <c r="L14" s="19" t="n"/>
      <c r="M14" s="19" t="n"/>
      <c r="N14" s="19" t="n"/>
      <c r="O14" s="19" t="n"/>
      <c r="P14" s="19" t="n"/>
      <c r="Q14" s="19" t="n"/>
      <c r="R14" s="19" t="n"/>
      <c r="S14" s="19" t="n"/>
      <c r="T14" s="19" t="n"/>
    </row>
    <row r="15" ht="10" customHeight="1">
      <c r="A15" s="5" t="n"/>
      <c r="B15" s="5" t="n"/>
      <c r="C15" s="5" t="n"/>
      <c r="D15" s="5" t="n"/>
      <c r="E15" s="5" t="n"/>
      <c r="F15" s="5" t="n"/>
      <c r="G15" s="5" t="n"/>
      <c r="H15" s="5" t="n"/>
      <c r="I15" s="5" t="n"/>
      <c r="J15" s="5" t="n"/>
      <c r="K15" s="5" t="n"/>
      <c r="L15" s="5" t="n"/>
      <c r="M15" s="5" t="n"/>
      <c r="N15" s="5" t="n"/>
      <c r="O15" s="5" t="n"/>
      <c r="P15" s="5" t="n"/>
      <c r="Q15" s="5" t="n"/>
      <c r="R15" s="5" t="n"/>
      <c r="S15" s="5" t="n"/>
      <c r="T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row>
    <row r="17" ht="20" customHeight="1">
      <c r="A17" s="5" t="n"/>
      <c r="B17" s="23" t="inlineStr">
        <is>
          <t>①  CE QUE LA VUE RESTITUE  ·  V_MOTEUR_CAL, une ligne par campus, aucun calcul</t>
        </is>
      </c>
      <c r="C17" s="5" t="n"/>
      <c r="D17" s="5" t="n"/>
      <c r="E17" s="5" t="n"/>
      <c r="F17" s="5" t="n"/>
      <c r="G17" s="5" t="n"/>
      <c r="H17" s="5" t="n"/>
      <c r="I17" s="5" t="n"/>
      <c r="J17" s="5" t="n"/>
      <c r="K17" s="5" t="n"/>
      <c r="L17" s="5" t="n"/>
      <c r="M17" s="5" t="n"/>
      <c r="N17" s="5" t="n"/>
      <c r="O17" s="5" t="n"/>
      <c r="P17" s="5" t="n"/>
      <c r="Q17" s="5" t="n"/>
      <c r="R17" s="5" t="n"/>
      <c r="S17" s="5" t="n"/>
      <c r="T17" s="5" t="n"/>
    </row>
    <row r="18" ht="14" customHeight="1">
      <c r="A18" s="5" t="n"/>
      <c r="B18" s="24" t="inlineStr">
        <is>
          <t>Ces dix-neuf colonnes sortent de la base. Elles sont additives : on peut les sommer, les filtrer, les remonter à la marque — rien n'y est un ratio.</t>
        </is>
      </c>
      <c r="C18" s="5" t="n"/>
      <c r="D18" s="5" t="n"/>
      <c r="E18" s="5" t="n"/>
      <c r="F18" s="5" t="n"/>
      <c r="G18" s="5" t="n"/>
      <c r="H18" s="5" t="n"/>
      <c r="I18" s="5" t="n"/>
      <c r="J18" s="5" t="n"/>
      <c r="K18" s="5" t="n"/>
      <c r="L18" s="5" t="n"/>
      <c r="M18" s="5" t="n"/>
      <c r="N18" s="5" t="n"/>
      <c r="O18" s="5" t="n"/>
      <c r="P18" s="5" t="n"/>
      <c r="Q18" s="5" t="n"/>
      <c r="R18" s="5" t="n"/>
      <c r="S18" s="5" t="n"/>
      <c r="T18" s="5" t="n"/>
    </row>
    <row r="19" ht="34" customHeight="1">
      <c r="A19" s="5" t="n"/>
      <c r="B19" s="25" t="inlineStr">
        <is>
          <t>Marque</t>
        </is>
      </c>
      <c r="C19" s="25" t="inlineStr">
        <is>
          <t>Campus</t>
        </is>
      </c>
      <c r="D19" s="26" t="inlineStr">
        <is>
          <t>Leads payants 2024</t>
        </is>
      </c>
      <c r="E19" s="26" t="inlineStr">
        <is>
          <t>Leads payants 2025</t>
        </is>
      </c>
      <c r="F19" s="26" t="inlineStr">
        <is>
          <t>Leads payants 2026</t>
        </is>
      </c>
      <c r="G19" s="26" t="inlineStr">
        <is>
          <t>Budget acq. 2024</t>
        </is>
      </c>
      <c r="H19" s="26" t="inlineStr">
        <is>
          <t>Budget acq. 2025</t>
        </is>
      </c>
      <c r="I19" s="26" t="inlineStr">
        <is>
          <t>Budget acq. 2026</t>
        </is>
      </c>
      <c r="J19" s="26" t="inlineStr">
        <is>
          <t>Élasticité</t>
        </is>
      </c>
      <c r="K19" s="26" t="inlineStr">
        <is>
          <t>Leads totaux 2026</t>
        </is>
      </c>
      <c r="L19" s="26" t="inlineStr">
        <is>
          <t>Inscrits 2026</t>
        </is>
      </c>
      <c r="M19" s="26" t="inlineStr">
        <is>
          <t>CA nouveaux 2026</t>
        </is>
      </c>
      <c r="N19" s="26" t="inlineStr">
        <is>
          <t>Effectifs 2026</t>
        </is>
      </c>
      <c r="O19" s="26" t="inlineStr">
        <is>
          <t>Places 2026</t>
        </is>
      </c>
      <c r="P19" s="26" t="inlineStr">
        <is>
          <t>Classes 2026</t>
        </is>
      </c>
      <c r="Q19" s="26" t="inlineStr">
        <is>
          <t>Heures d'enseignement 2026</t>
        </is>
      </c>
      <c r="R19" s="26" t="inlineStr">
        <is>
          <t>Consommables 604+6063</t>
        </is>
      </c>
      <c r="S19" s="26" t="inlineStr">
        <is>
          <t>Vacataires 621</t>
        </is>
      </c>
      <c r="T19" s="26" t="inlineStr">
        <is>
          <t>Enseignants permanents 6411</t>
        </is>
      </c>
    </row>
    <row r="20">
      <c r="A20" s="5" t="n"/>
      <c r="B20" s="27" t="inlineStr">
        <is>
          <t>Ipac Bachelor Factory</t>
        </is>
      </c>
      <c r="C20" s="28" t="inlineStr">
        <is>
          <t>Montpellier</t>
        </is>
      </c>
      <c r="D20" s="29" t="n">
        <v>377</v>
      </c>
      <c r="E20" s="29" t="n">
        <v>399</v>
      </c>
      <c r="F20" s="29" t="n">
        <v>422</v>
      </c>
      <c r="G20" s="30" t="n">
        <v>12543</v>
      </c>
      <c r="H20" s="30" t="n">
        <v>13798</v>
      </c>
      <c r="I20" s="30" t="n">
        <v>15178</v>
      </c>
      <c r="J20" s="31" t="n">
        <v>0.5913448933445277</v>
      </c>
      <c r="K20" s="29" t="n">
        <v>680</v>
      </c>
      <c r="L20" s="29" t="n">
        <v>40</v>
      </c>
      <c r="M20" s="30" t="n">
        <v>269600</v>
      </c>
      <c r="N20" s="29" t="n">
        <v>117</v>
      </c>
      <c r="O20" s="29" t="n">
        <v>192</v>
      </c>
      <c r="P20" s="29" t="n">
        <v>6</v>
      </c>
      <c r="Q20" s="32" t="n">
        <v>2880</v>
      </c>
      <c r="R20" s="30" t="n">
        <v>43535</v>
      </c>
      <c r="S20" s="30" t="n">
        <v>72438</v>
      </c>
      <c r="T20" s="30" t="n">
        <v>136087.43</v>
      </c>
    </row>
    <row r="21">
      <c r="A21" s="5" t="n"/>
      <c r="B21" s="27" t="inlineStr"/>
      <c r="C21" s="28" t="inlineStr">
        <is>
          <t>Nantes</t>
        </is>
      </c>
      <c r="D21" s="29" t="n">
        <v>489</v>
      </c>
      <c r="E21" s="29" t="n">
        <v>516</v>
      </c>
      <c r="F21" s="29" t="n">
        <v>544</v>
      </c>
      <c r="G21" s="30" t="n">
        <v>17983</v>
      </c>
      <c r="H21" s="30" t="n">
        <v>19782</v>
      </c>
      <c r="I21" s="30" t="n">
        <v>21760</v>
      </c>
      <c r="J21" s="31" t="n">
        <v>0.5590807860887932</v>
      </c>
      <c r="K21" s="29" t="n">
        <v>850</v>
      </c>
      <c r="L21" s="29" t="n">
        <v>50</v>
      </c>
      <c r="M21" s="30" t="n">
        <v>354500</v>
      </c>
      <c r="N21" s="29" t="n">
        <v>145</v>
      </c>
      <c r="O21" s="29" t="n">
        <v>192</v>
      </c>
      <c r="P21" s="29" t="n">
        <v>6</v>
      </c>
      <c r="Q21" s="32" t="n">
        <v>2880</v>
      </c>
      <c r="R21" s="30" t="n">
        <v>53954</v>
      </c>
      <c r="S21" s="30" t="n">
        <v>72438</v>
      </c>
      <c r="T21" s="30" t="n">
        <v>168182.73</v>
      </c>
    </row>
    <row r="22">
      <c r="A22" s="5" t="n"/>
      <c r="B22" s="27" t="inlineStr"/>
      <c r="C22" s="28" t="inlineStr">
        <is>
          <t>Rennes</t>
        </is>
      </c>
      <c r="D22" s="29" t="n">
        <v>371</v>
      </c>
      <c r="E22" s="29" t="n">
        <v>392</v>
      </c>
      <c r="F22" s="29" t="n">
        <v>415</v>
      </c>
      <c r="G22" s="30" t="n">
        <v>12341</v>
      </c>
      <c r="H22" s="30" t="n">
        <v>13575</v>
      </c>
      <c r="I22" s="30" t="n">
        <v>14933</v>
      </c>
      <c r="J22" s="31" t="n">
        <v>0.5878765643775008</v>
      </c>
      <c r="K22" s="29" t="n">
        <v>680</v>
      </c>
      <c r="L22" s="29" t="n">
        <v>40</v>
      </c>
      <c r="M22" s="30" t="n">
        <v>269600</v>
      </c>
      <c r="N22" s="29" t="n">
        <v>117</v>
      </c>
      <c r="O22" s="29" t="n">
        <v>192</v>
      </c>
      <c r="P22" s="29" t="n">
        <v>6</v>
      </c>
      <c r="Q22" s="32" t="n">
        <v>2880</v>
      </c>
      <c r="R22" s="30" t="n">
        <v>43535</v>
      </c>
      <c r="S22" s="30" t="n">
        <v>72438</v>
      </c>
      <c r="T22" s="30" t="n">
        <v>136168.63</v>
      </c>
    </row>
    <row r="23">
      <c r="A23" s="5" t="n"/>
      <c r="B23" s="27" t="inlineStr">
        <is>
          <t>ISCOM</t>
        </is>
      </c>
      <c r="C23" s="28" t="inlineStr">
        <is>
          <t>Lille</t>
        </is>
      </c>
      <c r="D23" s="29" t="n">
        <v>571</v>
      </c>
      <c r="E23" s="29" t="n">
        <v>600</v>
      </c>
      <c r="F23" s="29" t="n">
        <v>630</v>
      </c>
      <c r="G23" s="30" t="n">
        <v>20843</v>
      </c>
      <c r="H23" s="30" t="n">
        <v>22927</v>
      </c>
      <c r="I23" s="30" t="n">
        <v>25220</v>
      </c>
      <c r="J23" s="31" t="n">
        <v>0.5158483081894893</v>
      </c>
      <c r="K23" s="29" t="n">
        <v>1260</v>
      </c>
      <c r="L23" s="29" t="n">
        <v>100</v>
      </c>
      <c r="M23" s="30" t="n">
        <v>744000</v>
      </c>
      <c r="N23" s="29" t="n">
        <v>244</v>
      </c>
      <c r="O23" s="29" t="n">
        <v>296</v>
      </c>
      <c r="P23" s="29" t="n">
        <v>10</v>
      </c>
      <c r="Q23" s="32" t="n">
        <v>4800</v>
      </c>
      <c r="R23" s="30" t="n">
        <v>90791</v>
      </c>
      <c r="S23" s="30" t="n">
        <v>120729</v>
      </c>
      <c r="T23" s="30" t="n">
        <v>284669.17</v>
      </c>
    </row>
    <row r="24">
      <c r="A24" s="5" t="n"/>
      <c r="B24" s="27" t="inlineStr"/>
      <c r="C24" s="28" t="inlineStr">
        <is>
          <t>Paris</t>
        </is>
      </c>
      <c r="D24" s="29" t="n">
        <v>1035</v>
      </c>
      <c r="E24" s="29" t="n">
        <v>1080</v>
      </c>
      <c r="F24" s="29" t="n">
        <v>1126</v>
      </c>
      <c r="G24" s="30" t="n">
        <v>50248</v>
      </c>
      <c r="H24" s="30" t="n">
        <v>55272</v>
      </c>
      <c r="I24" s="30" t="n">
        <v>60800</v>
      </c>
      <c r="J24" s="31" t="n">
        <v>0.4420862663670903</v>
      </c>
      <c r="K24" s="29" t="n">
        <v>1816</v>
      </c>
      <c r="L24" s="29" t="n">
        <v>144</v>
      </c>
      <c r="M24" s="30" t="n">
        <v>1222560</v>
      </c>
      <c r="N24" s="29" t="n">
        <v>354</v>
      </c>
      <c r="O24" s="29" t="n">
        <v>444</v>
      </c>
      <c r="P24" s="29" t="n">
        <v>15</v>
      </c>
      <c r="Q24" s="32" t="n">
        <v>7200</v>
      </c>
      <c r="R24" s="30" t="n">
        <v>131722</v>
      </c>
      <c r="S24" s="30" t="n">
        <v>181094</v>
      </c>
      <c r="T24" s="30" t="n">
        <v>488050.48</v>
      </c>
    </row>
    <row r="25">
      <c r="A25" s="5" t="n"/>
      <c r="B25" s="27" t="inlineStr"/>
      <c r="C25" s="28" t="inlineStr">
        <is>
          <t>Toulouse</t>
        </is>
      </c>
      <c r="D25" s="29" t="n">
        <v>526</v>
      </c>
      <c r="E25" s="29" t="n">
        <v>553</v>
      </c>
      <c r="F25" s="29" t="n">
        <v>581</v>
      </c>
      <c r="G25" s="30" t="n">
        <v>18251</v>
      </c>
      <c r="H25" s="30" t="n">
        <v>20076</v>
      </c>
      <c r="I25" s="30" t="n">
        <v>22083</v>
      </c>
      <c r="J25" s="31" t="n">
        <v>0.5218033692330478</v>
      </c>
      <c r="K25" s="29" t="n">
        <v>1186</v>
      </c>
      <c r="L25" s="29" t="n">
        <v>94</v>
      </c>
      <c r="M25" s="30" t="n">
        <v>685260</v>
      </c>
      <c r="N25" s="29" t="n">
        <v>231</v>
      </c>
      <c r="O25" s="29" t="n">
        <v>296</v>
      </c>
      <c r="P25" s="29" t="n">
        <v>10</v>
      </c>
      <c r="Q25" s="32" t="n">
        <v>4800</v>
      </c>
      <c r="R25" s="30" t="n">
        <v>85954</v>
      </c>
      <c r="S25" s="30" t="n">
        <v>120729</v>
      </c>
      <c r="T25" s="30" t="n">
        <v>267683.87</v>
      </c>
    </row>
    <row r="26">
      <c r="A26" s="5" t="n"/>
      <c r="B26" s="27" t="inlineStr">
        <is>
          <t>MBway</t>
        </is>
      </c>
      <c r="C26" s="28" t="inlineStr">
        <is>
          <t>Bordeaux</t>
        </is>
      </c>
      <c r="D26" s="29" t="n">
        <v>592</v>
      </c>
      <c r="E26" s="29" t="n">
        <v>623</v>
      </c>
      <c r="F26" s="29" t="n">
        <v>656</v>
      </c>
      <c r="G26" s="30" t="n">
        <v>20597</v>
      </c>
      <c r="H26" s="30" t="n">
        <v>22657</v>
      </c>
      <c r="I26" s="30" t="n">
        <v>24923</v>
      </c>
      <c r="J26" s="31" t="n">
        <v>0.5384552935105315</v>
      </c>
      <c r="K26" s="29" t="n">
        <v>1286</v>
      </c>
      <c r="L26" s="29" t="n">
        <v>102</v>
      </c>
      <c r="M26" s="30" t="n">
        <v>751230</v>
      </c>
      <c r="N26" s="29" t="n">
        <v>249</v>
      </c>
      <c r="O26" s="29" t="n">
        <v>296</v>
      </c>
      <c r="P26" s="29" t="n">
        <v>10</v>
      </c>
      <c r="Q26" s="32" t="n">
        <v>4800</v>
      </c>
      <c r="R26" s="30" t="n">
        <v>92652</v>
      </c>
      <c r="S26" s="30" t="n">
        <v>120729</v>
      </c>
      <c r="T26" s="30" t="n">
        <v>280337.09</v>
      </c>
    </row>
    <row r="27">
      <c r="A27" s="5" t="n"/>
      <c r="B27" s="27" t="inlineStr"/>
      <c r="C27" s="28" t="inlineStr">
        <is>
          <t>Lyon</t>
        </is>
      </c>
      <c r="D27" s="29" t="n">
        <v>863</v>
      </c>
      <c r="E27" s="29" t="n">
        <v>905</v>
      </c>
      <c r="F27" s="29" t="n">
        <v>950</v>
      </c>
      <c r="G27" s="30" t="n">
        <v>34532</v>
      </c>
      <c r="H27" s="30" t="n">
        <v>37985</v>
      </c>
      <c r="I27" s="30" t="n">
        <v>41783</v>
      </c>
      <c r="J27" s="31" t="n">
        <v>0.5039124108122846</v>
      </c>
      <c r="K27" s="29" t="n">
        <v>1666</v>
      </c>
      <c r="L27" s="29" t="n">
        <v>132</v>
      </c>
      <c r="M27" s="30" t="n">
        <v>1051380</v>
      </c>
      <c r="N27" s="29" t="n">
        <v>324</v>
      </c>
      <c r="O27" s="29" t="n">
        <v>380</v>
      </c>
      <c r="P27" s="29" t="n">
        <v>13</v>
      </c>
      <c r="Q27" s="32" t="n">
        <v>6240</v>
      </c>
      <c r="R27" s="30" t="n">
        <v>120559</v>
      </c>
      <c r="S27" s="30" t="n">
        <v>156948</v>
      </c>
      <c r="T27" s="30" t="n">
        <v>400192.8</v>
      </c>
    </row>
    <row r="28">
      <c r="A28" s="5" t="n"/>
      <c r="B28" s="27" t="inlineStr"/>
      <c r="C28" s="28" t="inlineStr">
        <is>
          <t>Nantes</t>
        </is>
      </c>
      <c r="D28" s="29" t="n">
        <v>713</v>
      </c>
      <c r="E28" s="29" t="n">
        <v>749</v>
      </c>
      <c r="F28" s="29" t="n">
        <v>788</v>
      </c>
      <c r="G28" s="30" t="n">
        <v>26060</v>
      </c>
      <c r="H28" s="30" t="n">
        <v>28666</v>
      </c>
      <c r="I28" s="30" t="n">
        <v>31533</v>
      </c>
      <c r="J28" s="31" t="n">
        <v>0.5246556424650306</v>
      </c>
      <c r="K28" s="29" t="n">
        <v>1516</v>
      </c>
      <c r="L28" s="29" t="n">
        <v>120</v>
      </c>
      <c r="M28" s="30" t="n">
        <v>910800</v>
      </c>
      <c r="N28" s="29" t="n">
        <v>294</v>
      </c>
      <c r="O28" s="29" t="n">
        <v>348</v>
      </c>
      <c r="P28" s="29" t="n">
        <v>12</v>
      </c>
      <c r="Q28" s="32" t="n">
        <v>5640</v>
      </c>
      <c r="R28" s="30" t="n">
        <v>109396</v>
      </c>
      <c r="S28" s="30" t="n">
        <v>144875</v>
      </c>
      <c r="T28" s="30" t="n">
        <v>344252.4</v>
      </c>
    </row>
    <row r="29">
      <c r="A29" s="5" t="n"/>
      <c r="B29" s="27" t="inlineStr"/>
      <c r="C29" s="28" t="inlineStr">
        <is>
          <t>Paris</t>
        </is>
      </c>
      <c r="D29" s="29" t="n">
        <v>1158</v>
      </c>
      <c r="E29" s="29" t="n">
        <v>1210</v>
      </c>
      <c r="F29" s="29" t="n">
        <v>1265</v>
      </c>
      <c r="G29" s="30" t="n">
        <v>56438</v>
      </c>
      <c r="H29" s="30" t="n">
        <v>62082</v>
      </c>
      <c r="I29" s="30" t="n">
        <v>68291</v>
      </c>
      <c r="J29" s="31" t="n">
        <v>0.4635959485149866</v>
      </c>
      <c r="K29" s="29" t="n">
        <v>1976</v>
      </c>
      <c r="L29" s="29" t="n">
        <v>156</v>
      </c>
      <c r="M29" s="30" t="n">
        <v>1324440</v>
      </c>
      <c r="N29" s="29" t="n">
        <v>382</v>
      </c>
      <c r="O29" s="29" t="n">
        <v>444</v>
      </c>
      <c r="P29" s="29" t="n">
        <v>15</v>
      </c>
      <c r="Q29" s="32" t="n">
        <v>7200</v>
      </c>
      <c r="R29" s="30" t="n">
        <v>142140</v>
      </c>
      <c r="S29" s="30" t="n">
        <v>181094</v>
      </c>
      <c r="T29" s="30" t="n">
        <v>502062.96</v>
      </c>
    </row>
    <row r="30">
      <c r="A30" s="5" t="n"/>
      <c r="B30" s="27" t="inlineStr">
        <is>
          <t>Pigier</t>
        </is>
      </c>
      <c r="C30" s="28" t="inlineStr">
        <is>
          <t>Bordeaux</t>
        </is>
      </c>
      <c r="D30" s="29" t="n">
        <v>528</v>
      </c>
      <c r="E30" s="29" t="n">
        <v>552</v>
      </c>
      <c r="F30" s="29" t="n">
        <v>578</v>
      </c>
      <c r="G30" s="30" t="n">
        <v>18155</v>
      </c>
      <c r="H30" s="30" t="n">
        <v>19971</v>
      </c>
      <c r="I30" s="30" t="n">
        <v>21968</v>
      </c>
      <c r="J30" s="31" t="n">
        <v>0.4745966332856332</v>
      </c>
      <c r="K30" s="29" t="n">
        <v>1230</v>
      </c>
      <c r="L30" s="29" t="n">
        <v>72</v>
      </c>
      <c r="M30" s="30" t="n">
        <v>460440</v>
      </c>
      <c r="N30" s="29" t="n">
        <v>176</v>
      </c>
      <c r="O30" s="29" t="n">
        <v>312</v>
      </c>
      <c r="P30" s="29" t="n">
        <v>10</v>
      </c>
      <c r="Q30" s="32" t="n">
        <v>5680</v>
      </c>
      <c r="R30" s="30" t="n">
        <v>52838</v>
      </c>
      <c r="S30" s="30" t="n">
        <v>96583</v>
      </c>
      <c r="T30" s="30" t="n">
        <v>182756.35</v>
      </c>
    </row>
    <row r="31">
      <c r="A31" s="5" t="n"/>
      <c r="B31" s="27" t="inlineStr"/>
      <c r="C31" s="28" t="inlineStr">
        <is>
          <t>Lyon</t>
        </is>
      </c>
      <c r="D31" s="29" t="n">
        <v>765</v>
      </c>
      <c r="E31" s="29" t="n">
        <v>798</v>
      </c>
      <c r="F31" s="29" t="n">
        <v>832</v>
      </c>
      <c r="G31" s="30" t="n">
        <v>30258</v>
      </c>
      <c r="H31" s="30" t="n">
        <v>33284</v>
      </c>
      <c r="I31" s="30" t="n">
        <v>36612</v>
      </c>
      <c r="J31" s="31" t="n">
        <v>0.4404502617145888</v>
      </c>
      <c r="K31" s="29" t="n">
        <v>1570</v>
      </c>
      <c r="L31" s="29" t="n">
        <v>92</v>
      </c>
      <c r="M31" s="30" t="n">
        <v>636180</v>
      </c>
      <c r="N31" s="29" t="n">
        <v>226</v>
      </c>
      <c r="O31" s="29" t="n">
        <v>312</v>
      </c>
      <c r="P31" s="29" t="n">
        <v>10</v>
      </c>
      <c r="Q31" s="32" t="n">
        <v>5680</v>
      </c>
      <c r="R31" s="30" t="n">
        <v>67722</v>
      </c>
      <c r="S31" s="30" t="n">
        <v>96583</v>
      </c>
      <c r="T31" s="30" t="n">
        <v>241308.7</v>
      </c>
    </row>
    <row r="32">
      <c r="A32" s="5" t="n"/>
      <c r="B32" s="27" t="inlineStr">
        <is>
          <t>Tunon</t>
        </is>
      </c>
      <c r="C32" s="28" t="inlineStr">
        <is>
          <t>Lyon</t>
        </is>
      </c>
      <c r="D32" s="29" t="n">
        <v>392</v>
      </c>
      <c r="E32" s="29" t="n">
        <v>410</v>
      </c>
      <c r="F32" s="29" t="n">
        <v>428</v>
      </c>
      <c r="G32" s="30" t="n">
        <v>15578</v>
      </c>
      <c r="H32" s="30" t="n">
        <v>17136</v>
      </c>
      <c r="I32" s="30" t="n">
        <v>18850</v>
      </c>
      <c r="J32" s="31" t="n">
        <v>0.4608435621433195</v>
      </c>
      <c r="K32" s="29" t="n">
        <v>680</v>
      </c>
      <c r="L32" s="29" t="n">
        <v>40</v>
      </c>
      <c r="M32" s="30" t="n">
        <v>297600</v>
      </c>
      <c r="N32" s="29" t="n">
        <v>117</v>
      </c>
      <c r="O32" s="29" t="n">
        <v>192</v>
      </c>
      <c r="P32" s="29" t="n">
        <v>6</v>
      </c>
      <c r="Q32" s="32" t="n">
        <v>2880</v>
      </c>
      <c r="R32" s="30" t="n">
        <v>43535</v>
      </c>
      <c r="S32" s="30" t="n">
        <v>72438</v>
      </c>
      <c r="T32" s="30" t="n">
        <v>185947.72</v>
      </c>
    </row>
    <row r="33">
      <c r="A33" s="5" t="n"/>
      <c r="B33" s="27" t="inlineStr"/>
      <c r="C33" s="28" t="inlineStr">
        <is>
          <t>Paris</t>
        </is>
      </c>
      <c r="D33" s="29" t="n">
        <v>517</v>
      </c>
      <c r="E33" s="29" t="n">
        <v>538</v>
      </c>
      <c r="F33" s="29" t="n">
        <v>560</v>
      </c>
      <c r="G33" s="30" t="n">
        <v>24992</v>
      </c>
      <c r="H33" s="30" t="n">
        <v>27491</v>
      </c>
      <c r="I33" s="30" t="n">
        <v>30240</v>
      </c>
      <c r="J33" s="31" t="n">
        <v>0.419149069971356</v>
      </c>
      <c r="K33" s="29" t="n">
        <v>800</v>
      </c>
      <c r="L33" s="29" t="n">
        <v>47</v>
      </c>
      <c r="M33" s="30" t="n">
        <v>372710</v>
      </c>
      <c r="N33" s="29" t="n">
        <v>138</v>
      </c>
      <c r="O33" s="29" t="n">
        <v>192</v>
      </c>
      <c r="P33" s="29" t="n">
        <v>6</v>
      </c>
      <c r="Q33" s="32" t="n">
        <v>2880</v>
      </c>
      <c r="R33" s="30" t="n">
        <v>51349</v>
      </c>
      <c r="S33" s="30" t="n">
        <v>72438</v>
      </c>
      <c r="T33" s="30" t="n">
        <v>223369.51</v>
      </c>
    </row>
    <row r="34">
      <c r="A34" s="5" t="n"/>
      <c r="B34" s="33" t="inlineStr">
        <is>
          <t>GROUPE</t>
        </is>
      </c>
      <c r="C34" s="33" t="inlineStr">
        <is>
          <t>14 campus</t>
        </is>
      </c>
      <c r="D34" s="34">
        <f>SUM(D20:D33)</f>
        <v/>
      </c>
      <c r="E34" s="34">
        <f>SUM(E20:E33)</f>
        <v/>
      </c>
      <c r="F34" s="34">
        <f>SUM(F20:F33)</f>
        <v/>
      </c>
      <c r="G34" s="35">
        <f>SUM(G20:G33)</f>
        <v/>
      </c>
      <c r="H34" s="35">
        <f>SUM(H20:H33)</f>
        <v/>
      </c>
      <c r="I34" s="35">
        <f>SUM(I20:I33)</f>
        <v/>
      </c>
      <c r="J34" s="36" t="inlineStr">
        <is>
          <t>—</t>
        </is>
      </c>
      <c r="K34" s="34">
        <f>SUM(K20:K33)</f>
        <v/>
      </c>
      <c r="L34" s="34">
        <f>SUM(L20:L33)</f>
        <v/>
      </c>
      <c r="M34" s="35">
        <f>SUM(M20:M33)</f>
        <v/>
      </c>
      <c r="N34" s="34">
        <f>SUM(N20:N33)</f>
        <v/>
      </c>
      <c r="O34" s="34">
        <f>SUM(O20:O33)</f>
        <v/>
      </c>
      <c r="P34" s="34">
        <f>SUM(P20:P33)</f>
        <v/>
      </c>
      <c r="Q34" s="37">
        <f>SUM(Q20:Q33)</f>
        <v/>
      </c>
      <c r="R34" s="35">
        <f>SUM(R20:R33)</f>
        <v/>
      </c>
      <c r="S34" s="35">
        <f>SUM(S20:S33)</f>
        <v/>
      </c>
      <c r="T34" s="35">
        <f>SUM(T20:T33)</f>
        <v/>
      </c>
    </row>
    <row r="35">
      <c r="A35" s="5" t="n"/>
      <c r="B35" s="5" t="n"/>
      <c r="C35" s="5" t="n"/>
      <c r="D35" s="5" t="n"/>
      <c r="E35" s="5" t="n"/>
      <c r="F35" s="5" t="n"/>
      <c r="G35" s="5" t="n"/>
      <c r="H35" s="5" t="n"/>
      <c r="I35" s="5" t="n"/>
      <c r="J35" s="5" t="n"/>
      <c r="K35" s="5" t="n"/>
      <c r="L35" s="5" t="n"/>
      <c r="M35" s="5" t="n"/>
      <c r="N35" s="5" t="n"/>
      <c r="O35" s="5" t="n"/>
      <c r="P35" s="5" t="n"/>
      <c r="Q35" s="5" t="n"/>
      <c r="R35" s="5" t="n"/>
      <c r="S35" s="5" t="n"/>
      <c r="T35" s="5" t="n"/>
    </row>
    <row r="36">
      <c r="A36" s="5" t="n"/>
      <c r="B36" s="5" t="n"/>
      <c r="C36" s="5" t="n"/>
      <c r="D36" s="5" t="n"/>
      <c r="E36" s="5" t="n"/>
      <c r="F36" s="5" t="n"/>
      <c r="G36" s="5" t="n"/>
      <c r="H36" s="5" t="n"/>
      <c r="I36" s="5" t="n"/>
      <c r="J36" s="5" t="n"/>
      <c r="K36" s="5" t="n"/>
      <c r="L36" s="5" t="n"/>
      <c r="M36" s="5" t="n"/>
      <c r="N36" s="5" t="n"/>
      <c r="O36" s="5" t="n"/>
      <c r="P36" s="5" t="n"/>
      <c r="Q36" s="5" t="n"/>
      <c r="R36" s="5" t="n"/>
      <c r="S36" s="5" t="n"/>
      <c r="T36" s="5" t="n"/>
    </row>
    <row r="37">
      <c r="A37" s="5" t="n"/>
      <c r="B37" s="5" t="n"/>
      <c r="C37" s="5" t="n"/>
      <c r="D37" s="5" t="n"/>
      <c r="E37" s="5" t="n"/>
      <c r="F37" s="5" t="n"/>
      <c r="G37" s="5" t="n"/>
      <c r="H37" s="5" t="n"/>
      <c r="I37" s="5" t="n"/>
      <c r="J37" s="5" t="n"/>
      <c r="K37" s="5" t="n"/>
      <c r="L37" s="5" t="n"/>
      <c r="M37" s="5" t="n"/>
      <c r="N37" s="5" t="n"/>
      <c r="O37" s="5" t="n"/>
      <c r="P37" s="5" t="n"/>
      <c r="Q37" s="5" t="n"/>
      <c r="R37" s="5" t="n"/>
      <c r="S37" s="5" t="n"/>
      <c r="T37" s="5" t="n"/>
    </row>
    <row r="38">
      <c r="A38" s="5" t="n"/>
      <c r="B38" s="5" t="n"/>
      <c r="C38" s="5" t="n"/>
      <c r="D38" s="5" t="n"/>
      <c r="E38" s="5" t="n"/>
      <c r="F38" s="5" t="n"/>
      <c r="G38" s="5" t="n"/>
      <c r="H38" s="5" t="n"/>
      <c r="I38" s="5" t="n"/>
      <c r="J38" s="5" t="n"/>
      <c r="K38" s="5" t="n"/>
      <c r="L38" s="5" t="n"/>
      <c r="M38" s="5" t="n"/>
      <c r="N38" s="5" t="n"/>
      <c r="O38" s="5" t="n"/>
      <c r="P38" s="5" t="n"/>
      <c r="Q38" s="5" t="n"/>
      <c r="R38" s="5" t="n"/>
      <c r="S38" s="5" t="n"/>
      <c r="T38" s="5" t="n"/>
    </row>
    <row r="39">
      <c r="A39" s="5" t="n"/>
      <c r="B39" s="5" t="n"/>
      <c r="C39" s="5" t="n"/>
      <c r="D39" s="5" t="n"/>
      <c r="E39" s="5" t="n"/>
      <c r="F39" s="5" t="n"/>
      <c r="G39" s="5" t="n"/>
      <c r="H39" s="5" t="n"/>
      <c r="I39" s="5" t="n"/>
      <c r="J39" s="5" t="n"/>
      <c r="K39" s="5" t="n"/>
      <c r="L39" s="5" t="n"/>
      <c r="M39" s="5" t="n"/>
      <c r="N39" s="5" t="n"/>
      <c r="O39" s="5" t="n"/>
      <c r="P39" s="5" t="n"/>
      <c r="Q39" s="5" t="n"/>
      <c r="R39" s="5" t="n"/>
      <c r="S39" s="5" t="n"/>
      <c r="T39" s="5" t="n"/>
    </row>
    <row r="40">
      <c r="A40" s="5" t="n"/>
      <c r="B40" s="5" t="n"/>
      <c r="C40" s="5" t="n"/>
      <c r="D40" s="5" t="n"/>
      <c r="E40" s="5" t="n"/>
      <c r="F40" s="5" t="n"/>
      <c r="G40" s="5" t="n"/>
      <c r="H40" s="5" t="n"/>
      <c r="I40" s="5" t="n"/>
      <c r="J40" s="5" t="n"/>
      <c r="K40" s="5" t="n"/>
      <c r="L40" s="5" t="n"/>
      <c r="M40" s="5" t="n"/>
      <c r="N40" s="5" t="n"/>
      <c r="O40" s="5" t="n"/>
      <c r="P40" s="5" t="n"/>
      <c r="Q40" s="5" t="n"/>
      <c r="R40" s="5" t="n"/>
      <c r="S40" s="5" t="n"/>
      <c r="T40" s="5" t="n"/>
    </row>
    <row r="41" ht="20" customHeight="1">
      <c r="A41" s="5" t="n"/>
      <c r="B41" s="38" t="inlineStr">
        <is>
          <t>②  CE QUE LE MASQUE CALCULE  ·  chaque formule pointe une cellule du tableau ①</t>
        </is>
      </c>
      <c r="C41" s="5" t="n"/>
      <c r="D41" s="5" t="n"/>
      <c r="E41" s="5" t="n"/>
      <c r="F41" s="5" t="n"/>
      <c r="G41" s="5" t="n"/>
      <c r="H41" s="5" t="n"/>
      <c r="I41" s="5" t="n"/>
      <c r="J41" s="5" t="n"/>
      <c r="K41" s="5" t="n"/>
      <c r="L41" s="5" t="n"/>
      <c r="M41" s="5" t="n"/>
      <c r="N41" s="5" t="n"/>
      <c r="O41" s="5" t="n"/>
      <c r="P41" s="5" t="n"/>
      <c r="Q41" s="5" t="n"/>
      <c r="R41" s="5" t="n"/>
      <c r="S41" s="5" t="n"/>
      <c r="T41" s="5" t="n"/>
    </row>
    <row r="42" ht="14" customHeight="1">
      <c r="A42" s="5" t="n"/>
      <c r="B42" s="24" t="inlineStr">
        <is>
          <t>Rien n'est stocké ici. Cliquez une cellule : la formule remonte au tableau du dessus, et la seule saisie du classeur est F4.</t>
        </is>
      </c>
      <c r="C42" s="5" t="n"/>
      <c r="D42" s="5" t="n"/>
      <c r="E42" s="5" t="n"/>
      <c r="F42" s="5" t="n"/>
      <c r="G42" s="5" t="n"/>
      <c r="H42" s="5" t="n"/>
      <c r="I42" s="5" t="n"/>
      <c r="J42" s="5" t="n"/>
      <c r="K42" s="5" t="n"/>
      <c r="L42" s="5" t="n"/>
      <c r="M42" s="5" t="n"/>
      <c r="N42" s="5" t="n"/>
      <c r="O42" s="5" t="n"/>
      <c r="P42" s="5" t="n"/>
      <c r="Q42" s="5" t="n"/>
      <c r="R42" s="5" t="n"/>
      <c r="S42" s="5" t="n"/>
      <c r="T42" s="5" t="n"/>
    </row>
    <row r="43" ht="34" customHeight="1">
      <c r="A43" s="5" t="n"/>
      <c r="B43" s="25" t="inlineStr">
        <is>
          <t>Marque</t>
        </is>
      </c>
      <c r="C43" s="25" t="inlineStr">
        <is>
          <t>Campus</t>
        </is>
      </c>
      <c r="D43" s="26" t="inlineStr">
        <is>
          <t>Conversion lead → inscrit</t>
        </is>
      </c>
      <c r="E43" s="26" t="inlineStr">
        <is>
          <t>CA par inscrit</t>
        </is>
      </c>
      <c r="F43" s="26" t="inlineStr">
        <is>
          <t>Consommables / élève</t>
        </is>
      </c>
      <c r="G43" s="26" t="inlineStr">
        <is>
          <t>Places libres</t>
        </is>
      </c>
      <c r="H43" s="26" t="inlineStr">
        <is>
          <t>Δ budget</t>
        </is>
      </c>
      <c r="I43" s="26" t="inlineStr">
        <is>
          <t>Inscrits gagnés</t>
        </is>
      </c>
      <c r="J43" s="26" t="inlineStr">
        <is>
          <t>CA gagné</t>
        </is>
      </c>
      <c r="K43" s="26" t="inlineStr">
        <is>
          <t>Coût marginal / élève</t>
        </is>
      </c>
      <c r="L43" s="26" t="inlineStr">
        <is>
          <t>EBITDA gagné</t>
        </is>
      </c>
      <c r="M43" s="26" t="inlineStr">
        <is>
          <t>CAC marginal</t>
        </is>
      </c>
      <c r="N43" s="5" t="n"/>
      <c r="O43" s="5" t="n"/>
      <c r="P43" s="5" t="n"/>
      <c r="Q43" s="5" t="n"/>
      <c r="R43" s="5" t="n"/>
      <c r="S43" s="5" t="n"/>
      <c r="T43" s="5" t="n"/>
    </row>
    <row r="44">
      <c r="A44" s="5" t="n"/>
      <c r="B44" s="39" t="inlineStr">
        <is>
          <t>Ipac Bachelor Factory</t>
        </is>
      </c>
      <c r="C44" s="40">
        <f>C20</f>
        <v/>
      </c>
      <c r="D44" s="41">
        <f>IFERROR(L20/K20,0)</f>
        <v/>
      </c>
      <c r="E44" s="42">
        <f>IFERROR(M20/L20,0)</f>
        <v/>
      </c>
      <c r="F44" s="42">
        <f>IFERROR(R20/N20,0)</f>
        <v/>
      </c>
      <c r="G44" s="43">
        <f>O20-N20</f>
        <v/>
      </c>
      <c r="H44" s="42">
        <f>I20*$F$4</f>
        <v/>
      </c>
      <c r="I44" s="44">
        <f>F20*((1+$F$4)^J20-1)*D44</f>
        <v/>
      </c>
      <c r="J44" s="42">
        <f>I44*E44</f>
        <v/>
      </c>
      <c r="K44" s="42">
        <f>IF(I44&lt;=G44,F44,F44+S20/O20)</f>
        <v/>
      </c>
      <c r="L44" s="42">
        <f>J44-H44-I44*K44</f>
        <v/>
      </c>
      <c r="M44" s="42">
        <f>IFERROR(H44/I44,0)</f>
        <v/>
      </c>
      <c r="N44" s="5" t="n"/>
      <c r="O44" s="5" t="n"/>
      <c r="P44" s="5" t="n"/>
      <c r="Q44" s="5" t="n"/>
      <c r="R44" s="5" t="n"/>
      <c r="S44" s="5" t="n"/>
      <c r="T44" s="5" t="n"/>
    </row>
    <row r="45">
      <c r="A45" s="5" t="n"/>
      <c r="B45" s="39" t="inlineStr"/>
      <c r="C45" s="40">
        <f>C21</f>
        <v/>
      </c>
      <c r="D45" s="41">
        <f>IFERROR(L21/K21,0)</f>
        <v/>
      </c>
      <c r="E45" s="42">
        <f>IFERROR(M21/L21,0)</f>
        <v/>
      </c>
      <c r="F45" s="42">
        <f>IFERROR(R21/N21,0)</f>
        <v/>
      </c>
      <c r="G45" s="43">
        <f>O21-N21</f>
        <v/>
      </c>
      <c r="H45" s="42">
        <f>I21*$F$4</f>
        <v/>
      </c>
      <c r="I45" s="44">
        <f>F21*((1+$F$4)^J21-1)*D45</f>
        <v/>
      </c>
      <c r="J45" s="42">
        <f>I45*E45</f>
        <v/>
      </c>
      <c r="K45" s="42">
        <f>IF(I45&lt;=G45,F45,F45+S21/O21)</f>
        <v/>
      </c>
      <c r="L45" s="42">
        <f>J45-H45-I45*K45</f>
        <v/>
      </c>
      <c r="M45" s="42">
        <f>IFERROR(H45/I45,0)</f>
        <v/>
      </c>
      <c r="N45" s="5" t="n"/>
      <c r="O45" s="5" t="n"/>
      <c r="P45" s="5" t="n"/>
      <c r="Q45" s="5" t="n"/>
      <c r="R45" s="5" t="n"/>
      <c r="S45" s="5" t="n"/>
      <c r="T45" s="5" t="n"/>
    </row>
    <row r="46">
      <c r="A46" s="5" t="n"/>
      <c r="B46" s="39" t="inlineStr"/>
      <c r="C46" s="40">
        <f>C22</f>
        <v/>
      </c>
      <c r="D46" s="41">
        <f>IFERROR(L22/K22,0)</f>
        <v/>
      </c>
      <c r="E46" s="42">
        <f>IFERROR(M22/L22,0)</f>
        <v/>
      </c>
      <c r="F46" s="42">
        <f>IFERROR(R22/N22,0)</f>
        <v/>
      </c>
      <c r="G46" s="43">
        <f>O22-N22</f>
        <v/>
      </c>
      <c r="H46" s="42">
        <f>I22*$F$4</f>
        <v/>
      </c>
      <c r="I46" s="44">
        <f>F22*((1+$F$4)^J22-1)*D46</f>
        <v/>
      </c>
      <c r="J46" s="42">
        <f>I46*E46</f>
        <v/>
      </c>
      <c r="K46" s="42">
        <f>IF(I46&lt;=G46,F46,F46+S22/O22)</f>
        <v/>
      </c>
      <c r="L46" s="42">
        <f>J46-H46-I46*K46</f>
        <v/>
      </c>
      <c r="M46" s="42">
        <f>IFERROR(H46/I46,0)</f>
        <v/>
      </c>
      <c r="N46" s="5" t="n"/>
      <c r="O46" s="5" t="n"/>
      <c r="P46" s="5" t="n"/>
      <c r="Q46" s="5" t="n"/>
      <c r="R46" s="5" t="n"/>
      <c r="S46" s="5" t="n"/>
      <c r="T46" s="5" t="n"/>
    </row>
    <row r="47">
      <c r="A47" s="5" t="n"/>
      <c r="B47" s="39" t="inlineStr">
        <is>
          <t>ISCOM</t>
        </is>
      </c>
      <c r="C47" s="40">
        <f>C23</f>
        <v/>
      </c>
      <c r="D47" s="41">
        <f>IFERROR(L23/K23,0)</f>
        <v/>
      </c>
      <c r="E47" s="42">
        <f>IFERROR(M23/L23,0)</f>
        <v/>
      </c>
      <c r="F47" s="42">
        <f>IFERROR(R23/N23,0)</f>
        <v/>
      </c>
      <c r="G47" s="43">
        <f>O23-N23</f>
        <v/>
      </c>
      <c r="H47" s="42">
        <f>I23*$F$4</f>
        <v/>
      </c>
      <c r="I47" s="44">
        <f>F23*((1+$F$4)^J23-1)*D47</f>
        <v/>
      </c>
      <c r="J47" s="42">
        <f>I47*E47</f>
        <v/>
      </c>
      <c r="K47" s="42">
        <f>IF(I47&lt;=G47,F47,F47+S23/O23)</f>
        <v/>
      </c>
      <c r="L47" s="42">
        <f>J47-H47-I47*K47</f>
        <v/>
      </c>
      <c r="M47" s="42">
        <f>IFERROR(H47/I47,0)</f>
        <v/>
      </c>
      <c r="N47" s="5" t="n"/>
      <c r="O47" s="5" t="n"/>
      <c r="P47" s="5" t="n"/>
      <c r="Q47" s="5" t="n"/>
      <c r="R47" s="5" t="n"/>
      <c r="S47" s="5" t="n"/>
      <c r="T47" s="5" t="n"/>
    </row>
    <row r="48">
      <c r="A48" s="5" t="n"/>
      <c r="B48" s="39" t="inlineStr"/>
      <c r="C48" s="40">
        <f>C24</f>
        <v/>
      </c>
      <c r="D48" s="41">
        <f>IFERROR(L24/K24,0)</f>
        <v/>
      </c>
      <c r="E48" s="42">
        <f>IFERROR(M24/L24,0)</f>
        <v/>
      </c>
      <c r="F48" s="42">
        <f>IFERROR(R24/N24,0)</f>
        <v/>
      </c>
      <c r="G48" s="43">
        <f>O24-N24</f>
        <v/>
      </c>
      <c r="H48" s="42">
        <f>I24*$F$4</f>
        <v/>
      </c>
      <c r="I48" s="44">
        <f>F24*((1+$F$4)^J24-1)*D48</f>
        <v/>
      </c>
      <c r="J48" s="42">
        <f>I48*E48</f>
        <v/>
      </c>
      <c r="K48" s="42">
        <f>IF(I48&lt;=G48,F48,F48+S24/O24)</f>
        <v/>
      </c>
      <c r="L48" s="42">
        <f>J48-H48-I48*K48</f>
        <v/>
      </c>
      <c r="M48" s="42">
        <f>IFERROR(H48/I48,0)</f>
        <v/>
      </c>
      <c r="N48" s="5" t="n"/>
      <c r="O48" s="5" t="n"/>
      <c r="P48" s="5" t="n"/>
      <c r="Q48" s="5" t="n"/>
      <c r="R48" s="5" t="n"/>
      <c r="S48" s="5" t="n"/>
      <c r="T48" s="5" t="n"/>
    </row>
    <row r="49">
      <c r="A49" s="5" t="n"/>
      <c r="B49" s="39" t="inlineStr"/>
      <c r="C49" s="40">
        <f>C25</f>
        <v/>
      </c>
      <c r="D49" s="41">
        <f>IFERROR(L25/K25,0)</f>
        <v/>
      </c>
      <c r="E49" s="42">
        <f>IFERROR(M25/L25,0)</f>
        <v/>
      </c>
      <c r="F49" s="42">
        <f>IFERROR(R25/N25,0)</f>
        <v/>
      </c>
      <c r="G49" s="43">
        <f>O25-N25</f>
        <v/>
      </c>
      <c r="H49" s="42">
        <f>I25*$F$4</f>
        <v/>
      </c>
      <c r="I49" s="44">
        <f>F25*((1+$F$4)^J25-1)*D49</f>
        <v/>
      </c>
      <c r="J49" s="42">
        <f>I49*E49</f>
        <v/>
      </c>
      <c r="K49" s="42">
        <f>IF(I49&lt;=G49,F49,F49+S25/O25)</f>
        <v/>
      </c>
      <c r="L49" s="42">
        <f>J49-H49-I49*K49</f>
        <v/>
      </c>
      <c r="M49" s="42">
        <f>IFERROR(H49/I49,0)</f>
        <v/>
      </c>
      <c r="N49" s="5" t="n"/>
      <c r="O49" s="5" t="n"/>
      <c r="P49" s="5" t="n"/>
      <c r="Q49" s="5" t="n"/>
      <c r="R49" s="5" t="n"/>
      <c r="S49" s="5" t="n"/>
      <c r="T49" s="5" t="n"/>
    </row>
    <row r="50">
      <c r="A50" s="5" t="n"/>
      <c r="B50" s="39" t="inlineStr">
        <is>
          <t>MBway</t>
        </is>
      </c>
      <c r="C50" s="40">
        <f>C26</f>
        <v/>
      </c>
      <c r="D50" s="41">
        <f>IFERROR(L26/K26,0)</f>
        <v/>
      </c>
      <c r="E50" s="42">
        <f>IFERROR(M26/L26,0)</f>
        <v/>
      </c>
      <c r="F50" s="42">
        <f>IFERROR(R26/N26,0)</f>
        <v/>
      </c>
      <c r="G50" s="43">
        <f>O26-N26</f>
        <v/>
      </c>
      <c r="H50" s="42">
        <f>I26*$F$4</f>
        <v/>
      </c>
      <c r="I50" s="44">
        <f>F26*((1+$F$4)^J26-1)*D50</f>
        <v/>
      </c>
      <c r="J50" s="42">
        <f>I50*E50</f>
        <v/>
      </c>
      <c r="K50" s="42">
        <f>IF(I50&lt;=G50,F50,F50+S26/O26)</f>
        <v/>
      </c>
      <c r="L50" s="42">
        <f>J50-H50-I50*K50</f>
        <v/>
      </c>
      <c r="M50" s="42">
        <f>IFERROR(H50/I50,0)</f>
        <v/>
      </c>
      <c r="N50" s="5" t="n"/>
      <c r="O50" s="5" t="n"/>
      <c r="P50" s="5" t="n"/>
      <c r="Q50" s="5" t="n"/>
      <c r="R50" s="5" t="n"/>
      <c r="S50" s="5" t="n"/>
      <c r="T50" s="5" t="n"/>
    </row>
    <row r="51">
      <c r="A51" s="5" t="n"/>
      <c r="B51" s="39" t="inlineStr"/>
      <c r="C51" s="40">
        <f>C27</f>
        <v/>
      </c>
      <c r="D51" s="41">
        <f>IFERROR(L27/K27,0)</f>
        <v/>
      </c>
      <c r="E51" s="42">
        <f>IFERROR(M27/L27,0)</f>
        <v/>
      </c>
      <c r="F51" s="42">
        <f>IFERROR(R27/N27,0)</f>
        <v/>
      </c>
      <c r="G51" s="43">
        <f>O27-N27</f>
        <v/>
      </c>
      <c r="H51" s="42">
        <f>I27*$F$4</f>
        <v/>
      </c>
      <c r="I51" s="44">
        <f>F27*((1+$F$4)^J27-1)*D51</f>
        <v/>
      </c>
      <c r="J51" s="42">
        <f>I51*E51</f>
        <v/>
      </c>
      <c r="K51" s="42">
        <f>IF(I51&lt;=G51,F51,F51+S27/O27)</f>
        <v/>
      </c>
      <c r="L51" s="42">
        <f>J51-H51-I51*K51</f>
        <v/>
      </c>
      <c r="M51" s="42">
        <f>IFERROR(H51/I51,0)</f>
        <v/>
      </c>
      <c r="N51" s="5" t="n"/>
      <c r="O51" s="5" t="n"/>
      <c r="P51" s="5" t="n"/>
      <c r="Q51" s="5" t="n"/>
      <c r="R51" s="5" t="n"/>
      <c r="S51" s="5" t="n"/>
      <c r="T51" s="5" t="n"/>
    </row>
    <row r="52">
      <c r="A52" s="5" t="n"/>
      <c r="B52" s="39" t="inlineStr"/>
      <c r="C52" s="40">
        <f>C28</f>
        <v/>
      </c>
      <c r="D52" s="41">
        <f>IFERROR(L28/K28,0)</f>
        <v/>
      </c>
      <c r="E52" s="42">
        <f>IFERROR(M28/L28,0)</f>
        <v/>
      </c>
      <c r="F52" s="42">
        <f>IFERROR(R28/N28,0)</f>
        <v/>
      </c>
      <c r="G52" s="43">
        <f>O28-N28</f>
        <v/>
      </c>
      <c r="H52" s="42">
        <f>I28*$F$4</f>
        <v/>
      </c>
      <c r="I52" s="44">
        <f>F28*((1+$F$4)^J28-1)*D52</f>
        <v/>
      </c>
      <c r="J52" s="42">
        <f>I52*E52</f>
        <v/>
      </c>
      <c r="K52" s="42">
        <f>IF(I52&lt;=G52,F52,F52+S28/O28)</f>
        <v/>
      </c>
      <c r="L52" s="42">
        <f>J52-H52-I52*K52</f>
        <v/>
      </c>
      <c r="M52" s="42">
        <f>IFERROR(H52/I52,0)</f>
        <v/>
      </c>
      <c r="N52" s="5" t="n"/>
      <c r="O52" s="5" t="n"/>
      <c r="P52" s="5" t="n"/>
      <c r="Q52" s="5" t="n"/>
      <c r="R52" s="5" t="n"/>
      <c r="S52" s="5" t="n"/>
      <c r="T52" s="5" t="n"/>
    </row>
    <row r="53">
      <c r="A53" s="5" t="n"/>
      <c r="B53" s="39" t="inlineStr"/>
      <c r="C53" s="40">
        <f>C29</f>
        <v/>
      </c>
      <c r="D53" s="41">
        <f>IFERROR(L29/K29,0)</f>
        <v/>
      </c>
      <c r="E53" s="42">
        <f>IFERROR(M29/L29,0)</f>
        <v/>
      </c>
      <c r="F53" s="42">
        <f>IFERROR(R29/N29,0)</f>
        <v/>
      </c>
      <c r="G53" s="43">
        <f>O29-N29</f>
        <v/>
      </c>
      <c r="H53" s="42">
        <f>I29*$F$4</f>
        <v/>
      </c>
      <c r="I53" s="44">
        <f>F29*((1+$F$4)^J29-1)*D53</f>
        <v/>
      </c>
      <c r="J53" s="42">
        <f>I53*E53</f>
        <v/>
      </c>
      <c r="K53" s="42">
        <f>IF(I53&lt;=G53,F53,F53+S29/O29)</f>
        <v/>
      </c>
      <c r="L53" s="42">
        <f>J53-H53-I53*K53</f>
        <v/>
      </c>
      <c r="M53" s="42">
        <f>IFERROR(H53/I53,0)</f>
        <v/>
      </c>
      <c r="N53" s="5" t="n"/>
      <c r="O53" s="5" t="n"/>
      <c r="P53" s="5" t="n"/>
      <c r="Q53" s="5" t="n"/>
      <c r="R53" s="5" t="n"/>
      <c r="S53" s="5" t="n"/>
      <c r="T53" s="5" t="n"/>
    </row>
    <row r="54">
      <c r="A54" s="5" t="n"/>
      <c r="B54" s="39" t="inlineStr">
        <is>
          <t>Pigier</t>
        </is>
      </c>
      <c r="C54" s="40">
        <f>C30</f>
        <v/>
      </c>
      <c r="D54" s="41">
        <f>IFERROR(L30/K30,0)</f>
        <v/>
      </c>
      <c r="E54" s="42">
        <f>IFERROR(M30/L30,0)</f>
        <v/>
      </c>
      <c r="F54" s="42">
        <f>IFERROR(R30/N30,0)</f>
        <v/>
      </c>
      <c r="G54" s="43">
        <f>O30-N30</f>
        <v/>
      </c>
      <c r="H54" s="42">
        <f>I30*$F$4</f>
        <v/>
      </c>
      <c r="I54" s="44">
        <f>F30*((1+$F$4)^J30-1)*D54</f>
        <v/>
      </c>
      <c r="J54" s="42">
        <f>I54*E54</f>
        <v/>
      </c>
      <c r="K54" s="42">
        <f>IF(I54&lt;=G54,F54,F54+S30/O30)</f>
        <v/>
      </c>
      <c r="L54" s="42">
        <f>J54-H54-I54*K54</f>
        <v/>
      </c>
      <c r="M54" s="42">
        <f>IFERROR(H54/I54,0)</f>
        <v/>
      </c>
      <c r="N54" s="5" t="n"/>
      <c r="O54" s="5" t="n"/>
      <c r="P54" s="5" t="n"/>
      <c r="Q54" s="5" t="n"/>
      <c r="R54" s="5" t="n"/>
      <c r="S54" s="5" t="n"/>
      <c r="T54" s="5" t="n"/>
    </row>
    <row r="55">
      <c r="A55" s="5" t="n"/>
      <c r="B55" s="39" t="inlineStr"/>
      <c r="C55" s="40">
        <f>C31</f>
        <v/>
      </c>
      <c r="D55" s="41">
        <f>IFERROR(L31/K31,0)</f>
        <v/>
      </c>
      <c r="E55" s="42">
        <f>IFERROR(M31/L31,0)</f>
        <v/>
      </c>
      <c r="F55" s="42">
        <f>IFERROR(R31/N31,0)</f>
        <v/>
      </c>
      <c r="G55" s="43">
        <f>O31-N31</f>
        <v/>
      </c>
      <c r="H55" s="42">
        <f>I31*$F$4</f>
        <v/>
      </c>
      <c r="I55" s="44">
        <f>F31*((1+$F$4)^J31-1)*D55</f>
        <v/>
      </c>
      <c r="J55" s="42">
        <f>I55*E55</f>
        <v/>
      </c>
      <c r="K55" s="42">
        <f>IF(I55&lt;=G55,F55,F55+S31/O31)</f>
        <v/>
      </c>
      <c r="L55" s="42">
        <f>J55-H55-I55*K55</f>
        <v/>
      </c>
      <c r="M55" s="42">
        <f>IFERROR(H55/I55,0)</f>
        <v/>
      </c>
      <c r="N55" s="5" t="n"/>
      <c r="O55" s="5" t="n"/>
      <c r="P55" s="5" t="n"/>
      <c r="Q55" s="5" t="n"/>
      <c r="R55" s="5" t="n"/>
      <c r="S55" s="5" t="n"/>
      <c r="T55" s="5" t="n"/>
    </row>
    <row r="56">
      <c r="A56" s="5" t="n"/>
      <c r="B56" s="39" t="inlineStr">
        <is>
          <t>Tunon</t>
        </is>
      </c>
      <c r="C56" s="40">
        <f>C32</f>
        <v/>
      </c>
      <c r="D56" s="41">
        <f>IFERROR(L32/K32,0)</f>
        <v/>
      </c>
      <c r="E56" s="42">
        <f>IFERROR(M32/L32,0)</f>
        <v/>
      </c>
      <c r="F56" s="42">
        <f>IFERROR(R32/N32,0)</f>
        <v/>
      </c>
      <c r="G56" s="43">
        <f>O32-N32</f>
        <v/>
      </c>
      <c r="H56" s="42">
        <f>I32*$F$4</f>
        <v/>
      </c>
      <c r="I56" s="44">
        <f>F32*((1+$F$4)^J32-1)*D56</f>
        <v/>
      </c>
      <c r="J56" s="42">
        <f>I56*E56</f>
        <v/>
      </c>
      <c r="K56" s="42">
        <f>IF(I56&lt;=G56,F56,F56+S32/O32)</f>
        <v/>
      </c>
      <c r="L56" s="42">
        <f>J56-H56-I56*K56</f>
        <v/>
      </c>
      <c r="M56" s="42">
        <f>IFERROR(H56/I56,0)</f>
        <v/>
      </c>
      <c r="N56" s="5" t="n"/>
      <c r="O56" s="5" t="n"/>
      <c r="P56" s="5" t="n"/>
      <c r="Q56" s="5" t="n"/>
      <c r="R56" s="5" t="n"/>
      <c r="S56" s="5" t="n"/>
      <c r="T56" s="5" t="n"/>
    </row>
    <row r="57">
      <c r="A57" s="5" t="n"/>
      <c r="B57" s="39" t="inlineStr"/>
      <c r="C57" s="40">
        <f>C33</f>
        <v/>
      </c>
      <c r="D57" s="41">
        <f>IFERROR(L33/K33,0)</f>
        <v/>
      </c>
      <c r="E57" s="42">
        <f>IFERROR(M33/L33,0)</f>
        <v/>
      </c>
      <c r="F57" s="42">
        <f>IFERROR(R33/N33,0)</f>
        <v/>
      </c>
      <c r="G57" s="43">
        <f>O33-N33</f>
        <v/>
      </c>
      <c r="H57" s="42">
        <f>I33*$F$4</f>
        <v/>
      </c>
      <c r="I57" s="44">
        <f>F33*((1+$F$4)^J33-1)*D57</f>
        <v/>
      </c>
      <c r="J57" s="42">
        <f>I57*E57</f>
        <v/>
      </c>
      <c r="K57" s="42">
        <f>IF(I57&lt;=G57,F57,F57+S33/O33)</f>
        <v/>
      </c>
      <c r="L57" s="42">
        <f>J57-H57-I57*K57</f>
        <v/>
      </c>
      <c r="M57" s="42">
        <f>IFERROR(H57/I57,0)</f>
        <v/>
      </c>
      <c r="N57" s="5" t="n"/>
      <c r="O57" s="5" t="n"/>
      <c r="P57" s="5" t="n"/>
      <c r="Q57" s="5" t="n"/>
      <c r="R57" s="5" t="n"/>
      <c r="S57" s="5" t="n"/>
      <c r="T57" s="5" t="n"/>
    </row>
    <row r="58">
      <c r="A58" s="5" t="n"/>
      <c r="B58" s="33" t="inlineStr">
        <is>
          <t>GROUPE</t>
        </is>
      </c>
      <c r="C58" s="33" t="inlineStr">
        <is>
          <t>14 campus</t>
        </is>
      </c>
      <c r="D58" s="45">
        <f>IFERROR(L34/K34,0)</f>
        <v/>
      </c>
      <c r="E58" s="35">
        <f>IFERROR(M34/L34,0)</f>
        <v/>
      </c>
      <c r="F58" s="35">
        <f>IFERROR(R34/N34,0)</f>
        <v/>
      </c>
      <c r="G58" s="34">
        <f>SUM(G44:G57)</f>
        <v/>
      </c>
      <c r="H58" s="35">
        <f>SUM(H44:H57)</f>
        <v/>
      </c>
      <c r="I58" s="46">
        <f>SUM(I44:I57)</f>
        <v/>
      </c>
      <c r="J58" s="35">
        <f>SUM(J44:J57)</f>
        <v/>
      </c>
      <c r="K58" s="35">
        <f>IFERROR(SUMPRODUCT(I44:I57,K44:K57)/I58,0)</f>
        <v/>
      </c>
      <c r="L58" s="35">
        <f>SUM(L44:L57)</f>
        <v/>
      </c>
      <c r="M58" s="35">
        <f>IFERROR(H58/I58,0)</f>
        <v/>
      </c>
      <c r="N58" s="5" t="n"/>
      <c r="O58" s="5" t="n"/>
      <c r="P58" s="5" t="n"/>
      <c r="Q58" s="5" t="n"/>
      <c r="R58" s="5" t="n"/>
      <c r="S58" s="5" t="n"/>
      <c r="T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row>
    <row r="60">
      <c r="A60" s="5" t="n"/>
      <c r="B60" s="24" t="inlineStr">
        <is>
          <t>Lecture des fonds :  bleu = restitué par la vue,  ocre = calculé par le masque,  sable = paramètre du modèle.  Un coût marginal en rouge signale un campus où la classe doit ouvrir.</t>
        </is>
      </c>
      <c r="C60" s="5" t="n"/>
      <c r="D60" s="5" t="n"/>
      <c r="E60" s="5" t="n"/>
      <c r="F60" s="5" t="n"/>
      <c r="G60" s="5" t="n"/>
      <c r="H60" s="5" t="n"/>
      <c r="I60" s="5" t="n"/>
      <c r="J60" s="5" t="n"/>
      <c r="K60" s="5" t="n"/>
      <c r="L60" s="5" t="n"/>
      <c r="M60" s="5" t="n"/>
      <c r="N60" s="5" t="n"/>
      <c r="O60" s="5" t="n"/>
      <c r="P60" s="5" t="n"/>
      <c r="Q60" s="5" t="n"/>
      <c r="R60" s="5" t="n"/>
      <c r="S60" s="5" t="n"/>
      <c r="T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row>
  </sheetData>
  <conditionalFormatting sqref="M44:M57">
    <cfRule type="colorScale" priority="1">
      <colorScale>
        <cfvo type="min"/>
        <cfvo type="percentile" val="50"/>
        <cfvo type="max"/>
        <color rgb="00DCEBC0"/>
        <color rgb="00F7F7F5"/>
        <color rgb="00F6C9CC"/>
      </colorScale>
    </cfRule>
  </conditionalFormatting>
  <conditionalFormatting sqref="K44:K57">
    <cfRule type="cellIs" priority="2" operator="greaterThan" dxfId="0">
      <formula>F44</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1"/>
  <sheetViews>
    <sheetView showGridLines="0" workbookViewId="0">
      <selection activeCell="A1" sqref="A1"/>
    </sheetView>
  </sheetViews>
  <sheetFormatPr baseColWidth="8" defaultRowHeight="15"/>
  <cols>
    <col width="2.4" customWidth="1" min="1" max="1"/>
    <col width="34" customWidth="1" min="2" max="2"/>
    <col width="14" customWidth="1" min="3" max="3"/>
    <col width="15" customWidth="1" min="4" max="4"/>
    <col width="14" customWidth="1" min="5" max="5"/>
    <col width="15" customWidth="1" min="6" max="6"/>
    <col width="14" customWidth="1" min="7" max="7"/>
    <col width="22" customWidth="1" min="8" max="8"/>
    <col width="14" customWidth="1" min="9" max="9"/>
    <col width="15" customWidth="1" min="10" max="10"/>
    <col width="14" customWidth="1" min="11" max="11"/>
    <col width="14" customWidth="1" min="12" max="12"/>
    <col width="14" customWidth="1" min="13" max="13"/>
    <col width="14" customWidth="1" min="14" max="14"/>
  </cols>
  <sheetData>
    <row r="1" ht="14" customHeight="1">
      <c r="A1" s="1" t="n"/>
      <c r="B1" s="2" t="inlineStr">
        <is>
          <t>EDUSERVICES · le moteur d'acquisition</t>
        </is>
      </c>
      <c r="C1" s="1" t="n"/>
      <c r="D1" s="1" t="n"/>
      <c r="E1" s="1" t="n"/>
      <c r="F1" s="1" t="n"/>
      <c r="G1" s="1" t="n"/>
      <c r="H1" s="1" t="n"/>
      <c r="I1" s="1" t="n"/>
      <c r="J1" s="1" t="n"/>
      <c r="K1" s="1" t="n"/>
      <c r="L1" s="1" t="n"/>
      <c r="M1" s="1" t="n"/>
      <c r="N1" s="1" t="n"/>
    </row>
    <row r="2" ht="24" customHeight="1">
      <c r="A2" s="1" t="n"/>
      <c r="B2" s="3" t="inlineStr">
        <is>
          <t>LE COÛT VARIABLE  —  pourquoi il ne peut pas être un nombre</t>
        </is>
      </c>
      <c r="C2" s="1" t="n"/>
      <c r="D2" s="1" t="n"/>
      <c r="E2" s="1" t="n"/>
      <c r="F2" s="1" t="n"/>
      <c r="G2" s="1" t="n"/>
      <c r="H2" s="1" t="n"/>
      <c r="I2" s="1" t="n"/>
      <c r="J2" s="1" t="n"/>
      <c r="K2" s="1" t="n"/>
      <c r="L2" s="1" t="n"/>
      <c r="M2" s="1" t="n"/>
      <c r="N2" s="1" t="n"/>
    </row>
    <row r="3" ht="3" customHeight="1">
      <c r="A3" s="4" t="n"/>
      <c r="B3" s="4" t="n"/>
      <c r="C3" s="4" t="n"/>
      <c r="D3" s="4" t="n"/>
      <c r="E3" s="4" t="n"/>
      <c r="F3" s="4" t="n"/>
      <c r="G3" s="4" t="n"/>
      <c r="H3" s="4" t="n"/>
      <c r="I3" s="4" t="n"/>
      <c r="J3" s="4" t="n"/>
      <c r="K3" s="4" t="n"/>
      <c r="L3" s="4" t="n"/>
      <c r="M3" s="4" t="n"/>
      <c r="N3" s="4" t="n"/>
    </row>
    <row r="4">
      <c r="A4" s="5" t="n"/>
      <c r="B4" s="5" t="n"/>
      <c r="C4" s="5" t="n"/>
      <c r="D4" s="5" t="n"/>
      <c r="E4" s="5" t="n"/>
      <c r="F4" s="5" t="n"/>
      <c r="G4" s="5" t="n"/>
      <c r="H4" s="5" t="n"/>
      <c r="I4" s="5" t="n"/>
      <c r="J4" s="5" t="n"/>
      <c r="K4" s="5" t="n"/>
      <c r="L4" s="5" t="n"/>
      <c r="M4" s="5" t="n"/>
      <c r="N4" s="5" t="n"/>
    </row>
    <row r="5" ht="22" customHeight="1">
      <c r="A5" s="5" t="n"/>
      <c r="B5" s="47" t="inlineStr">
        <is>
          <t>La comptabilité ne connaît pas le programme.</t>
        </is>
      </c>
      <c r="C5" s="5" t="n"/>
      <c r="D5" s="5" t="n"/>
      <c r="E5" s="5" t="n"/>
      <c r="F5" s="5" t="n"/>
      <c r="G5" s="5" t="n"/>
      <c r="H5" s="5" t="n"/>
      <c r="I5" s="5" t="n"/>
      <c r="J5" s="5" t="n"/>
      <c r="K5" s="5" t="n"/>
      <c r="L5" s="5" t="n"/>
      <c r="M5" s="5" t="n"/>
      <c r="N5" s="5" t="n"/>
    </row>
    <row r="6" ht="16" customHeight="1">
      <c r="A6" s="5" t="n"/>
      <c r="B6" s="48" t="inlineStr">
        <is>
          <t>AW_002_000004_000001 est au grain CAMPUS × COMPTE. Un coût par élève et par programme ne se lit donc pas : il s'alloue. V_ALLOCATION le fait déjà, avec des clés différentes selon la nature de la charge — et c'est de là que vient tout le reste.</t>
        </is>
      </c>
      <c r="C6" s="5" t="n"/>
      <c r="D6" s="5" t="n"/>
      <c r="E6" s="5" t="n"/>
      <c r="F6" s="5" t="n"/>
      <c r="G6" s="5" t="n"/>
      <c r="H6" s="5" t="n"/>
      <c r="I6" s="5" t="n"/>
      <c r="J6" s="5" t="n"/>
      <c r="K6" s="5" t="n"/>
      <c r="L6" s="5" t="n"/>
      <c r="M6" s="5" t="n"/>
      <c r="N6" s="5" t="n"/>
    </row>
    <row r="7">
      <c r="A7" s="5" t="n"/>
      <c r="B7" s="5" t="n"/>
      <c r="C7" s="5" t="n"/>
      <c r="D7" s="5" t="n"/>
      <c r="E7" s="5" t="n"/>
      <c r="F7" s="5" t="n"/>
      <c r="G7" s="5" t="n"/>
      <c r="H7" s="5" t="n"/>
      <c r="I7" s="5" t="n"/>
      <c r="J7" s="5" t="n"/>
      <c r="K7" s="5" t="n"/>
      <c r="L7" s="5" t="n"/>
      <c r="M7" s="5" t="n"/>
      <c r="N7" s="5" t="n"/>
    </row>
    <row r="8" ht="20" customHeight="1">
      <c r="A8" s="5" t="n"/>
      <c r="B8" s="23" t="inlineStr">
        <is>
          <t>①  Trois poches d'enseignement, trois comportements</t>
        </is>
      </c>
      <c r="C8" s="5" t="n"/>
      <c r="D8" s="5" t="n"/>
      <c r="E8" s="5" t="n"/>
      <c r="F8" s="5" t="n"/>
      <c r="G8" s="5" t="n"/>
      <c r="H8" s="5" t="n"/>
      <c r="I8" s="5" t="n"/>
      <c r="J8" s="5" t="n"/>
      <c r="K8" s="5" t="n"/>
      <c r="L8" s="5" t="n"/>
      <c r="M8" s="5" t="n"/>
      <c r="N8" s="5" t="n"/>
    </row>
    <row r="9" ht="14" customHeight="1">
      <c r="A9" s="5" t="n"/>
      <c r="B9" s="24" t="inlineStr">
        <is>
          <t>Le même euro de charge ne se répartit pas de la même façon, et surtout ne réagit pas de la même façon quand un élève de plus arrive.</t>
        </is>
      </c>
      <c r="C9" s="5" t="n"/>
      <c r="D9" s="5" t="n"/>
      <c r="E9" s="5" t="n"/>
      <c r="F9" s="5" t="n"/>
      <c r="G9" s="5" t="n"/>
      <c r="H9" s="5" t="n"/>
      <c r="I9" s="5" t="n"/>
      <c r="J9" s="5" t="n"/>
      <c r="K9" s="5" t="n"/>
      <c r="L9" s="5" t="n"/>
      <c r="M9" s="5" t="n"/>
      <c r="N9" s="5" t="n"/>
    </row>
    <row r="10">
      <c r="A10" s="5" t="n"/>
      <c r="B10" s="5" t="n"/>
      <c r="C10" s="5" t="n"/>
      <c r="D10" s="5" t="n"/>
      <c r="E10" s="5" t="n"/>
      <c r="F10" s="5" t="n"/>
      <c r="G10" s="5" t="n"/>
      <c r="H10" s="5" t="n"/>
      <c r="I10" s="5" t="n"/>
      <c r="J10" s="5" t="n"/>
      <c r="K10" s="5" t="n"/>
      <c r="L10" s="5" t="n"/>
      <c r="M10" s="5" t="n"/>
      <c r="N10" s="5" t="n"/>
    </row>
    <row r="11" ht="30" customHeight="1">
      <c r="A11" s="5" t="n"/>
      <c r="B11" s="25" t="inlineStr">
        <is>
          <t>Poche</t>
        </is>
      </c>
      <c r="C11" s="26" t="inlineStr">
        <is>
          <t>Comptes</t>
        </is>
      </c>
      <c r="D11" s="26" t="inlineStr">
        <is>
          <t>Montant 2026</t>
        </is>
      </c>
      <c r="E11" s="26" t="inlineStr">
        <is>
          <t>Clé d'allocation</t>
        </is>
      </c>
      <c r="F11" s="26" t="inlineStr">
        <is>
          <t>Varie avec</t>
        </is>
      </c>
      <c r="G11" s="26" t="inlineStr">
        <is>
          <t>Comportement</t>
        </is>
      </c>
      <c r="H11" s="26" t="inlineStr">
        <is>
          <t>Bouge si un élève de plus arrive ?</t>
        </is>
      </c>
      <c r="I11" s="5" t="n"/>
      <c r="J11" s="5" t="n"/>
      <c r="K11" s="5" t="n"/>
      <c r="L11" s="5" t="n"/>
      <c r="M11" s="5" t="n"/>
      <c r="N11" s="5" t="n"/>
    </row>
    <row r="12">
      <c r="A12" s="5" t="n"/>
      <c r="B12" s="49" t="inlineStr">
        <is>
          <t>Consommables</t>
        </is>
      </c>
      <c r="C12" s="50" t="inlineStr">
        <is>
          <t>604 + 6063</t>
        </is>
      </c>
      <c r="D12" s="51">
        <f>'Le moteur'!R34</f>
        <v/>
      </c>
      <c r="E12" s="52" t="inlineStr">
        <is>
          <t>EFFECTIFS</t>
        </is>
      </c>
      <c r="F12" s="52" t="inlineStr">
        <is>
          <t>le campus</t>
        </is>
      </c>
      <c r="G12" s="53" t="inlineStr">
        <is>
          <t>VARIABLE</t>
        </is>
      </c>
      <c r="H12" s="54" t="inlineStr">
        <is>
          <t>OUI — c'est le seul euro qui suit vraiment l'élève</t>
        </is>
      </c>
      <c r="I12" s="5" t="n"/>
      <c r="J12" s="5" t="n"/>
      <c r="K12" s="5" t="n"/>
      <c r="L12" s="5" t="n"/>
      <c r="M12" s="5" t="n"/>
      <c r="N12" s="5" t="n"/>
    </row>
    <row r="13">
      <c r="A13" s="5" t="n"/>
      <c r="B13" s="49" t="inlineStr">
        <is>
          <t>Vacataires</t>
        </is>
      </c>
      <c r="C13" s="50" t="inlineStr">
        <is>
          <t>621</t>
        </is>
      </c>
      <c r="D13" s="51">
        <f>'Le moteur'!S34</f>
        <v/>
      </c>
      <c r="E13" s="52" t="inlineStr">
        <is>
          <t>HEURES</t>
        </is>
      </c>
      <c r="F13" s="52" t="inlineStr">
        <is>
          <t>le programme</t>
        </is>
      </c>
      <c r="G13" s="55" t="inlineStr">
        <is>
          <t>SEMI-VARIABLE</t>
        </is>
      </c>
      <c r="H13" s="56" t="inlineStr">
        <is>
          <t>Seulement si la classe doit ouvrir</t>
        </is>
      </c>
      <c r="I13" s="5" t="n"/>
      <c r="J13" s="5" t="n"/>
      <c r="K13" s="5" t="n"/>
      <c r="L13" s="5" t="n"/>
      <c r="M13" s="5" t="n"/>
      <c r="N13" s="5" t="n"/>
    </row>
    <row r="14">
      <c r="A14" s="5" t="n"/>
      <c r="B14" s="49" t="inlineStr">
        <is>
          <t>Enseignants permanents</t>
        </is>
      </c>
      <c r="C14" s="50" t="inlineStr">
        <is>
          <t>6411</t>
        </is>
      </c>
      <c r="D14" s="51">
        <f>'Le moteur'!T34</f>
        <v/>
      </c>
      <c r="E14" s="52" t="inlineStr">
        <is>
          <t>HEURES</t>
        </is>
      </c>
      <c r="F14" s="52" t="inlineStr">
        <is>
          <t>le nombre de postes</t>
        </is>
      </c>
      <c r="G14" s="57" t="inlineStr">
        <is>
          <t>CAPACITÉ</t>
        </is>
      </c>
      <c r="H14" s="58" t="inlineStr">
        <is>
          <t>NON — payé pareil pour 24 ou 32 élèves dans la salle</t>
        </is>
      </c>
      <c r="I14" s="5" t="n"/>
      <c r="J14" s="5" t="n"/>
      <c r="K14" s="5" t="n"/>
      <c r="L14" s="5" t="n"/>
      <c r="M14" s="5" t="n"/>
      <c r="N14" s="5" t="n"/>
    </row>
    <row r="15">
      <c r="A15" s="5" t="n"/>
      <c r="B15" s="24" t="inlineStr">
        <is>
          <t>Les heures d'une classe dépendent du programme : un BTS en initial pèse 1 000 heures, un Mastère en alternance 420. La clé EFFECTIFS, elle, ne distingue rien à l'intérieur d'un campus — par construction.</t>
        </is>
      </c>
      <c r="C15" s="5" t="n"/>
      <c r="D15" s="5" t="n"/>
      <c r="E15" s="5" t="n"/>
      <c r="F15" s="5" t="n"/>
      <c r="G15" s="5" t="n"/>
      <c r="H15" s="5" t="n"/>
      <c r="I15" s="5" t="n"/>
      <c r="J15" s="5" t="n"/>
      <c r="K15" s="5" t="n"/>
      <c r="L15" s="5" t="n"/>
      <c r="M15" s="5" t="n"/>
      <c r="N15" s="5" t="n"/>
    </row>
    <row r="16">
      <c r="A16" s="5" t="n"/>
      <c r="B16" s="5" t="n"/>
      <c r="C16" s="5" t="n"/>
      <c r="D16" s="5" t="n"/>
      <c r="E16" s="5" t="n"/>
      <c r="F16" s="5" t="n"/>
      <c r="G16" s="5" t="n"/>
      <c r="H16" s="5" t="n"/>
      <c r="I16" s="5" t="n"/>
      <c r="J16" s="5" t="n"/>
      <c r="K16" s="5" t="n"/>
      <c r="L16" s="5" t="n"/>
      <c r="M16" s="5" t="n"/>
      <c r="N16" s="5" t="n"/>
    </row>
    <row r="17">
      <c r="A17" s="5" t="n"/>
      <c r="B17" s="5" t="n"/>
      <c r="C17" s="5" t="n"/>
      <c r="D17" s="5" t="n"/>
      <c r="E17" s="5" t="n"/>
      <c r="F17" s="5" t="n"/>
      <c r="G17" s="5" t="n"/>
      <c r="H17" s="5" t="n"/>
      <c r="I17" s="5" t="n"/>
      <c r="J17" s="5" t="n"/>
      <c r="K17" s="5" t="n"/>
      <c r="L17" s="5" t="n"/>
      <c r="M17" s="5" t="n"/>
      <c r="N17" s="5" t="n"/>
    </row>
    <row r="18" ht="20" customHeight="1">
      <c r="A18" s="5" t="n"/>
      <c r="B18" s="23" t="inlineStr">
        <is>
          <t>②  Le coût variable MOYEN, au grain cycle × modalité</t>
        </is>
      </c>
      <c r="C18" s="5" t="n"/>
      <c r="D18" s="5" t="n"/>
      <c r="E18" s="5" t="n"/>
      <c r="F18" s="5" t="n"/>
      <c r="G18" s="5" t="n"/>
      <c r="H18" s="5" t="n"/>
      <c r="I18" s="5" t="n"/>
      <c r="J18" s="5" t="n"/>
      <c r="K18" s="5" t="n"/>
      <c r="L18" s="5" t="n"/>
      <c r="M18" s="5" t="n"/>
      <c r="N18" s="5" t="n"/>
    </row>
    <row r="19" ht="14" customHeight="1">
      <c r="A19" s="5" t="n"/>
      <c r="B19" s="24" t="inlineStr">
        <is>
          <t>Ce que coûte un élève déjà inscrit, vacataire et consommables. Chaque ligne est une réalité du réseau ; la moyenne, elle, n'est nulle part. Le tarif horaire est déduit du réel : 621 ÷ heures.</t>
        </is>
      </c>
      <c r="C19" s="5" t="n"/>
      <c r="D19" s="5" t="n"/>
      <c r="E19" s="5" t="n"/>
      <c r="F19" s="5" t="n"/>
      <c r="G19" s="5" t="n"/>
      <c r="H19" s="5" t="n"/>
      <c r="I19" s="5" t="n"/>
      <c r="J19" s="5" t="n"/>
      <c r="K19" s="5" t="n"/>
      <c r="L19" s="5" t="n"/>
      <c r="M19" s="5" t="n"/>
      <c r="N19" s="5" t="n"/>
    </row>
    <row r="20">
      <c r="A20" s="5" t="n"/>
      <c r="B20" s="5" t="n"/>
      <c r="C20" s="5" t="n"/>
      <c r="D20" s="5" t="n"/>
      <c r="E20" s="5" t="n"/>
      <c r="F20" s="5" t="n"/>
      <c r="G20" s="5" t="n"/>
      <c r="H20" s="5" t="n"/>
      <c r="I20" s="5" t="n"/>
      <c r="J20" s="5" t="n"/>
      <c r="K20" s="5" t="n"/>
      <c r="L20" s="5" t="n"/>
      <c r="M20" s="5" t="n"/>
      <c r="N20" s="5" t="n"/>
    </row>
    <row r="21" ht="30" customHeight="1">
      <c r="A21" s="5" t="n"/>
      <c r="B21" s="25" t="inlineStr">
        <is>
          <t>Cycle · modalité</t>
        </is>
      </c>
      <c r="C21" s="26" t="inlineStr">
        <is>
          <t>Effectifs 2026</t>
        </is>
      </c>
      <c r="D21" s="26" t="inlineStr">
        <is>
          <t>Heures / élève</t>
        </is>
      </c>
      <c r="E21" s="26" t="inlineStr">
        <is>
          <t>Tarif horaire</t>
        </is>
      </c>
      <c r="F21" s="26" t="inlineStr">
        <is>
          <t>Vacataires / élève</t>
        </is>
      </c>
      <c r="G21" s="26" t="inlineStr">
        <is>
          <t>Consommables / élève</t>
        </is>
      </c>
      <c r="H21" s="26" t="inlineStr">
        <is>
          <t>Coût moyen / élève</t>
        </is>
      </c>
      <c r="I21" s="26" t="inlineStr">
        <is>
          <t>Écart à la moyenne</t>
        </is>
      </c>
      <c r="J21" s="5" t="n"/>
      <c r="K21" s="5" t="n"/>
      <c r="L21" s="5" t="n"/>
      <c r="M21" s="5" t="n"/>
      <c r="N21" s="5" t="n"/>
    </row>
    <row r="22">
      <c r="A22" s="5" t="n"/>
      <c r="B22" s="49" t="inlineStr">
        <is>
          <t>Mastère · alternance</t>
        </is>
      </c>
      <c r="C22" s="59" t="n">
        <v>840</v>
      </c>
      <c r="D22" s="60" t="n">
        <v>18</v>
      </c>
      <c r="E22" s="61">
        <f>$E$26</f>
        <v/>
      </c>
      <c r="F22" s="62">
        <f>D22*E22</f>
        <v/>
      </c>
      <c r="G22" s="51" t="n">
        <v>372.0952843881691</v>
      </c>
      <c r="H22" s="62">
        <f>F22+G22</f>
        <v/>
      </c>
      <c r="I22" s="63">
        <f>IFERROR(H22/$H$26-1,0)</f>
        <v/>
      </c>
      <c r="J22" s="5" t="n"/>
      <c r="K22" s="5" t="n"/>
      <c r="L22" s="5" t="n"/>
      <c r="M22" s="5" t="n"/>
      <c r="N22" s="5" t="n"/>
    </row>
    <row r="23">
      <c r="A23" s="5" t="n"/>
      <c r="B23" s="49" t="inlineStr">
        <is>
          <t>Bachelor · alternance</t>
        </is>
      </c>
      <c r="C23" s="59" t="n">
        <v>1688</v>
      </c>
      <c r="D23" s="60" t="n">
        <v>21.04265402843602</v>
      </c>
      <c r="E23" s="61">
        <f>$E$26</f>
        <v/>
      </c>
      <c r="F23" s="62">
        <f>D23*E23</f>
        <v/>
      </c>
      <c r="G23" s="51" t="n">
        <v>361.8303545853921</v>
      </c>
      <c r="H23" s="62">
        <f>F23+G23</f>
        <v/>
      </c>
      <c r="I23" s="63">
        <f>IFERROR(H23/$H$26-1,0)</f>
        <v/>
      </c>
      <c r="J23" s="5" t="n"/>
      <c r="K23" s="5" t="n"/>
      <c r="L23" s="5" t="n"/>
      <c r="M23" s="5" t="n"/>
      <c r="N23" s="5" t="n"/>
    </row>
    <row r="24">
      <c r="A24" s="5" t="n"/>
      <c r="B24" s="49" t="inlineStr">
        <is>
          <t>Bachelor · initial</t>
        </is>
      </c>
      <c r="C24" s="59" t="n">
        <v>424</v>
      </c>
      <c r="D24" s="60" t="n">
        <v>24.05660377358491</v>
      </c>
      <c r="E24" s="61">
        <f>$E$26</f>
        <v/>
      </c>
      <c r="F24" s="62">
        <f>D24*E24</f>
        <v/>
      </c>
      <c r="G24" s="51" t="n">
        <v>372.0952832735557</v>
      </c>
      <c r="H24" s="62">
        <f>F24+G24</f>
        <v/>
      </c>
      <c r="I24" s="63">
        <f>IFERROR(H24/$H$26-1,0)</f>
        <v/>
      </c>
      <c r="J24" s="5" t="n"/>
      <c r="K24" s="5" t="n"/>
      <c r="L24" s="5" t="n"/>
      <c r="M24" s="5" t="n"/>
      <c r="N24" s="5" t="n"/>
    </row>
    <row r="25">
      <c r="A25" s="5" t="n"/>
      <c r="B25" s="49" t="inlineStr">
        <is>
          <t>BTS · alternance</t>
        </is>
      </c>
      <c r="C25" s="59" t="n">
        <v>162</v>
      </c>
      <c r="D25" s="60" t="n">
        <v>34.5679012345679</v>
      </c>
      <c r="E25" s="61">
        <f>$E$26</f>
        <v/>
      </c>
      <c r="F25" s="62">
        <f>D25*E25</f>
        <v/>
      </c>
      <c r="G25" s="51" t="n">
        <v>299.900755961781</v>
      </c>
      <c r="H25" s="62">
        <f>F25+G25</f>
        <v/>
      </c>
      <c r="I25" s="63">
        <f>IFERROR(H25/$H$26-1,0)</f>
        <v/>
      </c>
      <c r="J25" s="5" t="n"/>
      <c r="K25" s="5" t="n"/>
      <c r="L25" s="5" t="n"/>
      <c r="M25" s="5" t="n"/>
      <c r="N25" s="5" t="n"/>
    </row>
    <row r="26">
      <c r="A26" s="5" t="n"/>
      <c r="B26" s="64" t="inlineStr">
        <is>
          <t>MOYENNE PONDÉRÉE</t>
        </is>
      </c>
      <c r="C26" s="65">
        <f>SUM(C22:C25)</f>
        <v/>
      </c>
      <c r="D26" s="66">
        <f>IFERROR('Le moteur'!Q34/C26,0)</f>
        <v/>
      </c>
      <c r="E26" s="67">
        <f>IFERROR('Le moteur'!S34/'Le moteur'!Q34,0)</f>
        <v/>
      </c>
      <c r="F26" s="68">
        <f>D26*E26</f>
        <v/>
      </c>
      <c r="G26" s="68">
        <f>IFERROR(SUMPRODUCT(C22:C25,G22:G25)/C26,0)</f>
        <v/>
      </c>
      <c r="H26" s="68">
        <f>F26+G26</f>
        <v/>
      </c>
      <c r="I26" s="69" t="inlineStr">
        <is>
          <t>—</t>
        </is>
      </c>
      <c r="J26" s="5" t="n"/>
      <c r="K26" s="5" t="n"/>
      <c r="L26" s="5" t="n"/>
      <c r="M26" s="5" t="n"/>
      <c r="N26" s="5" t="n"/>
    </row>
    <row r="27">
      <c r="A27" s="5" t="n"/>
      <c r="B27" s="5" t="n"/>
      <c r="C27" s="5" t="n"/>
      <c r="D27" s="5" t="n"/>
      <c r="E27" s="5" t="n"/>
      <c r="F27" s="5" t="n"/>
      <c r="G27" s="5" t="n"/>
      <c r="H27" s="5" t="n"/>
      <c r="I27" s="5" t="n"/>
      <c r="J27" s="5" t="n"/>
      <c r="K27" s="5" t="n"/>
      <c r="L27" s="5" t="n"/>
      <c r="M27" s="5" t="n"/>
      <c r="N27" s="5" t="n"/>
    </row>
    <row r="28">
      <c r="A28" s="5" t="n"/>
      <c r="B28" s="70">
        <f>"Un facteur "&amp;TEXT(MAX(H22:H25)/MIN(H22:H25),"0.00")&amp;" entre les extrêmes. Le coût variable « moyen » du réseau — "&amp;TEXT(H26,"#,##0 €")&amp;" — ne décrit aucun élève réel : il cadre, il ne décide pas."</f>
        <v/>
      </c>
      <c r="C28" s="5" t="n"/>
      <c r="D28" s="5" t="n"/>
      <c r="E28" s="5" t="n"/>
      <c r="F28" s="5" t="n"/>
      <c r="G28" s="5" t="n"/>
      <c r="H28" s="5" t="n"/>
      <c r="I28" s="5" t="n"/>
      <c r="J28" s="5" t="n"/>
      <c r="K28" s="5" t="n"/>
      <c r="L28" s="5" t="n"/>
      <c r="M28" s="5" t="n"/>
      <c r="N28" s="5" t="n"/>
    </row>
    <row r="29">
      <c r="A29" s="5" t="n"/>
      <c r="B29" s="5" t="n"/>
      <c r="C29" s="5" t="n"/>
      <c r="D29" s="5" t="n"/>
      <c r="E29" s="5" t="n"/>
      <c r="F29" s="5" t="n"/>
      <c r="G29" s="5" t="n"/>
      <c r="H29" s="5" t="n"/>
      <c r="I29" s="5" t="n"/>
      <c r="J29" s="5" t="n"/>
      <c r="K29" s="5" t="n"/>
      <c r="L29" s="5" t="n"/>
      <c r="M29" s="5" t="n"/>
      <c r="N29" s="5" t="n"/>
    </row>
    <row r="30" ht="20" customHeight="1">
      <c r="A30" s="5" t="n"/>
      <c r="B30" s="23" t="inlineStr">
        <is>
          <t>③  Le coût d'enseignement campus par campus  ·  ce qui suit l'élève, ce qui suit la classe, ce qui ne bouge pas</t>
        </is>
      </c>
      <c r="C30" s="5" t="n"/>
      <c r="D30" s="5" t="n"/>
      <c r="E30" s="5" t="n"/>
      <c r="F30" s="5" t="n"/>
      <c r="G30" s="5" t="n"/>
      <c r="H30" s="5" t="n"/>
      <c r="I30" s="5" t="n"/>
      <c r="J30" s="5" t="n"/>
      <c r="K30" s="5" t="n"/>
      <c r="L30" s="5" t="n"/>
      <c r="M30" s="5" t="n"/>
      <c r="N30" s="5" t="n"/>
    </row>
    <row r="31" ht="14" customHeight="1">
      <c r="A31" s="5" t="n"/>
      <c r="B31" s="24" t="inlineStr">
        <is>
          <t>Aucun montant n'est saisi ici : chaque euro pointe le tableau ① de l'onglet « Le moteur ». La colonne « quote-part vacataire / place » est exactement le terme que le masque ajoute quand une classe doit ouvrir.</t>
        </is>
      </c>
      <c r="C31" s="5" t="n"/>
      <c r="D31" s="5" t="n"/>
      <c r="E31" s="5" t="n"/>
      <c r="F31" s="5" t="n"/>
      <c r="G31" s="5" t="n"/>
      <c r="H31" s="5" t="n"/>
      <c r="I31" s="5" t="n"/>
      <c r="J31" s="5" t="n"/>
      <c r="K31" s="5" t="n"/>
      <c r="L31" s="5" t="n"/>
      <c r="M31" s="5" t="n"/>
      <c r="N31" s="5" t="n"/>
    </row>
    <row r="32">
      <c r="A32" s="5" t="n"/>
      <c r="B32" s="5" t="n"/>
      <c r="C32" s="5" t="n"/>
      <c r="D32" s="5" t="n"/>
      <c r="E32" s="5" t="n"/>
      <c r="F32" s="5" t="n"/>
      <c r="G32" s="5" t="n"/>
      <c r="H32" s="5" t="n"/>
      <c r="I32" s="5" t="n"/>
      <c r="J32" s="5" t="n"/>
      <c r="K32" s="5" t="n"/>
      <c r="L32" s="5" t="n"/>
      <c r="M32" s="5" t="n"/>
      <c r="N32" s="5" t="n"/>
    </row>
    <row r="33" ht="34" customHeight="1">
      <c r="A33" s="5" t="n"/>
      <c r="B33" s="25" t="inlineStr">
        <is>
          <t>Campus</t>
        </is>
      </c>
      <c r="C33" s="26" t="inlineStr">
        <is>
          <t>Effectifs 2026</t>
        </is>
      </c>
      <c r="D33" s="26" t="inlineStr">
        <is>
          <t>Places libres</t>
        </is>
      </c>
      <c r="E33" s="26" t="inlineStr">
        <is>
          <t>Consommables 604+6063</t>
        </is>
      </c>
      <c r="F33" s="26" t="inlineStr">
        <is>
          <t>Consommables / élève</t>
        </is>
      </c>
      <c r="G33" s="26" t="inlineStr">
        <is>
          <t>Heures d'enseignement</t>
        </is>
      </c>
      <c r="H33" s="26" t="inlineStr">
        <is>
          <t>Vacataires 621</t>
        </is>
      </c>
      <c r="I33" s="26" t="inlineStr">
        <is>
          <t>Quote-part vacataire / place</t>
        </is>
      </c>
      <c r="J33" s="26" t="inlineStr">
        <is>
          <t>Permanents 6411</t>
        </is>
      </c>
      <c r="K33" s="26" t="inlineStr">
        <is>
          <t>Permanents / élève</t>
        </is>
      </c>
      <c r="L33" s="5" t="n"/>
      <c r="M33" s="5" t="n"/>
      <c r="N33" s="5" t="n"/>
    </row>
    <row r="34">
      <c r="A34" s="5" t="n"/>
      <c r="B34" s="49" t="inlineStr">
        <is>
          <t>Ipac Bachelor Factory Montpellier</t>
        </is>
      </c>
      <c r="C34" s="59">
        <f>'Le moteur'!N20</f>
        <v/>
      </c>
      <c r="D34" s="59">
        <f>'Le moteur'!G44</f>
        <v/>
      </c>
      <c r="E34" s="51">
        <f>'Le moteur'!R20</f>
        <v/>
      </c>
      <c r="F34" s="51">
        <f>IFERROR(E34/C34,0)</f>
        <v/>
      </c>
      <c r="G34" s="71">
        <f>'Le moteur'!Q20</f>
        <v/>
      </c>
      <c r="H34" s="51">
        <f>'Le moteur'!S20</f>
        <v/>
      </c>
      <c r="I34" s="51">
        <f>IFERROR(H34/'Le moteur'!O20,0)</f>
        <v/>
      </c>
      <c r="J34" s="51">
        <f>'Le moteur'!T20</f>
        <v/>
      </c>
      <c r="K34" s="51">
        <f>IFERROR(J34/C34,0)</f>
        <v/>
      </c>
      <c r="L34" s="5" t="n"/>
      <c r="M34" s="5" t="n"/>
      <c r="N34" s="5" t="n"/>
    </row>
    <row r="35">
      <c r="A35" s="5" t="n"/>
      <c r="B35" s="49" t="inlineStr">
        <is>
          <t>Ipac Bachelor Factory Nantes</t>
        </is>
      </c>
      <c r="C35" s="59">
        <f>'Le moteur'!N21</f>
        <v/>
      </c>
      <c r="D35" s="59">
        <f>'Le moteur'!G45</f>
        <v/>
      </c>
      <c r="E35" s="51">
        <f>'Le moteur'!R21</f>
        <v/>
      </c>
      <c r="F35" s="51">
        <f>IFERROR(E35/C35,0)</f>
        <v/>
      </c>
      <c r="G35" s="71">
        <f>'Le moteur'!Q21</f>
        <v/>
      </c>
      <c r="H35" s="51">
        <f>'Le moteur'!S21</f>
        <v/>
      </c>
      <c r="I35" s="51">
        <f>IFERROR(H35/'Le moteur'!O21,0)</f>
        <v/>
      </c>
      <c r="J35" s="51">
        <f>'Le moteur'!T21</f>
        <v/>
      </c>
      <c r="K35" s="51">
        <f>IFERROR(J35/C35,0)</f>
        <v/>
      </c>
      <c r="L35" s="5" t="n"/>
      <c r="M35" s="5" t="n"/>
      <c r="N35" s="5" t="n"/>
    </row>
    <row r="36">
      <c r="A36" s="5" t="n"/>
      <c r="B36" s="49" t="inlineStr">
        <is>
          <t>Ipac Bachelor Factory Rennes</t>
        </is>
      </c>
      <c r="C36" s="59">
        <f>'Le moteur'!N22</f>
        <v/>
      </c>
      <c r="D36" s="59">
        <f>'Le moteur'!G46</f>
        <v/>
      </c>
      <c r="E36" s="51">
        <f>'Le moteur'!R22</f>
        <v/>
      </c>
      <c r="F36" s="51">
        <f>IFERROR(E36/C36,0)</f>
        <v/>
      </c>
      <c r="G36" s="71">
        <f>'Le moteur'!Q22</f>
        <v/>
      </c>
      <c r="H36" s="51">
        <f>'Le moteur'!S22</f>
        <v/>
      </c>
      <c r="I36" s="51">
        <f>IFERROR(H36/'Le moteur'!O22,0)</f>
        <v/>
      </c>
      <c r="J36" s="51">
        <f>'Le moteur'!T22</f>
        <v/>
      </c>
      <c r="K36" s="51">
        <f>IFERROR(J36/C36,0)</f>
        <v/>
      </c>
      <c r="L36" s="5" t="n"/>
      <c r="M36" s="5" t="n"/>
      <c r="N36" s="5" t="n"/>
    </row>
    <row r="37">
      <c r="A37" s="5" t="n"/>
      <c r="B37" s="49" t="inlineStr">
        <is>
          <t>ISCOM Lille</t>
        </is>
      </c>
      <c r="C37" s="59">
        <f>'Le moteur'!N23</f>
        <v/>
      </c>
      <c r="D37" s="59">
        <f>'Le moteur'!G47</f>
        <v/>
      </c>
      <c r="E37" s="51">
        <f>'Le moteur'!R23</f>
        <v/>
      </c>
      <c r="F37" s="51">
        <f>IFERROR(E37/C37,0)</f>
        <v/>
      </c>
      <c r="G37" s="71">
        <f>'Le moteur'!Q23</f>
        <v/>
      </c>
      <c r="H37" s="51">
        <f>'Le moteur'!S23</f>
        <v/>
      </c>
      <c r="I37" s="51">
        <f>IFERROR(H37/'Le moteur'!O23,0)</f>
        <v/>
      </c>
      <c r="J37" s="51">
        <f>'Le moteur'!T23</f>
        <v/>
      </c>
      <c r="K37" s="51">
        <f>IFERROR(J37/C37,0)</f>
        <v/>
      </c>
      <c r="L37" s="5" t="n"/>
      <c r="M37" s="5" t="n"/>
      <c r="N37" s="5" t="n"/>
    </row>
    <row r="38">
      <c r="A38" s="5" t="n"/>
      <c r="B38" s="49" t="inlineStr">
        <is>
          <t>ISCOM Paris</t>
        </is>
      </c>
      <c r="C38" s="59">
        <f>'Le moteur'!N24</f>
        <v/>
      </c>
      <c r="D38" s="59">
        <f>'Le moteur'!G48</f>
        <v/>
      </c>
      <c r="E38" s="51">
        <f>'Le moteur'!R24</f>
        <v/>
      </c>
      <c r="F38" s="51">
        <f>IFERROR(E38/C38,0)</f>
        <v/>
      </c>
      <c r="G38" s="71">
        <f>'Le moteur'!Q24</f>
        <v/>
      </c>
      <c r="H38" s="51">
        <f>'Le moteur'!S24</f>
        <v/>
      </c>
      <c r="I38" s="51">
        <f>IFERROR(H38/'Le moteur'!O24,0)</f>
        <v/>
      </c>
      <c r="J38" s="51">
        <f>'Le moteur'!T24</f>
        <v/>
      </c>
      <c r="K38" s="51">
        <f>IFERROR(J38/C38,0)</f>
        <v/>
      </c>
      <c r="L38" s="5" t="n"/>
      <c r="M38" s="5" t="n"/>
      <c r="N38" s="5" t="n"/>
    </row>
    <row r="39">
      <c r="A39" s="5" t="n"/>
      <c r="B39" s="49" t="inlineStr">
        <is>
          <t>ISCOM Toulouse</t>
        </is>
      </c>
      <c r="C39" s="59">
        <f>'Le moteur'!N25</f>
        <v/>
      </c>
      <c r="D39" s="59">
        <f>'Le moteur'!G49</f>
        <v/>
      </c>
      <c r="E39" s="51">
        <f>'Le moteur'!R25</f>
        <v/>
      </c>
      <c r="F39" s="51">
        <f>IFERROR(E39/C39,0)</f>
        <v/>
      </c>
      <c r="G39" s="71">
        <f>'Le moteur'!Q25</f>
        <v/>
      </c>
      <c r="H39" s="51">
        <f>'Le moteur'!S25</f>
        <v/>
      </c>
      <c r="I39" s="51">
        <f>IFERROR(H39/'Le moteur'!O25,0)</f>
        <v/>
      </c>
      <c r="J39" s="51">
        <f>'Le moteur'!T25</f>
        <v/>
      </c>
      <c r="K39" s="51">
        <f>IFERROR(J39/C39,0)</f>
        <v/>
      </c>
      <c r="L39" s="5" t="n"/>
      <c r="M39" s="5" t="n"/>
      <c r="N39" s="5" t="n"/>
    </row>
    <row r="40">
      <c r="A40" s="5" t="n"/>
      <c r="B40" s="49" t="inlineStr">
        <is>
          <t>MBway Bordeaux</t>
        </is>
      </c>
      <c r="C40" s="59">
        <f>'Le moteur'!N26</f>
        <v/>
      </c>
      <c r="D40" s="59">
        <f>'Le moteur'!G50</f>
        <v/>
      </c>
      <c r="E40" s="51">
        <f>'Le moteur'!R26</f>
        <v/>
      </c>
      <c r="F40" s="51">
        <f>IFERROR(E40/C40,0)</f>
        <v/>
      </c>
      <c r="G40" s="71">
        <f>'Le moteur'!Q26</f>
        <v/>
      </c>
      <c r="H40" s="51">
        <f>'Le moteur'!S26</f>
        <v/>
      </c>
      <c r="I40" s="51">
        <f>IFERROR(H40/'Le moteur'!O26,0)</f>
        <v/>
      </c>
      <c r="J40" s="51">
        <f>'Le moteur'!T26</f>
        <v/>
      </c>
      <c r="K40" s="51">
        <f>IFERROR(J40/C40,0)</f>
        <v/>
      </c>
      <c r="L40" s="5" t="n"/>
      <c r="M40" s="5" t="n"/>
      <c r="N40" s="5" t="n"/>
    </row>
    <row r="41">
      <c r="A41" s="5" t="n"/>
      <c r="B41" s="49" t="inlineStr">
        <is>
          <t>MBway Lyon</t>
        </is>
      </c>
      <c r="C41" s="59">
        <f>'Le moteur'!N27</f>
        <v/>
      </c>
      <c r="D41" s="59">
        <f>'Le moteur'!G51</f>
        <v/>
      </c>
      <c r="E41" s="51">
        <f>'Le moteur'!R27</f>
        <v/>
      </c>
      <c r="F41" s="51">
        <f>IFERROR(E41/C41,0)</f>
        <v/>
      </c>
      <c r="G41" s="71">
        <f>'Le moteur'!Q27</f>
        <v/>
      </c>
      <c r="H41" s="51">
        <f>'Le moteur'!S27</f>
        <v/>
      </c>
      <c r="I41" s="51">
        <f>IFERROR(H41/'Le moteur'!O27,0)</f>
        <v/>
      </c>
      <c r="J41" s="51">
        <f>'Le moteur'!T27</f>
        <v/>
      </c>
      <c r="K41" s="51">
        <f>IFERROR(J41/C41,0)</f>
        <v/>
      </c>
      <c r="L41" s="5" t="n"/>
      <c r="M41" s="5" t="n"/>
      <c r="N41" s="5" t="n"/>
    </row>
    <row r="42">
      <c r="A42" s="5" t="n"/>
      <c r="B42" s="49" t="inlineStr">
        <is>
          <t>MBway Nantes</t>
        </is>
      </c>
      <c r="C42" s="59">
        <f>'Le moteur'!N28</f>
        <v/>
      </c>
      <c r="D42" s="59">
        <f>'Le moteur'!G52</f>
        <v/>
      </c>
      <c r="E42" s="51">
        <f>'Le moteur'!R28</f>
        <v/>
      </c>
      <c r="F42" s="51">
        <f>IFERROR(E42/C42,0)</f>
        <v/>
      </c>
      <c r="G42" s="71">
        <f>'Le moteur'!Q28</f>
        <v/>
      </c>
      <c r="H42" s="51">
        <f>'Le moteur'!S28</f>
        <v/>
      </c>
      <c r="I42" s="51">
        <f>IFERROR(H42/'Le moteur'!O28,0)</f>
        <v/>
      </c>
      <c r="J42" s="51">
        <f>'Le moteur'!T28</f>
        <v/>
      </c>
      <c r="K42" s="51">
        <f>IFERROR(J42/C42,0)</f>
        <v/>
      </c>
      <c r="L42" s="5" t="n"/>
      <c r="M42" s="5" t="n"/>
      <c r="N42" s="5" t="n"/>
    </row>
    <row r="43">
      <c r="A43" s="5" t="n"/>
      <c r="B43" s="49" t="inlineStr">
        <is>
          <t>MBway Paris</t>
        </is>
      </c>
      <c r="C43" s="59">
        <f>'Le moteur'!N29</f>
        <v/>
      </c>
      <c r="D43" s="59">
        <f>'Le moteur'!G53</f>
        <v/>
      </c>
      <c r="E43" s="51">
        <f>'Le moteur'!R29</f>
        <v/>
      </c>
      <c r="F43" s="51">
        <f>IFERROR(E43/C43,0)</f>
        <v/>
      </c>
      <c r="G43" s="71">
        <f>'Le moteur'!Q29</f>
        <v/>
      </c>
      <c r="H43" s="51">
        <f>'Le moteur'!S29</f>
        <v/>
      </c>
      <c r="I43" s="51">
        <f>IFERROR(H43/'Le moteur'!O29,0)</f>
        <v/>
      </c>
      <c r="J43" s="51">
        <f>'Le moteur'!T29</f>
        <v/>
      </c>
      <c r="K43" s="51">
        <f>IFERROR(J43/C43,0)</f>
        <v/>
      </c>
      <c r="L43" s="5" t="n"/>
      <c r="M43" s="5" t="n"/>
      <c r="N43" s="5" t="n"/>
    </row>
    <row r="44">
      <c r="A44" s="5" t="n"/>
      <c r="B44" s="49" t="inlineStr">
        <is>
          <t>Pigier Bordeaux</t>
        </is>
      </c>
      <c r="C44" s="59">
        <f>'Le moteur'!N30</f>
        <v/>
      </c>
      <c r="D44" s="59">
        <f>'Le moteur'!G54</f>
        <v/>
      </c>
      <c r="E44" s="51">
        <f>'Le moteur'!R30</f>
        <v/>
      </c>
      <c r="F44" s="51">
        <f>IFERROR(E44/C44,0)</f>
        <v/>
      </c>
      <c r="G44" s="71">
        <f>'Le moteur'!Q30</f>
        <v/>
      </c>
      <c r="H44" s="51">
        <f>'Le moteur'!S30</f>
        <v/>
      </c>
      <c r="I44" s="51">
        <f>IFERROR(H44/'Le moteur'!O30,0)</f>
        <v/>
      </c>
      <c r="J44" s="51">
        <f>'Le moteur'!T30</f>
        <v/>
      </c>
      <c r="K44" s="51">
        <f>IFERROR(J44/C44,0)</f>
        <v/>
      </c>
      <c r="L44" s="5" t="n"/>
      <c r="M44" s="5" t="n"/>
      <c r="N44" s="5" t="n"/>
    </row>
    <row r="45">
      <c r="A45" s="5" t="n"/>
      <c r="B45" s="49" t="inlineStr">
        <is>
          <t>Pigier Lyon</t>
        </is>
      </c>
      <c r="C45" s="59">
        <f>'Le moteur'!N31</f>
        <v/>
      </c>
      <c r="D45" s="59">
        <f>'Le moteur'!G55</f>
        <v/>
      </c>
      <c r="E45" s="51">
        <f>'Le moteur'!R31</f>
        <v/>
      </c>
      <c r="F45" s="51">
        <f>IFERROR(E45/C45,0)</f>
        <v/>
      </c>
      <c r="G45" s="71">
        <f>'Le moteur'!Q31</f>
        <v/>
      </c>
      <c r="H45" s="51">
        <f>'Le moteur'!S31</f>
        <v/>
      </c>
      <c r="I45" s="51">
        <f>IFERROR(H45/'Le moteur'!O31,0)</f>
        <v/>
      </c>
      <c r="J45" s="51">
        <f>'Le moteur'!T31</f>
        <v/>
      </c>
      <c r="K45" s="51">
        <f>IFERROR(J45/C45,0)</f>
        <v/>
      </c>
      <c r="L45" s="5" t="n"/>
      <c r="M45" s="5" t="n"/>
      <c r="N45" s="5" t="n"/>
    </row>
    <row r="46">
      <c r="A46" s="5" t="n"/>
      <c r="B46" s="49" t="inlineStr">
        <is>
          <t>Tunon Lyon</t>
        </is>
      </c>
      <c r="C46" s="59">
        <f>'Le moteur'!N32</f>
        <v/>
      </c>
      <c r="D46" s="59">
        <f>'Le moteur'!G56</f>
        <v/>
      </c>
      <c r="E46" s="51">
        <f>'Le moteur'!R32</f>
        <v/>
      </c>
      <c r="F46" s="51">
        <f>IFERROR(E46/C46,0)</f>
        <v/>
      </c>
      <c r="G46" s="71">
        <f>'Le moteur'!Q32</f>
        <v/>
      </c>
      <c r="H46" s="51">
        <f>'Le moteur'!S32</f>
        <v/>
      </c>
      <c r="I46" s="51">
        <f>IFERROR(H46/'Le moteur'!O32,0)</f>
        <v/>
      </c>
      <c r="J46" s="51">
        <f>'Le moteur'!T32</f>
        <v/>
      </c>
      <c r="K46" s="51">
        <f>IFERROR(J46/C46,0)</f>
        <v/>
      </c>
      <c r="L46" s="5" t="n"/>
      <c r="M46" s="5" t="n"/>
      <c r="N46" s="5" t="n"/>
    </row>
    <row r="47">
      <c r="A47" s="5" t="n"/>
      <c r="B47" s="49" t="inlineStr">
        <is>
          <t>Tunon Paris</t>
        </is>
      </c>
      <c r="C47" s="59">
        <f>'Le moteur'!N33</f>
        <v/>
      </c>
      <c r="D47" s="59">
        <f>'Le moteur'!G57</f>
        <v/>
      </c>
      <c r="E47" s="51">
        <f>'Le moteur'!R33</f>
        <v/>
      </c>
      <c r="F47" s="51">
        <f>IFERROR(E47/C47,0)</f>
        <v/>
      </c>
      <c r="G47" s="71">
        <f>'Le moteur'!Q33</f>
        <v/>
      </c>
      <c r="H47" s="51">
        <f>'Le moteur'!S33</f>
        <v/>
      </c>
      <c r="I47" s="51">
        <f>IFERROR(H47/'Le moteur'!O33,0)</f>
        <v/>
      </c>
      <c r="J47" s="51">
        <f>'Le moteur'!T33</f>
        <v/>
      </c>
      <c r="K47" s="51">
        <f>IFERROR(J47/C47,0)</f>
        <v/>
      </c>
      <c r="L47" s="5" t="n"/>
      <c r="M47" s="5" t="n"/>
      <c r="N47" s="5" t="n"/>
    </row>
    <row r="48">
      <c r="A48" s="5" t="n"/>
      <c r="B48" s="64" t="inlineStr">
        <is>
          <t>GROUPE · 14 campus</t>
        </is>
      </c>
      <c r="C48" s="65">
        <f>SUM(C34:C47)</f>
        <v/>
      </c>
      <c r="D48" s="65">
        <f>SUM(D34:D47)</f>
        <v/>
      </c>
      <c r="E48" s="68">
        <f>SUM(E34:E47)</f>
        <v/>
      </c>
      <c r="F48" s="68">
        <f>IFERROR(E48/C48,0)</f>
        <v/>
      </c>
      <c r="G48" s="72">
        <f>SUM(G34:G47)</f>
        <v/>
      </c>
      <c r="H48" s="68">
        <f>SUM(H34:H47)</f>
        <v/>
      </c>
      <c r="I48" s="68">
        <f>IFERROR(H48/'Le moteur'!O34,0)</f>
        <v/>
      </c>
      <c r="J48" s="68">
        <f>SUM(J34:J47)</f>
        <v/>
      </c>
      <c r="K48" s="68">
        <f>IFERROR(J48/C48,0)</f>
        <v/>
      </c>
      <c r="L48" s="5" t="n"/>
      <c r="M48" s="5" t="n"/>
      <c r="N48" s="5" t="n"/>
    </row>
    <row r="49">
      <c r="A49" s="5" t="n"/>
      <c r="B49" s="5" t="n"/>
      <c r="C49" s="5" t="n"/>
      <c r="D49" s="5" t="n"/>
      <c r="E49" s="5" t="n"/>
      <c r="F49" s="5" t="n"/>
      <c r="G49" s="5" t="n"/>
      <c r="H49" s="5" t="n"/>
      <c r="I49" s="5" t="n"/>
      <c r="J49" s="5" t="n"/>
      <c r="K49" s="5" t="n"/>
      <c r="L49" s="5" t="n"/>
      <c r="M49" s="5" t="n"/>
      <c r="N49" s="5" t="n"/>
    </row>
    <row r="50">
      <c r="A50" s="5" t="n"/>
      <c r="B50" s="70">
        <f>"Les permanents pèsent "&amp;TEXT(J48/(E48+H48+J48),"0 %")&amp;" du coût d'enseignement du réseau, et pas un euro d'entre eux ne bouge quand un élève de plus s'assoit."</f>
        <v/>
      </c>
      <c r="C50" s="5" t="n"/>
      <c r="D50" s="5" t="n"/>
      <c r="E50" s="5" t="n"/>
      <c r="F50" s="5" t="n"/>
      <c r="G50" s="5" t="n"/>
      <c r="H50" s="5" t="n"/>
      <c r="I50" s="5" t="n"/>
      <c r="J50" s="5" t="n"/>
      <c r="K50" s="5" t="n"/>
      <c r="L50" s="5" t="n"/>
      <c r="M50" s="5" t="n"/>
      <c r="N50" s="5" t="n"/>
    </row>
    <row r="51">
      <c r="A51" s="5" t="n"/>
      <c r="B51" s="5" t="n"/>
      <c r="C51" s="5" t="n"/>
      <c r="D51" s="5" t="n"/>
      <c r="E51" s="5" t="n"/>
      <c r="F51" s="5" t="n"/>
      <c r="G51" s="5" t="n"/>
      <c r="H51" s="5" t="n"/>
      <c r="I51" s="5" t="n"/>
      <c r="J51" s="5" t="n"/>
      <c r="K51" s="5" t="n"/>
      <c r="L51" s="5" t="n"/>
      <c r="M51" s="5" t="n"/>
      <c r="N51" s="5" t="n"/>
    </row>
    <row r="52" ht="20" customHeight="1">
      <c r="A52" s="5" t="n"/>
      <c r="B52" s="38" t="inlineStr">
        <is>
          <t>④  Mais ce n'est pas ce coût-là que le masque soustrait</t>
        </is>
      </c>
      <c r="C52" s="5" t="n"/>
      <c r="D52" s="5" t="n"/>
      <c r="E52" s="5" t="n"/>
      <c r="F52" s="5" t="n"/>
      <c r="G52" s="5" t="n"/>
      <c r="H52" s="5" t="n"/>
      <c r="I52" s="5" t="n"/>
      <c r="J52" s="5" t="n"/>
      <c r="K52" s="5" t="n"/>
      <c r="L52" s="5" t="n"/>
      <c r="M52" s="5" t="n"/>
      <c r="N52" s="5" t="n"/>
    </row>
    <row r="53" ht="14" customHeight="1">
      <c r="A53" s="5" t="n"/>
      <c r="B53" s="24" t="inlineStr">
        <is>
          <t>Le geste ajoute des élèves dans des classes qui existent déjà. Leur vacataire est déjà payé, leur professeur permanent aussi : ils ne coûtent pas un euro de plus. Le coût MARGINAL n'est donc pas le coût moyen.</t>
        </is>
      </c>
      <c r="C53" s="5" t="n"/>
      <c r="D53" s="5" t="n"/>
      <c r="E53" s="5" t="n"/>
      <c r="F53" s="5" t="n"/>
      <c r="G53" s="5" t="n"/>
      <c r="H53" s="5" t="n"/>
      <c r="I53" s="5" t="n"/>
      <c r="J53" s="5" t="n"/>
      <c r="K53" s="5" t="n"/>
      <c r="L53" s="5" t="n"/>
      <c r="M53" s="5" t="n"/>
      <c r="N53" s="5" t="n"/>
    </row>
    <row r="54">
      <c r="A54" s="5" t="n"/>
      <c r="B54" s="5" t="n"/>
      <c r="C54" s="5" t="n"/>
      <c r="D54" s="5" t="n"/>
      <c r="E54" s="5" t="n"/>
      <c r="F54" s="5" t="n"/>
      <c r="G54" s="5" t="n"/>
      <c r="H54" s="5" t="n"/>
      <c r="I54" s="5" t="n"/>
      <c r="J54" s="5" t="n"/>
      <c r="K54" s="5" t="n"/>
      <c r="L54" s="5" t="n"/>
      <c r="M54" s="5" t="n"/>
      <c r="N54" s="5" t="n"/>
    </row>
    <row r="55">
      <c r="A55" s="5" t="n"/>
      <c r="B55" s="73" t="inlineStr">
        <is>
          <t>TANT QU'IL RESTE UNE PLACE</t>
        </is>
      </c>
      <c r="C55" s="21" t="n"/>
      <c r="D55" s="74">
        <f>"les consommables seuls  —  de "&amp;TEXT(MIN(F34:F47),"#,##0 €")&amp;" à "&amp;TEXT(MAX(F34:F47),"#,##0 €")&amp;" selon le campus"</f>
        <v/>
      </c>
      <c r="E55" s="21" t="n"/>
      <c r="F55" s="21" t="n"/>
      <c r="G55" s="21" t="n"/>
      <c r="H55" s="21" t="n"/>
      <c r="I55" s="21" t="n"/>
      <c r="J55" s="21" t="n"/>
      <c r="K55" s="21" t="n"/>
      <c r="L55" s="21" t="n"/>
      <c r="M55" s="21" t="n"/>
      <c r="N55" s="21" t="n"/>
    </row>
    <row r="56">
      <c r="A56" s="5" t="n"/>
      <c r="B56" s="75" t="inlineStr">
        <is>
          <t>QUAND LA CLASSE EST PLEINE</t>
        </is>
      </c>
      <c r="C56" s="13" t="n"/>
      <c r="D56" s="76" t="inlineStr">
        <is>
          <t>+ la quote-part du vacataire d'une classe neuve  —  et là, le programme compte</t>
        </is>
      </c>
      <c r="E56" s="13" t="n"/>
      <c r="F56" s="13" t="n"/>
      <c r="G56" s="13" t="n"/>
      <c r="H56" s="13" t="n"/>
      <c r="I56" s="13" t="n"/>
      <c r="J56" s="13" t="n"/>
      <c r="K56" s="13" t="n"/>
      <c r="L56" s="13" t="n"/>
      <c r="M56" s="13" t="n"/>
      <c r="N56" s="13" t="n"/>
    </row>
    <row r="57">
      <c r="A57" s="5" t="n"/>
      <c r="B57" s="19" t="n"/>
      <c r="C57" s="19" t="n"/>
      <c r="D57" s="77" t="inlineStr">
        <is>
          <t>Le masque bascule seul : IF(inscrits gagnés &lt;= places libres ; consommables ; consommables + vacataires du campus ÷ places du campus).</t>
        </is>
      </c>
      <c r="E57" s="19" t="n"/>
      <c r="F57" s="19" t="n"/>
      <c r="G57" s="19" t="n"/>
      <c r="H57" s="19" t="n"/>
      <c r="I57" s="19" t="n"/>
      <c r="J57" s="19" t="n"/>
      <c r="K57" s="19" t="n"/>
      <c r="L57" s="19" t="n"/>
      <c r="M57" s="19" t="n"/>
      <c r="N57" s="19" t="n"/>
    </row>
    <row r="58">
      <c r="A58" s="5" t="n"/>
      <c r="B58" s="5" t="n"/>
      <c r="C58" s="5" t="n"/>
      <c r="D58" s="5" t="n"/>
      <c r="E58" s="5" t="n"/>
      <c r="F58" s="5" t="n"/>
      <c r="G58" s="5" t="n"/>
      <c r="H58" s="5" t="n"/>
      <c r="I58" s="5" t="n"/>
      <c r="J58" s="5" t="n"/>
      <c r="K58" s="5" t="n"/>
      <c r="L58" s="5" t="n"/>
      <c r="M58" s="5" t="n"/>
      <c r="N58" s="5" t="n"/>
    </row>
    <row r="59">
      <c r="A59" s="5" t="n"/>
      <c r="B59" s="5" t="n"/>
      <c r="C59" s="5" t="n"/>
      <c r="D59" s="5" t="n"/>
      <c r="E59" s="5" t="n"/>
      <c r="F59" s="5" t="n"/>
      <c r="G59" s="5" t="n"/>
      <c r="H59" s="5" t="n"/>
      <c r="I59" s="5" t="n"/>
      <c r="J59" s="5" t="n"/>
      <c r="K59" s="5" t="n"/>
      <c r="L59" s="5" t="n"/>
      <c r="M59" s="5" t="n"/>
      <c r="N59" s="5" t="n"/>
    </row>
    <row r="60" ht="30" customHeight="1">
      <c r="A60" s="5" t="n"/>
      <c r="B60" s="25" t="inlineStr">
        <is>
          <t>Programme qui ouvre</t>
        </is>
      </c>
      <c r="C60" s="26" t="inlineStr">
        <is>
          <t>Heures / classe</t>
        </is>
      </c>
      <c r="D60" s="26" t="inlineStr">
        <is>
          <t>Tarif horaire</t>
        </is>
      </c>
      <c r="E60" s="26" t="inlineStr">
        <is>
          <t>Coût du vacataire</t>
        </is>
      </c>
      <c r="F60" s="26" t="inlineStr">
        <is>
          <t>Capacité de la classe</t>
        </is>
      </c>
      <c r="G60" s="26" t="inlineStr">
        <is>
          <t>Coût d'ouverture / place</t>
        </is>
      </c>
      <c r="H60" s="26" t="inlineStr">
        <is>
          <t>+ consommables ⇒ coût marginal</t>
        </is>
      </c>
      <c r="I60" s="5" t="n"/>
      <c r="J60" s="5" t="n"/>
      <c r="K60" s="5" t="n"/>
      <c r="L60" s="5" t="n"/>
      <c r="M60" s="5" t="n"/>
      <c r="N60" s="5" t="n"/>
    </row>
    <row r="61">
      <c r="A61" s="5" t="n"/>
      <c r="B61" s="49" t="inlineStr">
        <is>
          <t>Bachelor · alternance</t>
        </is>
      </c>
      <c r="C61" s="71">
        <f>'Intégration &amp; contrôles'!C9</f>
        <v/>
      </c>
      <c r="D61" s="61">
        <f>$E$26</f>
        <v/>
      </c>
      <c r="E61" s="51">
        <f>C61*D61</f>
        <v/>
      </c>
      <c r="F61" s="59">
        <f>'Intégration &amp; contrôles'!D9</f>
        <v/>
      </c>
      <c r="G61" s="62">
        <f>E61/F61</f>
        <v/>
      </c>
      <c r="H61" s="78">
        <f>"de "&amp;TEXT(G61+MIN($F$34:$F$47),"#,##0 €")&amp;" à "&amp;TEXT(G61+MAX($F$34:$F$47),"#,##0 €")&amp;" selon le campus"</f>
        <v/>
      </c>
      <c r="I61" s="5" t="n"/>
      <c r="J61" s="5" t="n"/>
      <c r="K61" s="5" t="n"/>
      <c r="L61" s="5" t="n"/>
      <c r="M61" s="5" t="n"/>
      <c r="N61" s="5" t="n"/>
    </row>
    <row r="62">
      <c r="A62" s="5" t="n"/>
      <c r="B62" s="49" t="inlineStr">
        <is>
          <t>Mastère · alternance</t>
        </is>
      </c>
      <c r="C62" s="71">
        <f>'Intégration &amp; contrôles'!C13</f>
        <v/>
      </c>
      <c r="D62" s="61">
        <f>$E$26</f>
        <v/>
      </c>
      <c r="E62" s="51">
        <f>C62*D62</f>
        <v/>
      </c>
      <c r="F62" s="59">
        <f>'Intégration &amp; contrôles'!D13</f>
        <v/>
      </c>
      <c r="G62" s="62">
        <f>E62/F62</f>
        <v/>
      </c>
      <c r="H62" s="78">
        <f>"de "&amp;TEXT(G62+MIN($F$34:$F$47),"#,##0 €")&amp;" à "&amp;TEXT(G62+MAX($F$34:$F$47),"#,##0 €")&amp;" selon le campus"</f>
        <v/>
      </c>
      <c r="I62" s="5" t="n"/>
      <c r="J62" s="5" t="n"/>
      <c r="K62" s="5" t="n"/>
      <c r="L62" s="5" t="n"/>
      <c r="M62" s="5" t="n"/>
      <c r="N62" s="5" t="n"/>
    </row>
    <row r="63">
      <c r="A63" s="5" t="n"/>
      <c r="B63" s="49" t="inlineStr">
        <is>
          <t>Bachelor · initial</t>
        </is>
      </c>
      <c r="C63" s="71">
        <f>'Intégration &amp; contrôles'!C10</f>
        <v/>
      </c>
      <c r="D63" s="61">
        <f>$E$26</f>
        <v/>
      </c>
      <c r="E63" s="51">
        <f>C63*D63</f>
        <v/>
      </c>
      <c r="F63" s="59">
        <f>'Intégration &amp; contrôles'!D10</f>
        <v/>
      </c>
      <c r="G63" s="62">
        <f>E63/F63</f>
        <v/>
      </c>
      <c r="H63" s="78">
        <f>"de "&amp;TEXT(G63+MIN($F$34:$F$47),"#,##0 €")&amp;" à "&amp;TEXT(G63+MAX($F$34:$F$47),"#,##0 €")&amp;" selon le campus"</f>
        <v/>
      </c>
      <c r="I63" s="5" t="n"/>
      <c r="J63" s="5" t="n"/>
      <c r="K63" s="5" t="n"/>
      <c r="L63" s="5" t="n"/>
      <c r="M63" s="5" t="n"/>
      <c r="N63" s="5" t="n"/>
    </row>
    <row r="64">
      <c r="A64" s="5" t="n"/>
      <c r="B64" s="49" t="inlineStr">
        <is>
          <t>BTS · alternance</t>
        </is>
      </c>
      <c r="C64" s="71">
        <f>'Intégration &amp; contrôles'!C11</f>
        <v/>
      </c>
      <c r="D64" s="61">
        <f>$E$26</f>
        <v/>
      </c>
      <c r="E64" s="51">
        <f>C64*D64</f>
        <v/>
      </c>
      <c r="F64" s="59">
        <f>'Intégration &amp; contrôles'!D11</f>
        <v/>
      </c>
      <c r="G64" s="62">
        <f>E64/F64</f>
        <v/>
      </c>
      <c r="H64" s="78">
        <f>"de "&amp;TEXT(G64+MIN($F$34:$F$47),"#,##0 €")&amp;" à "&amp;TEXT(G64+MAX($F$34:$F$47),"#,##0 €")&amp;" selon le campus"</f>
        <v/>
      </c>
      <c r="I64" s="5" t="n"/>
      <c r="J64" s="5" t="n"/>
      <c r="K64" s="5" t="n"/>
      <c r="L64" s="5" t="n"/>
      <c r="M64" s="5" t="n"/>
      <c r="N64" s="5" t="n"/>
    </row>
    <row r="65">
      <c r="A65" s="5" t="n"/>
      <c r="B65" s="5" t="n"/>
      <c r="C65" s="5" t="n"/>
      <c r="D65" s="5" t="n"/>
      <c r="E65" s="5" t="n"/>
      <c r="F65" s="5" t="n"/>
      <c r="G65" s="5" t="n"/>
      <c r="H65" s="5" t="n"/>
      <c r="I65" s="5" t="n"/>
      <c r="J65" s="5" t="n"/>
      <c r="K65" s="5" t="n"/>
      <c r="L65" s="5" t="n"/>
      <c r="M65" s="5" t="n"/>
      <c r="N65" s="5" t="n"/>
    </row>
    <row r="66">
      <c r="A66" s="5" t="n"/>
      <c r="B66" s="24" t="inlineStr">
        <is>
          <t>Heures et capacités viennent de l'onglet « Intégration &amp; contrôles » ; le tarif horaire de la ligne MOYENNE PONDÉRÉE ci-dessus. Rien n'est saisi dans ce tableau.</t>
        </is>
      </c>
      <c r="C66" s="5" t="n"/>
      <c r="D66" s="5" t="n"/>
      <c r="E66" s="5" t="n"/>
      <c r="F66" s="5" t="n"/>
      <c r="G66" s="5" t="n"/>
      <c r="H66" s="5" t="n"/>
      <c r="I66" s="5" t="n"/>
      <c r="J66" s="5" t="n"/>
      <c r="K66" s="5" t="n"/>
      <c r="L66" s="5" t="n"/>
      <c r="M66" s="5" t="n"/>
      <c r="N66" s="5" t="n"/>
    </row>
    <row r="67">
      <c r="A67" s="5" t="n"/>
      <c r="B67" s="5" t="n"/>
      <c r="C67" s="5" t="n"/>
      <c r="D67" s="5" t="n"/>
      <c r="E67" s="5" t="n"/>
      <c r="F67" s="5" t="n"/>
      <c r="G67" s="5" t="n"/>
      <c r="H67" s="5" t="n"/>
      <c r="I67" s="5" t="n"/>
      <c r="J67" s="5" t="n"/>
      <c r="K67" s="5" t="n"/>
      <c r="L67" s="5" t="n"/>
      <c r="M67" s="5" t="n"/>
      <c r="N67" s="5" t="n"/>
    </row>
    <row r="68" ht="20" customHeight="1">
      <c r="A68" s="5" t="n"/>
      <c r="B68" s="79" t="inlineStr">
        <is>
          <t>⑤  Et les enseignants permanents, ils sont où ?</t>
        </is>
      </c>
      <c r="C68" s="5" t="n"/>
      <c r="D68" s="5" t="n"/>
      <c r="E68" s="5" t="n"/>
      <c r="F68" s="5" t="n"/>
      <c r="G68" s="5" t="n"/>
      <c r="H68" s="5" t="n"/>
      <c r="I68" s="5" t="n"/>
      <c r="J68" s="5" t="n"/>
      <c r="K68" s="5" t="n"/>
      <c r="L68" s="5" t="n"/>
      <c r="M68" s="5" t="n"/>
      <c r="N68" s="5" t="n"/>
    </row>
    <row r="69" ht="14" customHeight="1">
      <c r="A69" s="5" t="n"/>
      <c r="B69" s="24" t="inlineStr">
        <is>
          <t>Dans le modèle, et alloués à l'heure comme les vacataires — mais pas dans le coût variable. Voici les vingt comptes de charges du P&amp;L et, pour chacun, la seule question qui compte.</t>
        </is>
      </c>
      <c r="C69" s="5" t="n"/>
      <c r="D69" s="5" t="n"/>
      <c r="E69" s="5" t="n"/>
      <c r="F69" s="5" t="n"/>
      <c r="G69" s="5" t="n"/>
      <c r="H69" s="5" t="n"/>
      <c r="I69" s="5" t="n"/>
      <c r="J69" s="5" t="n"/>
      <c r="K69" s="5" t="n"/>
      <c r="L69" s="5" t="n"/>
      <c r="M69" s="5" t="n"/>
      <c r="N69" s="5" t="n"/>
    </row>
    <row r="70" ht="16" customHeight="1">
      <c r="A70" s="5" t="n"/>
      <c r="B70" s="80" t="inlineStr">
        <is>
          <t>Un professeur permanent est un ENGAGEMENT DE CAPACITÉ, pas un coût à l'élève : il est payé pareil que la salle contienne 24 ou 32 étudiants. C'est pour cela qu'il pèse le plus lourd du coût d'enseignement et qu'il ne figure quand même pas dans le coût marginal. Le vacataire, lui, est la seule ressource enseignante que l'on achète à la classe — et le 621 est du personnel EXTÉRIEUR : une facture, donc sans charges sociales 645 en plus.</t>
        </is>
      </c>
      <c r="C70" s="5" t="n"/>
      <c r="D70" s="5" t="n"/>
      <c r="E70" s="5" t="n"/>
      <c r="F70" s="5" t="n"/>
      <c r="G70" s="5" t="n"/>
      <c r="H70" s="5" t="n"/>
      <c r="I70" s="5" t="n"/>
      <c r="J70" s="5" t="n"/>
      <c r="K70" s="5" t="n"/>
      <c r="L70" s="5" t="n"/>
      <c r="M70" s="5" t="n"/>
      <c r="N70" s="5" t="n"/>
    </row>
    <row r="71">
      <c r="A71" s="5" t="n"/>
      <c r="B71" s="5" t="n"/>
      <c r="C71" s="5" t="n"/>
      <c r="D71" s="5" t="n"/>
      <c r="E71" s="5" t="n"/>
      <c r="F71" s="5" t="n"/>
      <c r="G71" s="5" t="n"/>
      <c r="H71" s="5" t="n"/>
      <c r="I71" s="5" t="n"/>
      <c r="J71" s="5" t="n"/>
      <c r="K71" s="5" t="n"/>
      <c r="L71" s="5" t="n"/>
      <c r="M71" s="5" t="n"/>
      <c r="N71" s="5" t="n"/>
    </row>
    <row r="72">
      <c r="A72" s="5" t="n"/>
      <c r="B72" s="24" t="inlineStr">
        <is>
          <t>Ces montants sont restitués par la COMPTABILITÉ (AW_002_000004_000001), et non repris du tableau ① : c'est ce qui permet de les réconcilier avec la vue — quatre contrôles, onglet « Intégration &amp; contrôles ».</t>
        </is>
      </c>
      <c r="C72" s="5" t="n"/>
      <c r="D72" s="5" t="n"/>
      <c r="E72" s="5" t="n"/>
      <c r="F72" s="5" t="n"/>
      <c r="G72" s="5" t="n"/>
      <c r="H72" s="5" t="n"/>
      <c r="I72" s="5" t="n"/>
      <c r="J72" s="5" t="n"/>
      <c r="K72" s="5" t="n"/>
      <c r="L72" s="5" t="n"/>
      <c r="M72" s="5" t="n"/>
      <c r="N72" s="5" t="n"/>
    </row>
    <row r="73" ht="30" customHeight="1">
      <c r="A73" s="5" t="n"/>
      <c r="B73" s="25" t="inlineStr">
        <is>
          <t>Compte et libellé</t>
        </is>
      </c>
      <c r="C73" s="26" t="n"/>
      <c r="D73" s="26" t="inlineStr">
        <is>
          <t>Montant 2026</t>
        </is>
      </c>
      <c r="E73" s="26" t="inlineStr">
        <is>
          <t>Part des charges</t>
        </is>
      </c>
      <c r="F73" s="26" t="inlineStr">
        <is>
          <t>Poche du modèle</t>
        </is>
      </c>
      <c r="G73" s="26" t="inlineStr">
        <is>
          <t>Clé d'allocation</t>
        </is>
      </c>
      <c r="H73" s="26" t="inlineStr">
        <is>
          <t>Comportement</t>
        </is>
      </c>
      <c r="I73" s="26" t="inlineStr">
        <is>
          <t>Bouge si un élève de plus arrive ?</t>
        </is>
      </c>
      <c r="J73" s="5" t="n"/>
      <c r="K73" s="5" t="n"/>
      <c r="L73" s="5" t="n"/>
      <c r="M73" s="5" t="n"/>
      <c r="N73" s="5" t="n"/>
    </row>
    <row r="74">
      <c r="A74" s="5" t="n"/>
      <c r="B74" s="49" t="inlineStr">
        <is>
          <t>604 · Achats d'études et supports pédagogiques</t>
        </is>
      </c>
      <c r="C74" s="52" t="n"/>
      <c r="D74" s="51" t="n">
        <v>677808</v>
      </c>
      <c r="E74" s="81">
        <f>IFERROR(D74/$D$94,0)</f>
        <v/>
      </c>
      <c r="F74" s="52" t="inlineStr">
        <is>
          <t>COST_ODIR</t>
        </is>
      </c>
      <c r="G74" s="52" t="inlineStr">
        <is>
          <t>EFFECTIFS</t>
        </is>
      </c>
      <c r="H74" s="53" t="inlineStr">
        <is>
          <t>Variable</t>
        </is>
      </c>
      <c r="I74" s="54" t="inlineStr">
        <is>
          <t>OUI</t>
        </is>
      </c>
      <c r="J74" s="5" t="n"/>
      <c r="K74" s="5" t="n"/>
      <c r="L74" s="5" t="n"/>
      <c r="M74" s="5" t="n"/>
      <c r="N74" s="5" t="n"/>
    </row>
    <row r="75">
      <c r="A75" s="5" t="n"/>
      <c r="B75" s="49" t="inlineStr">
        <is>
          <t>6063 · Fournitures pédagogiques et administratives</t>
        </is>
      </c>
      <c r="C75" s="52" t="n"/>
      <c r="D75" s="51" t="n">
        <v>451874</v>
      </c>
      <c r="E75" s="81">
        <f>IFERROR(D75/$D$94,0)</f>
        <v/>
      </c>
      <c r="F75" s="52" t="inlineStr">
        <is>
          <t>COST_ODIR</t>
        </is>
      </c>
      <c r="G75" s="52" t="inlineStr">
        <is>
          <t>EFFECTIFS</t>
        </is>
      </c>
      <c r="H75" s="53" t="inlineStr">
        <is>
          <t>Variable</t>
        </is>
      </c>
      <c r="I75" s="54" t="inlineStr">
        <is>
          <t>OUI</t>
        </is>
      </c>
      <c r="J75" s="5" t="n"/>
      <c r="K75" s="5" t="n"/>
      <c r="L75" s="5" t="n"/>
      <c r="M75" s="5" t="n"/>
      <c r="N75" s="5" t="n"/>
    </row>
    <row r="76">
      <c r="A76" s="5" t="n"/>
      <c r="B76" s="49" t="inlineStr">
        <is>
          <t>621 · Personnel extérieur — enseignants vacataires</t>
        </is>
      </c>
      <c r="C76" s="52" t="n"/>
      <c r="D76" s="51" t="n">
        <v>1581554</v>
      </c>
      <c r="E76" s="81">
        <f>IFERROR(D76/$D$94,0)</f>
        <v/>
      </c>
      <c r="F76" s="52" t="inlineStr">
        <is>
          <t>COST_VAC</t>
        </is>
      </c>
      <c r="G76" s="52" t="inlineStr">
        <is>
          <t>HEURES</t>
        </is>
      </c>
      <c r="H76" s="55" t="inlineStr">
        <is>
          <t>Semi-variable</t>
        </is>
      </c>
      <c r="I76" s="56" t="inlineStr">
        <is>
          <t>Seulement si une classe doit ouvrir</t>
        </is>
      </c>
      <c r="J76" s="5" t="n"/>
      <c r="K76" s="5" t="n"/>
      <c r="L76" s="5" t="n"/>
      <c r="M76" s="5" t="n"/>
      <c r="N76" s="5" t="n"/>
    </row>
    <row r="77">
      <c r="A77" s="5" t="n"/>
      <c r="B77" s="49" t="inlineStr">
        <is>
          <t>6411 · Salaires — enseignants permanents</t>
        </is>
      </c>
      <c r="C77" s="52" t="n"/>
      <c r="D77" s="51" t="n">
        <v>3841069.840000001</v>
      </c>
      <c r="E77" s="81">
        <f>IFERROR(D77/$D$94,0)</f>
        <v/>
      </c>
      <c r="F77" s="52" t="inlineStr">
        <is>
          <t>COST_PERM</t>
        </is>
      </c>
      <c r="G77" s="52" t="inlineStr">
        <is>
          <t>HEURES</t>
        </is>
      </c>
      <c r="H77" s="57" t="inlineStr">
        <is>
          <t>Capacité</t>
        </is>
      </c>
      <c r="I77" s="58" t="inlineStr">
        <is>
          <t>NON — le poste est engagé à l'année, pas à l'élève</t>
        </is>
      </c>
      <c r="J77" s="5" t="n"/>
      <c r="K77" s="5" t="n"/>
      <c r="L77" s="5" t="n"/>
      <c r="M77" s="5" t="n"/>
      <c r="N77" s="5" t="n"/>
    </row>
    <row r="78">
      <c r="A78" s="5" t="n"/>
      <c r="B78" s="49" t="inlineStr">
        <is>
          <t>6231 · Annonces et insertions — budget d'acquisition</t>
        </is>
      </c>
      <c r="C78" s="52" t="n"/>
      <c r="D78" s="51" t="n">
        <v>434174</v>
      </c>
      <c r="E78" s="81">
        <f>IFERROR(D78/$D$94,0)</f>
        <v/>
      </c>
      <c r="F78" s="52" t="inlineStr">
        <is>
          <t>COST_ODIR</t>
        </is>
      </c>
      <c r="G78" s="52" t="inlineStr">
        <is>
          <t>ENTRANTS</t>
        </is>
      </c>
      <c r="H78" s="82" t="inlineStr">
        <is>
          <t>Levier</t>
        </is>
      </c>
      <c r="I78" s="83" t="inlineStr">
        <is>
          <t>C'EST LA SAISIE — déjà soustrait comme Δ budget</t>
        </is>
      </c>
      <c r="J78" s="5" t="n"/>
      <c r="K78" s="5" t="n"/>
      <c r="L78" s="5" t="n"/>
      <c r="M78" s="5" t="n"/>
      <c r="N78" s="5" t="n"/>
    </row>
    <row r="79">
      <c r="A79" s="5" t="n"/>
      <c r="B79" s="49" t="inlineStr">
        <is>
          <t>6413 · Salaires — personnel administratif des campus</t>
        </is>
      </c>
      <c r="C79" s="52" t="n"/>
      <c r="D79" s="51" t="n">
        <v>2033330.6</v>
      </c>
      <c r="E79" s="81">
        <f>IFERROR(D79/$D$94,0)</f>
        <v/>
      </c>
      <c r="F79" s="52" t="inlineStr">
        <is>
          <t>COST_STRUCT</t>
        </is>
      </c>
      <c r="G79" s="52" t="inlineStr">
        <is>
          <t>K3</t>
        </is>
      </c>
      <c r="H79" s="84" t="inlineStr">
        <is>
          <t>Structure</t>
        </is>
      </c>
      <c r="I79" s="85" t="inlineStr">
        <is>
          <t>NON</t>
        </is>
      </c>
      <c r="J79" s="5" t="n"/>
      <c r="K79" s="5" t="n"/>
      <c r="L79" s="5" t="n"/>
      <c r="M79" s="5" t="n"/>
      <c r="N79" s="5" t="n"/>
    </row>
    <row r="80">
      <c r="A80" s="5" t="n"/>
      <c r="B80" s="49" t="inlineStr">
        <is>
          <t>645 · Charges sociales sur les salaires</t>
        </is>
      </c>
      <c r="C80" s="52" t="n"/>
      <c r="D80" s="51" t="n">
        <v>3162957.9</v>
      </c>
      <c r="E80" s="81">
        <f>IFERROR(D80/$D$94,0)</f>
        <v/>
      </c>
      <c r="F80" s="52" t="inlineStr">
        <is>
          <t>COST_STRUCT</t>
        </is>
      </c>
      <c r="G80" s="52" t="inlineStr">
        <is>
          <t>K3</t>
        </is>
      </c>
      <c r="H80" s="84" t="inlineStr">
        <is>
          <t>Structure</t>
        </is>
      </c>
      <c r="I80" s="85" t="inlineStr">
        <is>
          <t>NON — et 621 n'en porte pas : c'est une facture, pas une paie</t>
        </is>
      </c>
      <c r="J80" s="5" t="n"/>
      <c r="K80" s="5" t="n"/>
      <c r="L80" s="5" t="n"/>
      <c r="M80" s="5" t="n"/>
      <c r="N80" s="5" t="n"/>
    </row>
    <row r="81">
      <c r="A81" s="5" t="n"/>
      <c r="B81" s="49" t="inlineStr">
        <is>
          <t>613 · Locations immobilières des campus</t>
        </is>
      </c>
      <c r="C81" s="52" t="n"/>
      <c r="D81" s="51" t="n">
        <v>2372423.51</v>
      </c>
      <c r="E81" s="81">
        <f>IFERROR(D81/$D$94,0)</f>
        <v/>
      </c>
      <c r="F81" s="52" t="inlineStr">
        <is>
          <t>COST_STRUCT</t>
        </is>
      </c>
      <c r="G81" s="52" t="inlineStr">
        <is>
          <t>K3</t>
        </is>
      </c>
      <c r="H81" s="84" t="inlineStr">
        <is>
          <t>Structure</t>
        </is>
      </c>
      <c r="I81" s="85" t="inlineStr">
        <is>
          <t>NON — c'est le mur qui coûte, pas l'élève</t>
        </is>
      </c>
      <c r="J81" s="5" t="n"/>
      <c r="K81" s="5" t="n"/>
      <c r="L81" s="5" t="n"/>
      <c r="M81" s="5" t="n"/>
      <c r="N81" s="5" t="n"/>
    </row>
    <row r="82">
      <c r="A82" s="5" t="n"/>
      <c r="B82" s="49" t="inlineStr">
        <is>
          <t>615 · Entretien et réparations</t>
        </is>
      </c>
      <c r="C82" s="52" t="n"/>
      <c r="D82" s="51" t="n">
        <v>338915.38</v>
      </c>
      <c r="E82" s="81">
        <f>IFERROR(D82/$D$94,0)</f>
        <v/>
      </c>
      <c r="F82" s="52" t="inlineStr">
        <is>
          <t>COST_STRUCT</t>
        </is>
      </c>
      <c r="G82" s="52" t="inlineStr">
        <is>
          <t>K3</t>
        </is>
      </c>
      <c r="H82" s="84" t="inlineStr">
        <is>
          <t>Structure</t>
        </is>
      </c>
      <c r="I82" s="85" t="inlineStr">
        <is>
          <t>NON</t>
        </is>
      </c>
      <c r="J82" s="5" t="n"/>
      <c r="K82" s="5" t="n"/>
      <c r="L82" s="5" t="n"/>
      <c r="M82" s="5" t="n"/>
      <c r="N82" s="5" t="n"/>
    </row>
    <row r="83">
      <c r="A83" s="5" t="n"/>
      <c r="B83" s="49" t="inlineStr">
        <is>
          <t>616 · Primes d'assurance</t>
        </is>
      </c>
      <c r="C83" s="52" t="n"/>
      <c r="D83" s="51" t="n">
        <v>225926.43</v>
      </c>
      <c r="E83" s="81">
        <f>IFERROR(D83/$D$94,0)</f>
        <v/>
      </c>
      <c r="F83" s="52" t="inlineStr">
        <is>
          <t>COST_STRUCT</t>
        </is>
      </c>
      <c r="G83" s="52" t="inlineStr">
        <is>
          <t>K3</t>
        </is>
      </c>
      <c r="H83" s="84" t="inlineStr">
        <is>
          <t>Structure</t>
        </is>
      </c>
      <c r="I83" s="85" t="inlineStr">
        <is>
          <t>NON</t>
        </is>
      </c>
      <c r="J83" s="5" t="n"/>
      <c r="K83" s="5" t="n"/>
      <c r="L83" s="5" t="n"/>
      <c r="M83" s="5" t="n"/>
      <c r="N83" s="5" t="n"/>
    </row>
    <row r="84">
      <c r="A84" s="5" t="n"/>
      <c r="B84" s="49" t="inlineStr">
        <is>
          <t>625 · Déplacements, missions et réceptions</t>
        </is>
      </c>
      <c r="C84" s="52" t="n"/>
      <c r="D84" s="51" t="n">
        <v>338890.3800000001</v>
      </c>
      <c r="E84" s="81">
        <f>IFERROR(D84/$D$94,0)</f>
        <v/>
      </c>
      <c r="F84" s="52" t="inlineStr">
        <is>
          <t>COST_STRUCT</t>
        </is>
      </c>
      <c r="G84" s="52" t="inlineStr">
        <is>
          <t>K3</t>
        </is>
      </c>
      <c r="H84" s="84" t="inlineStr">
        <is>
          <t>Structure</t>
        </is>
      </c>
      <c r="I84" s="85" t="inlineStr">
        <is>
          <t>NON</t>
        </is>
      </c>
      <c r="J84" s="5" t="n"/>
      <c r="K84" s="5" t="n"/>
      <c r="L84" s="5" t="n"/>
      <c r="M84" s="5" t="n"/>
      <c r="N84" s="5" t="n"/>
    </row>
    <row r="85">
      <c r="A85" s="5" t="n"/>
      <c r="B85" s="49" t="inlineStr">
        <is>
          <t>63511 · Contribution économique territoriale</t>
        </is>
      </c>
      <c r="C85" s="52" t="n"/>
      <c r="D85" s="51" t="n">
        <v>225943.95</v>
      </c>
      <c r="E85" s="81">
        <f>IFERROR(D85/$D$94,0)</f>
        <v/>
      </c>
      <c r="F85" s="52" t="inlineStr">
        <is>
          <t>COST_STRUCT</t>
        </is>
      </c>
      <c r="G85" s="52" t="inlineStr">
        <is>
          <t>K3</t>
        </is>
      </c>
      <c r="H85" s="84" t="inlineStr">
        <is>
          <t>Structure</t>
        </is>
      </c>
      <c r="I85" s="85" t="inlineStr">
        <is>
          <t>NON</t>
        </is>
      </c>
      <c r="J85" s="5" t="n"/>
      <c r="K85" s="5" t="n"/>
      <c r="L85" s="5" t="n"/>
      <c r="M85" s="5" t="n"/>
      <c r="N85" s="5" t="n"/>
    </row>
    <row r="86">
      <c r="A86" s="5" t="n"/>
      <c r="B86" s="49" t="inlineStr">
        <is>
          <t>6236 · Catalogues et imprimés — marketing de marque</t>
        </is>
      </c>
      <c r="C86" s="52" t="n"/>
      <c r="D86" s="51" t="n">
        <v>676344</v>
      </c>
      <c r="E86" s="81">
        <f>IFERROR(D86/$D$94,0)</f>
        <v/>
      </c>
      <c r="F86" s="52" t="inlineStr">
        <is>
          <t>COST_MARQUE</t>
        </is>
      </c>
      <c r="G86" s="52" t="inlineStr">
        <is>
          <t>K4</t>
        </is>
      </c>
      <c r="H86" s="84" t="inlineStr">
        <is>
          <t>Siège</t>
        </is>
      </c>
      <c r="I86" s="85" t="inlineStr">
        <is>
          <t>NON</t>
        </is>
      </c>
      <c r="J86" s="5" t="n"/>
      <c r="K86" s="5" t="n"/>
      <c r="L86" s="5" t="n"/>
      <c r="M86" s="5" t="n"/>
      <c r="N86" s="5" t="n"/>
    </row>
    <row r="87">
      <c r="A87" s="5" t="n"/>
      <c r="B87" s="49" t="inlineStr">
        <is>
          <t>6414 · Salaires du siège</t>
        </is>
      </c>
      <c r="C87" s="52" t="n"/>
      <c r="D87" s="51" t="n">
        <v>1242649</v>
      </c>
      <c r="E87" s="81">
        <f>IFERROR(D87/$D$94,0)</f>
        <v/>
      </c>
      <c r="F87" s="52" t="inlineStr">
        <is>
          <t>COST_HOLDING</t>
        </is>
      </c>
      <c r="G87" s="52" t="inlineStr">
        <is>
          <t>K1</t>
        </is>
      </c>
      <c r="H87" s="84" t="inlineStr">
        <is>
          <t>Siège</t>
        </is>
      </c>
      <c r="I87" s="85" t="inlineStr">
        <is>
          <t>NON</t>
        </is>
      </c>
      <c r="J87" s="5" t="n"/>
      <c r="K87" s="5" t="n"/>
      <c r="L87" s="5" t="n"/>
      <c r="M87" s="5" t="n"/>
      <c r="N87" s="5" t="n"/>
    </row>
    <row r="88">
      <c r="A88" s="5" t="n"/>
      <c r="B88" s="49" t="inlineStr">
        <is>
          <t>6226 · Honoraires</t>
        </is>
      </c>
      <c r="C88" s="52" t="n"/>
      <c r="D88" s="51" t="n">
        <v>564841</v>
      </c>
      <c r="E88" s="81">
        <f>IFERROR(D88/$D$94,0)</f>
        <v/>
      </c>
      <c r="F88" s="52" t="inlineStr">
        <is>
          <t>COST_HOLDING</t>
        </is>
      </c>
      <c r="G88" s="52" t="inlineStr">
        <is>
          <t>K1</t>
        </is>
      </c>
      <c r="H88" s="84" t="inlineStr">
        <is>
          <t>Siège</t>
        </is>
      </c>
      <c r="I88" s="85" t="inlineStr">
        <is>
          <t>NON</t>
        </is>
      </c>
      <c r="J88" s="5" t="n"/>
      <c r="K88" s="5" t="n"/>
      <c r="L88" s="5" t="n"/>
      <c r="M88" s="5" t="n"/>
      <c r="N88" s="5" t="n"/>
    </row>
    <row r="89">
      <c r="A89" s="5" t="n"/>
      <c r="B89" s="49" t="inlineStr">
        <is>
          <t>626 · Frais postaux et de télécommunications</t>
        </is>
      </c>
      <c r="C89" s="52" t="n"/>
      <c r="D89" s="51" t="n">
        <v>451872</v>
      </c>
      <c r="E89" s="81">
        <f>IFERROR(D89/$D$94,0)</f>
        <v/>
      </c>
      <c r="F89" s="52" t="inlineStr">
        <is>
          <t>COST_HOLDING</t>
        </is>
      </c>
      <c r="G89" s="52" t="inlineStr">
        <is>
          <t>K1</t>
        </is>
      </c>
      <c r="H89" s="84" t="inlineStr">
        <is>
          <t>Siège</t>
        </is>
      </c>
      <c r="I89" s="85" t="inlineStr">
        <is>
          <t>NON</t>
        </is>
      </c>
      <c r="J89" s="5" t="n"/>
      <c r="K89" s="5" t="n"/>
      <c r="L89" s="5" t="n"/>
      <c r="M89" s="5" t="n"/>
      <c r="N89" s="5" t="n"/>
    </row>
    <row r="90">
      <c r="A90" s="5" t="n"/>
      <c r="B90" s="49" t="inlineStr">
        <is>
          <t>6281 · Cotisations et concours divers</t>
        </is>
      </c>
      <c r="C90" s="52" t="n"/>
      <c r="D90" s="51" t="n">
        <v>180749</v>
      </c>
      <c r="E90" s="81">
        <f>IFERROR(D90/$D$94,0)</f>
        <v/>
      </c>
      <c r="F90" s="52" t="inlineStr">
        <is>
          <t>COST_HOLDING</t>
        </is>
      </c>
      <c r="G90" s="52" t="inlineStr">
        <is>
          <t>K1</t>
        </is>
      </c>
      <c r="H90" s="84" t="inlineStr">
        <is>
          <t>Siège</t>
        </is>
      </c>
      <c r="I90" s="85" t="inlineStr">
        <is>
          <t>NON</t>
        </is>
      </c>
      <c r="J90" s="5" t="n"/>
      <c r="K90" s="5" t="n"/>
      <c r="L90" s="5" t="n"/>
      <c r="M90" s="5" t="n"/>
      <c r="N90" s="5" t="n"/>
    </row>
    <row r="91">
      <c r="A91" s="5" t="n"/>
      <c r="B91" s="49" t="inlineStr">
        <is>
          <t>6331 · Versement mobilité</t>
        </is>
      </c>
      <c r="C91" s="52" t="n"/>
      <c r="D91" s="51" t="n">
        <v>338904</v>
      </c>
      <c r="E91" s="81">
        <f>IFERROR(D91/$D$94,0)</f>
        <v/>
      </c>
      <c r="F91" s="52" t="inlineStr">
        <is>
          <t>COST_HOLDING</t>
        </is>
      </c>
      <c r="G91" s="52" t="inlineStr">
        <is>
          <t>K1</t>
        </is>
      </c>
      <c r="H91" s="84" t="inlineStr">
        <is>
          <t>Siège</t>
        </is>
      </c>
      <c r="I91" s="85" t="inlineStr">
        <is>
          <t>NON</t>
        </is>
      </c>
      <c r="J91" s="5" t="n"/>
      <c r="K91" s="5" t="n"/>
      <c r="L91" s="5" t="n"/>
      <c r="M91" s="5" t="n"/>
      <c r="N91" s="5" t="n"/>
    </row>
    <row r="92">
      <c r="A92" s="5" t="n"/>
      <c r="B92" s="49" t="inlineStr">
        <is>
          <t>6333 · Participation à la formation professionnelle</t>
        </is>
      </c>
      <c r="C92" s="52" t="n"/>
      <c r="D92" s="51" t="n">
        <v>112968</v>
      </c>
      <c r="E92" s="81">
        <f>IFERROR(D92/$D$94,0)</f>
        <v/>
      </c>
      <c r="F92" s="52" t="inlineStr">
        <is>
          <t>COST_HOLDING</t>
        </is>
      </c>
      <c r="G92" s="52" t="inlineStr">
        <is>
          <t>K1</t>
        </is>
      </c>
      <c r="H92" s="84" t="inlineStr">
        <is>
          <t>Siège</t>
        </is>
      </c>
      <c r="I92" s="85" t="inlineStr">
        <is>
          <t>NON</t>
        </is>
      </c>
      <c r="J92" s="5" t="n"/>
      <c r="K92" s="5" t="n"/>
      <c r="L92" s="5" t="n"/>
      <c r="M92" s="5" t="n"/>
      <c r="N92" s="5" t="n"/>
    </row>
    <row r="93">
      <c r="A93" s="5" t="n"/>
      <c r="B93" s="49" t="inlineStr">
        <is>
          <t>6811 · Dotations aux amortissements</t>
        </is>
      </c>
      <c r="C93" s="52" t="n"/>
      <c r="D93" s="51" t="n">
        <v>1352683</v>
      </c>
      <c r="E93" s="81">
        <f>IFERROR(D93/$D$94,0)</f>
        <v/>
      </c>
      <c r="F93" s="52" t="inlineStr">
        <is>
          <t>hors modèle</t>
        </is>
      </c>
      <c r="G93" s="52" t="inlineStr">
        <is>
          <t>—</t>
        </is>
      </c>
      <c r="H93" s="84" t="inlineStr">
        <is>
          <t>Hors EBITDA</t>
        </is>
      </c>
      <c r="I93" s="85" t="inlineStr">
        <is>
          <t>NON — sous la ligne d'EBITDA</t>
        </is>
      </c>
      <c r="J93" s="5" t="n"/>
      <c r="K93" s="5" t="n"/>
      <c r="L93" s="5" t="n"/>
      <c r="M93" s="5" t="n"/>
      <c r="N93" s="5" t="n"/>
    </row>
    <row r="94">
      <c r="A94" s="5" t="n"/>
      <c r="B94" s="64" t="inlineStr">
        <is>
          <t>TOTAL DES CHARGES 2026  ·  dotations incluses</t>
        </is>
      </c>
      <c r="C94" s="64" t="n"/>
      <c r="D94" s="68">
        <f>SUM(D74:D93)</f>
        <v/>
      </c>
      <c r="E94" s="86" t="n">
        <v>1</v>
      </c>
      <c r="F94" s="64" t="inlineStr"/>
      <c r="G94" s="64" t="inlineStr"/>
      <c r="H94" s="64" t="inlineStr"/>
      <c r="I94" s="64" t="inlineStr"/>
      <c r="J94" s="5" t="n"/>
      <c r="K94" s="5" t="n"/>
      <c r="L94" s="5" t="n"/>
      <c r="M94" s="5" t="n"/>
      <c r="N94" s="5" t="n"/>
    </row>
    <row r="95">
      <c r="A95" s="5" t="n"/>
      <c r="B95" s="87" t="inlineStr">
        <is>
          <t>Chiffre d'affaires 2026  ·  706 + 7062 + 708</t>
        </is>
      </c>
      <c r="C95" s="87" t="n"/>
      <c r="D95" s="88" t="n">
        <v>23098985</v>
      </c>
      <c r="E95" s="89" t="inlineStr"/>
      <c r="F95" s="87" t="inlineStr"/>
      <c r="G95" s="87" t="inlineStr"/>
      <c r="H95" s="87" t="inlineStr"/>
      <c r="I95" s="87" t="inlineStr"/>
      <c r="J95" s="5" t="n"/>
      <c r="K95" s="5" t="n"/>
      <c r="L95" s="5" t="n"/>
      <c r="M95" s="5" t="n"/>
      <c r="N95" s="5" t="n"/>
    </row>
    <row r="96">
      <c r="A96" s="5" t="n"/>
      <c r="B96" s="64" t="inlineStr">
        <is>
          <t>EBITDA 2026  =  CA − charges hors dotations</t>
        </is>
      </c>
      <c r="C96" s="64" t="n"/>
      <c r="D96" s="90">
        <f>D95-D94+D93</f>
        <v/>
      </c>
      <c r="E96" s="86" t="inlineStr"/>
      <c r="F96" s="64" t="inlineStr"/>
      <c r="G96" s="64" t="inlineStr"/>
      <c r="H96" s="64" t="inlineStr"/>
      <c r="I96" s="64" t="inlineStr"/>
      <c r="J96" s="5" t="n"/>
      <c r="K96" s="5" t="n"/>
      <c r="L96" s="5" t="n"/>
      <c r="M96" s="5" t="n"/>
      <c r="N96" s="5" t="n"/>
    </row>
    <row r="97">
      <c r="A97" s="5" t="n"/>
      <c r="B97" s="5" t="n"/>
      <c r="C97" s="5" t="n"/>
      <c r="D97" s="5" t="n"/>
      <c r="E97" s="5" t="n"/>
      <c r="F97" s="5" t="n"/>
      <c r="G97" s="5" t="n"/>
      <c r="H97" s="5" t="n"/>
      <c r="I97" s="5" t="n"/>
      <c r="J97" s="5" t="n"/>
      <c r="K97" s="5" t="n"/>
      <c r="L97" s="5" t="n"/>
      <c r="M97" s="5" t="n"/>
      <c r="N97" s="5" t="n"/>
    </row>
    <row r="98" ht="18" customHeight="1">
      <c r="A98" s="5" t="n"/>
      <c r="B98" s="91">
        <f>"Sur "&amp;TEXT(D94,"#,##0 €")&amp;" de charges, "&amp;TEXT(D74+D75,"#,##0 €")&amp;" seulement bougent quand un élève de plus s'assoit — soit "&amp;TEXT((D74+D75)/D94,"0.0 %")&amp;". Tout le reste est de la capacité déjà engagée : c'est précisément ce qui rend le geste d'acquisition aussi rentable tant qu'il reste des places."</f>
        <v/>
      </c>
      <c r="C98" s="92" t="n"/>
      <c r="D98" s="92" t="n"/>
      <c r="E98" s="92" t="n"/>
      <c r="F98" s="92" t="n"/>
      <c r="G98" s="92" t="n"/>
      <c r="H98" s="92" t="n"/>
      <c r="I98" s="92" t="n"/>
      <c r="J98" s="92" t="n"/>
      <c r="K98" s="92" t="n"/>
      <c r="L98" s="92" t="n"/>
      <c r="M98" s="92" t="n"/>
      <c r="N98" s="92" t="n"/>
    </row>
    <row r="99">
      <c r="A99" s="5" t="n"/>
      <c r="B99" s="5" t="n"/>
      <c r="C99" s="5" t="n"/>
      <c r="D99" s="5" t="n"/>
      <c r="E99" s="5" t="n"/>
      <c r="F99" s="5" t="n"/>
      <c r="G99" s="5" t="n"/>
      <c r="H99" s="5" t="n"/>
      <c r="I99" s="5" t="n"/>
      <c r="J99" s="5" t="n"/>
      <c r="K99" s="5" t="n"/>
      <c r="L99" s="5" t="n"/>
      <c r="M99" s="5" t="n"/>
      <c r="N99" s="5" t="n"/>
    </row>
    <row r="100">
      <c r="A100" s="5" t="n"/>
      <c r="B100" s="5" t="n"/>
      <c r="C100" s="5" t="n"/>
      <c r="D100" s="5" t="n"/>
      <c r="E100" s="5" t="n"/>
      <c r="F100" s="5" t="n"/>
      <c r="G100" s="5" t="n"/>
      <c r="H100" s="5" t="n"/>
      <c r="I100" s="5" t="n"/>
      <c r="J100" s="5" t="n"/>
      <c r="K100" s="5" t="n"/>
      <c r="L100" s="5" t="n"/>
      <c r="M100" s="5" t="n"/>
      <c r="N100" s="5" t="n"/>
    </row>
    <row r="101">
      <c r="A101" s="5" t="n"/>
      <c r="B101" s="5" t="n"/>
      <c r="C101" s="5" t="n"/>
      <c r="D101" s="5" t="n"/>
      <c r="E101" s="5" t="n"/>
      <c r="F101" s="5" t="n"/>
      <c r="G101" s="5" t="n"/>
      <c r="H101" s="5" t="n"/>
      <c r="I101" s="5" t="n"/>
      <c r="J101" s="5" t="n"/>
      <c r="K101" s="5" t="n"/>
      <c r="L101" s="5" t="n"/>
      <c r="M101" s="5" t="n"/>
      <c r="N101" s="5" t="n"/>
    </row>
  </sheetData>
  <conditionalFormatting sqref="H22:H25">
    <cfRule type="colorScale" priority="1">
      <colorScale>
        <cfvo type="min"/>
        <cfvo type="percentile" val="50"/>
        <cfvo type="max"/>
        <color rgb="00DCEBC0"/>
        <color rgb="00F7F7F5"/>
        <color rgb="00F6C9CC"/>
      </colorScale>
    </cfRule>
  </conditionalFormatting>
  <conditionalFormatting sqref="F34:F47">
    <cfRule type="colorScale" priority="2">
      <colorScale>
        <cfvo type="min"/>
        <cfvo type="percentile" val="50"/>
        <cfvo type="max"/>
        <color rgb="00DCEBC0"/>
        <color rgb="00F7F7F5"/>
        <color rgb="00F6C9CC"/>
      </colorScale>
    </cfRule>
  </conditionalFormatting>
  <conditionalFormatting sqref="I34:I47">
    <cfRule type="colorScale" priority="3">
      <colorScale>
        <cfvo type="min"/>
        <cfvo type="percentile" val="50"/>
        <cfvo type="max"/>
        <color rgb="00DCEBC0"/>
        <color rgb="00F7F7F5"/>
        <color rgb="00F6C9CC"/>
      </colorScale>
    </cfRule>
  </conditionalFormatting>
  <conditionalFormatting sqref="K34:K47">
    <cfRule type="colorScale" priority="4">
      <colorScale>
        <cfvo type="min"/>
        <cfvo type="percentile" val="50"/>
        <cfvo type="max"/>
        <color rgb="00DCEBC0"/>
        <color rgb="00F7F7F5"/>
        <color rgb="00F6C9CC"/>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9"/>
  <sheetViews>
    <sheetView showGridLines="0" workbookViewId="0">
      <selection activeCell="A1" sqref="A1"/>
    </sheetView>
  </sheetViews>
  <sheetFormatPr baseColWidth="8" defaultRowHeight="15"/>
  <cols>
    <col width="2.4" customWidth="1" min="1" max="1"/>
    <col width="34" customWidth="1" min="2" max="2"/>
    <col width="14" customWidth="1" min="3" max="3"/>
    <col width="14"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14" customHeight="1">
      <c r="A1" s="1" t="n"/>
      <c r="B1" s="2" t="inlineStr">
        <is>
          <t>EDUSERVICES · le moteur d'acquisition</t>
        </is>
      </c>
      <c r="C1" s="1" t="n"/>
      <c r="D1" s="1" t="n"/>
      <c r="E1" s="1" t="n"/>
      <c r="F1" s="1" t="n"/>
      <c r="G1" s="1" t="n"/>
      <c r="H1" s="1" t="n"/>
      <c r="I1" s="1" t="n"/>
      <c r="J1" s="1" t="n"/>
      <c r="K1" s="1" t="n"/>
      <c r="L1" s="1" t="n"/>
    </row>
    <row r="2" ht="24" customHeight="1">
      <c r="A2" s="1" t="n"/>
      <c r="B2" s="3" t="inlineStr">
        <is>
          <t>INTÉGRATION TAGETIK  &amp;  CONTRÔLES</t>
        </is>
      </c>
      <c r="C2" s="1" t="n"/>
      <c r="D2" s="1" t="n"/>
      <c r="E2" s="1" t="n"/>
      <c r="F2" s="1" t="n"/>
      <c r="G2" s="1" t="n"/>
      <c r="H2" s="1" t="n"/>
      <c r="I2" s="1" t="n"/>
      <c r="J2" s="1" t="n"/>
      <c r="K2" s="1" t="n"/>
      <c r="L2" s="1" t="n"/>
    </row>
    <row r="3" ht="3" customHeight="1">
      <c r="A3" s="4" t="n"/>
      <c r="B3" s="4" t="n"/>
      <c r="C3" s="4" t="n"/>
      <c r="D3" s="4" t="n"/>
      <c r="E3" s="4" t="n"/>
      <c r="F3" s="4" t="n"/>
      <c r="G3" s="4" t="n"/>
      <c r="H3" s="4" t="n"/>
      <c r="I3" s="4" t="n"/>
      <c r="J3" s="4" t="n"/>
      <c r="K3" s="4" t="n"/>
      <c r="L3" s="4" t="n"/>
    </row>
    <row r="4">
      <c r="A4" s="5" t="n"/>
      <c r="B4" s="5" t="n"/>
      <c r="C4" s="5" t="n"/>
      <c r="D4" s="5" t="n"/>
      <c r="E4" s="5" t="n"/>
      <c r="F4" s="5" t="n"/>
      <c r="G4" s="5" t="n"/>
      <c r="H4" s="5" t="n"/>
      <c r="I4" s="5" t="n"/>
      <c r="J4" s="5" t="n"/>
      <c r="K4" s="5" t="n"/>
      <c r="L4" s="5" t="n"/>
    </row>
    <row r="5" ht="20" customHeight="1">
      <c r="A5" s="5" t="n"/>
      <c r="B5" s="23" t="inlineStr">
        <is>
          <t>ⓐ  Les paramètres du modèle  ·  les seules hypothèses du classeur</t>
        </is>
      </c>
      <c r="C5" s="5" t="n"/>
      <c r="D5" s="5" t="n"/>
      <c r="E5" s="5" t="n"/>
      <c r="F5" s="5" t="n"/>
      <c r="G5" s="5" t="n"/>
      <c r="H5" s="5" t="n"/>
      <c r="I5" s="5" t="n"/>
      <c r="J5" s="5" t="n"/>
      <c r="K5" s="5" t="n"/>
      <c r="L5" s="5" t="n"/>
    </row>
    <row r="6" ht="14" customHeight="1">
      <c r="A6" s="5" t="n"/>
      <c r="B6" s="24" t="inlineStr">
        <is>
          <t>Elles ne sortent d'aucune vue : elles décrivent la maquette pédagogique. Fond sable = hypothèse. Changer une cellule ici change tout l'onglet « Le coût variable ».</t>
        </is>
      </c>
      <c r="C6" s="5" t="n"/>
      <c r="D6" s="5" t="n"/>
      <c r="E6" s="5" t="n"/>
      <c r="F6" s="5" t="n"/>
      <c r="G6" s="5" t="n"/>
      <c r="H6" s="5" t="n"/>
      <c r="I6" s="5" t="n"/>
      <c r="J6" s="5" t="n"/>
      <c r="K6" s="5" t="n"/>
      <c r="L6" s="5" t="n"/>
    </row>
    <row r="7">
      <c r="A7" s="5" t="n"/>
      <c r="B7" s="5" t="n"/>
      <c r="C7" s="5" t="n"/>
      <c r="D7" s="5" t="n"/>
      <c r="E7" s="5" t="n"/>
      <c r="F7" s="5" t="n"/>
      <c r="G7" s="5" t="n"/>
      <c r="H7" s="5" t="n"/>
      <c r="I7" s="5" t="n"/>
      <c r="J7" s="5" t="n"/>
      <c r="K7" s="5" t="n"/>
      <c r="L7" s="5" t="n"/>
    </row>
    <row r="8" ht="28" customHeight="1">
      <c r="A8" s="5" t="n"/>
      <c r="B8" s="25" t="inlineStr">
        <is>
          <t>Programme</t>
        </is>
      </c>
      <c r="C8" s="26" t="inlineStr">
        <is>
          <t>Heures / classe</t>
        </is>
      </c>
      <c r="D8" s="26" t="inlineStr">
        <is>
          <t>Capacité de la classe</t>
        </is>
      </c>
      <c r="E8" s="26" t="inlineStr">
        <is>
          <t>Origine</t>
        </is>
      </c>
      <c r="F8" s="5" t="n"/>
      <c r="G8" s="5" t="n"/>
      <c r="H8" s="5" t="n"/>
      <c r="I8" s="5" t="n"/>
      <c r="J8" s="5" t="n"/>
      <c r="K8" s="5" t="n"/>
      <c r="L8" s="5" t="n"/>
    </row>
    <row r="9">
      <c r="A9" s="5" t="n"/>
      <c r="B9" s="93" t="inlineStr">
        <is>
          <t>Bachelor · alternance</t>
        </is>
      </c>
      <c r="C9" s="94" t="n">
        <v>480</v>
      </c>
      <c r="D9" s="95" t="n">
        <v>32</v>
      </c>
      <c r="E9" s="96" t="inlineStr">
        <is>
          <t>maquette pédagogique</t>
        </is>
      </c>
      <c r="F9" s="5" t="n"/>
      <c r="G9" s="5" t="n"/>
      <c r="H9" s="5" t="n"/>
      <c r="I9" s="5" t="n"/>
      <c r="J9" s="5" t="n"/>
      <c r="K9" s="5" t="n"/>
      <c r="L9" s="5" t="n"/>
    </row>
    <row r="10">
      <c r="A10" s="5" t="n"/>
      <c r="B10" s="93" t="inlineStr">
        <is>
          <t>Bachelor · initial</t>
        </is>
      </c>
      <c r="C10" s="94" t="n">
        <v>600</v>
      </c>
      <c r="D10" s="95" t="n">
        <v>32</v>
      </c>
      <c r="E10" s="96" t="inlineStr">
        <is>
          <t>maquette pédagogique</t>
        </is>
      </c>
      <c r="F10" s="5" t="n"/>
      <c r="G10" s="5" t="n"/>
      <c r="H10" s="5" t="n"/>
      <c r="I10" s="5" t="n"/>
      <c r="J10" s="5" t="n"/>
      <c r="K10" s="5" t="n"/>
      <c r="L10" s="5" t="n"/>
    </row>
    <row r="11">
      <c r="A11" s="5" t="n"/>
      <c r="B11" s="93" t="inlineStr">
        <is>
          <t>BTS · alternance</t>
        </is>
      </c>
      <c r="C11" s="94" t="n">
        <v>700</v>
      </c>
      <c r="D11" s="95" t="n">
        <v>30</v>
      </c>
      <c r="E11" s="96" t="inlineStr">
        <is>
          <t>maquette pédagogique</t>
        </is>
      </c>
      <c r="F11" s="5" t="n"/>
      <c r="G11" s="5" t="n"/>
      <c r="H11" s="5" t="n"/>
      <c r="I11" s="5" t="n"/>
      <c r="J11" s="5" t="n"/>
      <c r="K11" s="5" t="n"/>
      <c r="L11" s="5" t="n"/>
    </row>
    <row r="12">
      <c r="A12" s="5" t="n"/>
      <c r="B12" s="97" t="inlineStr">
        <is>
          <t>BTS · initial</t>
        </is>
      </c>
      <c r="C12" s="98" t="n">
        <v>1000</v>
      </c>
      <c r="D12" s="99" t="n">
        <v>30</v>
      </c>
      <c r="E12" s="100" t="inlineStr">
        <is>
          <t>maquette pédagogique  (programme absent du réseau en 2026)</t>
        </is>
      </c>
      <c r="F12" s="5" t="n"/>
      <c r="G12" s="5" t="n"/>
      <c r="H12" s="5" t="n"/>
      <c r="I12" s="5" t="n"/>
      <c r="J12" s="5" t="n"/>
      <c r="K12" s="5" t="n"/>
      <c r="L12" s="5" t="n"/>
    </row>
    <row r="13">
      <c r="A13" s="5" t="n"/>
      <c r="B13" s="93" t="inlineStr">
        <is>
          <t>Mastère · alternance</t>
        </is>
      </c>
      <c r="C13" s="94" t="n">
        <v>420</v>
      </c>
      <c r="D13" s="95" t="n">
        <v>26</v>
      </c>
      <c r="E13" s="96" t="inlineStr">
        <is>
          <t>maquette pédagogique</t>
        </is>
      </c>
      <c r="F13" s="5" t="n"/>
      <c r="G13" s="5" t="n"/>
      <c r="H13" s="5" t="n"/>
      <c r="I13" s="5" t="n"/>
      <c r="J13" s="5" t="n"/>
      <c r="K13" s="5" t="n"/>
      <c r="L13" s="5" t="n"/>
    </row>
    <row r="14">
      <c r="A14" s="5" t="n"/>
      <c r="B14" s="97" t="inlineStr">
        <is>
          <t>Mastère · initial</t>
        </is>
      </c>
      <c r="C14" s="98" t="n">
        <v>520</v>
      </c>
      <c r="D14" s="99" t="n">
        <v>26</v>
      </c>
      <c r="E14" s="100" t="inlineStr">
        <is>
          <t>maquette pédagogique  (programme absent du réseau en 2026)</t>
        </is>
      </c>
      <c r="F14" s="5" t="n"/>
      <c r="G14" s="5" t="n"/>
      <c r="H14" s="5" t="n"/>
      <c r="I14" s="5" t="n"/>
      <c r="J14" s="5" t="n"/>
      <c r="K14" s="5" t="n"/>
      <c r="L14" s="5" t="n"/>
    </row>
    <row r="15">
      <c r="A15" s="5" t="n"/>
      <c r="B15" s="5" t="n"/>
      <c r="C15" s="5" t="n"/>
      <c r="D15" s="5" t="n"/>
      <c r="E15" s="5" t="n"/>
      <c r="F15" s="5" t="n"/>
      <c r="G15" s="5" t="n"/>
      <c r="H15" s="5" t="n"/>
      <c r="I15" s="5" t="n"/>
      <c r="J15" s="5" t="n"/>
      <c r="K15" s="5" t="n"/>
      <c r="L15" s="5" t="n"/>
    </row>
    <row r="16">
      <c r="A16" s="5" t="n"/>
      <c r="B16" s="24" t="inlineStr">
        <is>
          <t>Le tarif horaire, lui, n'est PAS un paramètre : il se déduit du réel, compte 621 ÷ heures d'enseignement. Il vit dans l'onglet « Le coût variable ».</t>
        </is>
      </c>
      <c r="C16" s="5" t="n"/>
      <c r="D16" s="5" t="n"/>
      <c r="E16" s="5" t="n"/>
      <c r="F16" s="5" t="n"/>
      <c r="G16" s="5" t="n"/>
      <c r="H16" s="5" t="n"/>
      <c r="I16" s="5" t="n"/>
      <c r="J16" s="5" t="n"/>
      <c r="K16" s="5" t="n"/>
      <c r="L16" s="5" t="n"/>
    </row>
    <row r="17">
      <c r="A17" s="5" t="n"/>
      <c r="B17" s="5" t="n"/>
      <c r="C17" s="5" t="n"/>
      <c r="D17" s="5" t="n"/>
      <c r="E17" s="5" t="n"/>
      <c r="F17" s="5" t="n"/>
      <c r="G17" s="5" t="n"/>
      <c r="H17" s="5" t="n"/>
      <c r="I17" s="5" t="n"/>
      <c r="J17" s="5" t="n"/>
      <c r="K17" s="5" t="n"/>
      <c r="L17" s="5" t="n"/>
    </row>
    <row r="18" ht="20" customHeight="1">
      <c r="A18" s="5" t="n"/>
      <c r="B18" s="23" t="inlineStr">
        <is>
          <t>ⓑ  Le mapping  ·  colonne du classeur ↔ colonne de V_MOTEUR_CAL</t>
        </is>
      </c>
      <c r="C18" s="5" t="n"/>
      <c r="D18" s="5" t="n"/>
      <c r="E18" s="5" t="n"/>
      <c r="F18" s="5" t="n"/>
      <c r="G18" s="5" t="n"/>
      <c r="H18" s="5" t="n"/>
      <c r="I18" s="5" t="n"/>
      <c r="J18" s="5" t="n"/>
      <c r="K18" s="5" t="n"/>
      <c r="L18" s="5" t="n"/>
    </row>
    <row r="19" ht="14" customHeight="1">
      <c r="A19" s="5" t="n"/>
      <c r="B19" s="24" t="inlineStr">
        <is>
          <t>Le tableau ① de l'onglet « Le moteur » est la vue, colonne pour colonne. Deux colonnes sont à ajouter à la vue — elles sont signalées en rouge, et tagetik/V_MOTEUR_CAL.sql les porte déjà.</t>
        </is>
      </c>
      <c r="C19" s="5" t="n"/>
      <c r="D19" s="5" t="n"/>
      <c r="E19" s="5" t="n"/>
      <c r="F19" s="5" t="n"/>
      <c r="G19" s="5" t="n"/>
      <c r="H19" s="5" t="n"/>
      <c r="I19" s="5" t="n"/>
      <c r="J19" s="5" t="n"/>
      <c r="K19" s="5" t="n"/>
      <c r="L19" s="5" t="n"/>
    </row>
    <row r="20">
      <c r="A20" s="5" t="n"/>
      <c r="B20" s="5" t="n"/>
      <c r="C20" s="5" t="n"/>
      <c r="D20" s="5" t="n"/>
      <c r="E20" s="5" t="n"/>
      <c r="F20" s="5" t="n"/>
      <c r="G20" s="5" t="n"/>
      <c r="H20" s="5" t="n"/>
      <c r="I20" s="5" t="n"/>
      <c r="J20" s="5" t="n"/>
      <c r="K20" s="5" t="n"/>
      <c r="L20" s="5" t="n"/>
    </row>
    <row r="21" ht="26" customHeight="1">
      <c r="A21" s="5" t="n"/>
      <c r="B21" s="25" t="inlineStr">
        <is>
          <t>Colonne du classeur</t>
        </is>
      </c>
      <c r="C21" s="26" t="inlineStr">
        <is>
          <t>Colonne de la vue</t>
        </is>
      </c>
      <c r="D21" s="26" t="inlineStr">
        <is>
          <t>Nature</t>
        </is>
      </c>
      <c r="E21" s="26" t="inlineStr">
        <is>
          <t>Commentaire</t>
        </is>
      </c>
      <c r="F21" s="5" t="n"/>
      <c r="G21" s="5" t="n"/>
      <c r="H21" s="5" t="n"/>
      <c r="I21" s="5" t="n"/>
      <c r="J21" s="5" t="n"/>
      <c r="K21" s="5" t="n"/>
      <c r="L21" s="5" t="n"/>
    </row>
    <row r="22">
      <c r="A22" s="5" t="n"/>
      <c r="B22" s="87" t="inlineStr">
        <is>
          <t>B  ·  Marque</t>
        </is>
      </c>
      <c r="C22" s="101" t="inlineStr">
        <is>
          <t>MARQUE</t>
        </is>
      </c>
      <c r="D22" s="101" t="inlineStr">
        <is>
          <t>dimension</t>
        </is>
      </c>
      <c r="E22" s="101" t="inlineStr">
        <is>
          <t>regroupement d'affichage</t>
        </is>
      </c>
      <c r="F22" s="5" t="n"/>
      <c r="G22" s="5" t="n"/>
      <c r="H22" s="5" t="n"/>
      <c r="I22" s="5" t="n"/>
      <c r="J22" s="5" t="n"/>
      <c r="K22" s="5" t="n"/>
      <c r="L22" s="5" t="n"/>
    </row>
    <row r="23">
      <c r="A23" s="5" t="n"/>
      <c r="B23" s="87" t="inlineStr">
        <is>
          <t>C  ·  Campus</t>
        </is>
      </c>
      <c r="C23" s="101" t="inlineStr">
        <is>
          <t>CAMPUS</t>
        </is>
      </c>
      <c r="D23" s="101" t="inlineStr">
        <is>
          <t>dimension</t>
        </is>
      </c>
      <c r="E23" s="101" t="inlineStr">
        <is>
          <t>libellé azienda</t>
        </is>
      </c>
      <c r="F23" s="5" t="n"/>
      <c r="G23" s="5" t="n"/>
      <c r="H23" s="5" t="n"/>
      <c r="I23" s="5" t="n"/>
      <c r="J23" s="5" t="n"/>
      <c r="K23" s="5" t="n"/>
      <c r="L23" s="5" t="n"/>
    </row>
    <row r="24">
      <c r="A24" s="5" t="n"/>
      <c r="B24" s="87" t="inlineStr">
        <is>
          <t>D  ·  Leads payants 2024</t>
        </is>
      </c>
      <c r="C24" s="101" t="inlineStr">
        <is>
          <t>LEAD_PAY_2024</t>
        </is>
      </c>
      <c r="D24" s="101" t="inlineStr">
        <is>
          <t>mesure</t>
        </is>
      </c>
      <c r="E24" s="101" t="inlineStr"/>
      <c r="F24" s="5" t="n"/>
      <c r="G24" s="5" t="n"/>
      <c r="H24" s="5" t="n"/>
      <c r="I24" s="5" t="n"/>
      <c r="J24" s="5" t="n"/>
      <c r="K24" s="5" t="n"/>
      <c r="L24" s="5" t="n"/>
    </row>
    <row r="25">
      <c r="A25" s="5" t="n"/>
      <c r="B25" s="87" t="inlineStr">
        <is>
          <t>E  ·  Leads payants 2025</t>
        </is>
      </c>
      <c r="C25" s="101" t="inlineStr">
        <is>
          <t>LEAD_PAY_2025</t>
        </is>
      </c>
      <c r="D25" s="101" t="inlineStr">
        <is>
          <t>mesure</t>
        </is>
      </c>
      <c r="E25" s="101" t="inlineStr"/>
      <c r="F25" s="5" t="n"/>
      <c r="G25" s="5" t="n"/>
      <c r="H25" s="5" t="n"/>
      <c r="I25" s="5" t="n"/>
      <c r="J25" s="5" t="n"/>
      <c r="K25" s="5" t="n"/>
      <c r="L25" s="5" t="n"/>
    </row>
    <row r="26">
      <c r="A26" s="5" t="n"/>
      <c r="B26" s="87" t="inlineStr">
        <is>
          <t>F  ·  Leads payants 2026</t>
        </is>
      </c>
      <c r="C26" s="101" t="inlineStr">
        <is>
          <t>LEAD_PAY_2026</t>
        </is>
      </c>
      <c r="D26" s="101" t="inlineStr">
        <is>
          <t>mesure</t>
        </is>
      </c>
      <c r="E26" s="101" t="inlineStr">
        <is>
          <t>base du geste</t>
        </is>
      </c>
      <c r="F26" s="5" t="n"/>
      <c r="G26" s="5" t="n"/>
      <c r="H26" s="5" t="n"/>
      <c r="I26" s="5" t="n"/>
      <c r="J26" s="5" t="n"/>
      <c r="K26" s="5" t="n"/>
      <c r="L26" s="5" t="n"/>
    </row>
    <row r="27">
      <c r="A27" s="5" t="n"/>
      <c r="B27" s="87" t="inlineStr">
        <is>
          <t>G  ·  Budget acq. 2024</t>
        </is>
      </c>
      <c r="C27" s="101" t="inlineStr">
        <is>
          <t>SPEND_ACQ_2024</t>
        </is>
      </c>
      <c r="D27" s="101" t="inlineStr">
        <is>
          <t>mesure</t>
        </is>
      </c>
      <c r="E27" s="101" t="inlineStr"/>
      <c r="F27" s="5" t="n"/>
      <c r="G27" s="5" t="n"/>
      <c r="H27" s="5" t="n"/>
      <c r="I27" s="5" t="n"/>
      <c r="J27" s="5" t="n"/>
      <c r="K27" s="5" t="n"/>
      <c r="L27" s="5" t="n"/>
    </row>
    <row r="28">
      <c r="A28" s="5" t="n"/>
      <c r="B28" s="87" t="inlineStr">
        <is>
          <t>H  ·  Budget acq. 2025</t>
        </is>
      </c>
      <c r="C28" s="101" t="inlineStr">
        <is>
          <t>SPEND_ACQ_2025</t>
        </is>
      </c>
      <c r="D28" s="101" t="inlineStr">
        <is>
          <t>mesure</t>
        </is>
      </c>
      <c r="E28" s="101" t="inlineStr"/>
      <c r="F28" s="5" t="n"/>
      <c r="G28" s="5" t="n"/>
      <c r="H28" s="5" t="n"/>
      <c r="I28" s="5" t="n"/>
      <c r="J28" s="5" t="n"/>
      <c r="K28" s="5" t="n"/>
      <c r="L28" s="5" t="n"/>
    </row>
    <row r="29">
      <c r="A29" s="5" t="n"/>
      <c r="B29" s="87" t="inlineStr">
        <is>
          <t>I  ·  Budget acq. 2026</t>
        </is>
      </c>
      <c r="C29" s="101" t="inlineStr">
        <is>
          <t>SPEND_ACQ_2026</t>
        </is>
      </c>
      <c r="D29" s="101" t="inlineStr">
        <is>
          <t>mesure</t>
        </is>
      </c>
      <c r="E29" s="101">
        <f> compte 6231</f>
        <v/>
      </c>
      <c r="F29" s="5" t="n"/>
      <c r="G29" s="5" t="n"/>
      <c r="H29" s="5" t="n"/>
      <c r="I29" s="5" t="n"/>
      <c r="J29" s="5" t="n"/>
      <c r="K29" s="5" t="n"/>
      <c r="L29" s="5" t="n"/>
    </row>
    <row r="30">
      <c r="A30" s="5" t="n"/>
      <c r="B30" s="87" t="inlineStr">
        <is>
          <t>J  ·  Élasticité</t>
        </is>
      </c>
      <c r="C30" s="101" t="inlineStr">
        <is>
          <t>ELASTICITE</t>
        </is>
      </c>
      <c r="D30" s="102" t="inlineStr">
        <is>
          <t>NON additive</t>
        </is>
      </c>
      <c r="E30" s="101" t="inlineStr">
        <is>
          <t>régression log-log, reste au campus</t>
        </is>
      </c>
      <c r="F30" s="5" t="n"/>
      <c r="G30" s="5" t="n"/>
      <c r="H30" s="5" t="n"/>
      <c r="I30" s="5" t="n"/>
      <c r="J30" s="5" t="n"/>
      <c r="K30" s="5" t="n"/>
      <c r="L30" s="5" t="n"/>
    </row>
    <row r="31">
      <c r="A31" s="5" t="n"/>
      <c r="B31" s="87" t="inlineStr">
        <is>
          <t>K  ·  Leads totaux 2026</t>
        </is>
      </c>
      <c r="C31" s="101" t="inlineStr">
        <is>
          <t>LEAD_TOT_N</t>
        </is>
      </c>
      <c r="D31" s="101" t="inlineStr">
        <is>
          <t>mesure</t>
        </is>
      </c>
      <c r="E31" s="101" t="inlineStr">
        <is>
          <t>dénominateur de la conversion</t>
        </is>
      </c>
      <c r="F31" s="5" t="n"/>
      <c r="G31" s="5" t="n"/>
      <c r="H31" s="5" t="n"/>
      <c r="I31" s="5" t="n"/>
      <c r="J31" s="5" t="n"/>
      <c r="K31" s="5" t="n"/>
      <c r="L31" s="5" t="n"/>
    </row>
    <row r="32">
      <c r="A32" s="5" t="n"/>
      <c r="B32" s="87" t="inlineStr">
        <is>
          <t>L  ·  Inscrits 2026</t>
        </is>
      </c>
      <c r="C32" s="101" t="inlineStr">
        <is>
          <t>INSCRITS_N</t>
        </is>
      </c>
      <c r="D32" s="101" t="inlineStr">
        <is>
          <t>mesure</t>
        </is>
      </c>
      <c r="E32" s="101" t="inlineStr">
        <is>
          <t>numérateur de la conversion</t>
        </is>
      </c>
      <c r="F32" s="5" t="n"/>
      <c r="G32" s="5" t="n"/>
      <c r="H32" s="5" t="n"/>
      <c r="I32" s="5" t="n"/>
      <c r="J32" s="5" t="n"/>
      <c r="K32" s="5" t="n"/>
      <c r="L32" s="5" t="n"/>
    </row>
    <row r="33">
      <c r="A33" s="5" t="n"/>
      <c r="B33" s="87" t="inlineStr">
        <is>
          <t>M  ·  CA nouveaux 2026</t>
        </is>
      </c>
      <c r="C33" s="101" t="inlineStr">
        <is>
          <t>CA_NEW_N</t>
        </is>
      </c>
      <c r="D33" s="101" t="inlineStr">
        <is>
          <t>mesure</t>
        </is>
      </c>
      <c r="E33" s="101" t="inlineStr"/>
      <c r="F33" s="5" t="n"/>
      <c r="G33" s="5" t="n"/>
      <c r="H33" s="5" t="n"/>
      <c r="I33" s="5" t="n"/>
      <c r="J33" s="5" t="n"/>
      <c r="K33" s="5" t="n"/>
      <c r="L33" s="5" t="n"/>
    </row>
    <row r="34">
      <c r="A34" s="5" t="n"/>
      <c r="B34" s="87" t="inlineStr">
        <is>
          <t>N  ·  Effectifs 2026</t>
        </is>
      </c>
      <c r="C34" s="101" t="inlineStr">
        <is>
          <t>EFFECTIFS_N</t>
        </is>
      </c>
      <c r="D34" s="101" t="inlineStr">
        <is>
          <t>mesure</t>
        </is>
      </c>
      <c r="E34" s="101" t="inlineStr"/>
      <c r="F34" s="5" t="n"/>
      <c r="G34" s="5" t="n"/>
      <c r="H34" s="5" t="n"/>
      <c r="I34" s="5" t="n"/>
      <c r="J34" s="5" t="n"/>
      <c r="K34" s="5" t="n"/>
      <c r="L34" s="5" t="n"/>
    </row>
    <row r="35">
      <c r="A35" s="5" t="n"/>
      <c r="B35" s="87" t="inlineStr">
        <is>
          <t>O  ·  Places 2026</t>
        </is>
      </c>
      <c r="C35" s="101" t="inlineStr">
        <is>
          <t>PLACES_N</t>
        </is>
      </c>
      <c r="D35" s="101" t="inlineStr">
        <is>
          <t>mesure</t>
        </is>
      </c>
      <c r="E35" s="101" t="inlineStr">
        <is>
          <t>classes × capacité</t>
        </is>
      </c>
      <c r="F35" s="5" t="n"/>
      <c r="G35" s="5" t="n"/>
      <c r="H35" s="5" t="n"/>
      <c r="I35" s="5" t="n"/>
      <c r="J35" s="5" t="n"/>
      <c r="K35" s="5" t="n"/>
      <c r="L35" s="5" t="n"/>
    </row>
    <row r="36">
      <c r="A36" s="5" t="n"/>
      <c r="B36" s="87" t="inlineStr">
        <is>
          <t>P  ·  Classes 2026</t>
        </is>
      </c>
      <c r="C36" s="101" t="inlineStr">
        <is>
          <t>CLASSES_N</t>
        </is>
      </c>
      <c r="D36" s="101" t="inlineStr">
        <is>
          <t>mesure</t>
        </is>
      </c>
      <c r="E36" s="101" t="inlineStr"/>
      <c r="F36" s="5" t="n"/>
      <c r="G36" s="5" t="n"/>
      <c r="H36" s="5" t="n"/>
      <c r="I36" s="5" t="n"/>
      <c r="J36" s="5" t="n"/>
      <c r="K36" s="5" t="n"/>
      <c r="L36" s="5" t="n"/>
    </row>
    <row r="37">
      <c r="A37" s="5" t="n"/>
      <c r="B37" s="103" t="inlineStr">
        <is>
          <t>Q  ·  Heures d'enseignement 2026</t>
        </is>
      </c>
      <c r="C37" s="104" t="inlineStr">
        <is>
          <t>HEURES_N</t>
        </is>
      </c>
      <c r="D37" s="104" t="inlineStr">
        <is>
          <t>mesure</t>
        </is>
      </c>
      <c r="E37" s="104" t="inlineStr">
        <is>
          <t>À AJOUTER À LA VUE</t>
        </is>
      </c>
      <c r="F37" s="5" t="n"/>
      <c r="G37" s="5" t="n"/>
      <c r="H37" s="5" t="n"/>
      <c r="I37" s="5" t="n"/>
      <c r="J37" s="5" t="n"/>
      <c r="K37" s="5" t="n"/>
      <c r="L37" s="5" t="n"/>
    </row>
    <row r="38">
      <c r="A38" s="5" t="n"/>
      <c r="B38" s="87" t="inlineStr">
        <is>
          <t>R  ·  Consommables 604+6063</t>
        </is>
      </c>
      <c r="C38" s="101" t="inlineStr">
        <is>
          <t>COUT_CONSO_N</t>
        </is>
      </c>
      <c r="D38" s="101" t="inlineStr">
        <is>
          <t>mesure</t>
        </is>
      </c>
      <c r="E38" s="101" t="inlineStr"/>
      <c r="F38" s="5" t="n"/>
      <c r="G38" s="5" t="n"/>
      <c r="H38" s="5" t="n"/>
      <c r="I38" s="5" t="n"/>
      <c r="J38" s="5" t="n"/>
      <c r="K38" s="5" t="n"/>
      <c r="L38" s="5" t="n"/>
    </row>
    <row r="39">
      <c r="A39" s="5" t="n"/>
      <c r="B39" s="87" t="inlineStr">
        <is>
          <t>S  ·  Vacataires 621</t>
        </is>
      </c>
      <c r="C39" s="101" t="inlineStr">
        <is>
          <t>COUT_VACAT_N</t>
        </is>
      </c>
      <c r="D39" s="101" t="inlineStr">
        <is>
          <t>mesure</t>
        </is>
      </c>
      <c r="E39" s="101" t="inlineStr"/>
      <c r="F39" s="5" t="n"/>
      <c r="G39" s="5" t="n"/>
      <c r="H39" s="5" t="n"/>
      <c r="I39" s="5" t="n"/>
      <c r="J39" s="5" t="n"/>
      <c r="K39" s="5" t="n"/>
      <c r="L39" s="5" t="n"/>
    </row>
    <row r="40">
      <c r="A40" s="5" t="n"/>
      <c r="B40" s="103" t="inlineStr">
        <is>
          <t>T  ·  Enseignants permanents 6411</t>
        </is>
      </c>
      <c r="C40" s="104" t="inlineStr">
        <is>
          <t>COUT_PERM_N</t>
        </is>
      </c>
      <c r="D40" s="104" t="inlineStr">
        <is>
          <t>mesure</t>
        </is>
      </c>
      <c r="E40" s="104" t="inlineStr">
        <is>
          <t>À AJOUTER À LA VUE</t>
        </is>
      </c>
      <c r="F40" s="5" t="n"/>
      <c r="G40" s="5" t="n"/>
      <c r="H40" s="5" t="n"/>
      <c r="I40" s="5" t="n"/>
      <c r="J40" s="5" t="n"/>
      <c r="K40" s="5" t="n"/>
      <c r="L40" s="5" t="n"/>
    </row>
    <row r="41">
      <c r="A41" s="5" t="n"/>
      <c r="B41" s="5" t="n"/>
      <c r="C41" s="5" t="n"/>
      <c r="D41" s="5" t="n"/>
      <c r="E41" s="5" t="n"/>
      <c r="F41" s="5" t="n"/>
      <c r="G41" s="5" t="n"/>
      <c r="H41" s="5" t="n"/>
      <c r="I41" s="5" t="n"/>
      <c r="J41" s="5" t="n"/>
      <c r="K41" s="5" t="n"/>
      <c r="L41" s="5" t="n"/>
    </row>
    <row r="42">
      <c r="A42" s="5" t="n"/>
      <c r="B42" s="5" t="n"/>
      <c r="C42" s="5" t="n"/>
      <c r="D42" s="5" t="n"/>
      <c r="E42" s="5" t="n"/>
      <c r="F42" s="5" t="n"/>
      <c r="G42" s="5" t="n"/>
      <c r="H42" s="5" t="n"/>
      <c r="I42" s="5" t="n"/>
      <c r="J42" s="5" t="n"/>
      <c r="K42" s="5" t="n"/>
      <c r="L42" s="5" t="n"/>
    </row>
    <row r="43" ht="20" customHeight="1">
      <c r="A43" s="5" t="n"/>
      <c r="B43" s="38" t="inlineStr">
        <is>
          <t>ⓒ  Les formules du masque  ·  la ligne 44, campus Ipac Montpellier</t>
        </is>
      </c>
      <c r="C43" s="5" t="n"/>
      <c r="D43" s="5" t="n"/>
      <c r="E43" s="5" t="n"/>
      <c r="F43" s="5" t="n"/>
      <c r="G43" s="5" t="n"/>
      <c r="H43" s="5" t="n"/>
      <c r="I43" s="5" t="n"/>
      <c r="J43" s="5" t="n"/>
      <c r="K43" s="5" t="n"/>
      <c r="L43" s="5" t="n"/>
    </row>
    <row r="44" ht="14" customHeight="1">
      <c r="A44" s="5" t="n"/>
      <c r="B44" s="24" t="inlineStr">
        <is>
          <t>Toutes les autres lignes sont la même formule, décalée. Aucune n'utilise de constante : chacune pointe le tableau ① ou la saisie F4.</t>
        </is>
      </c>
      <c r="C44" s="5" t="n"/>
      <c r="D44" s="5" t="n"/>
      <c r="E44" s="5" t="n"/>
      <c r="F44" s="5" t="n"/>
      <c r="G44" s="5" t="n"/>
      <c r="H44" s="5" t="n"/>
      <c r="I44" s="5" t="n"/>
      <c r="J44" s="5" t="n"/>
      <c r="K44" s="5" t="n"/>
      <c r="L44" s="5" t="n"/>
    </row>
    <row r="45">
      <c r="A45" s="5" t="n"/>
      <c r="B45" s="5" t="n"/>
      <c r="C45" s="5" t="n"/>
      <c r="D45" s="5" t="n"/>
      <c r="E45" s="5" t="n"/>
      <c r="F45" s="5" t="n"/>
      <c r="G45" s="5" t="n"/>
      <c r="H45" s="5" t="n"/>
      <c r="I45" s="5" t="n"/>
      <c r="J45" s="5" t="n"/>
      <c r="K45" s="5" t="n"/>
      <c r="L45" s="5" t="n"/>
    </row>
    <row r="46" ht="26" customHeight="1">
      <c r="A46" s="5" t="n"/>
      <c r="B46" s="25" t="inlineStr">
        <is>
          <t>Mesure</t>
        </is>
      </c>
      <c r="C46" s="26" t="inlineStr">
        <is>
          <t>Col.</t>
        </is>
      </c>
      <c r="D46" s="26" t="inlineStr">
        <is>
          <t>Formule du classeur</t>
        </is>
      </c>
      <c r="E46" s="26" t="n"/>
      <c r="F46" s="26" t="inlineStr">
        <is>
          <t>Ce qu'elle dit</t>
        </is>
      </c>
      <c r="G46" s="5" t="n"/>
      <c r="H46" s="5" t="n"/>
      <c r="I46" s="5" t="n"/>
      <c r="J46" s="5" t="n"/>
      <c r="K46" s="5" t="n"/>
      <c r="L46" s="5" t="n"/>
    </row>
    <row r="47">
      <c r="A47" s="5" t="n"/>
      <c r="B47" s="82" t="inlineStr">
        <is>
          <t>Δ budget d'acquisition</t>
        </is>
      </c>
      <c r="C47" s="82" t="inlineStr">
        <is>
          <t>F4</t>
        </is>
      </c>
      <c r="D47" s="105" t="inlineStr">
        <is>
          <t>SAISIE</t>
        </is>
      </c>
      <c r="E47" s="82" t="n"/>
      <c r="F47" s="82" t="inlineStr">
        <is>
          <t>la seule cellule modifiable du classeur</t>
        </is>
      </c>
      <c r="G47" s="5" t="n"/>
      <c r="H47" s="5" t="n"/>
      <c r="I47" s="5" t="n"/>
      <c r="J47" s="5" t="n"/>
      <c r="K47" s="5" t="n"/>
      <c r="L47" s="5" t="n"/>
    </row>
    <row r="48">
      <c r="A48" s="5" t="n"/>
      <c r="B48" s="106" t="inlineStr">
        <is>
          <t>Conversion lead → inscrit</t>
        </is>
      </c>
      <c r="C48" s="107" t="inlineStr">
        <is>
          <t>D</t>
        </is>
      </c>
      <c r="D48" s="108" t="inlineStr">
        <is>
          <t>=IFERROR(L20/K20,0)</t>
        </is>
      </c>
      <c r="E48" s="107" t="n"/>
      <c r="F48" s="107" t="inlineStr">
        <is>
          <t>INSCRITS_N ÷ LEAD_TOT_N — jamais pré-calculée, sinon la ligne groupe se trompe</t>
        </is>
      </c>
      <c r="G48" s="5" t="n"/>
      <c r="H48" s="5" t="n"/>
      <c r="I48" s="5" t="n"/>
      <c r="J48" s="5" t="n"/>
      <c r="K48" s="5" t="n"/>
      <c r="L48" s="5" t="n"/>
    </row>
    <row r="49">
      <c r="A49" s="5" t="n"/>
      <c r="B49" s="106" t="inlineStr">
        <is>
          <t>CA par inscrit</t>
        </is>
      </c>
      <c r="C49" s="107" t="inlineStr">
        <is>
          <t>E</t>
        </is>
      </c>
      <c r="D49" s="108" t="inlineStr">
        <is>
          <t>=IFERROR(M20/L20,0)</t>
        </is>
      </c>
      <c r="E49" s="107" t="n"/>
      <c r="F49" s="107" t="inlineStr">
        <is>
          <t>CA_NEW_N ÷ INSCRITS_N</t>
        </is>
      </c>
      <c r="G49" s="5" t="n"/>
      <c r="H49" s="5" t="n"/>
      <c r="I49" s="5" t="n"/>
      <c r="J49" s="5" t="n"/>
      <c r="K49" s="5" t="n"/>
      <c r="L49" s="5" t="n"/>
    </row>
    <row r="50">
      <c r="A50" s="5" t="n"/>
      <c r="B50" s="106" t="inlineStr">
        <is>
          <t>Consommables / élève</t>
        </is>
      </c>
      <c r="C50" s="107" t="inlineStr">
        <is>
          <t>F</t>
        </is>
      </c>
      <c r="D50" s="108" t="inlineStr">
        <is>
          <t>=IFERROR(R20/N20,0)</t>
        </is>
      </c>
      <c r="E50" s="107" t="n"/>
      <c r="F50" s="107" t="inlineStr">
        <is>
          <t>COUT_CONSO_N ÷ EFFECTIFS_N</t>
        </is>
      </c>
      <c r="G50" s="5" t="n"/>
      <c r="H50" s="5" t="n"/>
      <c r="I50" s="5" t="n"/>
      <c r="J50" s="5" t="n"/>
      <c r="K50" s="5" t="n"/>
      <c r="L50" s="5" t="n"/>
    </row>
    <row r="51">
      <c r="A51" s="5" t="n"/>
      <c r="B51" s="106" t="inlineStr">
        <is>
          <t>Places libres</t>
        </is>
      </c>
      <c r="C51" s="107" t="inlineStr">
        <is>
          <t>G</t>
        </is>
      </c>
      <c r="D51" s="108" t="inlineStr">
        <is>
          <t>=O20-N20</t>
        </is>
      </c>
      <c r="E51" s="107" t="n"/>
      <c r="F51" s="107" t="inlineStr">
        <is>
          <t>PLACES_N − EFFECTIFS_N : la borne physique du geste</t>
        </is>
      </c>
      <c r="G51" s="5" t="n"/>
      <c r="H51" s="5" t="n"/>
      <c r="I51" s="5" t="n"/>
      <c r="J51" s="5" t="n"/>
      <c r="K51" s="5" t="n"/>
      <c r="L51" s="5" t="n"/>
    </row>
    <row r="52">
      <c r="A52" s="5" t="n"/>
      <c r="B52" s="106" t="inlineStr">
        <is>
          <t>Δ budget</t>
        </is>
      </c>
      <c r="C52" s="107" t="inlineStr">
        <is>
          <t>H</t>
        </is>
      </c>
      <c r="D52" s="108" t="inlineStr">
        <is>
          <t>=I20*$F$4</t>
        </is>
      </c>
      <c r="E52" s="107" t="n"/>
      <c r="F52" s="107" t="inlineStr">
        <is>
          <t>le geste, appliqué au budget 2026</t>
        </is>
      </c>
      <c r="G52" s="5" t="n"/>
      <c r="H52" s="5" t="n"/>
      <c r="I52" s="5" t="n"/>
      <c r="J52" s="5" t="n"/>
      <c r="K52" s="5" t="n"/>
      <c r="L52" s="5" t="n"/>
    </row>
    <row r="53">
      <c r="A53" s="5" t="n"/>
      <c r="B53" s="106" t="inlineStr">
        <is>
          <t>Inscrits gagnés</t>
        </is>
      </c>
      <c r="C53" s="107" t="inlineStr">
        <is>
          <t>I</t>
        </is>
      </c>
      <c r="D53" s="108" t="inlineStr">
        <is>
          <t>=F20*((1+$F$4)^J20-1)*D44</t>
        </is>
      </c>
      <c r="E53" s="107" t="n"/>
      <c r="F53" s="107" t="inlineStr">
        <is>
          <t>leads payants × l'effet d'élasticité, converti au taux du campus</t>
        </is>
      </c>
      <c r="G53" s="5" t="n"/>
      <c r="H53" s="5" t="n"/>
      <c r="I53" s="5" t="n"/>
      <c r="J53" s="5" t="n"/>
      <c r="K53" s="5" t="n"/>
      <c r="L53" s="5" t="n"/>
    </row>
    <row r="54">
      <c r="A54" s="5" t="n"/>
      <c r="B54" s="106" t="inlineStr">
        <is>
          <t>CA gagné</t>
        </is>
      </c>
      <c r="C54" s="107" t="inlineStr">
        <is>
          <t>J</t>
        </is>
      </c>
      <c r="D54" s="108" t="inlineStr">
        <is>
          <t>=I44*E44</t>
        </is>
      </c>
      <c r="E54" s="107" t="n"/>
      <c r="F54" s="107" t="inlineStr">
        <is>
          <t>inscrits gagnés × CA par inscrit</t>
        </is>
      </c>
      <c r="G54" s="5" t="n"/>
      <c r="H54" s="5" t="n"/>
      <c r="I54" s="5" t="n"/>
      <c r="J54" s="5" t="n"/>
      <c r="K54" s="5" t="n"/>
      <c r="L54" s="5" t="n"/>
    </row>
    <row r="55">
      <c r="A55" s="5" t="n"/>
      <c r="B55" s="106" t="inlineStr">
        <is>
          <t>Coût marginal / élève</t>
        </is>
      </c>
      <c r="C55" s="107" t="inlineStr">
        <is>
          <t>K</t>
        </is>
      </c>
      <c r="D55" s="108" t="inlineStr">
        <is>
          <t>=IF(I44&lt;=G44,F44,F44+S20/O20)</t>
        </is>
      </c>
      <c r="E55" s="107" t="n"/>
      <c r="F55" s="107" t="inlineStr">
        <is>
          <t>consommables seuls, + quote-part vacataire si la classe doit ouvrir</t>
        </is>
      </c>
      <c r="G55" s="5" t="n"/>
      <c r="H55" s="5" t="n"/>
      <c r="I55" s="5" t="n"/>
      <c r="J55" s="5" t="n"/>
      <c r="K55" s="5" t="n"/>
      <c r="L55" s="5" t="n"/>
    </row>
    <row r="56">
      <c r="A56" s="5" t="n"/>
      <c r="B56" s="106" t="inlineStr">
        <is>
          <t>EBITDA gagné</t>
        </is>
      </c>
      <c r="C56" s="107" t="inlineStr">
        <is>
          <t>L</t>
        </is>
      </c>
      <c r="D56" s="108" t="inlineStr">
        <is>
          <t>=J44-H44-I44*K44</t>
        </is>
      </c>
      <c r="E56" s="107" t="n"/>
      <c r="F56" s="107" t="inlineStr">
        <is>
          <t>CA gagné − Δ budget − coût de service</t>
        </is>
      </c>
      <c r="G56" s="5" t="n"/>
      <c r="H56" s="5" t="n"/>
      <c r="I56" s="5" t="n"/>
      <c r="J56" s="5" t="n"/>
      <c r="K56" s="5" t="n"/>
      <c r="L56" s="5" t="n"/>
    </row>
    <row r="57">
      <c r="A57" s="5" t="n"/>
      <c r="B57" s="106" t="inlineStr">
        <is>
          <t>CAC marginal</t>
        </is>
      </c>
      <c r="C57" s="107" t="inlineStr">
        <is>
          <t>M</t>
        </is>
      </c>
      <c r="D57" s="108" t="inlineStr">
        <is>
          <t>=IFERROR(H44/I44,0)</t>
        </is>
      </c>
      <c r="E57" s="107" t="n"/>
      <c r="F57" s="107" t="inlineStr">
        <is>
          <t>Δ budget ÷ inscrits gagnés</t>
        </is>
      </c>
      <c r="G57" s="5" t="n"/>
      <c r="H57" s="5" t="n"/>
      <c r="I57" s="5" t="n"/>
      <c r="J57" s="5" t="n"/>
      <c r="K57" s="5" t="n"/>
      <c r="L57" s="5" t="n"/>
    </row>
    <row r="58">
      <c r="A58" s="5" t="n"/>
      <c r="B58" s="5" t="n"/>
      <c r="C58" s="5" t="n"/>
      <c r="D58" s="5" t="n"/>
      <c r="E58" s="5" t="n"/>
      <c r="F58" s="5" t="n"/>
      <c r="G58" s="5" t="n"/>
      <c r="H58" s="5" t="n"/>
      <c r="I58" s="5" t="n"/>
      <c r="J58" s="5" t="n"/>
      <c r="K58" s="5" t="n"/>
      <c r="L58" s="5" t="n"/>
    </row>
    <row r="59">
      <c r="A59" s="5" t="n"/>
      <c r="B59" s="5" t="n"/>
      <c r="C59" s="5" t="n"/>
      <c r="D59" s="5" t="n"/>
      <c r="E59" s="5" t="n"/>
      <c r="F59" s="5" t="n"/>
      <c r="G59" s="5" t="n"/>
      <c r="H59" s="5" t="n"/>
      <c r="I59" s="5" t="n"/>
      <c r="J59" s="5" t="n"/>
      <c r="K59" s="5" t="n"/>
      <c r="L59" s="5" t="n"/>
    </row>
    <row r="60" ht="20" customHeight="1">
      <c r="A60" s="5" t="n"/>
      <c r="B60" s="23" t="inlineStr">
        <is>
          <t>ⓓ  Les contrôles  ·  ils doivent tous valoir zéro</t>
        </is>
      </c>
      <c r="C60" s="5" t="n"/>
      <c r="D60" s="5" t="n"/>
      <c r="E60" s="5" t="n"/>
      <c r="F60" s="5" t="n"/>
      <c r="G60" s="5" t="n"/>
      <c r="H60" s="5" t="n"/>
      <c r="I60" s="5" t="n"/>
      <c r="J60" s="5" t="n"/>
      <c r="K60" s="5" t="n"/>
      <c r="L60" s="5" t="n"/>
    </row>
    <row r="61" ht="14" customHeight="1">
      <c r="A61" s="5" t="n"/>
      <c r="B61" s="24" t="inlineStr">
        <is>
          <t>Chacun confronte deux sources indépendantes. Le dernier n'est pas un écart mais une marge : il dit combien de sièges restent avant que le coût marginal ne bascule.</t>
        </is>
      </c>
      <c r="C61" s="5" t="n"/>
      <c r="D61" s="5" t="n"/>
      <c r="E61" s="5" t="n"/>
      <c r="F61" s="5" t="n"/>
      <c r="G61" s="5" t="n"/>
      <c r="H61" s="5" t="n"/>
      <c r="I61" s="5" t="n"/>
      <c r="J61" s="5" t="n"/>
      <c r="K61" s="5" t="n"/>
      <c r="L61" s="5" t="n"/>
    </row>
    <row r="62">
      <c r="A62" s="5" t="n"/>
      <c r="B62" s="5" t="n"/>
      <c r="C62" s="5" t="n"/>
      <c r="D62" s="5" t="n"/>
      <c r="E62" s="5" t="n"/>
      <c r="F62" s="5" t="n"/>
      <c r="G62" s="5" t="n"/>
      <c r="H62" s="5" t="n"/>
      <c r="I62" s="5" t="n"/>
      <c r="J62" s="5" t="n"/>
      <c r="K62" s="5" t="n"/>
      <c r="L62" s="5" t="n"/>
    </row>
    <row r="63" ht="26" customHeight="1">
      <c r="A63" s="5" t="n"/>
      <c r="B63" s="25" t="inlineStr">
        <is>
          <t>Contrôle</t>
        </is>
      </c>
      <c r="C63" s="26" t="n"/>
      <c r="D63" s="26" t="inlineStr">
        <is>
          <t>Source A</t>
        </is>
      </c>
      <c r="E63" s="26" t="inlineStr">
        <is>
          <t>Source B</t>
        </is>
      </c>
      <c r="F63" s="26" t="inlineStr">
        <is>
          <t>Écart</t>
        </is>
      </c>
      <c r="G63" s="26" t="inlineStr">
        <is>
          <t>Statut</t>
        </is>
      </c>
      <c r="H63" s="26" t="inlineStr">
        <is>
          <t>Ce qui est comparé</t>
        </is>
      </c>
      <c r="I63" s="5" t="n"/>
      <c r="J63" s="5" t="n"/>
      <c r="K63" s="5" t="n"/>
      <c r="L63" s="5" t="n"/>
    </row>
    <row r="64">
      <c r="A64" s="5" t="n"/>
      <c r="B64" s="49" t="inlineStr">
        <is>
          <t>Budget d'acquisition : dépense CRM 2026 = compte 6231</t>
        </is>
      </c>
      <c r="C64" s="52" t="n"/>
      <c r="D64" s="51">
        <f>'Le moteur'!I34</f>
        <v/>
      </c>
      <c r="E64" s="51">
        <f>'Le coût variable'!D78</f>
        <v/>
      </c>
      <c r="F64" s="51">
        <f>D64-E64</f>
        <v/>
      </c>
      <c r="G64" s="50">
        <f>IF(ABS(F64)&lt;1,"OK","À VÉRIFIER")</f>
        <v/>
      </c>
      <c r="H64" s="78" t="inlineStr">
        <is>
          <t>socle CRM contre comptabilité</t>
        </is>
      </c>
      <c r="I64" s="5" t="n"/>
      <c r="J64" s="5" t="n"/>
      <c r="K64" s="5" t="n"/>
      <c r="L64" s="5" t="n"/>
    </row>
    <row r="65">
      <c r="A65" s="5" t="n"/>
      <c r="B65" s="49" t="inlineStr">
        <is>
          <t>Consommables : comptes 604 + 6063 = COUT_CONSO_N</t>
        </is>
      </c>
      <c r="C65" s="52" t="n"/>
      <c r="D65" s="51">
        <f>'Le coût variable'!D74+'Le coût variable'!D75</f>
        <v/>
      </c>
      <c r="E65" s="51">
        <f>'Le moteur'!R34</f>
        <v/>
      </c>
      <c r="F65" s="51">
        <f>D65-E65</f>
        <v/>
      </c>
      <c r="G65" s="50">
        <f>IF(ABS(F65)&lt;1,"OK","À VÉRIFIER")</f>
        <v/>
      </c>
      <c r="H65" s="78" t="inlineStr">
        <is>
          <t>comptes contre agrégat de la vue</t>
        </is>
      </c>
      <c r="I65" s="5" t="n"/>
      <c r="J65" s="5" t="n"/>
      <c r="K65" s="5" t="n"/>
      <c r="L65" s="5" t="n"/>
    </row>
    <row r="66">
      <c r="A66" s="5" t="n"/>
      <c r="B66" s="49" t="inlineStr">
        <is>
          <t>Vacataires : compte 621 = COUT_VACAT_N</t>
        </is>
      </c>
      <c r="C66" s="52" t="n"/>
      <c r="D66" s="51">
        <f>'Le coût variable'!D76</f>
        <v/>
      </c>
      <c r="E66" s="51">
        <f>'Le moteur'!S34</f>
        <v/>
      </c>
      <c r="F66" s="51">
        <f>D66-E66</f>
        <v/>
      </c>
      <c r="G66" s="50">
        <f>IF(ABS(F66)&lt;1,"OK","À VÉRIFIER")</f>
        <v/>
      </c>
      <c r="H66" s="78" t="inlineStr">
        <is>
          <t>comptes contre agrégat de la vue</t>
        </is>
      </c>
      <c r="I66" s="5" t="n"/>
      <c r="J66" s="5" t="n"/>
      <c r="K66" s="5" t="n"/>
      <c r="L66" s="5" t="n"/>
    </row>
    <row r="67">
      <c r="A67" s="5" t="n"/>
      <c r="B67" s="49" t="inlineStr">
        <is>
          <t>Permanents : compte 6411 = COUT_PERM_N</t>
        </is>
      </c>
      <c r="C67" s="52" t="n"/>
      <c r="D67" s="51">
        <f>'Le coût variable'!D77</f>
        <v/>
      </c>
      <c r="E67" s="51">
        <f>'Le moteur'!T34</f>
        <v/>
      </c>
      <c r="F67" s="51">
        <f>D67-E67</f>
        <v/>
      </c>
      <c r="G67" s="50">
        <f>IF(ABS(F67)&lt;1,"OK","À VÉRIFIER")</f>
        <v/>
      </c>
      <c r="H67" s="78" t="inlineStr">
        <is>
          <t>comptes contre agrégat de la vue</t>
        </is>
      </c>
      <c r="I67" s="5" t="n"/>
      <c r="J67" s="5" t="n"/>
      <c r="K67" s="5" t="n"/>
      <c r="L67" s="5" t="n"/>
    </row>
    <row r="68">
      <c r="A68" s="5" t="n"/>
      <c r="B68" s="49" t="inlineStr">
        <is>
          <t>Effectifs : grain programme = grain campus</t>
        </is>
      </c>
      <c r="C68" s="52" t="n"/>
      <c r="D68" s="59">
        <f>'Le coût variable'!C26</f>
        <v/>
      </c>
      <c r="E68" s="59">
        <f>'Le moteur'!N34</f>
        <v/>
      </c>
      <c r="F68" s="59">
        <f>D68-E68</f>
        <v/>
      </c>
      <c r="G68" s="50">
        <f>IF(ABS(F68)&lt;1,"OK","À VÉRIFIER")</f>
        <v/>
      </c>
      <c r="H68" s="78" t="inlineStr">
        <is>
          <t>cycle × modalité contre campus</t>
        </is>
      </c>
      <c r="I68" s="5" t="n"/>
      <c r="J68" s="5" t="n"/>
      <c r="K68" s="5" t="n"/>
      <c r="L68" s="5" t="n"/>
    </row>
    <row r="69">
      <c r="A69" s="5" t="n"/>
      <c r="B69" s="49" t="inlineStr">
        <is>
          <t>Allocation : consommables alloués aux programmes = total réseau</t>
        </is>
      </c>
      <c r="C69" s="52" t="n"/>
      <c r="D69" s="51">
        <f>SUMPRODUCT('Le coût variable'!C22:C25,'Le coût variable'!G22:G25)</f>
        <v/>
      </c>
      <c r="E69" s="51">
        <f>'Le moteur'!R34</f>
        <v/>
      </c>
      <c r="F69" s="51">
        <f>D69-E69</f>
        <v/>
      </c>
      <c r="G69" s="50">
        <f>IF(ABS(F69)&lt;1,"OK","À VÉRIFIER")</f>
        <v/>
      </c>
      <c r="H69" s="78" t="inlineStr">
        <is>
          <t>la clé EFFECTIFS ne perd rien</t>
        </is>
      </c>
      <c r="I69" s="5" t="n"/>
      <c r="J69" s="5" t="n"/>
      <c r="K69" s="5" t="n"/>
      <c r="L69" s="5" t="n"/>
    </row>
    <row r="70">
      <c r="A70" s="5" t="n"/>
      <c r="B70" s="49" t="inlineStr">
        <is>
          <t>EBITDA gagné : CA gagné − Δ budget − coût de service</t>
        </is>
      </c>
      <c r="C70" s="52" t="n"/>
      <c r="D70" s="51">
        <f>'Le moteur'!J58-'Le moteur'!H58-'Le moteur'!I58*'Le moteur'!K58</f>
        <v/>
      </c>
      <c r="E70" s="51">
        <f>'Le moteur'!L58</f>
        <v/>
      </c>
      <c r="F70" s="51">
        <f>D70-E70</f>
        <v/>
      </c>
      <c r="G70" s="50">
        <f>IF(ABS(F70)&lt;1,"OK","À VÉRIFIER")</f>
        <v/>
      </c>
      <c r="H70" s="78" t="inlineStr">
        <is>
          <t>additivité de la ligne groupe</t>
        </is>
      </c>
      <c r="I70" s="5" t="n"/>
      <c r="J70" s="5" t="n"/>
      <c r="K70" s="5" t="n"/>
      <c r="L70" s="5" t="n"/>
    </row>
    <row r="71">
      <c r="A71" s="5" t="n"/>
      <c r="B71" s="49" t="inlineStr">
        <is>
          <t>Régime du coût marginal : inscrits gagnés ≤ places libres</t>
        </is>
      </c>
      <c r="C71" s="52" t="n"/>
      <c r="D71" s="59">
        <f>'Le moteur'!I58</f>
        <v/>
      </c>
      <c r="E71" s="59">
        <f>'Le moteur'!G58</f>
        <v/>
      </c>
      <c r="F71" s="59">
        <f>E71-D71</f>
        <v/>
      </c>
      <c r="G71" s="50">
        <f>IF(F71&gt;0,"OK · marge","BASCULE")</f>
        <v/>
      </c>
      <c r="H71" s="78" t="inlineStr">
        <is>
          <t>si dépassé, une classe ouvre</t>
        </is>
      </c>
      <c r="I71" s="5" t="n"/>
      <c r="J71" s="5" t="n"/>
      <c r="K71" s="5" t="n"/>
      <c r="L71" s="5" t="n"/>
    </row>
    <row r="72">
      <c r="A72" s="5" t="n"/>
      <c r="B72" s="5" t="n"/>
      <c r="C72" s="5" t="n"/>
      <c r="D72" s="5" t="n"/>
      <c r="E72" s="5" t="n"/>
      <c r="F72" s="5" t="n"/>
      <c r="G72" s="5" t="n"/>
      <c r="H72" s="5" t="n"/>
      <c r="I72" s="5" t="n"/>
      <c r="J72" s="5" t="n"/>
      <c r="K72" s="5" t="n"/>
      <c r="L72" s="5" t="n"/>
    </row>
    <row r="73">
      <c r="A73" s="5" t="n"/>
      <c r="B73" s="5" t="n"/>
      <c r="C73" s="5" t="n"/>
      <c r="D73" s="5" t="n"/>
      <c r="E73" s="5" t="n"/>
      <c r="F73" s="5" t="n"/>
      <c r="G73" s="5" t="n"/>
      <c r="H73" s="5" t="n"/>
      <c r="I73" s="5" t="n"/>
      <c r="J73" s="5" t="n"/>
      <c r="K73" s="5" t="n"/>
      <c r="L73" s="5" t="n"/>
    </row>
    <row r="74" ht="18" customHeight="1">
      <c r="A74" s="5" t="n"/>
      <c r="B74" s="109" t="inlineStr">
        <is>
          <t>Ce qu'il reste à faire côté Tagetik</t>
        </is>
      </c>
      <c r="C74" s="110" t="n"/>
      <c r="D74" s="110" t="n"/>
      <c r="E74" s="110" t="n"/>
      <c r="F74" s="110" t="n"/>
      <c r="G74" s="110" t="n"/>
      <c r="H74" s="110" t="n"/>
      <c r="I74" s="110" t="n"/>
      <c r="J74" s="110" t="n"/>
      <c r="K74" s="110" t="n"/>
      <c r="L74" s="110" t="n"/>
    </row>
    <row r="75">
      <c r="A75" s="5" t="n"/>
      <c r="B75" s="111" t="inlineStr">
        <is>
          <t>① ajouter HEURES_N et COUT_PERM_N à V_MOTEUR_CAL (le .sql du dépôt les porte).  ② brancher le tableau ① sur la vue, une ligne par campus, hiérarchie MARQUE ▸ CAMPUS.  ③ le tableau ② est un masque de saisie : seule F4 est ouverte.  ④ l'onglet « Le coût variable » ne lit que le tableau ① et les paramètres ci-dessus.</t>
        </is>
      </c>
      <c r="C75" s="112" t="n"/>
      <c r="D75" s="112" t="n"/>
      <c r="E75" s="112" t="n"/>
      <c r="F75" s="112" t="n"/>
      <c r="G75" s="112" t="n"/>
      <c r="H75" s="112" t="n"/>
      <c r="I75" s="112" t="n"/>
      <c r="J75" s="112" t="n"/>
      <c r="K75" s="112" t="n"/>
      <c r="L75" s="112" t="n"/>
    </row>
    <row r="76">
      <c r="A76" s="5" t="n"/>
      <c r="B76" s="5" t="n"/>
      <c r="C76" s="5" t="n"/>
      <c r="D76" s="5" t="n"/>
      <c r="E76" s="5" t="n"/>
      <c r="F76" s="5" t="n"/>
      <c r="G76" s="5" t="n"/>
      <c r="H76" s="5" t="n"/>
      <c r="I76" s="5" t="n"/>
      <c r="J76" s="5" t="n"/>
      <c r="K76" s="5" t="n"/>
      <c r="L76" s="5" t="n"/>
    </row>
    <row r="77">
      <c r="A77" s="5" t="n"/>
      <c r="B77" s="5" t="n"/>
      <c r="C77" s="5" t="n"/>
      <c r="D77" s="5" t="n"/>
      <c r="E77" s="5" t="n"/>
      <c r="F77" s="5" t="n"/>
      <c r="G77" s="5" t="n"/>
      <c r="H77" s="5" t="n"/>
      <c r="I77" s="5" t="n"/>
      <c r="J77" s="5" t="n"/>
      <c r="K77" s="5" t="n"/>
      <c r="L77" s="5" t="n"/>
    </row>
    <row r="78">
      <c r="A78" s="5" t="n"/>
      <c r="B78" s="5" t="n"/>
      <c r="C78" s="5" t="n"/>
      <c r="D78" s="5" t="n"/>
      <c r="E78" s="5" t="n"/>
      <c r="F78" s="5" t="n"/>
      <c r="G78" s="5" t="n"/>
      <c r="H78" s="5" t="n"/>
      <c r="I78" s="5" t="n"/>
      <c r="J78" s="5" t="n"/>
      <c r="K78" s="5" t="n"/>
      <c r="L78" s="5" t="n"/>
    </row>
    <row r="79">
      <c r="A79" s="5" t="n"/>
      <c r="B79" s="5" t="n"/>
      <c r="C79" s="5" t="n"/>
      <c r="D79" s="5" t="n"/>
      <c r="E79" s="5" t="n"/>
      <c r="F79" s="5" t="n"/>
      <c r="G79" s="5" t="n"/>
      <c r="H79" s="5" t="n"/>
      <c r="I79" s="5" t="n"/>
      <c r="J79" s="5" t="n"/>
      <c r="K79" s="5" t="n"/>
      <c r="L79" s="5" t="n"/>
    </row>
  </sheetData>
  <conditionalFormatting sqref="G64:G71">
    <cfRule type="expression" priority="1" dxfId="1">
      <formula>ISNUMBER(SEARCH("OK",$G64))</formula>
    </cfRule>
    <cfRule type="expression" priority="2" dxfId="2">
      <formula>NOT(ISNUMBER(SEARCH("OK",$G64)))</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2026-09-07T17:11:35Z</dcterms:created>
  <dcterms:modified xsi:type="dcterms:W3CDTF">2026-09-07T17:11:35Z</dcterms:modified>
</cp:coreProperties>
</file>