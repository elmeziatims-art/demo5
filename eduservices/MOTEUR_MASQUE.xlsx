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Playback" sheetId="2" state="visible" r:id="rId2"/>
    <sheet name="Budget 2027" sheetId="3" state="visible" r:id="rId3"/>
    <sheet name="Le coût variable" sheetId="4" state="visible" r:id="rId4"/>
    <sheet name="Intégration &amp; contrô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+0.00%;-0.00%"/>
    <numFmt numFmtId="165" formatCode="#,##0&quot; €&quot;"/>
    <numFmt numFmtId="166" formatCode="+0.0%;-0.0%;&quot;—&quot;"/>
    <numFmt numFmtId="167" formatCode="0.00&quot; €&quot;"/>
    <numFmt numFmtId="168" formatCode="0.0&quot;×&quot;"/>
    <numFmt numFmtId="169" formatCode="0.000"/>
    <numFmt numFmtId="170" formatCode="#,##0&quot; h&quot;"/>
    <numFmt numFmtId="171" formatCode="0.0%"/>
    <numFmt numFmtId="172" formatCode="#,##0.0"/>
    <numFmt numFmtId="173" formatCode="0.0&quot;× l'euro de marque&quot;"/>
    <numFmt numFmtId="174" formatCode="0.0&quot; h&quot;"/>
    <numFmt numFmtId="175" formatCode="+0.0%;-0.0%"/>
    <numFmt numFmtId="176" formatCode="+0.00%;-0.00%;&quot;—&quot;"/>
    <numFmt numFmtId="177" formatCode="+0.00%"/>
    <numFmt numFmtId="178" formatCode="0.0000"/>
  </numFmts>
  <fonts count="55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007AC3"/>
      <sz val="9"/>
    </font>
    <font>
      <name val="Arial"/>
      <i val="1"/>
      <color rgb="006B7075"/>
      <sz val="7.5"/>
    </font>
    <font>
      <name val="Arial"/>
      <b val="1"/>
      <color rgb="00262626"/>
      <sz val="8"/>
    </font>
    <font>
      <name val="Arial"/>
      <color rgb="00262626"/>
      <sz val="8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B26B00"/>
      <sz val="11"/>
    </font>
    <font>
      <name val="Arial"/>
      <i val="1"/>
      <color rgb="006B7075"/>
      <sz val="7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5F8A17"/>
      <sz val="18"/>
    </font>
    <font>
      <name val="Arial"/>
      <i val="1"/>
      <color rgb="006B7075"/>
      <sz val="6.5"/>
    </font>
    <font>
      <name val="Arial"/>
      <color rgb="00C41822"/>
      <sz val="18"/>
    </font>
    <font>
      <name val="Arial"/>
      <color rgb="00007AC3"/>
      <sz val="18"/>
    </font>
    <font>
      <name val="Arial"/>
      <color rgb="00262626"/>
      <sz val="18"/>
    </font>
    <font>
      <name val="Arial"/>
      <b val="1"/>
      <color rgb="00262626"/>
      <sz val="10"/>
    </font>
    <font>
      <name val="Arial"/>
      <b val="1"/>
      <color rgb="00007AC3"/>
      <sz val="10"/>
    </font>
    <font>
      <name val="Arial"/>
      <b val="1"/>
      <color rgb="00007AC3"/>
      <sz val="8"/>
    </font>
    <font>
      <name val="Arial"/>
      <b val="1"/>
      <color rgb="00B26B00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  <font>
      <name val="Arial"/>
      <b val="1"/>
      <color rgb="00262626"/>
      <sz val="14"/>
    </font>
    <font>
      <name val="Arial"/>
      <b val="1"/>
      <color rgb="00262626"/>
      <sz val="10.5"/>
    </font>
    <font>
      <name val="Arial"/>
      <color rgb="00262626"/>
      <sz val="8.5"/>
    </font>
    <font>
      <name val="Arial"/>
      <b val="1"/>
      <color rgb="00262626"/>
      <sz val="8.5"/>
    </font>
    <font>
      <name val="Arial"/>
      <b val="1"/>
      <color rgb="00FFFFFF"/>
      <sz val="8"/>
    </font>
    <font>
      <name val="Arial"/>
      <b val="1"/>
      <color rgb="00262626"/>
      <sz val="9.5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FFFFF"/>
      </patternFill>
    </fill>
    <fill>
      <patternFill patternType="solid">
        <fgColor rgb="00F0EDE4"/>
      </patternFill>
    </fill>
    <fill>
      <patternFill patternType="solid">
        <fgColor rgb="00FDF3E7"/>
      </patternFill>
    </fill>
  </fills>
  <borders count="17">
    <border>
      <left/>
      <right/>
      <top/>
      <bottom/>
      <diagonal/>
    </border>
    <border>
      <bottom style="thin">
        <color rgb="00262626"/>
      </bottom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left style="thin">
        <color rgb="00B26B00"/>
      </left>
      <right style="thin">
        <color rgb="00B26B00"/>
      </right>
      <top style="thin">
        <color rgb="00B26B00"/>
      </top>
      <bottom style="thin">
        <color rgb="00B26B00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  <border>
      <top style="thin">
        <color rgb="00262626"/>
      </top>
      <bottom style="double">
        <color rgb="00262626"/>
      </bottom>
    </border>
    <border>
      <top style="thin">
        <color rgb="00007AC3"/>
      </top>
      <bottom style="thin">
        <color rgb="00007AC3"/>
      </bottom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5" fillId="5" borderId="1" pivotButton="0" quotePrefix="0" xfId="0"/>
    <xf numFmtId="0" fontId="0" fillId="7" borderId="0" pivotButton="0" quotePrefix="0" xfId="0"/>
    <xf numFmtId="0" fontId="7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7" fillId="7" borderId="2" applyAlignment="1" pivotButton="0" quotePrefix="0" xfId="0">
      <alignment horizontal="right" vertical="center"/>
    </xf>
    <xf numFmtId="166" fontId="8" fillId="7" borderId="3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1" fontId="6" fillId="6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/>
    </xf>
    <xf numFmtId="164" fontId="6" fillId="6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left" vertical="center"/>
    </xf>
    <xf numFmtId="0" fontId="0" fillId="5" borderId="0" pivotButton="0" quotePrefix="0" xfId="0"/>
    <xf numFmtId="0" fontId="12" fillId="7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left" vertical="center" indent="1"/>
    </xf>
    <xf numFmtId="165" fontId="17" fillId="7" borderId="0" applyAlignment="1" pivotButton="0" quotePrefix="0" xfId="0">
      <alignment horizontal="left" vertical="center" indent="1"/>
    </xf>
    <xf numFmtId="165" fontId="13" fillId="7" borderId="0" applyAlignment="1" pivotButton="0" quotePrefix="0" xfId="0">
      <alignment horizontal="left" vertical="center" indent="1"/>
    </xf>
    <xf numFmtId="167" fontId="16" fillId="7" borderId="0" applyAlignment="1" pivotButton="0" quotePrefix="0" xfId="0">
      <alignment horizontal="left" vertical="center" indent="1"/>
    </xf>
    <xf numFmtId="0" fontId="14" fillId="7" borderId="2" applyAlignment="1" pivotButton="0" quotePrefix="0" xfId="0">
      <alignment horizontal="left" vertical="center" indent="1"/>
    </xf>
    <xf numFmtId="0" fontId="18" fillId="7" borderId="5" applyAlignment="1" pivotButton="0" quotePrefix="0" xfId="0">
      <alignment horizontal="left" vertical="center" indent="1"/>
    </xf>
    <xf numFmtId="0" fontId="0" fillId="7" borderId="5" pivotButton="0" quotePrefix="0" xfId="0"/>
    <xf numFmtId="0" fontId="4" fillId="7" borderId="2" applyAlignment="1" pivotButton="0" quotePrefix="0" xfId="0">
      <alignment horizontal="left" vertical="center" indent="1"/>
    </xf>
    <xf numFmtId="165" fontId="6" fillId="6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left" vertical="center" indent="1"/>
    </xf>
    <xf numFmtId="167" fontId="15" fillId="7" borderId="0" applyAlignment="1" pivotButton="0" quotePrefix="0" xfId="0">
      <alignment horizontal="left" vertical="center" indent="1"/>
    </xf>
    <xf numFmtId="168" fontId="16" fillId="7" borderId="0" applyAlignment="1" pivotButton="0" quotePrefix="0" xfId="0">
      <alignment horizontal="left" vertical="center" indent="1"/>
    </xf>
    <xf numFmtId="0" fontId="4" fillId="7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left" vertical="center"/>
    </xf>
    <xf numFmtId="0" fontId="5" fillId="7" borderId="6" applyAlignment="1" pivotButton="0" quotePrefix="0" xfId="0">
      <alignment horizontal="left" vertical="center"/>
    </xf>
    <xf numFmtId="0" fontId="5" fillId="7" borderId="6" applyAlignment="1" pivotButton="0" quotePrefix="0" xfId="0">
      <alignment horizontal="center" vertical="bottom" wrapText="1"/>
    </xf>
    <xf numFmtId="0" fontId="20" fillId="6" borderId="7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3" fontId="6" fillId="6" borderId="7" applyAlignment="1" pivotButton="0" quotePrefix="0" xfId="0">
      <alignment horizontal="right" vertical="center"/>
    </xf>
    <xf numFmtId="165" fontId="6" fillId="6" borderId="7" applyAlignment="1" pivotButton="0" quotePrefix="0" xfId="0">
      <alignment horizontal="right" vertical="center"/>
    </xf>
    <xf numFmtId="169" fontId="21" fillId="6" borderId="7" applyAlignment="1" pivotButton="0" quotePrefix="0" xfId="0">
      <alignment horizontal="right" vertical="center"/>
    </xf>
    <xf numFmtId="170" fontId="6" fillId="6" borderId="7" applyAlignment="1" pivotButton="0" quotePrefix="0" xfId="0">
      <alignment horizontal="right" vertical="center"/>
    </xf>
    <xf numFmtId="0" fontId="5" fillId="5" borderId="8" applyAlignment="1" pivotButton="0" quotePrefix="0" xfId="0">
      <alignment horizontal="left" vertical="center"/>
    </xf>
    <xf numFmtId="3" fontId="5" fillId="5" borderId="8" applyAlignment="1" pivotButton="0" quotePrefix="0" xfId="0">
      <alignment horizontal="right" vertical="center"/>
    </xf>
    <xf numFmtId="165" fontId="5" fillId="5" borderId="8" applyAlignment="1" pivotButton="0" quotePrefix="0" xfId="0">
      <alignment horizontal="right" vertical="center"/>
    </xf>
    <xf numFmtId="169" fontId="5" fillId="5" borderId="8" applyAlignment="1" pivotButton="0" quotePrefix="0" xfId="0">
      <alignment horizontal="right" vertical="center"/>
    </xf>
    <xf numFmtId="170" fontId="5" fillId="5" borderId="8" applyAlignment="1" pivotButton="0" quotePrefix="0" xfId="0">
      <alignment horizontal="right" vertical="center"/>
    </xf>
    <xf numFmtId="0" fontId="22" fillId="7" borderId="0" applyAlignment="1" pivotButton="0" quotePrefix="0" xfId="0">
      <alignment horizontal="left" vertical="center"/>
    </xf>
    <xf numFmtId="0" fontId="5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left" vertical="center"/>
    </xf>
    <xf numFmtId="171" fontId="6" fillId="9" borderId="9" applyAlignment="1" pivotButton="0" quotePrefix="0" xfId="0">
      <alignment horizontal="right" vertical="center"/>
    </xf>
    <xf numFmtId="165" fontId="6" fillId="9" borderId="9" applyAlignment="1" pivotButton="0" quotePrefix="0" xfId="0">
      <alignment horizontal="right" vertical="center"/>
    </xf>
    <xf numFmtId="3" fontId="6" fillId="9" borderId="9" applyAlignment="1" pivotButton="0" quotePrefix="0" xfId="0">
      <alignment horizontal="right" vertical="center"/>
    </xf>
    <xf numFmtId="172" fontId="6" fillId="9" borderId="9" applyAlignment="1" pivotButton="0" quotePrefix="0" xfId="0">
      <alignment horizontal="right" vertical="center"/>
    </xf>
    <xf numFmtId="173" fontId="20" fillId="9" borderId="9" applyAlignment="1" pivotButton="0" quotePrefix="0" xfId="0">
      <alignment horizontal="right" vertical="center"/>
    </xf>
    <xf numFmtId="171" fontId="5" fillId="5" borderId="8" applyAlignment="1" pivotButton="0" quotePrefix="0" xfId="0">
      <alignment horizontal="right" vertical="center"/>
    </xf>
    <xf numFmtId="172" fontId="5" fillId="5" borderId="8" applyAlignment="1" pivotButton="0" quotePrefix="0" xfId="0">
      <alignment horizontal="right" vertical="center"/>
    </xf>
    <xf numFmtId="173" fontId="5" fillId="5" borderId="8" applyAlignment="1" pivotButton="0" quotePrefix="0" xfId="0">
      <alignment horizontal="right" vertical="center"/>
    </xf>
    <xf numFmtId="0" fontId="49" fillId="7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left" vertical="center"/>
    </xf>
    <xf numFmtId="0" fontId="50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7" borderId="1" applyAlignment="1" pivotButton="0" quotePrefix="0" xfId="0">
      <alignment horizontal="right" vertical="center"/>
    </xf>
    <xf numFmtId="0" fontId="5" fillId="5" borderId="8" applyAlignment="1" pivotButton="0" quotePrefix="0" xfId="0">
      <alignment horizontal="center" vertical="center"/>
    </xf>
    <xf numFmtId="0" fontId="51" fillId="7" borderId="10" applyAlignment="1" pivotButton="0" quotePrefix="0" xfId="0">
      <alignment horizontal="left" vertical="center" indent="1"/>
    </xf>
    <xf numFmtId="3" fontId="51" fillId="7" borderId="10" applyAlignment="1" pivotButton="0" quotePrefix="0" xfId="0">
      <alignment horizontal="right" vertical="center"/>
    </xf>
    <xf numFmtId="0" fontId="0" fillId="7" borderId="10" pivotButton="0" quotePrefix="0" xfId="0"/>
    <xf numFmtId="165" fontId="51" fillId="7" borderId="10" applyAlignment="1" pivotButton="0" quotePrefix="0" xfId="0">
      <alignment horizontal="right" vertical="center"/>
    </xf>
    <xf numFmtId="0" fontId="52" fillId="6" borderId="10" applyAlignment="1" pivotButton="0" quotePrefix="0" xfId="0">
      <alignment horizontal="left" vertical="center" indent="1"/>
    </xf>
    <xf numFmtId="165" fontId="52" fillId="6" borderId="10" applyAlignment="1" pivotButton="0" quotePrefix="0" xfId="0">
      <alignment horizontal="right" vertical="center"/>
    </xf>
    <xf numFmtId="0" fontId="0" fillId="6" borderId="10" pivotButton="0" quotePrefix="0" xfId="0"/>
    <xf numFmtId="178" fontId="32" fillId="6" borderId="10" applyAlignment="1" pivotButton="0" quotePrefix="0" xfId="0">
      <alignment horizontal="center" vertical="center"/>
    </xf>
    <xf numFmtId="0" fontId="4" fillId="7" borderId="1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 indent="1"/>
    </xf>
    <xf numFmtId="0" fontId="53" fillId="4" borderId="8" applyAlignment="1" pivotButton="0" quotePrefix="0" xfId="0">
      <alignment horizontal="center" vertical="center"/>
    </xf>
    <xf numFmtId="3" fontId="51" fillId="6" borderId="10" applyAlignment="1" pivotButton="0" quotePrefix="0" xfId="0">
      <alignment horizontal="right" vertical="center"/>
    </xf>
    <xf numFmtId="176" fontId="51" fillId="7" borderId="10" applyAlignment="1" pivotButton="0" quotePrefix="0" xfId="0">
      <alignment horizontal="right" vertical="center"/>
    </xf>
    <xf numFmtId="0" fontId="52" fillId="5" borderId="15" applyAlignment="1" pivotButton="0" quotePrefix="0" xfId="0">
      <alignment horizontal="left" vertical="center" indent="1"/>
    </xf>
    <xf numFmtId="165" fontId="32" fillId="6" borderId="15" applyAlignment="1" pivotButton="0" quotePrefix="0" xfId="0">
      <alignment horizontal="right" vertical="center"/>
    </xf>
    <xf numFmtId="165" fontId="32" fillId="5" borderId="15" applyAlignment="1" pivotButton="0" quotePrefix="0" xfId="0">
      <alignment horizontal="right" vertical="center"/>
    </xf>
    <xf numFmtId="176" fontId="32" fillId="5" borderId="15" applyAlignment="1" pivotButton="0" quotePrefix="0" xfId="0">
      <alignment horizontal="right" vertical="center"/>
    </xf>
    <xf numFmtId="0" fontId="0" fillId="5" borderId="15" pivotButton="0" quotePrefix="0" xfId="0"/>
    <xf numFmtId="0" fontId="54" fillId="6" borderId="16" applyAlignment="1" pivotButton="0" quotePrefix="0" xfId="0">
      <alignment horizontal="left" vertical="center"/>
    </xf>
    <xf numFmtId="0" fontId="0" fillId="6" borderId="16" pivotButton="0" quotePrefix="0" xfId="0"/>
    <xf numFmtId="0" fontId="10" fillId="7" borderId="0" applyAlignment="1" pivotButton="0" quotePrefix="0" xfId="0">
      <alignment horizontal="left" vertical="center"/>
    </xf>
    <xf numFmtId="0" fontId="0" fillId="2" borderId="0" pivotButton="0" quotePrefix="0" xfId="0"/>
    <xf numFmtId="0" fontId="25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5" fontId="35" fillId="7" borderId="0" applyAlignment="1" pivotButton="0" quotePrefix="0" xfId="0">
      <alignment horizontal="left" vertical="center" indent="1"/>
    </xf>
    <xf numFmtId="165" fontId="36" fillId="7" borderId="0" applyAlignment="1" pivotButton="0" quotePrefix="0" xfId="0">
      <alignment horizontal="left" vertical="center" indent="1"/>
    </xf>
    <xf numFmtId="165" fontId="37" fillId="7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6" applyAlignment="1" pivotButton="0" quotePrefix="0" xfId="0">
      <alignment horizontal="left" vertical="center"/>
    </xf>
    <xf numFmtId="0" fontId="5" fillId="2" borderId="6" applyAlignment="1" pivotButton="0" quotePrefix="0" xfId="0">
      <alignment horizontal="center" vertical="bottom" wrapText="1"/>
    </xf>
    <xf numFmtId="0" fontId="20" fillId="2" borderId="0" applyAlignment="1" pivotButton="0" quotePrefix="0" xfId="0">
      <alignment horizontal="left" vertical="center"/>
    </xf>
    <xf numFmtId="0" fontId="5" fillId="8" borderId="13" applyAlignment="1" pivotButton="0" quotePrefix="0" xfId="0">
      <alignment horizontal="left" vertical="center" indent="1"/>
    </xf>
    <xf numFmtId="0" fontId="0" fillId="8" borderId="13" pivotButton="0" quotePrefix="0" xfId="0"/>
    <xf numFmtId="176" fontId="32" fillId="7" borderId="14" applyAlignment="1" pivotButton="0" quotePrefix="0" xfId="0">
      <alignment horizontal="right" vertical="center"/>
    </xf>
    <xf numFmtId="0" fontId="38" fillId="8" borderId="13" applyAlignment="1" pivotButton="0" quotePrefix="0" xfId="0">
      <alignment horizontal="left" vertical="center"/>
    </xf>
    <xf numFmtId="176" fontId="3" fillId="7" borderId="3" applyAlignment="1" pivotButton="0" quotePrefix="0" xfId="0">
      <alignment horizontal="right" vertical="center"/>
    </xf>
    <xf numFmtId="0" fontId="4" fillId="8" borderId="13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 indent="1"/>
    </xf>
    <xf numFmtId="3" fontId="6" fillId="7" borderId="10" applyAlignment="1" pivotButton="0" quotePrefix="0" xfId="0">
      <alignment horizontal="right" vertical="center"/>
    </xf>
    <xf numFmtId="172" fontId="6" fillId="7" borderId="10" applyAlignment="1" pivotButton="0" quotePrefix="0" xfId="0">
      <alignment horizontal="right" vertical="center"/>
    </xf>
    <xf numFmtId="0" fontId="5" fillId="7" borderId="10" applyAlignment="1" pivotButton="0" quotePrefix="0" xfId="0">
      <alignment horizontal="left" vertical="center"/>
    </xf>
    <xf numFmtId="3" fontId="19" fillId="7" borderId="10" applyAlignment="1" pivotButton="0" quotePrefix="0" xfId="0">
      <alignment horizontal="right" vertical="center"/>
    </xf>
    <xf numFmtId="177" fontId="6" fillId="7" borderId="10" applyAlignment="1" pivotButton="0" quotePrefix="0" xfId="0">
      <alignment horizontal="right" vertical="center"/>
    </xf>
    <xf numFmtId="171" fontId="6" fillId="7" borderId="10" applyAlignment="1" pivotButton="0" quotePrefix="0" xfId="0">
      <alignment horizontal="right" vertical="center"/>
    </xf>
    <xf numFmtId="3" fontId="39" fillId="7" borderId="10" applyAlignment="1" pivotButton="0" quotePrefix="0" xfId="0">
      <alignment horizontal="right" vertical="center"/>
    </xf>
    <xf numFmtId="166" fontId="6" fillId="7" borderId="10" applyAlignment="1" pivotButton="0" quotePrefix="0" xfId="0">
      <alignment horizontal="right" vertical="center"/>
    </xf>
    <xf numFmtId="165" fontId="6" fillId="7" borderId="10" applyAlignment="1" pivotButton="0" quotePrefix="0" xfId="0">
      <alignment horizontal="right" vertical="center"/>
    </xf>
    <xf numFmtId="165" fontId="8" fillId="7" borderId="1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right" vertical="center"/>
    </xf>
    <xf numFmtId="0" fontId="26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175" fontId="40" fillId="5" borderId="1" applyAlignment="1" pivotButton="0" quotePrefix="0" xfId="0">
      <alignment horizontal="right" vertical="center"/>
    </xf>
    <xf numFmtId="0" fontId="41" fillId="5" borderId="1" applyAlignment="1" pivotButton="0" quotePrefix="0" xfId="0">
      <alignment horizontal="left" vertical="center"/>
    </xf>
    <xf numFmtId="0" fontId="42" fillId="9" borderId="10" applyAlignment="1" pivotButton="0" quotePrefix="0" xfId="0">
      <alignment horizontal="left" vertical="center"/>
    </xf>
    <xf numFmtId="0" fontId="6" fillId="9" borderId="10" applyAlignment="1" pivotButton="0" quotePrefix="0" xfId="0">
      <alignment horizontal="left" vertical="center"/>
    </xf>
    <xf numFmtId="165" fontId="6" fillId="9" borderId="10" applyAlignment="1" pivotButton="0" quotePrefix="0" xfId="0">
      <alignment horizontal="right" vertical="center"/>
    </xf>
    <xf numFmtId="0" fontId="4" fillId="9" borderId="10" applyAlignment="1" pivotButton="0" quotePrefix="0" xfId="0">
      <alignment horizontal="left" vertical="center"/>
    </xf>
    <xf numFmtId="166" fontId="6" fillId="9" borderId="10" applyAlignment="1" pivotButton="0" quotePrefix="0" xfId="0">
      <alignment horizontal="right" vertical="center"/>
    </xf>
    <xf numFmtId="175" fontId="6" fillId="9" borderId="10" applyAlignment="1" pivotButton="0" quotePrefix="0" xfId="0">
      <alignment horizontal="right" vertical="center"/>
    </xf>
    <xf numFmtId="0" fontId="29" fillId="5" borderId="1" applyAlignment="1" pivotButton="0" quotePrefix="0" xfId="0">
      <alignment horizontal="left" vertical="center"/>
    </xf>
    <xf numFmtId="175" fontId="43" fillId="5" borderId="1" applyAlignment="1" pivotButton="0" quotePrefix="0" xfId="0">
      <alignment horizontal="right" vertical="center"/>
    </xf>
    <xf numFmtId="0" fontId="44" fillId="5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175" fontId="46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left" vertical="center"/>
    </xf>
    <xf numFmtId="175" fontId="3" fillId="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left" vertical="center"/>
    </xf>
    <xf numFmtId="175" fontId="5" fillId="5" borderId="1" applyAlignment="1" pivotButton="0" quotePrefix="0" xfId="0">
      <alignment horizontal="right" vertical="center"/>
    </xf>
    <xf numFmtId="0" fontId="5" fillId="6" borderId="10" applyAlignment="1" pivotButton="0" quotePrefix="0" xfId="0">
      <alignment horizontal="left" vertical="center"/>
    </xf>
    <xf numFmtId="165" fontId="5" fillId="6" borderId="10" applyAlignment="1" pivotButton="0" quotePrefix="0" xfId="0">
      <alignment horizontal="right" vertical="center"/>
    </xf>
    <xf numFmtId="166" fontId="5" fillId="6" borderId="10" applyAlignment="1" pivotButton="0" quotePrefix="0" xfId="0">
      <alignment horizontal="right" vertical="center"/>
    </xf>
    <xf numFmtId="175" fontId="5" fillId="6" borderId="10" applyAlignment="1" pivotButton="0" quotePrefix="0" xfId="0">
      <alignment horizontal="right" vertical="center"/>
    </xf>
    <xf numFmtId="165" fontId="39" fillId="5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0" fontId="42" fillId="7" borderId="10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/>
    </xf>
    <xf numFmtId="175" fontId="6" fillId="7" borderId="10" applyAlignment="1" pivotButton="0" quotePrefix="0" xfId="0">
      <alignment horizontal="right" vertical="center"/>
    </xf>
    <xf numFmtId="165" fontId="48" fillId="5" borderId="1" applyAlignment="1" pivotButton="0" quotePrefix="0" xfId="0">
      <alignment horizontal="right" vertical="center"/>
    </xf>
    <xf numFmtId="10" fontId="5" fillId="7" borderId="10" applyAlignment="1" pivotButton="0" quotePrefix="0" xfId="0">
      <alignment horizontal="right" vertical="center"/>
    </xf>
    <xf numFmtId="166" fontId="5" fillId="7" borderId="10" applyAlignment="1" pivotButton="0" quotePrefix="0" xfId="0">
      <alignment horizontal="right" vertical="center"/>
    </xf>
    <xf numFmtId="175" fontId="5" fillId="7" borderId="10" applyAlignment="1" pivotButton="0" quotePrefix="0" xfId="0">
      <alignment horizontal="right" vertical="center"/>
    </xf>
    <xf numFmtId="165" fontId="26" fillId="7" borderId="10" applyAlignment="1" pivotButton="0" quotePrefix="0" xfId="0">
      <alignment horizontal="right" vertical="center"/>
    </xf>
    <xf numFmtId="165" fontId="32" fillId="7" borderId="10" applyAlignment="1" pivotButton="0" quotePrefix="0" xfId="0">
      <alignment horizontal="right" vertical="center"/>
    </xf>
    <xf numFmtId="165" fontId="40" fillId="7" borderId="10" applyAlignment="1" pivotButton="0" quotePrefix="0" xfId="0">
      <alignment horizontal="right" vertical="center"/>
    </xf>
    <xf numFmtId="0" fontId="32" fillId="7" borderId="11" applyAlignment="1" pivotButton="0" quotePrefix="0" xfId="0">
      <alignment horizontal="left" vertical="center"/>
    </xf>
    <xf numFmtId="0" fontId="0" fillId="7" borderId="11" pivotButton="0" quotePrefix="0" xfId="0"/>
    <xf numFmtId="0" fontId="32" fillId="7" borderId="0" applyAlignment="1" pivotButton="0" quotePrefix="0" xfId="0">
      <alignment horizontal="left" vertical="center"/>
    </xf>
    <xf numFmtId="0" fontId="4" fillId="7" borderId="12" applyAlignment="1" pivotButton="0" quotePrefix="0" xfId="0">
      <alignment horizontal="left" vertical="center"/>
    </xf>
    <xf numFmtId="0" fontId="0" fillId="7" borderId="12" pivotButton="0" quotePrefix="0" xfId="0"/>
    <xf numFmtId="0" fontId="6" fillId="7" borderId="10" applyAlignment="1" pivotButton="0" quotePrefix="0" xfId="0">
      <alignment horizontal="right" vertical="center"/>
    </xf>
    <xf numFmtId="0" fontId="26" fillId="7" borderId="10" applyAlignment="1" pivotButton="0" quotePrefix="0" xfId="0">
      <alignment horizontal="left" vertical="center"/>
    </xf>
    <xf numFmtId="0" fontId="27" fillId="7" borderId="10" applyAlignment="1" pivotButton="0" quotePrefix="0" xfId="0">
      <alignment horizontal="left" vertical="center"/>
    </xf>
    <xf numFmtId="0" fontId="21" fillId="7" borderId="10" applyAlignment="1" pivotButton="0" quotePrefix="0" xfId="0">
      <alignment horizontal="left" vertical="center"/>
    </xf>
    <xf numFmtId="0" fontId="28" fillId="7" borderId="10" applyAlignment="1" pivotButton="0" quotePrefix="0" xfId="0">
      <alignment horizontal="left" vertical="center"/>
    </xf>
    <xf numFmtId="0" fontId="29" fillId="7" borderId="10" applyAlignment="1" pivotButton="0" quotePrefix="0" xfId="0">
      <alignment horizontal="left" vertical="center"/>
    </xf>
    <xf numFmtId="0" fontId="30" fillId="7" borderId="10" applyAlignment="1" pivotButton="0" quotePrefix="0" xfId="0">
      <alignment horizontal="left" vertical="center"/>
    </xf>
    <xf numFmtId="174" fontId="6" fillId="7" borderId="10" applyAlignment="1" pivotButton="0" quotePrefix="0" xfId="0">
      <alignment horizontal="right" vertical="center"/>
    </xf>
    <xf numFmtId="167" fontId="6" fillId="7" borderId="10" applyAlignment="1" pivotButton="0" quotePrefix="0" xfId="0">
      <alignment horizontal="right" vertical="center"/>
    </xf>
    <xf numFmtId="165" fontId="5" fillId="7" borderId="10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74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170" fontId="6" fillId="7" borderId="10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26" fillId="7" borderId="5" applyAlignment="1" pivotButton="0" quotePrefix="0" xfId="0">
      <alignment horizontal="left" vertical="center"/>
    </xf>
    <xf numFmtId="0" fontId="6" fillId="7" borderId="5" applyAlignment="1" pivotButton="0" quotePrefix="0" xfId="0">
      <alignment horizontal="left" vertical="center"/>
    </xf>
    <xf numFmtId="0" fontId="29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24" fillId="7" borderId="10" applyAlignment="1" pivotButton="0" quotePrefix="0" xfId="0">
      <alignment horizontal="left" vertical="center"/>
    </xf>
    <xf numFmtId="0" fontId="31" fillId="2" borderId="0" applyAlignment="1" pivotButton="0" quotePrefix="0" xfId="0">
      <alignment horizontal="left" vertical="center"/>
    </xf>
    <xf numFmtId="0" fontId="32" fillId="7" borderId="2" applyAlignment="1" pivotButton="0" quotePrefix="0" xfId="0">
      <alignment horizontal="left" vertical="center"/>
    </xf>
    <xf numFmtId="0" fontId="5" fillId="8" borderId="10" applyAlignment="1" pivotButton="0" quotePrefix="0" xfId="0">
      <alignment horizontal="left" vertical="center"/>
    </xf>
    <xf numFmtId="170" fontId="6" fillId="8" borderId="10" applyAlignment="1" pivotButton="0" quotePrefix="0" xfId="0">
      <alignment horizontal="right" vertical="center"/>
    </xf>
    <xf numFmtId="3" fontId="6" fillId="8" borderId="10" applyAlignment="1" pivotButton="0" quotePrefix="0" xfId="0">
      <alignment horizontal="right" vertical="center"/>
    </xf>
    <xf numFmtId="0" fontId="6" fillId="8" borderId="10" applyAlignment="1" pivotButton="0" quotePrefix="0" xfId="0">
      <alignment horizontal="left" vertical="center"/>
    </xf>
    <xf numFmtId="0" fontId="23" fillId="8" borderId="10" applyAlignment="1" pivotButton="0" quotePrefix="0" xfId="0">
      <alignment horizontal="left" vertical="center"/>
    </xf>
    <xf numFmtId="170" fontId="24" fillId="8" borderId="10" applyAlignment="1" pivotButton="0" quotePrefix="0" xfId="0">
      <alignment horizontal="right" vertical="center"/>
    </xf>
    <xf numFmtId="3" fontId="24" fillId="8" borderId="10" applyAlignment="1" pivotButton="0" quotePrefix="0" xfId="0">
      <alignment horizontal="right" vertical="center"/>
    </xf>
    <xf numFmtId="0" fontId="24" fillId="8" borderId="10" applyAlignment="1" pivotButton="0" quotePrefix="0" xfId="0">
      <alignment horizontal="left" vertical="center"/>
    </xf>
    <xf numFmtId="0" fontId="6" fillId="6" borderId="10" applyAlignment="1" pivotButton="0" quotePrefix="0" xfId="0">
      <alignment horizontal="left" vertical="center"/>
    </xf>
    <xf numFmtId="0" fontId="21" fillId="6" borderId="10" applyAlignment="1" pivotButton="0" quotePrefix="0" xfId="0">
      <alignment horizontal="left" vertical="center"/>
    </xf>
    <xf numFmtId="0" fontId="29" fillId="6" borderId="10" applyAlignment="1" pivotButton="0" quotePrefix="0" xfId="0">
      <alignment horizontal="left" vertical="center"/>
    </xf>
    <xf numFmtId="0" fontId="30" fillId="6" borderId="10" applyAlignment="1" pivotButton="0" quotePrefix="0" xfId="0">
      <alignment horizontal="left" vertical="center"/>
    </xf>
    <xf numFmtId="0" fontId="20" fillId="7" borderId="10" applyAlignment="1" pivotButton="0" quotePrefix="0" xfId="0">
      <alignment horizontal="left" vertical="center"/>
    </xf>
    <xf numFmtId="0" fontId="33" fillId="7" borderId="10" applyAlignment="1" pivotButton="0" quotePrefix="0" xfId="0">
      <alignment horizontal="left" vertical="center"/>
    </xf>
    <xf numFmtId="0" fontId="5" fillId="9" borderId="10" applyAlignment="1" pivotButton="0" quotePrefix="0" xfId="0">
      <alignment horizontal="left" vertical="center"/>
    </xf>
    <xf numFmtId="0" fontId="34" fillId="9" borderId="10" applyAlignment="1" pivotButton="0" quotePrefix="0" xfId="0">
      <alignment horizontal="left" vertical="center"/>
    </xf>
    <xf numFmtId="0" fontId="3" fillId="7" borderId="1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C41822"/>
        <sz val="8"/>
      </font>
    </dxf>
    <dxf>
      <font>
        <name val="Arial"/>
        <color rgb="00C41822"/>
        <sz val="8.5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AJ7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hidden="1" outlineLevel="1" width="11.5" customWidth="1" min="4" max="4"/>
    <col hidden="1" outlineLevel="1" width="11.5" customWidth="1" min="5" max="5"/>
    <col width="11.5" customWidth="1" min="6" max="6"/>
    <col hidden="1" outlineLevel="1" width="11.5" customWidth="1" min="7" max="7"/>
    <col hidden="1" outlineLevel="1" width="11.5" customWidth="1" min="8" max="8"/>
    <col width="11.5" customWidth="1" min="9" max="9"/>
    <col width="11.5" customWidth="1" min="10" max="10"/>
    <col hidden="1" outlineLevel="1" width="11.5" customWidth="1" min="11" max="11"/>
    <col hidden="1" outlineLevel="1" width="11.5" customWidth="1" min="12" max="12"/>
    <col width="11.5" customWidth="1" min="13" max="13"/>
    <col hidden="1" outlineLevel="1" width="11.5" customWidth="1" min="14" max="14"/>
    <col hidden="1" outlineLevel="1"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outlineLevel="1" width="13" customWidth="1" min="30" max="30"/>
    <col outlineLevel="1" width="13" customWidth="1" min="31" max="31"/>
    <col outlineLevel="1" width="13" customWidth="1" min="32" max="32"/>
    <col outlineLevel="1" width="22" customWidth="1" min="33" max="33"/>
    <col outlineLevel="1" width="13" customWidth="1" min="34" max="34"/>
    <col outlineLevel="1" width="13" customWidth="1" min="35" max="35"/>
    <col outlineLevel="1" width="13" customWidth="1" min="36" max="36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D1" s="3" t="inlineStr">
        <is>
          <t>LA ZONE D'HYPOTHÈSES  ·  collez ici la sortie de Q_HYPOTHESES.sql</t>
        </is>
      </c>
    </row>
    <row r="2" ht="24" customHeight="1">
      <c r="A2" s="1" t="n"/>
      <c r="B2" s="4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D2" s="5" t="inlineStr">
        <is>
          <t>Tout le classeur la lit. Repliez-la d'un clic sur le « − » de la marge quand vous présentez.</t>
        </is>
      </c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D3" s="7" t="inlineStr">
        <is>
          <t>Ordre</t>
        </is>
      </c>
      <c r="AE3" s="7" t="inlineStr">
        <is>
          <t>Famille</t>
        </is>
      </c>
      <c r="AF3" s="7" t="inlineStr">
        <is>
          <t>Code</t>
        </is>
      </c>
      <c r="AG3" s="7" t="inlineStr">
        <is>
          <t>Libellé</t>
        </is>
      </c>
      <c r="AH3" s="7" t="inlineStr">
        <is>
          <t>Cadrage</t>
        </is>
      </c>
      <c r="AI3" s="7" t="inlineStr">
        <is>
          <t>Optimiste</t>
        </is>
      </c>
      <c r="AJ3" s="7" t="inlineStr">
        <is>
          <t>Prudent</t>
        </is>
      </c>
    </row>
    <row r="4" ht="22" customHeight="1">
      <c r="A4" s="8" t="n"/>
      <c r="B4" s="9" t="inlineStr">
        <is>
          <t>LE GESTE  ·  dicté par le scénario</t>
        </is>
      </c>
      <c r="C4" s="10" t="n"/>
      <c r="D4" s="11" t="inlineStr">
        <is>
          <t>Δ budget d'acquisition</t>
        </is>
      </c>
      <c r="E4" s="10" t="n"/>
      <c r="F4" s="12">
        <f>INDEX('Le moteur'!$AH$4:$AJ$15,MATCH("HYP_ACQ_BUD",'Le moteur'!$AF$4:$AF$15,0),MATCH('Le moteur'!$N$4,'Le moteur'!$AH$3:$AJ$3,0))</f>
        <v/>
      </c>
      <c r="G4" s="10" t="n"/>
      <c r="H4" s="11" t="inlineStr">
        <is>
          <t>Δ budget de marque</t>
        </is>
      </c>
      <c r="I4" s="10" t="n"/>
      <c r="J4" s="12">
        <f>INDEX('Le moteur'!$AH$4:$AJ$15,MATCH("HYP_BRAND_BUD",'Le moteur'!$AF$4:$AF$15,0),MATCH('Le moteur'!$N$4,'Le moteur'!$AH$3:$AJ$3,0))</f>
        <v/>
      </c>
      <c r="K4" s="10" t="n"/>
      <c r="L4" s="11" t="inlineStr">
        <is>
          <t>SCÉNARIO</t>
        </is>
      </c>
      <c r="M4" s="10" t="n"/>
      <c r="N4" s="13" t="inlineStr">
        <is>
          <t>Cadrage</t>
        </is>
      </c>
      <c r="O4" s="10" t="n"/>
      <c r="P4" s="14" t="inlineStr">
        <is>
          <t>un clic ici déplace tout le classeur</t>
        </is>
      </c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D4" s="15" t="n">
        <v>1</v>
      </c>
      <c r="AE4" s="16" t="inlineStr">
        <is>
          <t>Croissance</t>
        </is>
      </c>
      <c r="AF4" s="16" t="inlineStr">
        <is>
          <t>HYP_ACQ_BUD</t>
        </is>
      </c>
      <c r="AG4" s="16" t="inlineStr">
        <is>
          <t>Variation du budget acquisition</t>
        </is>
      </c>
      <c r="AH4" s="17" t="n">
        <v>0.08</v>
      </c>
      <c r="AI4" s="17" t="n">
        <v>0.15</v>
      </c>
      <c r="AJ4" s="17" t="n">
        <v>-0.05</v>
      </c>
    </row>
    <row r="5" ht="8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D5" s="15" t="n">
        <v>2</v>
      </c>
      <c r="AE5" s="16" t="inlineStr">
        <is>
          <t>Croissance</t>
        </is>
      </c>
      <c r="AF5" s="16" t="inlineStr">
        <is>
          <t>HYP_BRAND_BUD</t>
        </is>
      </c>
      <c r="AG5" s="16" t="inlineStr">
        <is>
          <t>Variation du budget de marque</t>
        </is>
      </c>
      <c r="AH5" s="17" t="n">
        <v>0.1</v>
      </c>
      <c r="AI5" s="17" t="n">
        <v>0.15</v>
      </c>
      <c r="AJ5" s="17" t="n">
        <v>-0.05</v>
      </c>
    </row>
    <row r="6" ht="24" customHeight="1">
      <c r="A6" s="8" t="n"/>
      <c r="B6" s="18">
        <f>"Je dépense "&amp;TEXT(H61,"#,##0 €")&amp;".   J'encaisse "&amp;TEXT(J61,"#,##0 €")&amp;".   Les servir coûte "&amp;TEXT(I61*K61,"#,##0 €")&amp;".   Il me reste "&amp;TEXT(L61,"#,##0 €")&amp;"."</f>
        <v/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D6" s="15" t="n">
        <v>3</v>
      </c>
      <c r="AE6" s="16" t="inlineStr">
        <is>
          <t>Croissance</t>
        </is>
      </c>
      <c r="AF6" s="16" t="inlineStr">
        <is>
          <t>HYP_PRICE</t>
        </is>
      </c>
      <c r="AG6" s="16" t="inlineStr">
        <is>
          <t>Hausse tarifaire</t>
        </is>
      </c>
      <c r="AH6" s="17" t="n">
        <v>0.0029</v>
      </c>
      <c r="AI6" s="17" t="n">
        <v>0.035</v>
      </c>
      <c r="AJ6" s="17" t="n">
        <v>0.02</v>
      </c>
    </row>
    <row r="7" ht="8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D7" s="15" t="n">
        <v>4</v>
      </c>
      <c r="AE7" s="16" t="inlineStr">
        <is>
          <t>Croissance</t>
        </is>
      </c>
      <c r="AF7" s="16" t="inlineStr">
        <is>
          <t>HYP_CNV_LEAD_CAND</t>
        </is>
      </c>
      <c r="AG7" s="16" t="inlineStr">
        <is>
          <t>Gain conversion Lead → Candidature</t>
        </is>
      </c>
      <c r="AH7" s="17" t="n">
        <v>0.01</v>
      </c>
      <c r="AI7" s="17" t="n">
        <v>0.03</v>
      </c>
      <c r="AJ7" s="17" t="n">
        <v>-0.01</v>
      </c>
    </row>
    <row r="8" ht="3" customHeight="1">
      <c r="A8" s="8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  <c r="N8" s="19" t="n"/>
      <c r="O8" s="19" t="n"/>
      <c r="P8" s="19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D8" s="15" t="n">
        <v>5</v>
      </c>
      <c r="AE8" s="16" t="inlineStr">
        <is>
          <t>Croissance</t>
        </is>
      </c>
      <c r="AF8" s="16" t="inlineStr">
        <is>
          <t>HYP_CNV_ADM_INS</t>
        </is>
      </c>
      <c r="AG8" s="16" t="inlineStr">
        <is>
          <t>Gain conversion Admis → Inscrit</t>
        </is>
      </c>
      <c r="AH8" s="17" t="n">
        <v>0.01</v>
      </c>
      <c r="AI8" s="17" t="n">
        <v>0.025</v>
      </c>
      <c r="AJ8" s="17" t="n">
        <v>-0.01</v>
      </c>
    </row>
    <row r="9" ht="12" customHeight="1">
      <c r="A9" s="8" t="n"/>
      <c r="B9" s="20" t="inlineStr">
        <is>
          <t>JE DÉPENSE</t>
        </is>
      </c>
      <c r="C9" s="8" t="n"/>
      <c r="D9" s="8" t="n"/>
      <c r="E9" s="20" t="inlineStr">
        <is>
          <t>J'ENCAISSE</t>
        </is>
      </c>
      <c r="F9" s="8" t="n"/>
      <c r="G9" s="8" t="n"/>
      <c r="H9" s="20" t="inlineStr">
        <is>
          <t>LES SERVIR COÛTE</t>
        </is>
      </c>
      <c r="I9" s="8" t="n"/>
      <c r="J9" s="8" t="n"/>
      <c r="K9" s="20" t="inlineStr">
        <is>
          <t>IL ME RESTE</t>
        </is>
      </c>
      <c r="L9" s="8" t="n"/>
      <c r="M9" s="8" t="n"/>
      <c r="N9" s="20" t="inlineStr">
        <is>
          <t>PAR EURO INVESTI</t>
        </is>
      </c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D9" s="15" t="n">
        <v>6</v>
      </c>
      <c r="AE9" s="16" t="inlineStr">
        <is>
          <t>Croissance</t>
        </is>
      </c>
      <c r="AF9" s="16" t="inlineStr">
        <is>
          <t>HYP_PASS_RATE</t>
        </is>
      </c>
      <c r="AG9" s="16" t="inlineStr">
        <is>
          <t>Amélioration du taux de passage</t>
        </is>
      </c>
      <c r="AH9" s="17" t="n">
        <v>0.005</v>
      </c>
      <c r="AI9" s="17" t="n">
        <v>0.015</v>
      </c>
      <c r="AJ9" s="17" t="n">
        <v>-0.01</v>
      </c>
    </row>
    <row r="10" ht="28" customHeight="1">
      <c r="A10" s="8" t="n"/>
      <c r="B10" s="21">
        <f>H61</f>
        <v/>
      </c>
      <c r="C10" s="8" t="n"/>
      <c r="D10" s="8" t="n"/>
      <c r="E10" s="22">
        <f>J61</f>
        <v/>
      </c>
      <c r="F10" s="8" t="n"/>
      <c r="G10" s="8" t="n"/>
      <c r="H10" s="21">
        <f>I61*K61</f>
        <v/>
      </c>
      <c r="I10" s="8" t="n"/>
      <c r="J10" s="8" t="n"/>
      <c r="K10" s="23">
        <f>L61</f>
        <v/>
      </c>
      <c r="L10" s="8" t="n"/>
      <c r="M10" s="8" t="n"/>
      <c r="N10" s="24">
        <f>IFERROR(L61/H61,0)</f>
        <v/>
      </c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D10" s="15" t="n">
        <v>7</v>
      </c>
      <c r="AE10" s="16" t="inlineStr">
        <is>
          <t>Coûts</t>
        </is>
      </c>
      <c r="AF10" s="16" t="inlineStr">
        <is>
          <t>HYP_INFL_EXT</t>
        </is>
      </c>
      <c r="AG10" s="16" t="inlineStr">
        <is>
          <t>Inflation des charges externes</t>
        </is>
      </c>
      <c r="AH10" s="17" t="n">
        <v>0.02</v>
      </c>
      <c r="AI10" s="17" t="n">
        <v>0.015</v>
      </c>
      <c r="AJ10" s="17" t="n">
        <v>0.03</v>
      </c>
    </row>
    <row r="11" ht="14" customHeight="1">
      <c r="A11" s="8" t="n"/>
      <c r="B11" s="25" t="inlineStr">
        <is>
          <t>le Δ appliqué au budget 2026</t>
        </is>
      </c>
      <c r="C11" s="10" t="n"/>
      <c r="D11" s="10" t="n"/>
      <c r="E11" s="25" t="inlineStr">
        <is>
          <t>les inscrits gagnés × le CA par inscrit</t>
        </is>
      </c>
      <c r="F11" s="10" t="n"/>
      <c r="G11" s="10" t="n"/>
      <c r="H11" s="25" t="inlineStr">
        <is>
          <t>consommables, et vacataire si une classe doit ouvrir</t>
        </is>
      </c>
      <c r="I11" s="10" t="n"/>
      <c r="J11" s="10" t="n"/>
      <c r="K11" s="25" t="inlineStr">
        <is>
          <t>d'EBITDA en plus, première année</t>
        </is>
      </c>
      <c r="L11" s="10" t="n"/>
      <c r="M11" s="10" t="n"/>
      <c r="N11" s="25" t="inlineStr">
        <is>
          <t>d'EBITDA pour un euro d'acquisition</t>
        </is>
      </c>
      <c r="O11" s="10" t="n"/>
      <c r="P11" s="10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D11" s="15" t="n">
        <v>8</v>
      </c>
      <c r="AE11" s="16" t="inlineStr">
        <is>
          <t>Coûts</t>
        </is>
      </c>
      <c r="AF11" s="16" t="inlineStr">
        <is>
          <t>HYP_SALARY</t>
        </is>
      </c>
      <c r="AG11" s="16" t="inlineStr">
        <is>
          <t>Politique salariale</t>
        </is>
      </c>
      <c r="AH11" s="17" t="n">
        <v>0.025</v>
      </c>
      <c r="AI11" s="17" t="n">
        <v>0.02</v>
      </c>
      <c r="AJ11" s="17" t="n">
        <v>0.03</v>
      </c>
    </row>
    <row r="12" ht="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D12" s="15" t="n">
        <v>9</v>
      </c>
      <c r="AE12" s="16" t="inlineStr">
        <is>
          <t>Coûts</t>
        </is>
      </c>
      <c r="AF12" s="16" t="inlineStr">
        <is>
          <t>HYP_FTE_PERM</t>
        </is>
      </c>
      <c r="AG12" s="16" t="inlineStr">
        <is>
          <t>Variation des effectifs permanents</t>
        </is>
      </c>
      <c r="AH12" s="17" t="n">
        <v>0.04</v>
      </c>
      <c r="AI12" s="17" t="n">
        <v>0.03</v>
      </c>
      <c r="AJ12" s="17" t="n">
        <v>0.05</v>
      </c>
    </row>
    <row r="13" ht="20" customHeight="1">
      <c r="A13" s="8" t="n"/>
      <c r="B13" s="26">
        <f>"JUSQU'OÙ ?   Le geste gagne "&amp;TEXT(I61,"#,##0")&amp;" inscrits pour "&amp;TEXT(G61,"#,##0")&amp;" places libres dans le réseau, soit "&amp;TEXT(I61/G61,"0.0%")&amp;" de la capacité disponible."</f>
        <v/>
      </c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D13" s="15" t="n">
        <v>10</v>
      </c>
      <c r="AE13" s="16" t="inlineStr">
        <is>
          <t>Coûts</t>
        </is>
      </c>
      <c r="AF13" s="16" t="inlineStr">
        <is>
          <t>HYP_PRODUCTIVITY</t>
        </is>
      </c>
      <c r="AG13" s="16" t="inlineStr">
        <is>
          <t>Effort de productivité</t>
        </is>
      </c>
      <c r="AH13" s="17" t="n">
        <v>0.0185</v>
      </c>
      <c r="AI13" s="17" t="n">
        <v>0.03</v>
      </c>
      <c r="AJ13" s="17" t="n">
        <v>0</v>
      </c>
    </row>
    <row r="14" ht="16" customHeight="1">
      <c r="A14" s="8" t="n"/>
      <c r="B14" s="28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D14" s="15" t="n">
        <v>11</v>
      </c>
      <c r="AE14" s="16" t="inlineStr">
        <is>
          <t>Coûts</t>
        </is>
      </c>
      <c r="AF14" s="16" t="inlineStr">
        <is>
          <t>HYP_STRUCT_COST</t>
        </is>
      </c>
      <c r="AG14" s="16" t="inlineStr">
        <is>
          <t>Variation des coûts de structure</t>
        </is>
      </c>
      <c r="AH14" s="17" t="n">
        <v>0</v>
      </c>
      <c r="AI14" s="17" t="n">
        <v>-0.03</v>
      </c>
      <c r="AJ14" s="17" t="n">
        <v>0.04</v>
      </c>
    </row>
    <row r="15" ht="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D15" s="15" t="n">
        <v>12</v>
      </c>
      <c r="AE15" s="16" t="inlineStr">
        <is>
          <t>Constante</t>
        </is>
      </c>
      <c r="AF15" s="16" t="inlineStr">
        <is>
          <t>HYP_FILE_FEE</t>
        </is>
      </c>
      <c r="AG15" s="16" t="inlineStr">
        <is>
          <t>Frais de dossier par nouvel inscrit</t>
        </is>
      </c>
      <c r="AH15" s="29" t="n">
        <v>90</v>
      </c>
      <c r="AI15" s="29" t="n">
        <v>90</v>
      </c>
      <c r="AJ15" s="29" t="n">
        <v>90</v>
      </c>
    </row>
    <row r="16" ht="3" customHeight="1">
      <c r="A16" s="8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6" t="n"/>
      <c r="O16" s="6" t="n"/>
      <c r="P16" s="6" t="n"/>
      <c r="Q16" s="6" t="n"/>
      <c r="R16" s="6" t="n"/>
      <c r="S16" s="6" t="n"/>
      <c r="T16" s="8" t="n"/>
      <c r="U16" s="8" t="n"/>
      <c r="V16" s="8" t="n"/>
      <c r="W16" s="8" t="n"/>
      <c r="X16" s="8" t="n"/>
      <c r="Y16" s="8" t="n"/>
      <c r="Z16" s="8" t="n"/>
      <c r="AA16" s="8" t="n"/>
    </row>
    <row r="17" ht="12" customHeight="1">
      <c r="A17" s="8" t="n"/>
      <c r="B17" s="20" t="inlineStr">
        <is>
          <t>L'EURO D'ACQUISITION</t>
        </is>
      </c>
      <c r="C17" s="8" t="n"/>
      <c r="D17" s="8" t="n"/>
      <c r="E17" s="8" t="n"/>
      <c r="F17" s="8" t="n"/>
      <c r="G17" s="8" t="n"/>
      <c r="H17" s="20" t="inlineStr">
        <is>
          <t>L'EURO DE MARQUE</t>
        </is>
      </c>
      <c r="I17" s="8" t="n"/>
      <c r="J17" s="8" t="n"/>
      <c r="K17" s="8" t="n"/>
      <c r="L17" s="8" t="n"/>
      <c r="M17" s="8" t="n"/>
      <c r="N17" s="20" t="inlineStr">
        <is>
          <t>LE RAPPORT</t>
        </is>
      </c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</row>
    <row r="18" ht="28" customHeight="1">
      <c r="A18" s="8" t="n"/>
      <c r="B18" s="30">
        <f>IFERROR(J61/H61,0)</f>
        <v/>
      </c>
      <c r="C18" s="8" t="n"/>
      <c r="D18" s="8" t="n"/>
      <c r="E18" s="8" t="n"/>
      <c r="F18" s="8" t="n"/>
      <c r="G18" s="8" t="n"/>
      <c r="H18" s="31">
        <f>IFERROR(P61/N61,0)</f>
        <v/>
      </c>
      <c r="I18" s="8" t="n"/>
      <c r="J18" s="8" t="n"/>
      <c r="K18" s="8" t="n"/>
      <c r="L18" s="8" t="n"/>
      <c r="M18" s="8" t="n"/>
      <c r="N18" s="32">
        <f>IFERROR(R61,0)</f>
        <v/>
      </c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</row>
    <row r="19" ht="14" customHeight="1">
      <c r="A19" s="8" t="n"/>
      <c r="B19" s="25" t="inlineStr">
        <is>
          <t>de chiffre d'affaires pour un euro dépensé</t>
        </is>
      </c>
      <c r="C19" s="10" t="n"/>
      <c r="D19" s="10" t="n"/>
      <c r="E19" s="10" t="n"/>
      <c r="F19" s="10" t="n"/>
      <c r="G19" s="10" t="n"/>
      <c r="H19" s="25" t="inlineStr">
        <is>
          <t>de chiffre d'affaires pour un euro dépensé</t>
        </is>
      </c>
      <c r="I19" s="10" t="n"/>
      <c r="J19" s="10" t="n"/>
      <c r="K19" s="10" t="n"/>
      <c r="L19" s="10" t="n"/>
      <c r="M19" s="10" t="n"/>
      <c r="N19" s="25" t="inlineStr">
        <is>
          <t>et pourtant le budget de marque est 56 % plus gros</t>
        </is>
      </c>
      <c r="O19" s="10" t="n"/>
      <c r="P19" s="10" t="n"/>
      <c r="Q19" s="10" t="n"/>
      <c r="R19" s="10" t="n"/>
      <c r="S19" s="10" t="n"/>
      <c r="T19" s="8" t="n"/>
      <c r="U19" s="8" t="n"/>
      <c r="V19" s="8" t="n"/>
      <c r="W19" s="8" t="n"/>
      <c r="X19" s="8" t="n"/>
      <c r="Y19" s="8" t="n"/>
      <c r="Z19" s="8" t="n"/>
      <c r="AA19" s="8" t="n"/>
    </row>
    <row r="20" ht="8" customHeight="1">
      <c r="A20" s="8" t="n"/>
      <c r="B20" s="33" t="inlineStr">
        <is>
          <t>À horizon un an, et à effort relatif égal. La marque se juge sur trois ans : une régression sur trois exercices ne capte que l'effet de l'année. La conclusion défendable n'est pas « coupez la marque », c'est « si elle rapporte à trois ans, il faut le mesurer, pas le supposer ».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</row>
    <row r="21" ht="20" customHeight="1">
      <c r="A21" s="8" t="n"/>
      <c r="B21" s="34" t="inlineStr">
        <is>
          <t>①  CE QUI VIENT DE LA BASE  ·  une ligne par campus, aucun calcul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</row>
    <row r="22" ht="14" customHeight="1">
      <c r="A22" s="8" t="n"/>
      <c r="B22" s="33" t="inlineStr">
        <is>
          <t>Ces vingt-six colonnes sortent de la base. Elles sont additives : on peut les sommer, les filtrer, les remonter à la marque — rien n'y est un ratio.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</row>
    <row r="24" ht="34" customHeight="1">
      <c r="A24" s="8" t="n"/>
      <c r="B24" s="35" t="inlineStr">
        <is>
          <t>Marque</t>
        </is>
      </c>
      <c r="C24" s="35" t="inlineStr">
        <is>
          <t>Campus</t>
        </is>
      </c>
      <c r="D24" s="36" t="inlineStr">
        <is>
          <t>Leads payants 2024</t>
        </is>
      </c>
      <c r="E24" s="36" t="inlineStr">
        <is>
          <t>Leads payants 2025</t>
        </is>
      </c>
      <c r="F24" s="36" t="inlineStr">
        <is>
          <t>Leads payants 2026</t>
        </is>
      </c>
      <c r="G24" s="36" t="inlineStr">
        <is>
          <t>Budget acq. 2024</t>
        </is>
      </c>
      <c r="H24" s="36" t="inlineStr">
        <is>
          <t>Budget acq. 2025</t>
        </is>
      </c>
      <c r="I24" s="36" t="inlineStr">
        <is>
          <t>Budget acq. 2026</t>
        </is>
      </c>
      <c r="J24" s="36" t="inlineStr">
        <is>
          <t>Élasticité payante</t>
        </is>
      </c>
      <c r="K24" s="36" t="inlineStr">
        <is>
          <t>Leads organiques 2024</t>
        </is>
      </c>
      <c r="L24" s="36" t="inlineStr">
        <is>
          <t>Leads organiques 2025</t>
        </is>
      </c>
      <c r="M24" s="36" t="inlineStr">
        <is>
          <t>Leads organiques 2026</t>
        </is>
      </c>
      <c r="N24" s="36" t="inlineStr">
        <is>
          <t>Budget marque 2024</t>
        </is>
      </c>
      <c r="O24" s="36" t="inlineStr">
        <is>
          <t>Budget marque 2025</t>
        </is>
      </c>
      <c r="P24" s="36" t="inlineStr">
        <is>
          <t>Budget marque 2026</t>
        </is>
      </c>
      <c r="Q24" s="36" t="inlineStr">
        <is>
          <t>Élasticité organique</t>
        </is>
      </c>
      <c r="R24" s="36" t="inlineStr">
        <is>
          <t>Leads totaux 2026</t>
        </is>
      </c>
      <c r="S24" s="36" t="inlineStr">
        <is>
          <t>Inscrits 2026</t>
        </is>
      </c>
      <c r="T24" s="36" t="inlineStr">
        <is>
          <t>CA nouveaux 2026</t>
        </is>
      </c>
      <c r="U24" s="36" t="inlineStr">
        <is>
          <t>Effectifs 2026</t>
        </is>
      </c>
      <c r="V24" s="36" t="inlineStr">
        <is>
          <t>Places 2026</t>
        </is>
      </c>
      <c r="W24" s="36" t="inlineStr">
        <is>
          <t>Classes 2026</t>
        </is>
      </c>
      <c r="X24" s="36" t="inlineStr">
        <is>
          <t>Heures d'enseignement 2026</t>
        </is>
      </c>
      <c r="Y24" s="36" t="inlineStr">
        <is>
          <t>Consommables 604+6063</t>
        </is>
      </c>
      <c r="Z24" s="36" t="inlineStr">
        <is>
          <t>Vacataires 621</t>
        </is>
      </c>
      <c r="AA24" s="36" t="inlineStr">
        <is>
          <t>Enseignants permanents 6411</t>
        </is>
      </c>
    </row>
    <row r="25">
      <c r="A25" s="8" t="n"/>
      <c r="B25" s="37" t="inlineStr">
        <is>
          <t>Ipac Bachelor Factory</t>
        </is>
      </c>
      <c r="C25" s="38" t="inlineStr">
        <is>
          <t>Montpellier</t>
        </is>
      </c>
      <c r="D25" s="39" t="n">
        <v>377</v>
      </c>
      <c r="E25" s="39" t="n">
        <v>399</v>
      </c>
      <c r="F25" s="39" t="n">
        <v>422</v>
      </c>
      <c r="G25" s="40" t="n">
        <v>12543</v>
      </c>
      <c r="H25" s="40" t="n">
        <v>13798</v>
      </c>
      <c r="I25" s="40" t="n">
        <v>15178</v>
      </c>
      <c r="J25" s="41">
        <f>(3*(LN(G25)*LN(D25)+LN(H25)*LN(E25)+LN(I25)*LN(F25))-(LN(G25)+LN(H25)+LN(I25))*(LN(D25)+LN(E25)+LN(F25)))/(3*(LN(G25)^2+LN(H25)^2+LN(I25)^2)-(LN(G25)+LN(H25)+LN(I25))^2)</f>
        <v/>
      </c>
      <c r="K25" s="39" t="n">
        <v>217</v>
      </c>
      <c r="L25" s="39" t="n">
        <v>237</v>
      </c>
      <c r="M25" s="39" t="n">
        <v>258</v>
      </c>
      <c r="N25" s="40" t="n">
        <v>13581</v>
      </c>
      <c r="O25" s="40" t="n">
        <v>17870</v>
      </c>
      <c r="P25" s="40" t="n">
        <v>23514</v>
      </c>
      <c r="Q25" s="41">
        <f>(3*(LN(N25)*LN(K25)+LN(O25)*LN(L25)+LN(P25)*LN(M25))-(LN(N25)+LN(O25)+LN(P25))*(LN(K25)+LN(L25)+LN(M25)))/(3*(LN(N25)^2+LN(O25)^2+LN(P25)^2)-(LN(N25)+LN(O25)+LN(P25))^2)</f>
        <v/>
      </c>
      <c r="R25" s="39" t="n">
        <v>680</v>
      </c>
      <c r="S25" s="39" t="n">
        <v>40</v>
      </c>
      <c r="T25" s="40" t="n">
        <v>269600</v>
      </c>
      <c r="U25" s="39" t="n">
        <v>117</v>
      </c>
      <c r="V25" s="39" t="n">
        <v>192</v>
      </c>
      <c r="W25" s="39" t="n">
        <v>6</v>
      </c>
      <c r="X25" s="42" t="n">
        <v>2880</v>
      </c>
      <c r="Y25" s="40" t="n">
        <v>43535</v>
      </c>
      <c r="Z25" s="40" t="n">
        <v>72438</v>
      </c>
      <c r="AA25" s="40" t="n">
        <v>136087.43</v>
      </c>
    </row>
    <row r="26">
      <c r="A26" s="8" t="n"/>
      <c r="B26" s="37" t="inlineStr"/>
      <c r="C26" s="38" t="inlineStr">
        <is>
          <t>Nantes</t>
        </is>
      </c>
      <c r="D26" s="39" t="n">
        <v>489</v>
      </c>
      <c r="E26" s="39" t="n">
        <v>516</v>
      </c>
      <c r="F26" s="39" t="n">
        <v>544</v>
      </c>
      <c r="G26" s="40" t="n">
        <v>17983</v>
      </c>
      <c r="H26" s="40" t="n">
        <v>19782</v>
      </c>
      <c r="I26" s="40" t="n">
        <v>21760</v>
      </c>
      <c r="J26" s="41">
        <f>(3*(LN(G26)*LN(D26)+LN(H26)*LN(E26)+LN(I26)*LN(F26))-(LN(G26)+LN(H26)+LN(I26))*(LN(D26)+LN(E26)+LN(F26)))/(3*(LN(G26)^2+LN(H26)^2+LN(I26)^2)-(LN(G26)+LN(H26)+LN(I26))^2)</f>
        <v/>
      </c>
      <c r="K26" s="39" t="n">
        <v>258</v>
      </c>
      <c r="L26" s="39" t="n">
        <v>281</v>
      </c>
      <c r="M26" s="39" t="n">
        <v>306</v>
      </c>
      <c r="N26" s="40" t="n">
        <v>15937</v>
      </c>
      <c r="O26" s="40" t="n">
        <v>21082</v>
      </c>
      <c r="P26" s="40" t="n">
        <v>27889</v>
      </c>
      <c r="Q26" s="41">
        <f>(3*(LN(N26)*LN(K26)+LN(O26)*LN(L26)+LN(P26)*LN(M26))-(LN(N26)+LN(O26)+LN(P26))*(LN(K26)+LN(L26)+LN(M26)))/(3*(LN(N26)^2+LN(O26)^2+LN(P26)^2)-(LN(N26)+LN(O26)+LN(P26))^2)</f>
        <v/>
      </c>
      <c r="R26" s="39" t="n">
        <v>850</v>
      </c>
      <c r="S26" s="39" t="n">
        <v>50</v>
      </c>
      <c r="T26" s="40" t="n">
        <v>354500</v>
      </c>
      <c r="U26" s="39" t="n">
        <v>145</v>
      </c>
      <c r="V26" s="39" t="n">
        <v>192</v>
      </c>
      <c r="W26" s="39" t="n">
        <v>6</v>
      </c>
      <c r="X26" s="42" t="n">
        <v>2880</v>
      </c>
      <c r="Y26" s="40" t="n">
        <v>53954</v>
      </c>
      <c r="Z26" s="40" t="n">
        <v>72438</v>
      </c>
      <c r="AA26" s="40" t="n">
        <v>168182.73</v>
      </c>
    </row>
    <row r="27">
      <c r="A27" s="8" t="n"/>
      <c r="B27" s="37" t="inlineStr"/>
      <c r="C27" s="38" t="inlineStr">
        <is>
          <t>Rennes</t>
        </is>
      </c>
      <c r="D27" s="39" t="n">
        <v>371</v>
      </c>
      <c r="E27" s="39" t="n">
        <v>392</v>
      </c>
      <c r="F27" s="39" t="n">
        <v>415</v>
      </c>
      <c r="G27" s="40" t="n">
        <v>12341</v>
      </c>
      <c r="H27" s="40" t="n">
        <v>13575</v>
      </c>
      <c r="I27" s="40" t="n">
        <v>14933</v>
      </c>
      <c r="J27" s="41">
        <f>(3*(LN(G27)*LN(D27)+LN(H27)*LN(E27)+LN(I27)*LN(F27))-(LN(G27)+LN(H27)+LN(I27))*(LN(D27)+LN(E27)+LN(F27)))/(3*(LN(G27)^2+LN(H27)^2+LN(I27)^2)-(LN(G27)+LN(H27)+LN(I27))^2)</f>
        <v/>
      </c>
      <c r="K27" s="39" t="n">
        <v>223</v>
      </c>
      <c r="L27" s="39" t="n">
        <v>243</v>
      </c>
      <c r="M27" s="39" t="n">
        <v>265</v>
      </c>
      <c r="N27" s="40" t="n">
        <v>14022</v>
      </c>
      <c r="O27" s="40" t="n">
        <v>18403</v>
      </c>
      <c r="P27" s="40" t="n">
        <v>24152</v>
      </c>
      <c r="Q27" s="41">
        <f>(3*(LN(N27)*LN(K27)+LN(O27)*LN(L27)+LN(P27)*LN(M27))-(LN(N27)+LN(O27)+LN(P27))*(LN(K27)+LN(L27)+LN(M27)))/(3*(LN(N27)^2+LN(O27)^2+LN(P27)^2)-(LN(N27)+LN(O27)+LN(P27))^2)</f>
        <v/>
      </c>
      <c r="R27" s="39" t="n">
        <v>680</v>
      </c>
      <c r="S27" s="39" t="n">
        <v>40</v>
      </c>
      <c r="T27" s="40" t="n">
        <v>269600</v>
      </c>
      <c r="U27" s="39" t="n">
        <v>117</v>
      </c>
      <c r="V27" s="39" t="n">
        <v>192</v>
      </c>
      <c r="W27" s="39" t="n">
        <v>6</v>
      </c>
      <c r="X27" s="42" t="n">
        <v>2880</v>
      </c>
      <c r="Y27" s="40" t="n">
        <v>43535</v>
      </c>
      <c r="Z27" s="40" t="n">
        <v>72438</v>
      </c>
      <c r="AA27" s="40" t="n">
        <v>136168.63</v>
      </c>
    </row>
    <row r="28">
      <c r="A28" s="8" t="n"/>
      <c r="B28" s="37" t="inlineStr">
        <is>
          <t>ISCOM</t>
        </is>
      </c>
      <c r="C28" s="38" t="inlineStr">
        <is>
          <t>Lille</t>
        </is>
      </c>
      <c r="D28" s="39" t="n">
        <v>571</v>
      </c>
      <c r="E28" s="39" t="n">
        <v>600</v>
      </c>
      <c r="F28" s="39" t="n">
        <v>630</v>
      </c>
      <c r="G28" s="40" t="n">
        <v>20843</v>
      </c>
      <c r="H28" s="40" t="n">
        <v>22927</v>
      </c>
      <c r="I28" s="40" t="n">
        <v>25220</v>
      </c>
      <c r="J28" s="41">
        <f>(3*(LN(G28)*LN(D28)+LN(H28)*LN(E28)+LN(I28)*LN(F28))-(LN(G28)+LN(H28)+LN(I28))*(LN(D28)+LN(E28)+LN(F28)))/(3*(LN(G28)^2+LN(H28)^2+LN(I28)^2)-(LN(G28)+LN(H28)+LN(I28))^2)</f>
        <v/>
      </c>
      <c r="K28" s="39" t="n">
        <v>594</v>
      </c>
      <c r="L28" s="39" t="n">
        <v>612</v>
      </c>
      <c r="M28" s="39" t="n">
        <v>630</v>
      </c>
      <c r="N28" s="40" t="n">
        <v>48495</v>
      </c>
      <c r="O28" s="40" t="n">
        <v>52768</v>
      </c>
      <c r="P28" s="40" t="n">
        <v>57418</v>
      </c>
      <c r="Q28" s="41">
        <f>(3*(LN(N28)*LN(K28)+LN(O28)*LN(L28)+LN(P28)*LN(M28))-(LN(N28)+LN(O28)+LN(P28))*(LN(K28)+LN(L28)+LN(M28)))/(3*(LN(N28)^2+LN(O28)^2+LN(P28)^2)-(LN(N28)+LN(O28)+LN(P28))^2)</f>
        <v/>
      </c>
      <c r="R28" s="39" t="n">
        <v>1260</v>
      </c>
      <c r="S28" s="39" t="n">
        <v>100</v>
      </c>
      <c r="T28" s="40" t="n">
        <v>744000</v>
      </c>
      <c r="U28" s="39" t="n">
        <v>244</v>
      </c>
      <c r="V28" s="39" t="n">
        <v>296</v>
      </c>
      <c r="W28" s="39" t="n">
        <v>10</v>
      </c>
      <c r="X28" s="42" t="n">
        <v>4800</v>
      </c>
      <c r="Y28" s="40" t="n">
        <v>90791</v>
      </c>
      <c r="Z28" s="40" t="n">
        <v>120729</v>
      </c>
      <c r="AA28" s="40" t="n">
        <v>284669.17</v>
      </c>
    </row>
    <row r="29">
      <c r="A29" s="8" t="n"/>
      <c r="B29" s="37" t="inlineStr"/>
      <c r="C29" s="38" t="inlineStr">
        <is>
          <t>Paris</t>
        </is>
      </c>
      <c r="D29" s="39" t="n">
        <v>1035</v>
      </c>
      <c r="E29" s="39" t="n">
        <v>1080</v>
      </c>
      <c r="F29" s="39" t="n">
        <v>1126</v>
      </c>
      <c r="G29" s="40" t="n">
        <v>50248</v>
      </c>
      <c r="H29" s="40" t="n">
        <v>55272</v>
      </c>
      <c r="I29" s="40" t="n">
        <v>60800</v>
      </c>
      <c r="J29" s="41">
        <f>(3*(LN(G29)*LN(D29)+LN(H29)*LN(E29)+LN(I29)*LN(F29))-(LN(G29)+LN(H29)+LN(I29))*(LN(D29)+LN(E29)+LN(F29)))/(3*(LN(G29)^2+LN(H29)^2+LN(I29)^2)-(LN(G29)+LN(H29)+LN(I29))^2)</f>
        <v/>
      </c>
      <c r="K29" s="39" t="n">
        <v>650</v>
      </c>
      <c r="L29" s="39" t="n">
        <v>670</v>
      </c>
      <c r="M29" s="39" t="n">
        <v>690</v>
      </c>
      <c r="N29" s="40" t="n">
        <v>52094</v>
      </c>
      <c r="O29" s="40" t="n">
        <v>57236</v>
      </c>
      <c r="P29" s="40" t="n">
        <v>62886</v>
      </c>
      <c r="Q29" s="41">
        <f>(3*(LN(N29)*LN(K29)+LN(O29)*LN(L29)+LN(P29)*LN(M29))-(LN(N29)+LN(O29)+LN(P29))*(LN(K29)+LN(L29)+LN(M29)))/(3*(LN(N29)^2+LN(O29)^2+LN(P29)^2)-(LN(N29)+LN(O29)+LN(P29))^2)</f>
        <v/>
      </c>
      <c r="R29" s="39" t="n">
        <v>1816</v>
      </c>
      <c r="S29" s="39" t="n">
        <v>144</v>
      </c>
      <c r="T29" s="40" t="n">
        <v>1222560</v>
      </c>
      <c r="U29" s="39" t="n">
        <v>354</v>
      </c>
      <c r="V29" s="39" t="n">
        <v>444</v>
      </c>
      <c r="W29" s="39" t="n">
        <v>15</v>
      </c>
      <c r="X29" s="42" t="n">
        <v>7200</v>
      </c>
      <c r="Y29" s="40" t="n">
        <v>131722</v>
      </c>
      <c r="Z29" s="40" t="n">
        <v>181094</v>
      </c>
      <c r="AA29" s="40" t="n">
        <v>488050.48</v>
      </c>
    </row>
    <row r="30">
      <c r="A30" s="8" t="n"/>
      <c r="B30" s="37" t="inlineStr"/>
      <c r="C30" s="38" t="inlineStr">
        <is>
          <t>Toulouse</t>
        </is>
      </c>
      <c r="D30" s="39" t="n">
        <v>526</v>
      </c>
      <c r="E30" s="39" t="n">
        <v>553</v>
      </c>
      <c r="F30" s="39" t="n">
        <v>581</v>
      </c>
      <c r="G30" s="40" t="n">
        <v>18251</v>
      </c>
      <c r="H30" s="40" t="n">
        <v>20076</v>
      </c>
      <c r="I30" s="40" t="n">
        <v>22083</v>
      </c>
      <c r="J30" s="41">
        <f>(3*(LN(G30)*LN(D30)+LN(H30)*LN(E30)+LN(I30)*LN(F30))-(LN(G30)+LN(H30)+LN(I30))*(LN(D30)+LN(E30)+LN(F30)))/(3*(LN(G30)^2+LN(H30)^2+LN(I30)^2)-(LN(G30)+LN(H30)+LN(I30))^2)</f>
        <v/>
      </c>
      <c r="K30" s="39" t="n">
        <v>570</v>
      </c>
      <c r="L30" s="39" t="n">
        <v>587</v>
      </c>
      <c r="M30" s="39" t="n">
        <v>605</v>
      </c>
      <c r="N30" s="40" t="n">
        <v>46637</v>
      </c>
      <c r="O30" s="40" t="n">
        <v>50710</v>
      </c>
      <c r="P30" s="40" t="n">
        <v>55139</v>
      </c>
      <c r="Q30" s="41">
        <f>(3*(LN(N30)*LN(K30)+LN(O30)*LN(L30)+LN(P30)*LN(M30))-(LN(N30)+LN(O30)+LN(P30))*(LN(K30)+LN(L30)+LN(M30)))/(3*(LN(N30)^2+LN(O30)^2+LN(P30)^2)-(LN(N30)+LN(O30)+LN(P30))^2)</f>
        <v/>
      </c>
      <c r="R30" s="39" t="n">
        <v>1186</v>
      </c>
      <c r="S30" s="39" t="n">
        <v>94</v>
      </c>
      <c r="T30" s="40" t="n">
        <v>685260</v>
      </c>
      <c r="U30" s="39" t="n">
        <v>231</v>
      </c>
      <c r="V30" s="39" t="n">
        <v>296</v>
      </c>
      <c r="W30" s="39" t="n">
        <v>10</v>
      </c>
      <c r="X30" s="42" t="n">
        <v>4800</v>
      </c>
      <c r="Y30" s="40" t="n">
        <v>85954</v>
      </c>
      <c r="Z30" s="40" t="n">
        <v>120729</v>
      </c>
      <c r="AA30" s="40" t="n">
        <v>267683.87</v>
      </c>
    </row>
    <row r="31">
      <c r="A31" s="8" t="n"/>
      <c r="B31" s="37" t="inlineStr">
        <is>
          <t>MBway</t>
        </is>
      </c>
      <c r="C31" s="38" t="inlineStr">
        <is>
          <t>Bordeaux</t>
        </is>
      </c>
      <c r="D31" s="39" t="n">
        <v>592</v>
      </c>
      <c r="E31" s="39" t="n">
        <v>623</v>
      </c>
      <c r="F31" s="39" t="n">
        <v>656</v>
      </c>
      <c r="G31" s="40" t="n">
        <v>20597</v>
      </c>
      <c r="H31" s="40" t="n">
        <v>22657</v>
      </c>
      <c r="I31" s="40" t="n">
        <v>24923</v>
      </c>
      <c r="J31" s="41">
        <f>(3*(LN(G31)*LN(D31)+LN(H31)*LN(E31)+LN(I31)*LN(F31))-(LN(G31)+LN(H31)+LN(I31))*(LN(D31)+LN(E31)+LN(F31)))/(3*(LN(G31)^2+LN(H31)^2+LN(I31)^2)-(LN(G31)+LN(H31)+LN(I31))^2)</f>
        <v/>
      </c>
      <c r="K31" s="39" t="n">
        <v>550</v>
      </c>
      <c r="L31" s="39" t="n">
        <v>589</v>
      </c>
      <c r="M31" s="39" t="n">
        <v>630</v>
      </c>
      <c r="N31" s="40" t="n">
        <v>38877</v>
      </c>
      <c r="O31" s="40" t="n">
        <v>47246</v>
      </c>
      <c r="P31" s="40" t="n">
        <v>57418</v>
      </c>
      <c r="Q31" s="41">
        <f>(3*(LN(N31)*LN(K31)+LN(O31)*LN(L31)+LN(P31)*LN(M31))-(LN(N31)+LN(O31)+LN(P31))*(LN(K31)+LN(L31)+LN(M31)))/(3*(LN(N31)^2+LN(O31)^2+LN(P31)^2)-(LN(N31)+LN(O31)+LN(P31))^2)</f>
        <v/>
      </c>
      <c r="R31" s="39" t="n">
        <v>1286</v>
      </c>
      <c r="S31" s="39" t="n">
        <v>102</v>
      </c>
      <c r="T31" s="40" t="n">
        <v>751230</v>
      </c>
      <c r="U31" s="39" t="n">
        <v>249</v>
      </c>
      <c r="V31" s="39" t="n">
        <v>296</v>
      </c>
      <c r="W31" s="39" t="n">
        <v>10</v>
      </c>
      <c r="X31" s="42" t="n">
        <v>4800</v>
      </c>
      <c r="Y31" s="40" t="n">
        <v>92652</v>
      </c>
      <c r="Z31" s="40" t="n">
        <v>120729</v>
      </c>
      <c r="AA31" s="40" t="n">
        <v>280337.09</v>
      </c>
    </row>
    <row r="32">
      <c r="A32" s="8" t="n"/>
      <c r="B32" s="37" t="inlineStr"/>
      <c r="C32" s="38" t="inlineStr">
        <is>
          <t>Lyon</t>
        </is>
      </c>
      <c r="D32" s="39" t="n">
        <v>863</v>
      </c>
      <c r="E32" s="39" t="n">
        <v>905</v>
      </c>
      <c r="F32" s="39" t="n">
        <v>950</v>
      </c>
      <c r="G32" s="40" t="n">
        <v>34532</v>
      </c>
      <c r="H32" s="40" t="n">
        <v>37985</v>
      </c>
      <c r="I32" s="40" t="n">
        <v>41783</v>
      </c>
      <c r="J32" s="41">
        <f>(3*(LN(G32)*LN(D32)+LN(H32)*LN(E32)+LN(I32)*LN(F32))-(LN(G32)+LN(H32)+LN(I32))*(LN(D32)+LN(E32)+LN(F32)))/(3*(LN(G32)^2+LN(H32)^2+LN(I32)^2)-(LN(G32)+LN(H32)+LN(I32))^2)</f>
        <v/>
      </c>
      <c r="K32" s="39" t="n">
        <v>626</v>
      </c>
      <c r="L32" s="39" t="n">
        <v>670</v>
      </c>
      <c r="M32" s="39" t="n">
        <v>716</v>
      </c>
      <c r="N32" s="40" t="n">
        <v>43250</v>
      </c>
      <c r="O32" s="40" t="n">
        <v>53125</v>
      </c>
      <c r="P32" s="40" t="n">
        <v>65255</v>
      </c>
      <c r="Q32" s="41">
        <f>(3*(LN(N32)*LN(K32)+LN(O32)*LN(L32)+LN(P32)*LN(M32))-(LN(N32)+LN(O32)+LN(P32))*(LN(K32)+LN(L32)+LN(M32)))/(3*(LN(N32)^2+LN(O32)^2+LN(P32)^2)-(LN(N32)+LN(O32)+LN(P32))^2)</f>
        <v/>
      </c>
      <c r="R32" s="39" t="n">
        <v>1666</v>
      </c>
      <c r="S32" s="39" t="n">
        <v>132</v>
      </c>
      <c r="T32" s="40" t="n">
        <v>1051380</v>
      </c>
      <c r="U32" s="39" t="n">
        <v>324</v>
      </c>
      <c r="V32" s="39" t="n">
        <v>380</v>
      </c>
      <c r="W32" s="39" t="n">
        <v>13</v>
      </c>
      <c r="X32" s="42" t="n">
        <v>6240</v>
      </c>
      <c r="Y32" s="40" t="n">
        <v>120559</v>
      </c>
      <c r="Z32" s="40" t="n">
        <v>156948</v>
      </c>
      <c r="AA32" s="40" t="n">
        <v>400192.8</v>
      </c>
    </row>
    <row r="33">
      <c r="A33" s="8" t="n"/>
      <c r="B33" s="37" t="inlineStr"/>
      <c r="C33" s="38" t="inlineStr">
        <is>
          <t>Nantes</t>
        </is>
      </c>
      <c r="D33" s="39" t="n">
        <v>713</v>
      </c>
      <c r="E33" s="39" t="n">
        <v>749</v>
      </c>
      <c r="F33" s="39" t="n">
        <v>788</v>
      </c>
      <c r="G33" s="40" t="n">
        <v>26060</v>
      </c>
      <c r="H33" s="40" t="n">
        <v>28666</v>
      </c>
      <c r="I33" s="40" t="n">
        <v>31533</v>
      </c>
      <c r="J33" s="41">
        <f>(3*(LN(G33)*LN(D33)+LN(H33)*LN(E33)+LN(I33)*LN(F33))-(LN(G33)+LN(H33)+LN(I33))*(LN(D33)+LN(E33)+LN(F33)))/(3*(LN(G33)^2+LN(H33)^2+LN(I33)^2)-(LN(G33)+LN(H33)+LN(I33))^2)</f>
        <v/>
      </c>
      <c r="K33" s="39" t="n">
        <v>636</v>
      </c>
      <c r="L33" s="39" t="n">
        <v>680</v>
      </c>
      <c r="M33" s="39" t="n">
        <v>728</v>
      </c>
      <c r="N33" s="40" t="n">
        <v>44771</v>
      </c>
      <c r="O33" s="40" t="n">
        <v>54502</v>
      </c>
      <c r="P33" s="40" t="n">
        <v>66349</v>
      </c>
      <c r="Q33" s="41">
        <f>(3*(LN(N33)*LN(K33)+LN(O33)*LN(L33)+LN(P33)*LN(M33))-(LN(N33)+LN(O33)+LN(P33))*(LN(K33)+LN(L33)+LN(M33)))/(3*(LN(N33)^2+LN(O33)^2+LN(P33)^2)-(LN(N33)+LN(O33)+LN(P33))^2)</f>
        <v/>
      </c>
      <c r="R33" s="39" t="n">
        <v>1516</v>
      </c>
      <c r="S33" s="39" t="n">
        <v>120</v>
      </c>
      <c r="T33" s="40" t="n">
        <v>910800</v>
      </c>
      <c r="U33" s="39" t="n">
        <v>294</v>
      </c>
      <c r="V33" s="39" t="n">
        <v>348</v>
      </c>
      <c r="W33" s="39" t="n">
        <v>12</v>
      </c>
      <c r="X33" s="42" t="n">
        <v>5640</v>
      </c>
      <c r="Y33" s="40" t="n">
        <v>109396</v>
      </c>
      <c r="Z33" s="40" t="n">
        <v>144875</v>
      </c>
      <c r="AA33" s="40" t="n">
        <v>344252.4</v>
      </c>
    </row>
    <row r="34">
      <c r="A34" s="8" t="n"/>
      <c r="B34" s="37" t="inlineStr"/>
      <c r="C34" s="38" t="inlineStr">
        <is>
          <t>Paris</t>
        </is>
      </c>
      <c r="D34" s="39" t="n">
        <v>1158</v>
      </c>
      <c r="E34" s="39" t="n">
        <v>1210</v>
      </c>
      <c r="F34" s="39" t="n">
        <v>1265</v>
      </c>
      <c r="G34" s="40" t="n">
        <v>56438</v>
      </c>
      <c r="H34" s="40" t="n">
        <v>62082</v>
      </c>
      <c r="I34" s="40" t="n">
        <v>68291</v>
      </c>
      <c r="J34" s="41">
        <f>(3*(LN(G34)*LN(D34)+LN(H34)*LN(E34)+LN(I34)*LN(F34))-(LN(G34)+LN(H34)+LN(I34))*(LN(D34)+LN(E34)+LN(F34)))/(3*(LN(G34)^2+LN(H34)^2+LN(I34)^2)-(LN(G34)+LN(H34)+LN(I34))^2)</f>
        <v/>
      </c>
      <c r="K34" s="39" t="n">
        <v>621</v>
      </c>
      <c r="L34" s="39" t="n">
        <v>665</v>
      </c>
      <c r="M34" s="39" t="n">
        <v>711</v>
      </c>
      <c r="N34" s="40" t="n">
        <v>41761</v>
      </c>
      <c r="O34" s="40" t="n">
        <v>52020</v>
      </c>
      <c r="P34" s="40" t="n">
        <v>64800</v>
      </c>
      <c r="Q34" s="41">
        <f>(3*(LN(N34)*LN(K34)+LN(O34)*LN(L34)+LN(P34)*LN(M34))-(LN(N34)+LN(O34)+LN(P34))*(LN(K34)+LN(L34)+LN(M34)))/(3*(LN(N34)^2+LN(O34)^2+LN(P34)^2)-(LN(N34)+LN(O34)+LN(P34))^2)</f>
        <v/>
      </c>
      <c r="R34" s="39" t="n">
        <v>1976</v>
      </c>
      <c r="S34" s="39" t="n">
        <v>156</v>
      </c>
      <c r="T34" s="40" t="n">
        <v>1324440</v>
      </c>
      <c r="U34" s="39" t="n">
        <v>382</v>
      </c>
      <c r="V34" s="39" t="n">
        <v>444</v>
      </c>
      <c r="W34" s="39" t="n">
        <v>15</v>
      </c>
      <c r="X34" s="42" t="n">
        <v>7200</v>
      </c>
      <c r="Y34" s="40" t="n">
        <v>142140</v>
      </c>
      <c r="Z34" s="40" t="n">
        <v>181094</v>
      </c>
      <c r="AA34" s="40" t="n">
        <v>502062.96</v>
      </c>
    </row>
    <row r="35">
      <c r="A35" s="8" t="n"/>
      <c r="B35" s="37" t="inlineStr">
        <is>
          <t>Pigier</t>
        </is>
      </c>
      <c r="C35" s="38" t="inlineStr">
        <is>
          <t>Bordeaux</t>
        </is>
      </c>
      <c r="D35" s="39" t="n">
        <v>528</v>
      </c>
      <c r="E35" s="39" t="n">
        <v>552</v>
      </c>
      <c r="F35" s="39" t="n">
        <v>578</v>
      </c>
      <c r="G35" s="40" t="n">
        <v>18155</v>
      </c>
      <c r="H35" s="40" t="n">
        <v>19971</v>
      </c>
      <c r="I35" s="40" t="n">
        <v>21968</v>
      </c>
      <c r="J35" s="41">
        <f>(3*(LN(G35)*LN(D35)+LN(H35)*LN(E35)+LN(I35)*LN(F35))-(LN(G35)+LN(H35)+LN(I35))*(LN(D35)+LN(E35)+LN(F35)))/(3*(LN(G35)^2+LN(H35)^2+LN(I35)^2)-(LN(G35)+LN(H35)+LN(I35))^2)</f>
        <v/>
      </c>
      <c r="K35" s="39" t="n">
        <v>603</v>
      </c>
      <c r="L35" s="39" t="n">
        <v>627</v>
      </c>
      <c r="M35" s="39" t="n">
        <v>652</v>
      </c>
      <c r="N35" s="40" t="n">
        <v>47760</v>
      </c>
      <c r="O35" s="40" t="n">
        <v>53273</v>
      </c>
      <c r="P35" s="40" t="n">
        <v>59423</v>
      </c>
      <c r="Q35" s="41">
        <f>(3*(LN(N35)*LN(K35)+LN(O35)*LN(L35)+LN(P35)*LN(M35))-(LN(N35)+LN(O35)+LN(P35))*(LN(K35)+LN(L35)+LN(M35)))/(3*(LN(N35)^2+LN(O35)^2+LN(P35)^2)-(LN(N35)+LN(O35)+LN(P35))^2)</f>
        <v/>
      </c>
      <c r="R35" s="39" t="n">
        <v>1230</v>
      </c>
      <c r="S35" s="39" t="n">
        <v>72</v>
      </c>
      <c r="T35" s="40" t="n">
        <v>460440</v>
      </c>
      <c r="U35" s="39" t="n">
        <v>176</v>
      </c>
      <c r="V35" s="39" t="n">
        <v>312</v>
      </c>
      <c r="W35" s="39" t="n">
        <v>10</v>
      </c>
      <c r="X35" s="42" t="n">
        <v>5680</v>
      </c>
      <c r="Y35" s="40" t="n">
        <v>52838</v>
      </c>
      <c r="Z35" s="40" t="n">
        <v>96583</v>
      </c>
      <c r="AA35" s="40" t="n">
        <v>182756.35</v>
      </c>
    </row>
    <row r="36">
      <c r="A36" s="8" t="n"/>
      <c r="B36" s="37" t="inlineStr"/>
      <c r="C36" s="38" t="inlineStr">
        <is>
          <t>Lyon</t>
        </is>
      </c>
      <c r="D36" s="39" t="n">
        <v>765</v>
      </c>
      <c r="E36" s="39" t="n">
        <v>798</v>
      </c>
      <c r="F36" s="39" t="n">
        <v>832</v>
      </c>
      <c r="G36" s="40" t="n">
        <v>30258</v>
      </c>
      <c r="H36" s="40" t="n">
        <v>33284</v>
      </c>
      <c r="I36" s="40" t="n">
        <v>36612</v>
      </c>
      <c r="J36" s="41">
        <f>(3*(LN(G36)*LN(D36)+LN(H36)*LN(E36)+LN(I36)*LN(F36))-(LN(G36)+LN(H36)+LN(I36))*(LN(D36)+LN(E36)+LN(F36)))/(3*(LN(G36)^2+LN(H36)^2+LN(I36)^2)-(LN(G36)+LN(H36)+LN(I36))^2)</f>
        <v/>
      </c>
      <c r="K36" s="39" t="n">
        <v>682</v>
      </c>
      <c r="L36" s="39" t="n">
        <v>710</v>
      </c>
      <c r="M36" s="39" t="n">
        <v>738</v>
      </c>
      <c r="N36" s="40" t="n">
        <v>53439</v>
      </c>
      <c r="O36" s="40" t="n">
        <v>59953</v>
      </c>
      <c r="P36" s="40" t="n">
        <v>67261</v>
      </c>
      <c r="Q36" s="41">
        <f>(3*(LN(N36)*LN(K36)+LN(O36)*LN(L36)+LN(P36)*LN(M36))-(LN(N36)+LN(O36)+LN(P36))*(LN(K36)+LN(L36)+LN(M36)))/(3*(LN(N36)^2+LN(O36)^2+LN(P36)^2)-(LN(N36)+LN(O36)+LN(P36))^2)</f>
        <v/>
      </c>
      <c r="R36" s="39" t="n">
        <v>1570</v>
      </c>
      <c r="S36" s="39" t="n">
        <v>92</v>
      </c>
      <c r="T36" s="40" t="n">
        <v>636180</v>
      </c>
      <c r="U36" s="39" t="n">
        <v>226</v>
      </c>
      <c r="V36" s="39" t="n">
        <v>312</v>
      </c>
      <c r="W36" s="39" t="n">
        <v>10</v>
      </c>
      <c r="X36" s="42" t="n">
        <v>5680</v>
      </c>
      <c r="Y36" s="40" t="n">
        <v>67722</v>
      </c>
      <c r="Z36" s="40" t="n">
        <v>96583</v>
      </c>
      <c r="AA36" s="40" t="n">
        <v>241308.7</v>
      </c>
    </row>
    <row r="37">
      <c r="A37" s="8" t="n"/>
      <c r="B37" s="37" t="inlineStr">
        <is>
          <t>Tunon</t>
        </is>
      </c>
      <c r="C37" s="38" t="inlineStr">
        <is>
          <t>Lyon</t>
        </is>
      </c>
      <c r="D37" s="39" t="n">
        <v>392</v>
      </c>
      <c r="E37" s="39" t="n">
        <v>410</v>
      </c>
      <c r="F37" s="39" t="n">
        <v>428</v>
      </c>
      <c r="G37" s="40" t="n">
        <v>15578</v>
      </c>
      <c r="H37" s="40" t="n">
        <v>17136</v>
      </c>
      <c r="I37" s="40" t="n">
        <v>18850</v>
      </c>
      <c r="J37" s="41">
        <f>(3*(LN(G37)*LN(D37)+LN(H37)*LN(E37)+LN(I37)*LN(F37))-(LN(G37)+LN(H37)+LN(I37))*(LN(D37)+LN(E37)+LN(F37)))/(3*(LN(G37)^2+LN(H37)^2+LN(I37)^2)-(LN(G37)+LN(H37)+LN(I37))^2)</f>
        <v/>
      </c>
      <c r="K37" s="39" t="n">
        <v>242</v>
      </c>
      <c r="L37" s="39" t="n">
        <v>247</v>
      </c>
      <c r="M37" s="39" t="n">
        <v>252</v>
      </c>
      <c r="N37" s="40" t="n">
        <v>20221</v>
      </c>
      <c r="O37" s="40" t="n">
        <v>21550</v>
      </c>
      <c r="P37" s="40" t="n">
        <v>22967</v>
      </c>
      <c r="Q37" s="41">
        <f>(3*(LN(N37)*LN(K37)+LN(O37)*LN(L37)+LN(P37)*LN(M37))-(LN(N37)+LN(O37)+LN(P37))*(LN(K37)+LN(L37)+LN(M37)))/(3*(LN(N37)^2+LN(O37)^2+LN(P37)^2)-(LN(N37)+LN(O37)+LN(P37))^2)</f>
        <v/>
      </c>
      <c r="R37" s="39" t="n">
        <v>680</v>
      </c>
      <c r="S37" s="39" t="n">
        <v>40</v>
      </c>
      <c r="T37" s="40" t="n">
        <v>297600</v>
      </c>
      <c r="U37" s="39" t="n">
        <v>117</v>
      </c>
      <c r="V37" s="39" t="n">
        <v>192</v>
      </c>
      <c r="W37" s="39" t="n">
        <v>6</v>
      </c>
      <c r="X37" s="42" t="n">
        <v>2880</v>
      </c>
      <c r="Y37" s="40" t="n">
        <v>43535</v>
      </c>
      <c r="Z37" s="40" t="n">
        <v>72438</v>
      </c>
      <c r="AA37" s="40" t="n">
        <v>185947.72</v>
      </c>
    </row>
    <row r="38">
      <c r="A38" s="8" t="n"/>
      <c r="B38" s="37" t="inlineStr"/>
      <c r="C38" s="38" t="inlineStr">
        <is>
          <t>Paris</t>
        </is>
      </c>
      <c r="D38" s="39" t="n">
        <v>517</v>
      </c>
      <c r="E38" s="39" t="n">
        <v>538</v>
      </c>
      <c r="F38" s="39" t="n">
        <v>560</v>
      </c>
      <c r="G38" s="40" t="n">
        <v>24992</v>
      </c>
      <c r="H38" s="40" t="n">
        <v>27491</v>
      </c>
      <c r="I38" s="40" t="n">
        <v>30240</v>
      </c>
      <c r="J38" s="41">
        <f>(3*(LN(G38)*LN(D38)+LN(H38)*LN(E38)+LN(I38)*LN(F38))-(LN(G38)+LN(H38)+LN(I38))*(LN(D38)+LN(E38)+LN(F38)))/(3*(LN(G38)^2+LN(H38)^2+LN(I38)^2)-(LN(G38)+LN(H38)+LN(I38))^2)</f>
        <v/>
      </c>
      <c r="K38" s="39" t="n">
        <v>231</v>
      </c>
      <c r="L38" s="39" t="n">
        <v>235</v>
      </c>
      <c r="M38" s="39" t="n">
        <v>240</v>
      </c>
      <c r="N38" s="40" t="n">
        <v>19081</v>
      </c>
      <c r="O38" s="40" t="n">
        <v>20429</v>
      </c>
      <c r="P38" s="40" t="n">
        <v>21873</v>
      </c>
      <c r="Q38" s="41">
        <f>(3*(LN(N38)*LN(K38)+LN(O38)*LN(L38)+LN(P38)*LN(M38))-(LN(N38)+LN(O38)+LN(P38))*(LN(K38)+LN(L38)+LN(M38)))/(3*(LN(N38)^2+LN(O38)^2+LN(P38)^2)-(LN(N38)+LN(O38)+LN(P38))^2)</f>
        <v/>
      </c>
      <c r="R38" s="39" t="n">
        <v>800</v>
      </c>
      <c r="S38" s="39" t="n">
        <v>47</v>
      </c>
      <c r="T38" s="40" t="n">
        <v>372710</v>
      </c>
      <c r="U38" s="39" t="n">
        <v>138</v>
      </c>
      <c r="V38" s="39" t="n">
        <v>192</v>
      </c>
      <c r="W38" s="39" t="n">
        <v>6</v>
      </c>
      <c r="X38" s="42" t="n">
        <v>2880</v>
      </c>
      <c r="Y38" s="40" t="n">
        <v>51349</v>
      </c>
      <c r="Z38" s="40" t="n">
        <v>72438</v>
      </c>
      <c r="AA38" s="40" t="n">
        <v>223369.51</v>
      </c>
    </row>
    <row r="39">
      <c r="A39" s="8" t="n"/>
      <c r="B39" s="43" t="inlineStr">
        <is>
          <t>GROUPE</t>
        </is>
      </c>
      <c r="C39" s="43" t="inlineStr">
        <is>
          <t>14 campus</t>
        </is>
      </c>
      <c r="D39" s="44">
        <f>SUM(D25:D38)</f>
        <v/>
      </c>
      <c r="E39" s="44">
        <f>SUM(E25:E38)</f>
        <v/>
      </c>
      <c r="F39" s="44">
        <f>SUM(F25:F38)</f>
        <v/>
      </c>
      <c r="G39" s="45">
        <f>SUM(G25:G38)</f>
        <v/>
      </c>
      <c r="H39" s="45">
        <f>SUM(H25:H38)</f>
        <v/>
      </c>
      <c r="I39" s="45">
        <f>SUM(I25:I38)</f>
        <v/>
      </c>
      <c r="J39" s="46" t="inlineStr">
        <is>
          <t>—</t>
        </is>
      </c>
      <c r="K39" s="44">
        <f>SUM(K25:K38)</f>
        <v/>
      </c>
      <c r="L39" s="44">
        <f>SUM(L25:L38)</f>
        <v/>
      </c>
      <c r="M39" s="44">
        <f>SUM(M25:M38)</f>
        <v/>
      </c>
      <c r="N39" s="45">
        <f>SUM(N25:N38)</f>
        <v/>
      </c>
      <c r="O39" s="45">
        <f>SUM(O25:O38)</f>
        <v/>
      </c>
      <c r="P39" s="45">
        <f>SUM(P25:P38)</f>
        <v/>
      </c>
      <c r="Q39" s="46" t="inlineStr">
        <is>
          <t>—</t>
        </is>
      </c>
      <c r="R39" s="44">
        <f>SUM(R25:R38)</f>
        <v/>
      </c>
      <c r="S39" s="44">
        <f>SUM(S25:S38)</f>
        <v/>
      </c>
      <c r="T39" s="45">
        <f>SUM(T25:T38)</f>
        <v/>
      </c>
      <c r="U39" s="44">
        <f>SUM(U25:U38)</f>
        <v/>
      </c>
      <c r="V39" s="44">
        <f>SUM(V25:V38)</f>
        <v/>
      </c>
      <c r="W39" s="44">
        <f>SUM(W25:W38)</f>
        <v/>
      </c>
      <c r="X39" s="47">
        <f>SUM(X25:X38)</f>
        <v/>
      </c>
      <c r="Y39" s="45">
        <f>SUM(Y25:Y38)</f>
        <v/>
      </c>
      <c r="Z39" s="45">
        <f>SUM(Z25:Z38)</f>
        <v/>
      </c>
      <c r="AA39" s="45">
        <f>SUM(AA25:AA38)</f>
        <v/>
      </c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20" customHeight="1">
      <c r="A43" s="8" t="n"/>
      <c r="B43" s="48" t="inlineStr">
        <is>
          <t>②  CE QUE LE MOTEUR CALCULE  ·  chaque formule pointe une cellule du tableau ①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4" customHeight="1">
      <c r="A44" s="8" t="n"/>
      <c r="B44" s="33" t="inlineStr">
        <is>
          <t>Rien n'est stocké ici. Cliquez une cellule : la formule remonte au tableau du dessus, et les deux seules saisies sont F4 et J4 — les deux Δ budget.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34" customHeight="1">
      <c r="A46" s="8" t="n"/>
      <c r="B46" s="35" t="inlineStr">
        <is>
          <t>Marque</t>
        </is>
      </c>
      <c r="C46" s="35" t="inlineStr">
        <is>
          <t>Campus</t>
        </is>
      </c>
      <c r="D46" s="36" t="inlineStr">
        <is>
          <t>Conversion lead → inscrit</t>
        </is>
      </c>
      <c r="E46" s="36" t="inlineStr">
        <is>
          <t>CA par inscrit</t>
        </is>
      </c>
      <c r="F46" s="36" t="inlineStr">
        <is>
          <t>Consommables / élève</t>
        </is>
      </c>
      <c r="G46" s="36" t="inlineStr">
        <is>
          <t>Places libres</t>
        </is>
      </c>
      <c r="H46" s="36" t="inlineStr">
        <is>
          <t>Δ budget acquisition</t>
        </is>
      </c>
      <c r="I46" s="36" t="inlineStr">
        <is>
          <t>Inscrits gagnés · acquisition</t>
        </is>
      </c>
      <c r="J46" s="36" t="inlineStr">
        <is>
          <t>CA gagné · acquisition</t>
        </is>
      </c>
      <c r="K46" s="36" t="inlineStr">
        <is>
          <t>Coût marginal / élève</t>
        </is>
      </c>
      <c r="L46" s="36" t="inlineStr">
        <is>
          <t>EBITDA gagné · acquisition</t>
        </is>
      </c>
      <c r="M46" s="36" t="inlineStr">
        <is>
          <t>CAC marginal · acquisition</t>
        </is>
      </c>
      <c r="N46" s="36" t="inlineStr">
        <is>
          <t>Δ budget marque</t>
        </is>
      </c>
      <c r="O46" s="36" t="inlineStr">
        <is>
          <t>Inscrits gagnés · marque</t>
        </is>
      </c>
      <c r="P46" s="36" t="inlineStr">
        <is>
          <t>CA gagné · marque</t>
        </is>
      </c>
      <c r="Q46" s="36" t="inlineStr">
        <is>
          <t>CAC marginal · marque</t>
        </is>
      </c>
      <c r="R46" s="36" t="inlineStr">
        <is>
          <t>L'euro d'acquisition vaut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>
      <c r="A47" s="8" t="n"/>
      <c r="B47" s="49" t="inlineStr">
        <is>
          <t>Ipac Bachelor Factory</t>
        </is>
      </c>
      <c r="C47" s="50">
        <f>C25</f>
        <v/>
      </c>
      <c r="D47" s="51">
        <f>IFERROR(S25/R25,0)</f>
        <v/>
      </c>
      <c r="E47" s="52">
        <f>IFERROR(T25/S25,0)</f>
        <v/>
      </c>
      <c r="F47" s="52">
        <f>IFERROR(Y25/U25,0)</f>
        <v/>
      </c>
      <c r="G47" s="53">
        <f>V25-U25</f>
        <v/>
      </c>
      <c r="H47" s="52">
        <f>I25*$F$4</f>
        <v/>
      </c>
      <c r="I47" s="54">
        <f>F25*((1+$F$4)^J25-1)*D47</f>
        <v/>
      </c>
      <c r="J47" s="52">
        <f>I47*E47</f>
        <v/>
      </c>
      <c r="K47" s="52">
        <f>IF(I47&lt;=G47,F47,F47+Z25/V25)</f>
        <v/>
      </c>
      <c r="L47" s="52">
        <f>J47-H47-I47*K47</f>
        <v/>
      </c>
      <c r="M47" s="52">
        <f>IFERROR(H47/I47,0)</f>
        <v/>
      </c>
      <c r="N47" s="52">
        <f>P25*$J$4</f>
        <v/>
      </c>
      <c r="O47" s="54">
        <f>M25*((1+$J$4)^Q25-1)*D47</f>
        <v/>
      </c>
      <c r="P47" s="52">
        <f>O47*E47</f>
        <v/>
      </c>
      <c r="Q47" s="52">
        <f>IFERROR(N47/O47,0)</f>
        <v/>
      </c>
      <c r="R47" s="55">
        <f>IFERROR((J47/H47)/(P47/N47),0)</f>
        <v/>
      </c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>
      <c r="A48" s="8" t="n"/>
      <c r="B48" s="49" t="inlineStr"/>
      <c r="C48" s="50">
        <f>C26</f>
        <v/>
      </c>
      <c r="D48" s="51">
        <f>IFERROR(S26/R26,0)</f>
        <v/>
      </c>
      <c r="E48" s="52">
        <f>IFERROR(T26/S26,0)</f>
        <v/>
      </c>
      <c r="F48" s="52">
        <f>IFERROR(Y26/U26,0)</f>
        <v/>
      </c>
      <c r="G48" s="53">
        <f>V26-U26</f>
        <v/>
      </c>
      <c r="H48" s="52">
        <f>I26*$F$4</f>
        <v/>
      </c>
      <c r="I48" s="54">
        <f>F26*((1+$F$4)^J26-1)*D48</f>
        <v/>
      </c>
      <c r="J48" s="52">
        <f>I48*E48</f>
        <v/>
      </c>
      <c r="K48" s="52">
        <f>IF(I48&lt;=G48,F48,F48+Z26/V26)</f>
        <v/>
      </c>
      <c r="L48" s="52">
        <f>J48-H48-I48*K48</f>
        <v/>
      </c>
      <c r="M48" s="52">
        <f>IFERROR(H48/I48,0)</f>
        <v/>
      </c>
      <c r="N48" s="52">
        <f>P26*$J$4</f>
        <v/>
      </c>
      <c r="O48" s="54">
        <f>M26*((1+$J$4)^Q26-1)*D48</f>
        <v/>
      </c>
      <c r="P48" s="52">
        <f>O48*E48</f>
        <v/>
      </c>
      <c r="Q48" s="52">
        <f>IFERROR(N48/O48,0)</f>
        <v/>
      </c>
      <c r="R48" s="55">
        <f>IFERROR((J48/H48)/(P48/N48),0)</f>
        <v/>
      </c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>
      <c r="A49" s="8" t="n"/>
      <c r="B49" s="49" t="inlineStr"/>
      <c r="C49" s="50">
        <f>C27</f>
        <v/>
      </c>
      <c r="D49" s="51">
        <f>IFERROR(S27/R27,0)</f>
        <v/>
      </c>
      <c r="E49" s="52">
        <f>IFERROR(T27/S27,0)</f>
        <v/>
      </c>
      <c r="F49" s="52">
        <f>IFERROR(Y27/U27,0)</f>
        <v/>
      </c>
      <c r="G49" s="53">
        <f>V27-U27</f>
        <v/>
      </c>
      <c r="H49" s="52">
        <f>I27*$F$4</f>
        <v/>
      </c>
      <c r="I49" s="54">
        <f>F27*((1+$F$4)^J27-1)*D49</f>
        <v/>
      </c>
      <c r="J49" s="52">
        <f>I49*E49</f>
        <v/>
      </c>
      <c r="K49" s="52">
        <f>IF(I49&lt;=G49,F49,F49+Z27/V27)</f>
        <v/>
      </c>
      <c r="L49" s="52">
        <f>J49-H49-I49*K49</f>
        <v/>
      </c>
      <c r="M49" s="52">
        <f>IFERROR(H49/I49,0)</f>
        <v/>
      </c>
      <c r="N49" s="52">
        <f>P27*$J$4</f>
        <v/>
      </c>
      <c r="O49" s="54">
        <f>M27*((1+$J$4)^Q27-1)*D49</f>
        <v/>
      </c>
      <c r="P49" s="52">
        <f>O49*E49</f>
        <v/>
      </c>
      <c r="Q49" s="52">
        <f>IFERROR(N49/O49,0)</f>
        <v/>
      </c>
      <c r="R49" s="55">
        <f>IFERROR((J49/H49)/(P49/N49),0)</f>
        <v/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>
      <c r="A50" s="8" t="n"/>
      <c r="B50" s="49" t="inlineStr">
        <is>
          <t>ISCOM</t>
        </is>
      </c>
      <c r="C50" s="50">
        <f>C28</f>
        <v/>
      </c>
      <c r="D50" s="51">
        <f>IFERROR(S28/R28,0)</f>
        <v/>
      </c>
      <c r="E50" s="52">
        <f>IFERROR(T28/S28,0)</f>
        <v/>
      </c>
      <c r="F50" s="52">
        <f>IFERROR(Y28/U28,0)</f>
        <v/>
      </c>
      <c r="G50" s="53">
        <f>V28-U28</f>
        <v/>
      </c>
      <c r="H50" s="52">
        <f>I28*$F$4</f>
        <v/>
      </c>
      <c r="I50" s="54">
        <f>F28*((1+$F$4)^J28-1)*D50</f>
        <v/>
      </c>
      <c r="J50" s="52">
        <f>I50*E50</f>
        <v/>
      </c>
      <c r="K50" s="52">
        <f>IF(I50&lt;=G50,F50,F50+Z28/V28)</f>
        <v/>
      </c>
      <c r="L50" s="52">
        <f>J50-H50-I50*K50</f>
        <v/>
      </c>
      <c r="M50" s="52">
        <f>IFERROR(H50/I50,0)</f>
        <v/>
      </c>
      <c r="N50" s="52">
        <f>P28*$J$4</f>
        <v/>
      </c>
      <c r="O50" s="54">
        <f>M28*((1+$J$4)^Q28-1)*D50</f>
        <v/>
      </c>
      <c r="P50" s="52">
        <f>O50*E50</f>
        <v/>
      </c>
      <c r="Q50" s="52">
        <f>IFERROR(N50/O50,0)</f>
        <v/>
      </c>
      <c r="R50" s="55">
        <f>IFERROR((J50/H50)/(P50/N50),0)</f>
        <v/>
      </c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>
      <c r="A51" s="8" t="n"/>
      <c r="B51" s="49" t="inlineStr"/>
      <c r="C51" s="50">
        <f>C29</f>
        <v/>
      </c>
      <c r="D51" s="51">
        <f>IFERROR(S29/R29,0)</f>
        <v/>
      </c>
      <c r="E51" s="52">
        <f>IFERROR(T29/S29,0)</f>
        <v/>
      </c>
      <c r="F51" s="52">
        <f>IFERROR(Y29/U29,0)</f>
        <v/>
      </c>
      <c r="G51" s="53">
        <f>V29-U29</f>
        <v/>
      </c>
      <c r="H51" s="52">
        <f>I29*$F$4</f>
        <v/>
      </c>
      <c r="I51" s="54">
        <f>F29*((1+$F$4)^J29-1)*D51</f>
        <v/>
      </c>
      <c r="J51" s="52">
        <f>I51*E51</f>
        <v/>
      </c>
      <c r="K51" s="52">
        <f>IF(I51&lt;=G51,F51,F51+Z29/V29)</f>
        <v/>
      </c>
      <c r="L51" s="52">
        <f>J51-H51-I51*K51</f>
        <v/>
      </c>
      <c r="M51" s="52">
        <f>IFERROR(H51/I51,0)</f>
        <v/>
      </c>
      <c r="N51" s="52">
        <f>P29*$J$4</f>
        <v/>
      </c>
      <c r="O51" s="54">
        <f>M29*((1+$J$4)^Q29-1)*D51</f>
        <v/>
      </c>
      <c r="P51" s="52">
        <f>O51*E51</f>
        <v/>
      </c>
      <c r="Q51" s="52">
        <f>IFERROR(N51/O51,0)</f>
        <v/>
      </c>
      <c r="R51" s="55">
        <f>IFERROR((J51/H51)/(P51/N51),0)</f>
        <v/>
      </c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>
      <c r="A52" s="8" t="n"/>
      <c r="B52" s="49" t="inlineStr"/>
      <c r="C52" s="50">
        <f>C30</f>
        <v/>
      </c>
      <c r="D52" s="51">
        <f>IFERROR(S30/R30,0)</f>
        <v/>
      </c>
      <c r="E52" s="52">
        <f>IFERROR(T30/S30,0)</f>
        <v/>
      </c>
      <c r="F52" s="52">
        <f>IFERROR(Y30/U30,0)</f>
        <v/>
      </c>
      <c r="G52" s="53">
        <f>V30-U30</f>
        <v/>
      </c>
      <c r="H52" s="52">
        <f>I30*$F$4</f>
        <v/>
      </c>
      <c r="I52" s="54">
        <f>F30*((1+$F$4)^J30-1)*D52</f>
        <v/>
      </c>
      <c r="J52" s="52">
        <f>I52*E52</f>
        <v/>
      </c>
      <c r="K52" s="52">
        <f>IF(I52&lt;=G52,F52,F52+Z30/V30)</f>
        <v/>
      </c>
      <c r="L52" s="52">
        <f>J52-H52-I52*K52</f>
        <v/>
      </c>
      <c r="M52" s="52">
        <f>IFERROR(H52/I52,0)</f>
        <v/>
      </c>
      <c r="N52" s="52">
        <f>P30*$J$4</f>
        <v/>
      </c>
      <c r="O52" s="54">
        <f>M30*((1+$J$4)^Q30-1)*D52</f>
        <v/>
      </c>
      <c r="P52" s="52">
        <f>O52*E52</f>
        <v/>
      </c>
      <c r="Q52" s="52">
        <f>IFERROR(N52/O52,0)</f>
        <v/>
      </c>
      <c r="R52" s="55">
        <f>IFERROR((J52/H52)/(P52/N52),0)</f>
        <v/>
      </c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>
      <c r="A53" s="8" t="n"/>
      <c r="B53" s="49" t="inlineStr">
        <is>
          <t>MBway</t>
        </is>
      </c>
      <c r="C53" s="50">
        <f>C31</f>
        <v/>
      </c>
      <c r="D53" s="51">
        <f>IFERROR(S31/R31,0)</f>
        <v/>
      </c>
      <c r="E53" s="52">
        <f>IFERROR(T31/S31,0)</f>
        <v/>
      </c>
      <c r="F53" s="52">
        <f>IFERROR(Y31/U31,0)</f>
        <v/>
      </c>
      <c r="G53" s="53">
        <f>V31-U31</f>
        <v/>
      </c>
      <c r="H53" s="52">
        <f>I31*$F$4</f>
        <v/>
      </c>
      <c r="I53" s="54">
        <f>F31*((1+$F$4)^J31-1)*D53</f>
        <v/>
      </c>
      <c r="J53" s="52">
        <f>I53*E53</f>
        <v/>
      </c>
      <c r="K53" s="52">
        <f>IF(I53&lt;=G53,F53,F53+Z31/V31)</f>
        <v/>
      </c>
      <c r="L53" s="52">
        <f>J53-H53-I53*K53</f>
        <v/>
      </c>
      <c r="M53" s="52">
        <f>IFERROR(H53/I53,0)</f>
        <v/>
      </c>
      <c r="N53" s="52">
        <f>P31*$J$4</f>
        <v/>
      </c>
      <c r="O53" s="54">
        <f>M31*((1+$J$4)^Q31-1)*D53</f>
        <v/>
      </c>
      <c r="P53" s="52">
        <f>O53*E53</f>
        <v/>
      </c>
      <c r="Q53" s="52">
        <f>IFERROR(N53/O53,0)</f>
        <v/>
      </c>
      <c r="R53" s="55">
        <f>IFERROR((J53/H53)/(P53/N53),0)</f>
        <v/>
      </c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>
      <c r="A54" s="8" t="n"/>
      <c r="B54" s="49" t="inlineStr"/>
      <c r="C54" s="50">
        <f>C32</f>
        <v/>
      </c>
      <c r="D54" s="51">
        <f>IFERROR(S32/R32,0)</f>
        <v/>
      </c>
      <c r="E54" s="52">
        <f>IFERROR(T32/S32,0)</f>
        <v/>
      </c>
      <c r="F54" s="52">
        <f>IFERROR(Y32/U32,0)</f>
        <v/>
      </c>
      <c r="G54" s="53">
        <f>V32-U32</f>
        <v/>
      </c>
      <c r="H54" s="52">
        <f>I32*$F$4</f>
        <v/>
      </c>
      <c r="I54" s="54">
        <f>F32*((1+$F$4)^J32-1)*D54</f>
        <v/>
      </c>
      <c r="J54" s="52">
        <f>I54*E54</f>
        <v/>
      </c>
      <c r="K54" s="52">
        <f>IF(I54&lt;=G54,F54,F54+Z32/V32)</f>
        <v/>
      </c>
      <c r="L54" s="52">
        <f>J54-H54-I54*K54</f>
        <v/>
      </c>
      <c r="M54" s="52">
        <f>IFERROR(H54/I54,0)</f>
        <v/>
      </c>
      <c r="N54" s="52">
        <f>P32*$J$4</f>
        <v/>
      </c>
      <c r="O54" s="54">
        <f>M32*((1+$J$4)^Q32-1)*D54</f>
        <v/>
      </c>
      <c r="P54" s="52">
        <f>O54*E54</f>
        <v/>
      </c>
      <c r="Q54" s="52">
        <f>IFERROR(N54/O54,0)</f>
        <v/>
      </c>
      <c r="R54" s="55">
        <f>IFERROR((J54/H54)/(P54/N54),0)</f>
        <v/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>
      <c r="A55" s="8" t="n"/>
      <c r="B55" s="49" t="inlineStr"/>
      <c r="C55" s="50">
        <f>C33</f>
        <v/>
      </c>
      <c r="D55" s="51">
        <f>IFERROR(S33/R33,0)</f>
        <v/>
      </c>
      <c r="E55" s="52">
        <f>IFERROR(T33/S33,0)</f>
        <v/>
      </c>
      <c r="F55" s="52">
        <f>IFERROR(Y33/U33,0)</f>
        <v/>
      </c>
      <c r="G55" s="53">
        <f>V33-U33</f>
        <v/>
      </c>
      <c r="H55" s="52">
        <f>I33*$F$4</f>
        <v/>
      </c>
      <c r="I55" s="54">
        <f>F33*((1+$F$4)^J33-1)*D55</f>
        <v/>
      </c>
      <c r="J55" s="52">
        <f>I55*E55</f>
        <v/>
      </c>
      <c r="K55" s="52">
        <f>IF(I55&lt;=G55,F55,F55+Z33/V33)</f>
        <v/>
      </c>
      <c r="L55" s="52">
        <f>J55-H55-I55*K55</f>
        <v/>
      </c>
      <c r="M55" s="52">
        <f>IFERROR(H55/I55,0)</f>
        <v/>
      </c>
      <c r="N55" s="52">
        <f>P33*$J$4</f>
        <v/>
      </c>
      <c r="O55" s="54">
        <f>M33*((1+$J$4)^Q33-1)*D55</f>
        <v/>
      </c>
      <c r="P55" s="52">
        <f>O55*E55</f>
        <v/>
      </c>
      <c r="Q55" s="52">
        <f>IFERROR(N55/O55,0)</f>
        <v/>
      </c>
      <c r="R55" s="55">
        <f>IFERROR((J55/H55)/(P55/N55),0)</f>
        <v/>
      </c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>
      <c r="A56" s="8" t="n"/>
      <c r="B56" s="49" t="inlineStr"/>
      <c r="C56" s="50">
        <f>C34</f>
        <v/>
      </c>
      <c r="D56" s="51">
        <f>IFERROR(S34/R34,0)</f>
        <v/>
      </c>
      <c r="E56" s="52">
        <f>IFERROR(T34/S34,0)</f>
        <v/>
      </c>
      <c r="F56" s="52">
        <f>IFERROR(Y34/U34,0)</f>
        <v/>
      </c>
      <c r="G56" s="53">
        <f>V34-U34</f>
        <v/>
      </c>
      <c r="H56" s="52">
        <f>I34*$F$4</f>
        <v/>
      </c>
      <c r="I56" s="54">
        <f>F34*((1+$F$4)^J34-1)*D56</f>
        <v/>
      </c>
      <c r="J56" s="52">
        <f>I56*E56</f>
        <v/>
      </c>
      <c r="K56" s="52">
        <f>IF(I56&lt;=G56,F56,F56+Z34/V34)</f>
        <v/>
      </c>
      <c r="L56" s="52">
        <f>J56-H56-I56*K56</f>
        <v/>
      </c>
      <c r="M56" s="52">
        <f>IFERROR(H56/I56,0)</f>
        <v/>
      </c>
      <c r="N56" s="52">
        <f>P34*$J$4</f>
        <v/>
      </c>
      <c r="O56" s="54">
        <f>M34*((1+$J$4)^Q34-1)*D56</f>
        <v/>
      </c>
      <c r="P56" s="52">
        <f>O56*E56</f>
        <v/>
      </c>
      <c r="Q56" s="52">
        <f>IFERROR(N56/O56,0)</f>
        <v/>
      </c>
      <c r="R56" s="55">
        <f>IFERROR((J56/H56)/(P56/N56),0)</f>
        <v/>
      </c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>
      <c r="A57" s="8" t="n"/>
      <c r="B57" s="49" t="inlineStr">
        <is>
          <t>Pigier</t>
        </is>
      </c>
      <c r="C57" s="50">
        <f>C35</f>
        <v/>
      </c>
      <c r="D57" s="51">
        <f>IFERROR(S35/R35,0)</f>
        <v/>
      </c>
      <c r="E57" s="52">
        <f>IFERROR(T35/S35,0)</f>
        <v/>
      </c>
      <c r="F57" s="52">
        <f>IFERROR(Y35/U35,0)</f>
        <v/>
      </c>
      <c r="G57" s="53">
        <f>V35-U35</f>
        <v/>
      </c>
      <c r="H57" s="52">
        <f>I35*$F$4</f>
        <v/>
      </c>
      <c r="I57" s="54">
        <f>F35*((1+$F$4)^J35-1)*D57</f>
        <v/>
      </c>
      <c r="J57" s="52">
        <f>I57*E57</f>
        <v/>
      </c>
      <c r="K57" s="52">
        <f>IF(I57&lt;=G57,F57,F57+Z35/V35)</f>
        <v/>
      </c>
      <c r="L57" s="52">
        <f>J57-H57-I57*K57</f>
        <v/>
      </c>
      <c r="M57" s="52">
        <f>IFERROR(H57/I57,0)</f>
        <v/>
      </c>
      <c r="N57" s="52">
        <f>P35*$J$4</f>
        <v/>
      </c>
      <c r="O57" s="54">
        <f>M35*((1+$J$4)^Q35-1)*D57</f>
        <v/>
      </c>
      <c r="P57" s="52">
        <f>O57*E57</f>
        <v/>
      </c>
      <c r="Q57" s="52">
        <f>IFERROR(N57/O57,0)</f>
        <v/>
      </c>
      <c r="R57" s="55">
        <f>IFERROR((J57/H57)/(P57/N57),0)</f>
        <v/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>
      <c r="A58" s="8" t="n"/>
      <c r="B58" s="49" t="inlineStr"/>
      <c r="C58" s="50">
        <f>C36</f>
        <v/>
      </c>
      <c r="D58" s="51">
        <f>IFERROR(S36/R36,0)</f>
        <v/>
      </c>
      <c r="E58" s="52">
        <f>IFERROR(T36/S36,0)</f>
        <v/>
      </c>
      <c r="F58" s="52">
        <f>IFERROR(Y36/U36,0)</f>
        <v/>
      </c>
      <c r="G58" s="53">
        <f>V36-U36</f>
        <v/>
      </c>
      <c r="H58" s="52">
        <f>I36*$F$4</f>
        <v/>
      </c>
      <c r="I58" s="54">
        <f>F36*((1+$F$4)^J36-1)*D58</f>
        <v/>
      </c>
      <c r="J58" s="52">
        <f>I58*E58</f>
        <v/>
      </c>
      <c r="K58" s="52">
        <f>IF(I58&lt;=G58,F58,F58+Z36/V36)</f>
        <v/>
      </c>
      <c r="L58" s="52">
        <f>J58-H58-I58*K58</f>
        <v/>
      </c>
      <c r="M58" s="52">
        <f>IFERROR(H58/I58,0)</f>
        <v/>
      </c>
      <c r="N58" s="52">
        <f>P36*$J$4</f>
        <v/>
      </c>
      <c r="O58" s="54">
        <f>M36*((1+$J$4)^Q36-1)*D58</f>
        <v/>
      </c>
      <c r="P58" s="52">
        <f>O58*E58</f>
        <v/>
      </c>
      <c r="Q58" s="52">
        <f>IFERROR(N58/O58,0)</f>
        <v/>
      </c>
      <c r="R58" s="55">
        <f>IFERROR((J58/H58)/(P58/N58),0)</f>
        <v/>
      </c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>
      <c r="A59" s="8" t="n"/>
      <c r="B59" s="49" t="inlineStr">
        <is>
          <t>Tunon</t>
        </is>
      </c>
      <c r="C59" s="50">
        <f>C37</f>
        <v/>
      </c>
      <c r="D59" s="51">
        <f>IFERROR(S37/R37,0)</f>
        <v/>
      </c>
      <c r="E59" s="52">
        <f>IFERROR(T37/S37,0)</f>
        <v/>
      </c>
      <c r="F59" s="52">
        <f>IFERROR(Y37/U37,0)</f>
        <v/>
      </c>
      <c r="G59" s="53">
        <f>V37-U37</f>
        <v/>
      </c>
      <c r="H59" s="52">
        <f>I37*$F$4</f>
        <v/>
      </c>
      <c r="I59" s="54">
        <f>F37*((1+$F$4)^J37-1)*D59</f>
        <v/>
      </c>
      <c r="J59" s="52">
        <f>I59*E59</f>
        <v/>
      </c>
      <c r="K59" s="52">
        <f>IF(I59&lt;=G59,F59,F59+Z37/V37)</f>
        <v/>
      </c>
      <c r="L59" s="52">
        <f>J59-H59-I59*K59</f>
        <v/>
      </c>
      <c r="M59" s="52">
        <f>IFERROR(H59/I59,0)</f>
        <v/>
      </c>
      <c r="N59" s="52">
        <f>P37*$J$4</f>
        <v/>
      </c>
      <c r="O59" s="54">
        <f>M37*((1+$J$4)^Q37-1)*D59</f>
        <v/>
      </c>
      <c r="P59" s="52">
        <f>O59*E59</f>
        <v/>
      </c>
      <c r="Q59" s="52">
        <f>IFERROR(N59/O59,0)</f>
        <v/>
      </c>
      <c r="R59" s="55">
        <f>IFERROR((J59/H59)/(P59/N59),0)</f>
        <v/>
      </c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>
      <c r="A60" s="8" t="n"/>
      <c r="B60" s="49" t="inlineStr"/>
      <c r="C60" s="50">
        <f>C38</f>
        <v/>
      </c>
      <c r="D60" s="51">
        <f>IFERROR(S38/R38,0)</f>
        <v/>
      </c>
      <c r="E60" s="52">
        <f>IFERROR(T38/S38,0)</f>
        <v/>
      </c>
      <c r="F60" s="52">
        <f>IFERROR(Y38/U38,0)</f>
        <v/>
      </c>
      <c r="G60" s="53">
        <f>V38-U38</f>
        <v/>
      </c>
      <c r="H60" s="52">
        <f>I38*$F$4</f>
        <v/>
      </c>
      <c r="I60" s="54">
        <f>F38*((1+$F$4)^J38-1)*D60</f>
        <v/>
      </c>
      <c r="J60" s="52">
        <f>I60*E60</f>
        <v/>
      </c>
      <c r="K60" s="52">
        <f>IF(I60&lt;=G60,F60,F60+Z38/V38)</f>
        <v/>
      </c>
      <c r="L60" s="52">
        <f>J60-H60-I60*K60</f>
        <v/>
      </c>
      <c r="M60" s="52">
        <f>IFERROR(H60/I60,0)</f>
        <v/>
      </c>
      <c r="N60" s="52">
        <f>P38*$J$4</f>
        <v/>
      </c>
      <c r="O60" s="54">
        <f>M38*((1+$J$4)^Q38-1)*D60</f>
        <v/>
      </c>
      <c r="P60" s="52">
        <f>O60*E60</f>
        <v/>
      </c>
      <c r="Q60" s="52">
        <f>IFERROR(N60/O60,0)</f>
        <v/>
      </c>
      <c r="R60" s="55">
        <f>IFERROR((J60/H60)/(P60/N60),0)</f>
        <v/>
      </c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>
      <c r="A61" s="8" t="n"/>
      <c r="B61" s="43" t="inlineStr">
        <is>
          <t>GROUPE</t>
        </is>
      </c>
      <c r="C61" s="43" t="inlineStr">
        <is>
          <t>14 campus</t>
        </is>
      </c>
      <c r="D61" s="56">
        <f>IFERROR(S39/R39,0)</f>
        <v/>
      </c>
      <c r="E61" s="45">
        <f>IFERROR(T39/S39,0)</f>
        <v/>
      </c>
      <c r="F61" s="45">
        <f>IFERROR(Y39/U39,0)</f>
        <v/>
      </c>
      <c r="G61" s="44">
        <f>SUM(G47:G60)</f>
        <v/>
      </c>
      <c r="H61" s="45">
        <f>SUM(H47:H60)</f>
        <v/>
      </c>
      <c r="I61" s="57">
        <f>SUM(I47:I60)</f>
        <v/>
      </c>
      <c r="J61" s="45">
        <f>SUM(J47:J60)</f>
        <v/>
      </c>
      <c r="K61" s="45">
        <f>IFERROR(SUMPRODUCT(I47:I60,K47:K60)/I61,0)</f>
        <v/>
      </c>
      <c r="L61" s="45">
        <f>SUM(L47:L60)</f>
        <v/>
      </c>
      <c r="M61" s="45">
        <f>IFERROR(H61/I61,0)</f>
        <v/>
      </c>
      <c r="N61" s="45">
        <f>SUM(N47:N60)</f>
        <v/>
      </c>
      <c r="O61" s="57">
        <f>SUM(O47:O60)</f>
        <v/>
      </c>
      <c r="P61" s="45">
        <f>SUM(P47:P60)</f>
        <v/>
      </c>
      <c r="Q61" s="45">
        <f>IFERROR(N61/O61,0)</f>
        <v/>
      </c>
      <c r="R61" s="58">
        <f>IFERROR((J61/H61)/(P61/N61),0)</f>
        <v/>
      </c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</row>
    <row r="63">
      <c r="A63" s="8" t="n"/>
      <c r="B63" s="33" t="inlineStr">
        <is>
          <t>Lecture des fonds :  bleu = restitué par la vue,  ocre = calculé par le masque,  sable = paramètre du modèle.  Un coût marginal en rouge signale un campus où la classe doit ouvrir.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</row>
  </sheetData>
  <conditionalFormatting sqref="M47:M60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7:K60">
    <cfRule type="cellIs" priority="2" operator="greaterThan" dxfId="0">
      <formula>F47</formula>
    </cfRule>
  </conditionalFormatting>
  <conditionalFormatting sqref="Q47:Q60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dataValidations count="1">
    <dataValidation sqref="N4" showDropDown="0" showInputMessage="0" showErrorMessage="0" allowBlank="0" promptTitle="Scénario" prompt="Il fixe les douze leviers d'un seul coup." type="list">
      <formula1>"Cadrage,Optimiste,Prudent"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1" summaryRight="1"/>
    <pageSetUpPr/>
  </sheetPr>
  <dimension ref="A1:I5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0" customWidth="1" min="2" max="2"/>
    <col width="15" customWidth="1" min="3" max="3"/>
    <col width="15" customWidth="1" min="4" max="4"/>
    <col width="15" customWidth="1" min="5" max="5"/>
    <col width="14" customWidth="1" min="6" max="6"/>
    <col width="13" customWidth="1" min="7" max="7"/>
    <col width="2.4" customWidth="1" min="8" max="8"/>
  </cols>
  <sheetData>
    <row r="1" ht="8" customHeight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</row>
    <row r="2" ht="26" customHeight="1">
      <c r="A2" s="8" t="n"/>
      <c r="B2" s="59" t="inlineStr">
        <is>
          <t>Playback  ·  la méthode rejouée sur une année déjà connue</t>
        </is>
      </c>
      <c r="C2" s="8" t="n"/>
      <c r="D2" s="8" t="n"/>
      <c r="E2" s="8" t="n"/>
      <c r="F2" s="8" t="n"/>
      <c r="G2" s="8" t="n"/>
      <c r="H2" s="8" t="n"/>
      <c r="I2" s="8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 ht="16" customHeight="1">
      <c r="A5" s="8" t="n"/>
      <c r="B5" s="60" t="inlineStr">
        <is>
          <t>On calibre sur 2024 → 2025, on reconstruit 2026 sans jamais le regarder, et on compare. Les quatre coefficients ci-dessous sont les seuls paramètres du modèle.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 ht="24" customHeight="1">
      <c r="A7" s="8" t="n"/>
      <c r="B7" s="61" t="inlineStr">
        <is>
          <t>①   CE QU'ON REJOUE</t>
        </is>
      </c>
      <c r="C7" s="62" t="n"/>
      <c r="D7" s="62" t="n"/>
      <c r="E7" s="62" t="n"/>
      <c r="F7" s="62" t="n"/>
      <c r="G7" s="63" t="inlineStr">
        <is>
          <t>socle CRM, trois exercices constatés</t>
        </is>
      </c>
      <c r="H7" s="8" t="n"/>
      <c r="I7" s="8" t="n"/>
    </row>
    <row r="8" ht="20" customHeight="1">
      <c r="A8" s="8" t="n"/>
      <c r="B8" s="43" t="inlineStr">
        <is>
          <t>Grandeur</t>
        </is>
      </c>
      <c r="C8" s="64" t="inlineStr">
        <is>
          <t>2024</t>
        </is>
      </c>
      <c r="D8" s="64" t="inlineStr">
        <is>
          <t>2025</t>
        </is>
      </c>
      <c r="E8" s="64" t="inlineStr">
        <is>
          <t>2026</t>
        </is>
      </c>
      <c r="F8" s="64" t="inlineStr"/>
      <c r="G8" s="64" t="inlineStr"/>
      <c r="H8" s="8" t="n"/>
      <c r="I8" s="8" t="n"/>
    </row>
    <row r="9" ht="17" customHeight="1">
      <c r="A9" s="8" t="n"/>
      <c r="B9" s="65" t="inlineStr">
        <is>
          <t>Leads payants</t>
        </is>
      </c>
      <c r="C9" s="66" t="n">
        <v>8897</v>
      </c>
      <c r="D9" s="66" t="n">
        <v>9325</v>
      </c>
      <c r="E9" s="66" t="n">
        <v>9775</v>
      </c>
      <c r="F9" s="67" t="n"/>
      <c r="G9" s="67" t="n"/>
      <c r="H9" s="8" t="n"/>
      <c r="I9" s="8" t="n"/>
    </row>
    <row r="10" ht="17" customHeight="1">
      <c r="A10" s="8" t="n"/>
      <c r="B10" s="65" t="inlineStr">
        <is>
          <t>Leads organiques</t>
        </is>
      </c>
      <c r="C10" s="66" t="n">
        <v>6703</v>
      </c>
      <c r="D10" s="66" t="n">
        <v>7053</v>
      </c>
      <c r="E10" s="66" t="n">
        <v>7421</v>
      </c>
      <c r="F10" s="67" t="n"/>
      <c r="G10" s="67" t="n"/>
      <c r="H10" s="8" t="n"/>
      <c r="I10" s="8" t="n"/>
    </row>
    <row r="11" ht="17" customHeight="1">
      <c r="A11" s="8" t="n"/>
      <c r="B11" s="65" t="inlineStr">
        <is>
          <t>Leads totaux</t>
        </is>
      </c>
      <c r="C11" s="66" t="n">
        <v>15305</v>
      </c>
      <c r="D11" s="66" t="n">
        <v>16226</v>
      </c>
      <c r="E11" s="66" t="n">
        <v>17197</v>
      </c>
      <c r="F11" s="67" t="n"/>
      <c r="G11" s="67" t="n"/>
      <c r="H11" s="8" t="n"/>
      <c r="I11" s="8" t="n"/>
    </row>
    <row r="12" ht="17" customHeight="1">
      <c r="A12" s="8" t="n"/>
      <c r="B12" s="65" t="inlineStr">
        <is>
          <t>Nouveaux inscrits</t>
        </is>
      </c>
      <c r="C12" s="66" t="n">
        <v>1092</v>
      </c>
      <c r="D12" s="66" t="n">
        <v>1159</v>
      </c>
      <c r="E12" s="66" t="n">
        <v>1229</v>
      </c>
      <c r="F12" s="67" t="n"/>
      <c r="G12" s="67" t="n"/>
      <c r="H12" s="8" t="n"/>
      <c r="I12" s="8" t="n"/>
    </row>
    <row r="13" ht="17" customHeight="1">
      <c r="A13" s="8" t="n"/>
      <c r="B13" s="65" t="inlineStr">
        <is>
          <t>Réinscrits</t>
        </is>
      </c>
      <c r="C13" s="66" t="n">
        <v>1681</v>
      </c>
      <c r="D13" s="66" t="n">
        <v>1774</v>
      </c>
      <c r="E13" s="66" t="n">
        <v>1885</v>
      </c>
      <c r="F13" s="67" t="n"/>
      <c r="G13" s="67" t="n"/>
      <c r="H13" s="8" t="n"/>
      <c r="I13" s="8" t="n"/>
    </row>
    <row r="14" ht="17" customHeight="1">
      <c r="A14" s="8" t="n"/>
      <c r="B14" s="65" t="inlineStr">
        <is>
          <t>Effectif</t>
        </is>
      </c>
      <c r="C14" s="66" t="n">
        <v>2773</v>
      </c>
      <c r="D14" s="66" t="n">
        <v>2933</v>
      </c>
      <c r="E14" s="66" t="n">
        <v>3114</v>
      </c>
      <c r="F14" s="67" t="n"/>
      <c r="G14" s="67" t="n"/>
      <c r="H14" s="8" t="n"/>
      <c r="I14" s="8" t="n"/>
    </row>
    <row r="15" ht="17" customHeight="1">
      <c r="A15" s="8" t="n"/>
      <c r="B15" s="65" t="inlineStr">
        <is>
          <t>Budget d'acquisition</t>
        </is>
      </c>
      <c r="C15" s="68" t="n">
        <v>358819</v>
      </c>
      <c r="D15" s="68" t="n">
        <v>394702</v>
      </c>
      <c r="E15" s="68" t="n">
        <v>434174</v>
      </c>
      <c r="F15" s="67" t="n"/>
      <c r="G15" s="67" t="n"/>
      <c r="H15" s="8" t="n"/>
      <c r="I15" s="8" t="n"/>
    </row>
    <row r="16" ht="17" customHeight="1">
      <c r="A16" s="8" t="n"/>
      <c r="B16" s="65" t="inlineStr">
        <is>
          <t>Budget de marque</t>
        </is>
      </c>
      <c r="C16" s="68" t="n">
        <v>499926</v>
      </c>
      <c r="D16" s="68" t="n">
        <v>580167</v>
      </c>
      <c r="E16" s="68" t="n">
        <v>676344</v>
      </c>
      <c r="F16" s="67" t="n"/>
      <c r="G16" s="67" t="n"/>
      <c r="H16" s="8" t="n"/>
      <c r="I16" s="8" t="n"/>
    </row>
    <row r="17" ht="17" customHeight="1">
      <c r="A17" s="8" t="n"/>
      <c r="B17" s="65" t="inlineStr">
        <is>
          <t>Droits de scolarité encaissés</t>
        </is>
      </c>
      <c r="C17" s="68" t="n">
        <v>20468930</v>
      </c>
      <c r="D17" s="68" t="n">
        <v>21654460</v>
      </c>
      <c r="E17" s="68" t="n">
        <v>22988375</v>
      </c>
      <c r="F17" s="67" t="n"/>
      <c r="G17" s="67" t="n"/>
      <c r="H17" s="8" t="n"/>
      <c r="I17" s="8" t="n"/>
    </row>
    <row r="18" ht="17" customHeight="1">
      <c r="A18" s="8" t="n"/>
      <c r="B18" s="65" t="inlineStr">
        <is>
          <t>Frais de dossier encaissés</t>
        </is>
      </c>
      <c r="C18" s="68" t="n">
        <v>98280</v>
      </c>
      <c r="D18" s="68" t="n">
        <v>104310</v>
      </c>
      <c r="E18" s="68" t="n">
        <v>110610</v>
      </c>
      <c r="F18" s="67" t="n"/>
      <c r="G18" s="67" t="n"/>
      <c r="H18" s="8" t="n"/>
      <c r="I18" s="8" t="n"/>
    </row>
    <row r="19" ht="17" customHeight="1">
      <c r="A19" s="8" t="n"/>
      <c r="B19" s="69" t="inlineStr">
        <is>
          <t>Chiffre d'affaires</t>
        </is>
      </c>
      <c r="C19" s="70">
        <f>C17+C18</f>
        <v/>
      </c>
      <c r="D19" s="70">
        <f>D17+D18</f>
        <v/>
      </c>
      <c r="E19" s="70">
        <f>E17+E18</f>
        <v/>
      </c>
      <c r="F19" s="71" t="n"/>
      <c r="G19" s="71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24" customHeight="1">
      <c r="A21" s="8" t="n"/>
      <c r="B21" s="61" t="inlineStr">
        <is>
          <t>②   LES QUATRE COEFFICIENTS</t>
        </is>
      </c>
      <c r="C21" s="62" t="n"/>
      <c r="D21" s="62" t="n"/>
      <c r="E21" s="62" t="n"/>
      <c r="F21" s="62" t="n"/>
      <c r="G21" s="63" t="inlineStr">
        <is>
          <t>mesurés sur 2024 → 2025 seulement</t>
        </is>
      </c>
      <c r="H21" s="8" t="n"/>
      <c r="I21" s="8" t="n"/>
    </row>
    <row r="22" ht="20" customHeight="1">
      <c r="A22" s="8" t="n"/>
      <c r="B22" s="43" t="inlineStr">
        <is>
          <t>Coefficient</t>
        </is>
      </c>
      <c r="C22" s="64" t="inlineStr">
        <is>
          <t>Ce qu'il vaut</t>
        </is>
      </c>
      <c r="D22" s="64" t="inlineStr">
        <is>
          <t>Comment il se mesure</t>
        </is>
      </c>
      <c r="E22" s="64" t="inlineStr"/>
      <c r="F22" s="64" t="inlineStr"/>
      <c r="G22" s="64" t="inlineStr"/>
      <c r="H22" s="8" t="n"/>
      <c r="I22" s="8" t="n"/>
    </row>
    <row r="23" ht="17" customHeight="1">
      <c r="A23" s="8" t="n"/>
      <c r="B23" s="65" t="inlineStr">
        <is>
          <t>Élasticité du payant</t>
        </is>
      </c>
      <c r="C23" s="72">
        <f>LN(D9/C9)/LN(D15/C15)</f>
        <v/>
      </c>
      <c r="D23" s="73" t="inlineStr">
        <is>
          <t>LN(leads payants 25 / 24) ÷ LN(budget acq. 25 / 24)</t>
        </is>
      </c>
      <c r="E23" s="67" t="n"/>
      <c r="F23" s="67" t="n"/>
      <c r="G23" s="67" t="n"/>
      <c r="H23" s="8" t="n"/>
      <c r="I23" s="8" t="n"/>
    </row>
    <row r="24" ht="17" customHeight="1">
      <c r="A24" s="8" t="n"/>
      <c r="B24" s="65" t="inlineStr">
        <is>
          <t>Élasticité de l'organique</t>
        </is>
      </c>
      <c r="C24" s="72">
        <f>LN(D10/C10)/LN(D16/C16)</f>
        <v/>
      </c>
      <c r="D24" s="73" t="inlineStr">
        <is>
          <t>LN(leads organiques 25 / 24) ÷ LN(budget marque 25 / 24)</t>
        </is>
      </c>
      <c r="E24" s="67" t="n"/>
      <c r="F24" s="67" t="n"/>
      <c r="G24" s="67" t="n"/>
      <c r="H24" s="8" t="n"/>
      <c r="I24" s="8" t="n"/>
    </row>
    <row r="25" ht="17" customHeight="1">
      <c r="A25" s="8" t="n"/>
      <c r="B25" s="65" t="inlineStr">
        <is>
          <t>Rendement lead → inscrit</t>
        </is>
      </c>
      <c r="C25" s="72">
        <f>D12/D11</f>
        <v/>
      </c>
      <c r="D25" s="73" t="inlineStr">
        <is>
          <t>nouveaux 2025 ÷ leads 2025</t>
        </is>
      </c>
      <c r="E25" s="67" t="n"/>
      <c r="F25" s="67" t="n"/>
      <c r="G25" s="67" t="n"/>
      <c r="H25" s="8" t="n"/>
      <c r="I25" s="8" t="n"/>
    </row>
    <row r="26" ht="17" customHeight="1">
      <c r="A26" s="8" t="n"/>
      <c r="B26" s="65" t="inlineStr">
        <is>
          <t>Taux de passage</t>
        </is>
      </c>
      <c r="C26" s="72">
        <f>D13/C14</f>
        <v/>
      </c>
      <c r="D26" s="73" t="inlineStr">
        <is>
          <t>réinscrits 2025 ÷ effectif 2024</t>
        </is>
      </c>
      <c r="E26" s="67" t="n"/>
      <c r="F26" s="67" t="n"/>
      <c r="G26" s="67" t="n"/>
      <c r="H26" s="8" t="n"/>
      <c r="I26" s="8" t="n"/>
    </row>
    <row r="27" ht="15" customHeight="1">
      <c r="A27" s="8" t="n"/>
      <c r="B27" s="74" t="inlineStr">
        <is>
          <t>Les quatre cases bleues sont des formules : forcer une valeur à la main recalcule tout le bloc ③ et montre ce que le modèle y perd.</t>
        </is>
      </c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 ht="24" customHeight="1">
      <c r="A29" s="8" t="n"/>
      <c r="B29" s="61" t="inlineStr">
        <is>
          <t>③   2026 RECONSTRUIT, SANS AVOIR REGARDÉ 2026</t>
        </is>
      </c>
      <c r="C29" s="62" t="n"/>
      <c r="D29" s="62" t="n"/>
      <c r="E29" s="62" t="n"/>
      <c r="F29" s="62" t="n"/>
      <c r="G29" s="63" t="inlineStr">
        <is>
          <t>seuls 2024, 2025 et les deux budgets 2026 sont utilisés</t>
        </is>
      </c>
      <c r="H29" s="8" t="n"/>
      <c r="I29" s="8" t="n"/>
    </row>
    <row r="30" ht="20" customHeight="1">
      <c r="A30" s="8" t="n"/>
      <c r="B30" s="43" t="inlineStr">
        <is>
          <t>Étape</t>
        </is>
      </c>
      <c r="C30" s="75" t="inlineStr">
        <is>
          <t>Reconstruit</t>
        </is>
      </c>
      <c r="D30" s="64" t="inlineStr">
        <is>
          <t>Réel 2026</t>
        </is>
      </c>
      <c r="E30" s="64" t="inlineStr">
        <is>
          <t>Écart</t>
        </is>
      </c>
      <c r="F30" s="64" t="inlineStr">
        <is>
          <t>Écart %</t>
        </is>
      </c>
      <c r="G30" s="64" t="inlineStr"/>
      <c r="H30" s="8" t="n"/>
      <c r="I30" s="8" t="n"/>
    </row>
    <row r="31" ht="17" customHeight="1">
      <c r="A31" s="8" t="n"/>
      <c r="B31" s="65" t="inlineStr">
        <is>
          <t>Leads payants</t>
        </is>
      </c>
      <c r="C31" s="76">
        <f>D9*(E15/D15)^$C$23</f>
        <v/>
      </c>
      <c r="D31" s="66">
        <f>E9</f>
        <v/>
      </c>
      <c r="E31" s="66">
        <f>C31-D31</f>
        <v/>
      </c>
      <c r="F31" s="77">
        <f>IF(D31=0,0,C31/D31-1)</f>
        <v/>
      </c>
      <c r="G31" s="67" t="n"/>
      <c r="H31" s="8" t="n"/>
      <c r="I31" s="8" t="n"/>
    </row>
    <row r="32" ht="17" customHeight="1">
      <c r="A32" s="8" t="n"/>
      <c r="B32" s="65" t="inlineStr">
        <is>
          <t>Leads organiques</t>
        </is>
      </c>
      <c r="C32" s="76">
        <f>D10*(E16/D16)^$C$24</f>
        <v/>
      </c>
      <c r="D32" s="66">
        <f>E10</f>
        <v/>
      </c>
      <c r="E32" s="66">
        <f>C32-D32</f>
        <v/>
      </c>
      <c r="F32" s="77">
        <f>IF(D32=0,0,C32/D32-1)</f>
        <v/>
      </c>
      <c r="G32" s="67" t="n"/>
      <c r="H32" s="8" t="n"/>
      <c r="I32" s="8" t="n"/>
    </row>
    <row r="33" ht="17" customHeight="1">
      <c r="A33" s="8" t="n"/>
      <c r="B33" s="65" t="inlineStr">
        <is>
          <t>Leads totaux</t>
        </is>
      </c>
      <c r="C33" s="76">
        <f>C31+C32</f>
        <v/>
      </c>
      <c r="D33" s="66">
        <f>E11</f>
        <v/>
      </c>
      <c r="E33" s="66">
        <f>C33-D33</f>
        <v/>
      </c>
      <c r="F33" s="77">
        <f>IF(D33=0,0,C33/D33-1)</f>
        <v/>
      </c>
      <c r="G33" s="67" t="n"/>
      <c r="H33" s="8" t="n"/>
      <c r="I33" s="8" t="n"/>
    </row>
    <row r="34" ht="17" customHeight="1">
      <c r="A34" s="8" t="n"/>
      <c r="B34" s="65" t="inlineStr">
        <is>
          <t>Nouveaux inscrits</t>
        </is>
      </c>
      <c r="C34" s="76">
        <f>C33*$C$25</f>
        <v/>
      </c>
      <c r="D34" s="66">
        <f>E12</f>
        <v/>
      </c>
      <c r="E34" s="66">
        <f>C34-D34</f>
        <v/>
      </c>
      <c r="F34" s="77">
        <f>IF(D34=0,0,C34/D34-1)</f>
        <v/>
      </c>
      <c r="G34" s="67" t="n"/>
      <c r="H34" s="8" t="n"/>
      <c r="I34" s="8" t="n"/>
    </row>
    <row r="35" ht="17" customHeight="1">
      <c r="A35" s="8" t="n"/>
      <c r="B35" s="65" t="inlineStr">
        <is>
          <t>Réinscrits</t>
        </is>
      </c>
      <c r="C35" s="76">
        <f>D14*$C$26</f>
        <v/>
      </c>
      <c r="D35" s="66">
        <f>E13</f>
        <v/>
      </c>
      <c r="E35" s="66">
        <f>C35-D35</f>
        <v/>
      </c>
      <c r="F35" s="77">
        <f>IF(D35=0,0,C35/D35-1)</f>
        <v/>
      </c>
      <c r="G35" s="67" t="n"/>
      <c r="H35" s="8" t="n"/>
      <c r="I35" s="8" t="n"/>
    </row>
    <row r="36" ht="17" customHeight="1">
      <c r="A36" s="8" t="n"/>
      <c r="B36" s="65" t="inlineStr">
        <is>
          <t>Effectif</t>
        </is>
      </c>
      <c r="C36" s="76">
        <f>C34+C35</f>
        <v/>
      </c>
      <c r="D36" s="66">
        <f>E14</f>
        <v/>
      </c>
      <c r="E36" s="66">
        <f>C36-D36</f>
        <v/>
      </c>
      <c r="F36" s="77">
        <f>IF(D36=0,0,C36/D36-1)</f>
        <v/>
      </c>
      <c r="G36" s="67" t="n"/>
      <c r="H36" s="8" t="n"/>
      <c r="I36" s="8" t="n"/>
    </row>
    <row r="37" ht="20" customHeight="1">
      <c r="A37" s="8" t="n"/>
      <c r="B37" s="78" t="inlineStr">
        <is>
          <t>Chiffre d'affaires</t>
        </is>
      </c>
      <c r="C37" s="79">
        <f>C36*(D17/D14)+C34*(D18/D12)</f>
        <v/>
      </c>
      <c r="D37" s="80">
        <f>E19</f>
        <v/>
      </c>
      <c r="E37" s="80">
        <f>C37-D37</f>
        <v/>
      </c>
      <c r="F37" s="81">
        <f>IF(D37=0,0,C37/D37-1)</f>
        <v/>
      </c>
      <c r="G37" s="82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 ht="22" customHeight="1">
      <c r="A39" s="8" t="n"/>
      <c r="B39" s="83">
        <f>"Calibré sur 2024 → 2025 seulement, le modèle retrouve 2026 à "&amp;TEXT(ABS(F37),"0.00%")&amp;" près sur le chiffre d'affaires, et à "&amp;TEXT(ABS(F34),"0.00%")&amp;" près sur les nouveaux inscrits."</f>
        <v/>
      </c>
      <c r="C39" s="84" t="n"/>
      <c r="D39" s="84" t="n"/>
      <c r="E39" s="84" t="n"/>
      <c r="F39" s="84" t="n"/>
      <c r="G39" s="84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 ht="15" customHeight="1">
      <c r="A41" s="8" t="n"/>
      <c r="B41" s="33" t="inlineStr">
        <is>
          <t>Rejouer 2025 depuis 2024 donne un écart plus large — environ 2,9 % — parce que le taux de passage n'a alors aucune année antérieure où se mesurer. C'est une limite de la profondeur d'historique, pas de la méthode.</t>
        </is>
      </c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5" t="inlineStr">
        <is>
          <t>Source : socle CRM AW_002_000002_000001, exercices 2024 à 2026.</t>
        </is>
      </c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</sheetData>
  <conditionalFormatting sqref="F31:F37">
    <cfRule type="cellIs" priority="1" operator="lessThan" dxfId="1">
      <formula>-0.01</formula>
    </cfRule>
    <cfRule type="cellIs" priority="2" operator="greaterThan" dxfId="1">
      <formula>0.01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4" t="inlineStr">
        <is>
          <t>BUDGET 2027  —  le chiffre d'affaires en cinq lignes, les coûts en cinq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</row>
    <row r="5" ht="22" customHeight="1">
      <c r="A5" s="86" t="n"/>
      <c r="B5" s="87" t="inlineStr">
        <is>
          <t>La croissance se défait en deux, et la seconde moitié, c'est le moteur.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</row>
    <row r="6" ht="16" customHeight="1">
      <c r="A6" s="86" t="n"/>
      <c r="B6" s="88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</row>
    <row r="7">
      <c r="A7" s="86" t="n"/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6" t="n"/>
      <c r="L7" s="86" t="n"/>
      <c r="M7" s="86" t="n"/>
    </row>
    <row r="8" ht="3" customHeight="1">
      <c r="A8" s="86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</row>
    <row r="9" ht="12" customHeight="1">
      <c r="A9" s="86" t="n"/>
      <c r="B9" s="20" t="inlineStr">
        <is>
          <t>CHIFFRE D'AFFAIRES</t>
        </is>
      </c>
      <c r="C9" s="8" t="n"/>
      <c r="D9" s="8" t="n"/>
      <c r="E9" s="20" t="inlineStr">
        <is>
          <t>EBITDA PROPRE</t>
        </is>
      </c>
      <c r="F9" s="8" t="n"/>
      <c r="G9" s="8" t="n"/>
      <c r="H9" s="20" t="inlineStr">
        <is>
          <t>QUOTE-PART DU SIÈGE</t>
        </is>
      </c>
      <c r="I9" s="8" t="n"/>
      <c r="J9" s="8" t="n"/>
      <c r="K9" s="20" t="inlineStr">
        <is>
          <t>EBITDA NET</t>
        </is>
      </c>
      <c r="L9" s="8" t="n"/>
      <c r="M9" s="8" t="n"/>
    </row>
    <row r="10" ht="26" customHeight="1">
      <c r="A10" s="86" t="n"/>
      <c r="B10" s="89">
        <f>H85</f>
        <v/>
      </c>
      <c r="C10" s="8" t="n"/>
      <c r="D10" s="8" t="n"/>
      <c r="E10" s="90">
        <f>H86</f>
        <v/>
      </c>
      <c r="F10" s="8" t="n"/>
      <c r="G10" s="8" t="n"/>
      <c r="H10" s="91">
        <f>H96</f>
        <v/>
      </c>
      <c r="I10" s="8" t="n"/>
      <c r="J10" s="8" t="n"/>
      <c r="K10" s="90">
        <f>H98</f>
        <v/>
      </c>
      <c r="L10" s="8" t="n"/>
      <c r="M10" s="8" t="n"/>
    </row>
    <row r="11" ht="14" customHeight="1">
      <c r="A11" s="86" t="n"/>
      <c r="B11" s="25">
        <f>"contre "&amp;TEXT(D85,"#,##0 €")&amp;" en 2026"</f>
        <v/>
      </c>
      <c r="C11" s="10" t="n"/>
      <c r="D11" s="10" t="n"/>
      <c r="E11" s="25">
        <f>"ce que les campus produisent  ·  marge "&amp;TEXT(H86/H85,"0.0 %")</f>
        <v/>
      </c>
      <c r="F11" s="10" t="n"/>
      <c r="G11" s="10" t="n"/>
      <c r="H11" s="25">
        <f>"soit "&amp;TEXT(H96/H85,"0.0 %")&amp;" du chiffre d'affaires"</f>
        <v/>
      </c>
      <c r="I11" s="10" t="n"/>
      <c r="J11" s="10" t="n"/>
      <c r="K11" s="25">
        <f>"marge "&amp;TEXT(D98/D85,"0.0 %")&amp;" → "&amp;TEXT(H98/H85,"0.0 %")</f>
        <v/>
      </c>
      <c r="L11" s="10" t="n"/>
      <c r="M11" s="10" t="n"/>
    </row>
    <row r="12">
      <c r="A12" s="86" t="n"/>
      <c r="B12" s="86" t="n"/>
      <c r="C12" s="86" t="n"/>
      <c r="D12" s="86" t="n"/>
      <c r="E12" s="86" t="n"/>
      <c r="F12" s="86" t="n"/>
      <c r="G12" s="86" t="n"/>
      <c r="H12" s="86" t="n"/>
      <c r="I12" s="86" t="n"/>
      <c r="J12" s="86" t="n"/>
      <c r="K12" s="86" t="n"/>
      <c r="L12" s="86" t="n"/>
      <c r="M12" s="86" t="n"/>
    </row>
    <row r="13">
      <c r="A13" s="86" t="n"/>
      <c r="B13" s="86" t="n"/>
      <c r="C13" s="86" t="n"/>
      <c r="D13" s="86" t="n"/>
      <c r="E13" s="86" t="n"/>
      <c r="F13" s="86" t="n"/>
      <c r="G13" s="86" t="n"/>
      <c r="H13" s="86" t="n"/>
      <c r="I13" s="86" t="n"/>
      <c r="J13" s="86" t="n"/>
      <c r="K13" s="86" t="n"/>
      <c r="L13" s="86" t="n"/>
      <c r="M13" s="86" t="n"/>
    </row>
    <row r="14" ht="20" customHeight="1">
      <c r="A14" s="86" t="n"/>
      <c r="B14" s="92" t="inlineStr">
        <is>
          <t>ⓐ  Les hypothèses  ·  huit viennent de Tagetik, une seule est un calage</t>
        </is>
      </c>
      <c r="C14" s="86" t="n"/>
      <c r="D14" s="86" t="n"/>
      <c r="E14" s="86" t="n"/>
      <c r="F14" s="86" t="n"/>
      <c r="G14" s="86" t="n"/>
      <c r="H14" s="86" t="n"/>
      <c r="I14" s="86" t="n"/>
      <c r="J14" s="86" t="n"/>
      <c r="K14" s="86" t="n"/>
      <c r="L14" s="86" t="n"/>
      <c r="M14" s="86" t="n"/>
    </row>
    <row r="15" ht="14" customHeight="1">
      <c r="A15" s="86" t="n"/>
      <c r="B15" s="93" t="inlineStr">
        <is>
          <t>Une seule est saisie ici — le calage du socle. Toutes les autres viennent de la ZONE D'HYPOTHÈSES restituée par Tagetik : changez le scénario en haut de l'onglet précédent, et ces neuf lignes changent ensemble.</t>
        </is>
      </c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</row>
    <row r="16">
      <c r="A16" s="86" t="n"/>
      <c r="B16" s="86" t="n"/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  <c r="M16" s="86" t="n"/>
    </row>
    <row r="17" ht="24" customHeight="1">
      <c r="A17" s="86" t="n"/>
      <c r="B17" s="94" t="inlineStr">
        <is>
          <t>Hypothèse</t>
        </is>
      </c>
      <c r="C17" s="95" t="n"/>
      <c r="D17" s="95" t="n"/>
      <c r="E17" s="95" t="inlineStr">
        <is>
          <t>Valeur retenue</t>
        </is>
      </c>
      <c r="F17" s="95" t="n"/>
      <c r="G17" s="95" t="inlineStr">
        <is>
          <t>D'où elle vient</t>
        </is>
      </c>
      <c r="H17" s="86" t="n"/>
      <c r="I17" s="86" t="n"/>
      <c r="J17" s="86" t="n"/>
      <c r="K17" s="86" t="n"/>
      <c r="L17" s="86" t="n"/>
      <c r="M17" s="86" t="n"/>
    </row>
    <row r="18" ht="18" customHeight="1">
      <c r="A18" s="86" t="n"/>
      <c r="B18" s="96" t="inlineStr">
        <is>
          <t>CE QUI FAIT LE CHIFFRE D'AFFAIRES</t>
        </is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86" t="n"/>
      <c r="L18" s="86" t="n"/>
      <c r="M18" s="86" t="n"/>
    </row>
    <row r="19">
      <c r="A19" s="86" t="n"/>
      <c r="B19" s="97" t="inlineStr">
        <is>
          <t>Croissance du socle</t>
        </is>
      </c>
      <c r="C19" s="98" t="n"/>
      <c r="D19" s="98" t="n"/>
      <c r="E19" s="99" t="n">
        <v>0.031505</v>
      </c>
      <c r="F19" s="98" t="n"/>
      <c r="G19" s="100" t="inlineStr">
        <is>
          <t>CALAGE sur le scénario Cadrage de CAD_PIL — absorbe conversion et passage</t>
        </is>
      </c>
      <c r="H19" s="98" t="n"/>
      <c r="I19" s="98" t="n"/>
      <c r="J19" s="98" t="n"/>
      <c r="K19" s="98" t="n"/>
      <c r="L19" s="98" t="n"/>
      <c r="M19" s="98" t="n"/>
    </row>
    <row r="20">
      <c r="A20" s="86" t="n"/>
      <c r="B20" s="97" t="inlineStr">
        <is>
          <t>Hausse tarifaire</t>
        </is>
      </c>
      <c r="C20" s="98" t="n"/>
      <c r="D20" s="98" t="n"/>
      <c r="E20" s="101">
        <f>INDEX('Le moteur'!$AH$4:$AJ$15,MATCH("HYP_PRICE",'Le moteur'!$AF$4:$AF$15,0),MATCH('Le moteur'!$N$4,'Le moteur'!$AH$3:$AJ$3,0))</f>
        <v/>
      </c>
      <c r="F20" s="98" t="n"/>
      <c r="G20" s="102" t="inlineStr">
        <is>
          <t>zone d'hypothèses · HYP_PRICE</t>
        </is>
      </c>
      <c r="H20" s="98" t="n"/>
      <c r="I20" s="98" t="n"/>
      <c r="J20" s="98" t="n"/>
      <c r="K20" s="98" t="n"/>
      <c r="L20" s="98" t="n"/>
      <c r="M20" s="98" t="n"/>
    </row>
    <row r="21">
      <c r="A21" s="86" t="n"/>
      <c r="B21" s="97" t="inlineStr">
        <is>
          <t>Δ budget d'acquisition</t>
        </is>
      </c>
      <c r="C21" s="98" t="n"/>
      <c r="D21" s="98" t="n"/>
      <c r="E21" s="101">
        <f>'Le moteur'!F4</f>
        <v/>
      </c>
      <c r="F21" s="98" t="n"/>
      <c r="G21" s="102" t="inlineStr">
        <is>
          <t>onglet précédent · HYP_ACQ_BUD</t>
        </is>
      </c>
      <c r="H21" s="98" t="n"/>
      <c r="I21" s="98" t="n"/>
      <c r="J21" s="98" t="n"/>
      <c r="K21" s="98" t="n"/>
      <c r="L21" s="98" t="n"/>
      <c r="M21" s="98" t="n"/>
    </row>
    <row r="22">
      <c r="A22" s="86" t="n"/>
      <c r="B22" s="97" t="inlineStr">
        <is>
          <t>Δ budget de marque</t>
        </is>
      </c>
      <c r="C22" s="98" t="n"/>
      <c r="D22" s="98" t="n"/>
      <c r="E22" s="101">
        <f>'Le moteur'!J4</f>
        <v/>
      </c>
      <c r="F22" s="98" t="n"/>
      <c r="G22" s="102" t="inlineStr">
        <is>
          <t>onglet précédent · HYP_BRAND_BUD</t>
        </is>
      </c>
      <c r="H22" s="98" t="n"/>
      <c r="I22" s="98" t="n"/>
      <c r="J22" s="98" t="n"/>
      <c r="K22" s="98" t="n"/>
      <c r="L22" s="98" t="n"/>
      <c r="M22" s="98" t="n"/>
    </row>
    <row r="23" ht="18" customHeight="1">
      <c r="A23" s="86" t="n"/>
      <c r="B23" s="96" t="inlineStr">
        <is>
          <t>CE QUI FAIT LES COÛTS</t>
        </is>
      </c>
      <c r="C23" s="86" t="n"/>
      <c r="D23" s="86" t="n"/>
      <c r="E23" s="86" t="n"/>
      <c r="F23" s="86" t="n"/>
      <c r="G23" s="86" t="n"/>
      <c r="H23" s="86" t="n"/>
      <c r="I23" s="86" t="n"/>
      <c r="J23" s="86" t="n"/>
      <c r="K23" s="86" t="n"/>
      <c r="L23" s="86" t="n"/>
      <c r="M23" s="86" t="n"/>
    </row>
    <row r="24">
      <c r="A24" s="86" t="n"/>
      <c r="B24" s="97" t="inlineStr">
        <is>
          <t>Inflation des charges externes</t>
        </is>
      </c>
      <c r="C24" s="98" t="n"/>
      <c r="D24" s="98" t="n"/>
      <c r="E24" s="101">
        <f>INDEX('Le moteur'!$AH$4:$AJ$15,MATCH("HYP_INFL_EXT",'Le moteur'!$AF$4:$AF$15,0),MATCH('Le moteur'!$N$4,'Le moteur'!$AH$3:$AJ$3,0))</f>
        <v/>
      </c>
      <c r="F24" s="98" t="n"/>
      <c r="G24" s="102" t="inlineStr">
        <is>
          <t>zone d'hypothèses · HYP_INFL_EXT</t>
        </is>
      </c>
      <c r="H24" s="98" t="n"/>
      <c r="I24" s="98" t="n"/>
      <c r="J24" s="98" t="n"/>
      <c r="K24" s="98" t="n"/>
      <c r="L24" s="98" t="n"/>
      <c r="M24" s="98" t="n"/>
    </row>
    <row r="25">
      <c r="A25" s="86" t="n"/>
      <c r="B25" s="97" t="inlineStr">
        <is>
          <t>Effort de productivité</t>
        </is>
      </c>
      <c r="C25" s="98" t="n"/>
      <c r="D25" s="98" t="n"/>
      <c r="E25" s="101">
        <f>INDEX('Le moteur'!$AH$4:$AJ$15,MATCH("HYP_PRODUCTIVITY",'Le moteur'!$AF$4:$AF$15,0),MATCH('Le moteur'!$N$4,'Le moteur'!$AH$3:$AJ$3,0))</f>
        <v/>
      </c>
      <c r="F25" s="98" t="n"/>
      <c r="G25" s="102" t="inlineStr">
        <is>
          <t>zone d'hypothèses · HYP_PRODUCTIVITY</t>
        </is>
      </c>
      <c r="H25" s="98" t="n"/>
      <c r="I25" s="98" t="n"/>
      <c r="J25" s="98" t="n"/>
      <c r="K25" s="98" t="n"/>
      <c r="L25" s="98" t="n"/>
      <c r="M25" s="98" t="n"/>
    </row>
    <row r="26">
      <c r="A26" s="86" t="n"/>
      <c r="B26" s="97" t="inlineStr">
        <is>
          <t>Politique salariale</t>
        </is>
      </c>
      <c r="C26" s="98" t="n"/>
      <c r="D26" s="98" t="n"/>
      <c r="E26" s="101">
        <f>INDEX('Le moteur'!$AH$4:$AJ$15,MATCH("HYP_SALARY",'Le moteur'!$AF$4:$AF$15,0),MATCH('Le moteur'!$N$4,'Le moteur'!$AH$3:$AJ$3,0))</f>
        <v/>
      </c>
      <c r="F26" s="98" t="n"/>
      <c r="G26" s="102" t="inlineStr">
        <is>
          <t>zone d'hypothèses · HYP_SALARY</t>
        </is>
      </c>
      <c r="H26" s="98" t="n"/>
      <c r="I26" s="98" t="n"/>
      <c r="J26" s="98" t="n"/>
      <c r="K26" s="98" t="n"/>
      <c r="L26" s="98" t="n"/>
      <c r="M26" s="98" t="n"/>
    </row>
    <row r="27">
      <c r="A27" s="86" t="n"/>
      <c r="B27" s="97" t="inlineStr">
        <is>
          <t>Variation des effectifs permanents</t>
        </is>
      </c>
      <c r="C27" s="98" t="n"/>
      <c r="D27" s="98" t="n"/>
      <c r="E27" s="101">
        <f>INDEX('Le moteur'!$AH$4:$AJ$15,MATCH("HYP_FTE_PERM",'Le moteur'!$AF$4:$AF$15,0),MATCH('Le moteur'!$N$4,'Le moteur'!$AH$3:$AJ$3,0))</f>
        <v/>
      </c>
      <c r="F27" s="98" t="n"/>
      <c r="G27" s="102" t="inlineStr">
        <is>
          <t>zone d'hypothèses · HYP_FTE_PERM</t>
        </is>
      </c>
      <c r="H27" s="98" t="n"/>
      <c r="I27" s="98" t="n"/>
      <c r="J27" s="98" t="n"/>
      <c r="K27" s="98" t="n"/>
      <c r="L27" s="98" t="n"/>
      <c r="M27" s="98" t="n"/>
    </row>
    <row r="28">
      <c r="A28" s="86" t="n"/>
      <c r="B28" s="97" t="inlineStr">
        <is>
          <t>Variation des coûts de structure</t>
        </is>
      </c>
      <c r="C28" s="98" t="n"/>
      <c r="D28" s="98" t="n"/>
      <c r="E28" s="101">
        <f>INDEX('Le moteur'!$AH$4:$AJ$15,MATCH("HYP_STRUCT_COST",'Le moteur'!$AF$4:$AF$15,0),MATCH('Le moteur'!$N$4,'Le moteur'!$AH$3:$AJ$3,0))</f>
        <v/>
      </c>
      <c r="F28" s="98" t="n"/>
      <c r="G28" s="102" t="inlineStr">
        <is>
          <t>zone d'hypothèses · HYP_STRUCT_COST</t>
        </is>
      </c>
      <c r="H28" s="98" t="n"/>
      <c r="I28" s="98" t="n"/>
      <c r="J28" s="98" t="n"/>
      <c r="K28" s="98" t="n"/>
      <c r="L28" s="98" t="n"/>
      <c r="M28" s="98" t="n"/>
    </row>
    <row r="29">
      <c r="A29" s="86" t="n"/>
      <c r="B29" s="86" t="n"/>
      <c r="C29" s="86" t="n"/>
      <c r="D29" s="86" t="n"/>
      <c r="E29" s="86" t="n"/>
      <c r="F29" s="86" t="n"/>
      <c r="G29" s="86" t="n"/>
      <c r="H29" s="86" t="n"/>
      <c r="I29" s="86" t="n"/>
      <c r="J29" s="86" t="n"/>
      <c r="K29" s="86" t="n"/>
      <c r="L29" s="86" t="n"/>
      <c r="M29" s="86" t="n"/>
    </row>
    <row r="30" ht="20" customHeight="1">
      <c r="A30" s="86" t="n"/>
      <c r="B30" s="92" t="inlineStr">
        <is>
          <t>ⓑ  Combien d'élèves en 2027  ·  ce que porte le socle, ce qu'ajoute le geste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</row>
    <row r="31" ht="14" customHeight="1">
      <c r="A31" s="86" t="n"/>
      <c r="B31" s="93" t="inlineStr">
        <is>
          <t>La ligne « ce que le geste ajoute » n'est pas calculée ici : elle vient du moteur d'acquisition. Bouger le Δ budget là-bas bouge ce budget-ci.</t>
        </is>
      </c>
      <c r="C31" s="86" t="n"/>
      <c r="D31" s="86" t="n"/>
      <c r="E31" s="86" t="n"/>
      <c r="F31" s="86" t="n"/>
      <c r="G31" s="86" t="n"/>
      <c r="H31" s="86" t="n"/>
      <c r="I31" s="86" t="n"/>
      <c r="J31" s="86" t="n"/>
      <c r="K31" s="86" t="n"/>
      <c r="L31" s="86" t="n"/>
      <c r="M31" s="86" t="n"/>
    </row>
    <row r="32">
      <c r="A32" s="86" t="n"/>
      <c r="B32" s="86" t="n"/>
      <c r="C32" s="86" t="n"/>
      <c r="D32" s="86" t="n"/>
      <c r="E32" s="86" t="n"/>
      <c r="F32" s="86" t="n"/>
      <c r="G32" s="86" t="n"/>
      <c r="H32" s="86" t="n"/>
      <c r="I32" s="86" t="n"/>
      <c r="J32" s="86" t="n"/>
      <c r="K32" s="86" t="n"/>
      <c r="L32" s="86" t="n"/>
      <c r="M32" s="86" t="n"/>
    </row>
    <row r="33" ht="24" customHeight="1">
      <c r="A33" s="86" t="n"/>
      <c r="B33" s="94" t="inlineStr">
        <is>
          <t>Grandeur</t>
        </is>
      </c>
      <c r="C33" s="95" t="n"/>
      <c r="D33" s="95" t="n"/>
      <c r="E33" s="95" t="inlineStr">
        <is>
          <t>2027</t>
        </is>
      </c>
      <c r="F33" s="95" t="n"/>
      <c r="G33" s="95" t="inlineStr">
        <is>
          <t>Lecture</t>
        </is>
      </c>
      <c r="H33" s="86" t="n"/>
      <c r="I33" s="86" t="n"/>
      <c r="J33" s="86" t="n"/>
      <c r="K33" s="86" t="n"/>
      <c r="L33" s="86" t="n"/>
      <c r="M33" s="86" t="n"/>
    </row>
    <row r="34">
      <c r="A34" s="86" t="n"/>
      <c r="B34" s="103" t="inlineStr">
        <is>
          <t>Élèves 2026</t>
        </is>
      </c>
      <c r="C34" s="67" t="n"/>
      <c r="D34" s="67" t="n"/>
      <c r="E34" s="104">
        <f>'Le moteur'!U39</f>
        <v/>
      </c>
      <c r="F34" s="67" t="n"/>
      <c r="G34" s="73" t="inlineStr">
        <is>
          <t>constaté</t>
        </is>
      </c>
      <c r="H34" s="67" t="n"/>
      <c r="I34" s="67" t="n"/>
      <c r="J34" s="67" t="n"/>
      <c r="K34" s="67" t="n"/>
      <c r="L34" s="67" t="n"/>
      <c r="M34" s="67" t="n"/>
    </row>
    <row r="35">
      <c r="A35" s="86" t="n"/>
      <c r="B35" s="103" t="inlineStr">
        <is>
          <t>+ ce que porte le socle</t>
        </is>
      </c>
      <c r="C35" s="67" t="n"/>
      <c r="D35" s="67" t="n"/>
      <c r="E35" s="105">
        <f>E34*$E$19</f>
        <v/>
      </c>
      <c r="F35" s="67" t="n"/>
      <c r="G35" s="73" t="inlineStr">
        <is>
          <t>rétention, passage, notoriété</t>
        </is>
      </c>
      <c r="H35" s="67" t="n"/>
      <c r="I35" s="67" t="n"/>
      <c r="J35" s="67" t="n"/>
      <c r="K35" s="67" t="n"/>
      <c r="L35" s="67" t="n"/>
      <c r="M35" s="67" t="n"/>
    </row>
    <row r="36">
      <c r="A36" s="86" t="n"/>
      <c r="B36" s="103" t="inlineStr">
        <is>
          <t>+ ce que le geste d'acquisition ajoute</t>
        </is>
      </c>
      <c r="C36" s="67" t="n"/>
      <c r="D36" s="67" t="n"/>
      <c r="E36" s="105">
        <f>'Le moteur'!I61</f>
        <v/>
      </c>
      <c r="F36" s="67" t="n"/>
      <c r="G36" s="73" t="inlineStr">
        <is>
          <t>LIÉ au moteur — les inscrits gagnés par l'acquisition</t>
        </is>
      </c>
      <c r="H36" s="67" t="n"/>
      <c r="I36" s="67" t="n"/>
      <c r="J36" s="67" t="n"/>
      <c r="K36" s="67" t="n"/>
      <c r="L36" s="67" t="n"/>
      <c r="M36" s="67" t="n"/>
    </row>
    <row r="37">
      <c r="A37" s="86" t="n"/>
      <c r="B37" s="103" t="inlineStr">
        <is>
          <t>+ ce que le geste de marque ajoute</t>
        </is>
      </c>
      <c r="C37" s="67" t="n"/>
      <c r="D37" s="67" t="n"/>
      <c r="E37" s="105">
        <f>'Le moteur'!O61</f>
        <v/>
      </c>
      <c r="F37" s="67" t="n"/>
      <c r="G37" s="73" t="inlineStr">
        <is>
          <t>LIÉ au moteur — les inscrits gagnés par la marque</t>
        </is>
      </c>
      <c r="H37" s="67" t="n"/>
      <c r="I37" s="67" t="n"/>
      <c r="J37" s="67" t="n"/>
      <c r="K37" s="67" t="n"/>
      <c r="L37" s="67" t="n"/>
      <c r="M37" s="67" t="n"/>
    </row>
    <row r="38">
      <c r="A38" s="86" t="n"/>
      <c r="B38" s="106">
        <f> Élèves 2027</f>
        <v/>
      </c>
      <c r="C38" s="67" t="n"/>
      <c r="D38" s="67" t="n"/>
      <c r="E38" s="107">
        <f>E34+E35+E36+E37</f>
        <v/>
      </c>
      <c r="F38" s="67" t="n"/>
      <c r="G38" s="73" t="inlineStr"/>
      <c r="H38" s="67" t="n"/>
      <c r="I38" s="67" t="n"/>
      <c r="J38" s="67" t="n"/>
      <c r="K38" s="67" t="n"/>
      <c r="L38" s="67" t="n"/>
      <c r="M38" s="67" t="n"/>
    </row>
    <row r="39">
      <c r="A39" s="86" t="n"/>
      <c r="B39" s="103" t="inlineStr">
        <is>
          <t>Croissance totale</t>
        </is>
      </c>
      <c r="C39" s="67" t="n"/>
      <c r="D39" s="67" t="n"/>
      <c r="E39" s="108">
        <f>IFERROR(E38/E34-1,0)</f>
        <v/>
      </c>
      <c r="F39" s="67" t="n"/>
      <c r="G39" s="73" t="inlineStr">
        <is>
          <t>elle ne se saisit pas : elle se déduit</t>
        </is>
      </c>
      <c r="H39" s="67" t="n"/>
      <c r="I39" s="67" t="n"/>
      <c r="J39" s="67" t="n"/>
      <c r="K39" s="67" t="n"/>
      <c r="L39" s="67" t="n"/>
      <c r="M39" s="67" t="n"/>
    </row>
    <row r="40">
      <c r="A40" s="86" t="n"/>
      <c r="B40" s="103" t="inlineStr">
        <is>
          <t>Places du réseau</t>
        </is>
      </c>
      <c r="C40" s="67" t="n"/>
      <c r="D40" s="67" t="n"/>
      <c r="E40" s="104">
        <f>'Le moteur'!V39</f>
        <v/>
      </c>
      <c r="F40" s="67" t="n"/>
      <c r="G40" s="73" t="inlineStr">
        <is>
          <t>135 classes, inchangées depuis 2024</t>
        </is>
      </c>
      <c r="H40" s="67" t="n"/>
      <c r="I40" s="67" t="n"/>
      <c r="J40" s="67" t="n"/>
      <c r="K40" s="67" t="n"/>
      <c r="L40" s="67" t="n"/>
      <c r="M40" s="67" t="n"/>
    </row>
    <row r="41">
      <c r="A41" s="86" t="n"/>
      <c r="B41" s="103" t="inlineStr">
        <is>
          <t>Classes 2026</t>
        </is>
      </c>
      <c r="C41" s="67" t="n"/>
      <c r="D41" s="67" t="n"/>
      <c r="E41" s="104">
        <f>'Le moteur'!W39</f>
        <v/>
      </c>
      <c r="F41" s="67" t="n"/>
      <c r="G41" s="73" t="inlineStr"/>
      <c r="H41" s="67" t="n"/>
      <c r="I41" s="67" t="n"/>
      <c r="J41" s="67" t="n"/>
      <c r="K41" s="67" t="n"/>
      <c r="L41" s="67" t="n"/>
      <c r="M41" s="67" t="n"/>
    </row>
    <row r="42">
      <c r="A42" s="86" t="n"/>
      <c r="B42" s="103" t="inlineStr">
        <is>
          <t>Capacité moyenne d'une classe</t>
        </is>
      </c>
      <c r="C42" s="67" t="n"/>
      <c r="D42" s="67" t="n"/>
      <c r="E42" s="105">
        <f>IFERROR(E40/E41,0)</f>
        <v/>
      </c>
      <c r="F42" s="67" t="n"/>
      <c r="G42" s="73" t="inlineStr"/>
      <c r="H42" s="67" t="n"/>
      <c r="I42" s="67" t="n"/>
      <c r="J42" s="67" t="n"/>
      <c r="K42" s="67" t="n"/>
      <c r="L42" s="67" t="n"/>
      <c r="M42" s="67" t="n"/>
    </row>
    <row r="43">
      <c r="A43" s="86" t="n"/>
      <c r="B43" s="103" t="inlineStr">
        <is>
          <t>Croissance possible avant saturation</t>
        </is>
      </c>
      <c r="C43" s="67" t="n"/>
      <c r="D43" s="67" t="n"/>
      <c r="E43" s="109">
        <f>'Le coût variable'!L48</f>
        <v/>
      </c>
      <c r="F43" s="67" t="n"/>
      <c r="G43" s="73" t="inlineStr">
        <is>
          <t>le premier campus qui sature : MBway Paris</t>
        </is>
      </c>
      <c r="H43" s="67" t="n"/>
      <c r="I43" s="67" t="n"/>
      <c r="J43" s="67" t="n"/>
      <c r="K43" s="67" t="n"/>
      <c r="L43" s="67" t="n"/>
      <c r="M43" s="67" t="n"/>
    </row>
    <row r="44">
      <c r="A44" s="86" t="n"/>
      <c r="B44" s="106" t="inlineStr">
        <is>
          <t>Classes à ouvrir en 2027</t>
        </is>
      </c>
      <c r="C44" s="67" t="n"/>
      <c r="D44" s="67" t="n"/>
      <c r="E44" s="110">
        <f>MAX(0,ROUNDUP((E38-E40)/E42,0))</f>
        <v/>
      </c>
      <c r="F44" s="67" t="n"/>
      <c r="G44" s="73" t="inlineStr">
        <is>
          <t>aucune — et c'est toute la démonstration</t>
        </is>
      </c>
      <c r="H44" s="67" t="n"/>
      <c r="I44" s="67" t="n"/>
      <c r="J44" s="67" t="n"/>
      <c r="K44" s="67" t="n"/>
      <c r="L44" s="67" t="n"/>
      <c r="M44" s="67" t="n"/>
    </row>
    <row r="45">
      <c r="A45" s="86" t="n"/>
      <c r="B45" s="103" t="inlineStr">
        <is>
          <t>Classes 2027</t>
        </is>
      </c>
      <c r="C45" s="67" t="n"/>
      <c r="D45" s="67" t="n"/>
      <c r="E45" s="104">
        <f>E41+E44</f>
        <v/>
      </c>
      <c r="F45" s="67" t="n"/>
      <c r="G45" s="73" t="inlineStr"/>
      <c r="H45" s="67" t="n"/>
      <c r="I45" s="67" t="n"/>
      <c r="J45" s="67" t="n"/>
      <c r="K45" s="67" t="n"/>
      <c r="L45" s="67" t="n"/>
      <c r="M45" s="67" t="n"/>
    </row>
    <row r="46">
      <c r="A46" s="86" t="n"/>
      <c r="B46" s="103" t="inlineStr">
        <is>
          <t>Effet volume du compte 621</t>
        </is>
      </c>
      <c r="C46" s="67" t="n"/>
      <c r="D46" s="67" t="n"/>
      <c r="E46" s="111">
        <f>IFERROR(E45/E41-1,0)</f>
        <v/>
      </c>
      <c r="F46" s="67" t="n"/>
      <c r="G46" s="73" t="inlineStr">
        <is>
          <t>il suit les CLASSES, jamais les élèves</t>
        </is>
      </c>
      <c r="H46" s="67" t="n"/>
      <c r="I46" s="67" t="n"/>
      <c r="J46" s="67" t="n"/>
      <c r="K46" s="67" t="n"/>
      <c r="L46" s="67" t="n"/>
      <c r="M46" s="67" t="n"/>
    </row>
    <row r="47">
      <c r="A47" s="86" t="n"/>
      <c r="B47" s="86" t="n"/>
      <c r="C47" s="86" t="n"/>
      <c r="D47" s="86" t="n"/>
      <c r="E47" s="86" t="n"/>
      <c r="F47" s="86" t="n"/>
      <c r="G47" s="86" t="n"/>
      <c r="H47" s="86" t="n"/>
      <c r="I47" s="86" t="n"/>
      <c r="J47" s="86" t="n"/>
      <c r="K47" s="86" t="n"/>
      <c r="L47" s="86" t="n"/>
      <c r="M47" s="86" t="n"/>
    </row>
    <row r="48">
      <c r="A48" s="86" t="n"/>
      <c r="B48" s="93" t="inlineStr">
        <is>
          <t>À +6 % l'an, MBway Paris tient jusqu'en 2029 — c'est le premier campus qui butera sur ses murs, et le classeur dit lequel et quand.</t>
        </is>
      </c>
      <c r="C48" s="86" t="n"/>
      <c r="D48" s="86" t="n"/>
      <c r="E48" s="86" t="n"/>
      <c r="F48" s="86" t="n"/>
      <c r="G48" s="86" t="n"/>
      <c r="H48" s="86" t="n"/>
      <c r="I48" s="86" t="n"/>
      <c r="J48" s="86" t="n"/>
      <c r="K48" s="86" t="n"/>
      <c r="L48" s="86" t="n"/>
      <c r="M48" s="86" t="n"/>
    </row>
    <row r="49">
      <c r="A49" s="86" t="n"/>
      <c r="B49" s="86" t="n"/>
      <c r="C49" s="86" t="n"/>
      <c r="D49" s="86" t="n"/>
      <c r="E49" s="86" t="n"/>
      <c r="F49" s="86" t="n"/>
      <c r="G49" s="86" t="n"/>
      <c r="H49" s="86" t="n"/>
      <c r="I49" s="86" t="n"/>
      <c r="J49" s="86" t="n"/>
      <c r="K49" s="86" t="n"/>
      <c r="L49" s="86" t="n"/>
      <c r="M49" s="86" t="n"/>
    </row>
    <row r="50" ht="20" customHeight="1">
      <c r="A50" s="86" t="n"/>
      <c r="B50" s="92" t="inlineStr">
        <is>
          <t>ⓒ  Le chiffre d'affaires 2027  ·  quatre lignes, et une seule est une décision</t>
        </is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</row>
    <row r="51" ht="14" customHeight="1">
      <c r="A51" s="86" t="n"/>
      <c r="B51" s="93" t="inlineStr">
        <is>
          <t>Le socle est déjà inscrit, le geste vient du moteur, le prix est un arbitrage. Rien d'autre n'entre dans le chiffre d'affaires.</t>
        </is>
      </c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</row>
    <row r="52">
      <c r="A52" s="86" t="n"/>
      <c r="B52" s="86" t="n"/>
      <c r="C52" s="86" t="n"/>
      <c r="D52" s="86" t="n"/>
      <c r="E52" s="86" t="n"/>
      <c r="F52" s="86" t="n"/>
      <c r="G52" s="86" t="n"/>
      <c r="H52" s="86" t="n"/>
      <c r="I52" s="86" t="n"/>
      <c r="J52" s="86" t="n"/>
      <c r="K52" s="86" t="n"/>
      <c r="L52" s="86" t="n"/>
      <c r="M52" s="86" t="n"/>
    </row>
    <row r="53" ht="24" customHeight="1">
      <c r="A53" s="86" t="n"/>
      <c r="B53" s="94" t="inlineStr">
        <is>
          <t>Ligne</t>
        </is>
      </c>
      <c r="C53" s="95" t="n"/>
      <c r="D53" s="95" t="n"/>
      <c r="E53" s="95" t="inlineStr">
        <is>
          <t>Montant</t>
        </is>
      </c>
      <c r="F53" s="95" t="n"/>
      <c r="G53" s="95" t="inlineStr">
        <is>
          <t>Lecture</t>
        </is>
      </c>
      <c r="H53" s="86" t="n"/>
      <c r="I53" s="86" t="n"/>
      <c r="J53" s="86" t="n"/>
      <c r="K53" s="86" t="n"/>
      <c r="L53" s="86" t="n"/>
      <c r="M53" s="86" t="n"/>
    </row>
    <row r="54">
      <c r="A54" s="86" t="n"/>
      <c r="B54" s="103" t="inlineStr">
        <is>
          <t>Chiffre d'affaires 2026</t>
        </is>
      </c>
      <c r="C54" s="67" t="n"/>
      <c r="D54" s="67" t="n"/>
      <c r="E54" s="112" t="n">
        <v>23098985</v>
      </c>
      <c r="F54" s="67" t="n"/>
      <c r="G54" s="73" t="inlineStr">
        <is>
          <t>constaté · 706 + 7062 + 708</t>
        </is>
      </c>
      <c r="H54" s="67" t="n"/>
      <c r="I54" s="67" t="n"/>
      <c r="J54" s="67" t="n"/>
      <c r="K54" s="67" t="n"/>
      <c r="L54" s="67" t="n"/>
      <c r="M54" s="67" t="n"/>
    </row>
    <row r="55">
      <c r="A55" s="86" t="n"/>
      <c r="B55" s="103" t="inlineStr">
        <is>
          <t>+ ce que porte le socle</t>
        </is>
      </c>
      <c r="C55" s="67" t="n"/>
      <c r="D55" s="67" t="n"/>
      <c r="E55" s="112">
        <f>E54*$E$19</f>
        <v/>
      </c>
      <c r="F55" s="67" t="n"/>
      <c r="G55" s="73" t="inlineStr">
        <is>
          <t>la rentrée déjà engagée</t>
        </is>
      </c>
      <c r="H55" s="67" t="n"/>
      <c r="I55" s="67" t="n"/>
      <c r="J55" s="67" t="n"/>
      <c r="K55" s="67" t="n"/>
      <c r="L55" s="67" t="n"/>
      <c r="M55" s="67" t="n"/>
    </row>
    <row r="56">
      <c r="A56" s="86" t="n"/>
      <c r="B56" s="103" t="inlineStr">
        <is>
          <t>+ ce que le geste d'acquisition ajoute</t>
        </is>
      </c>
      <c r="C56" s="67" t="n"/>
      <c r="D56" s="67" t="n"/>
      <c r="E56" s="112">
        <f>'Le moteur'!J61</f>
        <v/>
      </c>
      <c r="F56" s="67" t="n"/>
      <c r="G56" s="73" t="inlineStr">
        <is>
          <t>LIÉ au moteur — le CA gagné par le Δ acquisition</t>
        </is>
      </c>
      <c r="H56" s="67" t="n"/>
      <c r="I56" s="67" t="n"/>
      <c r="J56" s="67" t="n"/>
      <c r="K56" s="67" t="n"/>
      <c r="L56" s="67" t="n"/>
      <c r="M56" s="67" t="n"/>
    </row>
    <row r="57">
      <c r="A57" s="86" t="n"/>
      <c r="B57" s="103" t="inlineStr">
        <is>
          <t>+ ce que le geste de marque ajoute</t>
        </is>
      </c>
      <c r="C57" s="67" t="n"/>
      <c r="D57" s="67" t="n"/>
      <c r="E57" s="112">
        <f>'Le moteur'!P61</f>
        <v/>
      </c>
      <c r="F57" s="67" t="n"/>
      <c r="G57" s="73" t="inlineStr">
        <is>
          <t>LIÉ au moteur — le CA gagné par le Δ marque</t>
        </is>
      </c>
      <c r="H57" s="67" t="n"/>
      <c r="I57" s="67" t="n"/>
      <c r="J57" s="67" t="n"/>
      <c r="K57" s="67" t="n"/>
      <c r="L57" s="67" t="n"/>
      <c r="M57" s="67" t="n"/>
    </row>
    <row r="58">
      <c r="A58" s="86" t="n"/>
      <c r="B58" s="103" t="inlineStr">
        <is>
          <t>+ effet prix</t>
        </is>
      </c>
      <c r="C58" s="67" t="n"/>
      <c r="D58" s="67" t="n"/>
      <c r="E58" s="112">
        <f>(E54+E55+E56+E57)*$E$20</f>
        <v/>
      </c>
      <c r="F58" s="67" t="n"/>
      <c r="G58" s="73" t="inlineStr">
        <is>
          <t>la hausse tarifaire</t>
        </is>
      </c>
      <c r="H58" s="67" t="n"/>
      <c r="I58" s="67" t="n"/>
      <c r="J58" s="67" t="n"/>
      <c r="K58" s="67" t="n"/>
      <c r="L58" s="67" t="n"/>
      <c r="M58" s="67" t="n"/>
    </row>
    <row r="59">
      <c r="A59" s="86" t="n"/>
      <c r="B59" s="106">
        <f> Chiffre d'affaires 2027</f>
        <v/>
      </c>
      <c r="C59" s="67" t="n"/>
      <c r="D59" s="67" t="n"/>
      <c r="E59" s="113">
        <f>SUM(E54:E58)</f>
        <v/>
      </c>
      <c r="F59" s="67" t="n"/>
      <c r="G59" s="73" t="inlineStr"/>
      <c r="H59" s="67" t="n"/>
      <c r="I59" s="67" t="n"/>
      <c r="J59" s="67" t="n"/>
      <c r="K59" s="67" t="n"/>
      <c r="L59" s="67" t="n"/>
      <c r="M59" s="67" t="n"/>
    </row>
    <row r="60">
      <c r="A60" s="86" t="n"/>
      <c r="B60" s="86" t="n"/>
      <c r="C60" s="86" t="n"/>
      <c r="D60" s="86" t="n"/>
      <c r="E60" s="86" t="n"/>
      <c r="F60" s="86" t="n"/>
      <c r="G60" s="86" t="n"/>
      <c r="H60" s="86" t="n"/>
      <c r="I60" s="86" t="n"/>
      <c r="J60" s="86" t="n"/>
      <c r="K60" s="86" t="n"/>
      <c r="L60" s="86" t="n"/>
      <c r="M60" s="86" t="n"/>
    </row>
    <row r="61">
      <c r="A61" s="86" t="n"/>
      <c r="B61" s="114">
        <f>"Sur "&amp;TEXT(E59-E54,"#,##0 €")&amp;" de croissance, "&amp;TEXT(E55/(E59-E54),"0 %")&amp;" viennent du socle déjà inscrit, "&amp;TEXT((E56+E57)/(E59-E54),"0 %")&amp;" des deux gestes d'acquisition et de marque, et "&amp;TEXT(E58/(E59-E54),"0 %")&amp;" du prix. Le chiffre d'affaires ne se décrète pas."</f>
        <v/>
      </c>
      <c r="C61" s="86" t="n"/>
      <c r="D61" s="86" t="n"/>
      <c r="E61" s="86" t="n"/>
      <c r="F61" s="86" t="n"/>
      <c r="G61" s="86" t="n"/>
      <c r="H61" s="86" t="n"/>
      <c r="I61" s="86" t="n"/>
      <c r="J61" s="86" t="n"/>
      <c r="K61" s="86" t="n"/>
      <c r="L61" s="86" t="n"/>
      <c r="M61" s="86" t="n"/>
    </row>
    <row r="62">
      <c r="A62" s="86" t="n"/>
      <c r="B62" s="86" t="n"/>
      <c r="C62" s="86" t="n"/>
      <c r="D62" s="86" t="n"/>
      <c r="E62" s="86" t="n"/>
      <c r="F62" s="86" t="n"/>
      <c r="G62" s="86" t="n"/>
      <c r="H62" s="86" t="n"/>
      <c r="I62" s="86" t="n"/>
      <c r="J62" s="86" t="n"/>
      <c r="K62" s="86" t="n"/>
      <c r="L62" s="86" t="n"/>
      <c r="M62" s="86" t="n"/>
    </row>
    <row r="63" ht="20" customHeight="1">
      <c r="A63" s="86" t="n"/>
      <c r="B63" s="115" t="inlineStr">
        <is>
          <t>ⓓ  Les coûts de CAMPUS  ·  cinq familles, cinq règles</t>
        </is>
      </c>
      <c r="C63" s="86" t="n"/>
      <c r="D63" s="86" t="n"/>
      <c r="E63" s="86" t="n"/>
      <c r="F63" s="86" t="n"/>
      <c r="G63" s="86" t="n"/>
      <c r="H63" s="86" t="n"/>
      <c r="I63" s="86" t="n"/>
      <c r="J63" s="86" t="n"/>
      <c r="K63" s="86" t="n"/>
      <c r="L63" s="86" t="n"/>
      <c r="M63" s="86" t="n"/>
    </row>
    <row r="64" ht="14" customHeight="1">
      <c r="A64" s="86" t="n"/>
      <c r="B64" s="93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4" s="86" t="n"/>
      <c r="D64" s="86" t="n"/>
      <c r="E64" s="86" t="n"/>
      <c r="F64" s="86" t="n"/>
      <c r="G64" s="86" t="n"/>
      <c r="H64" s="86" t="n"/>
      <c r="I64" s="86" t="n"/>
      <c r="J64" s="86" t="n"/>
      <c r="K64" s="86" t="n"/>
      <c r="L64" s="86" t="n"/>
      <c r="M64" s="86" t="n"/>
    </row>
    <row r="65">
      <c r="A65" s="86" t="n"/>
      <c r="B65" s="86" t="n"/>
      <c r="C65" s="86" t="n"/>
      <c r="D65" s="86" t="n"/>
      <c r="E65" s="86" t="n"/>
      <c r="F65" s="86" t="n"/>
      <c r="G65" s="86" t="n"/>
      <c r="H65" s="86" t="n"/>
      <c r="I65" s="86" t="n"/>
      <c r="J65" s="86" t="n"/>
      <c r="K65" s="86" t="n"/>
      <c r="L65" s="86" t="n"/>
      <c r="M65" s="86" t="n"/>
    </row>
    <row r="66" ht="30" customHeight="1">
      <c r="A66" s="86" t="n"/>
      <c r="B66" s="94" t="inlineStr">
        <is>
          <t>Famille · compte</t>
        </is>
      </c>
      <c r="C66" s="95" t="n"/>
      <c r="D66" s="95" t="inlineStr">
        <is>
          <t>Montant 2026</t>
        </is>
      </c>
      <c r="E66" s="95" t="inlineStr">
        <is>
          <t>Ce qui la fait bouger</t>
        </is>
      </c>
      <c r="F66" s="95" t="inlineStr">
        <is>
          <t>Effet volume</t>
        </is>
      </c>
      <c r="G66" s="95" t="inlineStr">
        <is>
          <t>Effet prix</t>
        </is>
      </c>
      <c r="H66" s="95" t="inlineStr">
        <is>
          <t>Montant 2027</t>
        </is>
      </c>
      <c r="I66" s="95" t="inlineStr">
        <is>
          <t>Variation</t>
        </is>
      </c>
      <c r="J66" s="95" t="inlineStr">
        <is>
          <t>Bouge si un élève de plus arrive ?</t>
        </is>
      </c>
      <c r="K66" s="86" t="n"/>
      <c r="L66" s="86" t="n"/>
      <c r="M66" s="86" t="n"/>
    </row>
    <row r="67">
      <c r="A67" s="86" t="n"/>
      <c r="B67" s="116" t="inlineStr">
        <is>
          <t>①  Suit le CHIFFRE D'AFFAIRES</t>
        </is>
      </c>
      <c r="C67" s="116" t="n"/>
      <c r="D67" s="117">
        <f>SUM(D68:D70)</f>
        <v/>
      </c>
      <c r="E67" s="118" t="inlineStr">
        <is>
          <t>le CA, moins l'effort de productivité</t>
        </is>
      </c>
      <c r="F67" s="119" t="inlineStr"/>
      <c r="G67" s="119" t="inlineStr"/>
      <c r="H67" s="117">
        <f>SUM(H68:H70)</f>
        <v/>
      </c>
      <c r="I67" s="120">
        <f>IFERROR(H67/D67-1,0)</f>
        <v/>
      </c>
      <c r="J67" s="121" t="inlineStr">
        <is>
          <t>OUI — ils suivent le chiffre d'affaires</t>
        </is>
      </c>
      <c r="K67" s="86" t="n"/>
      <c r="L67" s="86" t="n"/>
      <c r="M67" s="86" t="n"/>
    </row>
    <row r="68" hidden="1" outlineLevel="1">
      <c r="A68" s="86" t="n"/>
      <c r="B68" s="122" t="inlineStr">
        <is>
          <t xml:space="preserve">      604 · Achats d'études et supports pédagogiques</t>
        </is>
      </c>
      <c r="C68" s="123" t="n"/>
      <c r="D68" s="124" t="n">
        <v>677808</v>
      </c>
      <c r="E68" s="125" t="inlineStr">
        <is>
          <t>le chiffre d'affaires</t>
        </is>
      </c>
      <c r="F68" s="126">
        <f>($E$59/$E$54-1)</f>
        <v/>
      </c>
      <c r="G68" s="126">
        <f>-$E$25</f>
        <v/>
      </c>
      <c r="H68" s="124">
        <f>D68*(1+F68)*(1+G68)</f>
        <v/>
      </c>
      <c r="I68" s="127">
        <f>IFERROR(H68/D68-1,0)</f>
        <v/>
      </c>
      <c r="J68" s="123" t="inlineStr"/>
      <c r="K68" s="86" t="n"/>
      <c r="L68" s="86" t="n"/>
      <c r="M68" s="86" t="n"/>
    </row>
    <row r="69" hidden="1" outlineLevel="1">
      <c r="A69" s="86" t="n"/>
      <c r="B69" s="122" t="inlineStr">
        <is>
          <t xml:space="preserve">      6063 · Fournitures pédagogiques et administratives</t>
        </is>
      </c>
      <c r="C69" s="123" t="n"/>
      <c r="D69" s="124" t="n">
        <v>451874</v>
      </c>
      <c r="E69" s="125" t="inlineStr">
        <is>
          <t>le chiffre d'affaires</t>
        </is>
      </c>
      <c r="F69" s="126">
        <f>($E$59/$E$54-1)</f>
        <v/>
      </c>
      <c r="G69" s="126">
        <f>-$E$25</f>
        <v/>
      </c>
      <c r="H69" s="124">
        <f>D69*(1+F69)*(1+G69)</f>
        <v/>
      </c>
      <c r="I69" s="127">
        <f>IFERROR(H69/D69-1,0)</f>
        <v/>
      </c>
      <c r="J69" s="123" t="inlineStr"/>
      <c r="K69" s="86" t="n"/>
      <c r="L69" s="86" t="n"/>
      <c r="M69" s="86" t="n"/>
    </row>
    <row r="70" hidden="1" outlineLevel="1">
      <c r="A70" s="86" t="n"/>
      <c r="B70" s="122" t="inlineStr">
        <is>
          <t xml:space="preserve">      621 · Personnel extérieur — enseignants vacataires</t>
        </is>
      </c>
      <c r="C70" s="123" t="n"/>
      <c r="D70" s="124" t="n">
        <v>1581554</v>
      </c>
      <c r="E70" s="125" t="inlineStr">
        <is>
          <t>le chiffre d'affaires</t>
        </is>
      </c>
      <c r="F70" s="126">
        <f>($E$59/$E$54-1)</f>
        <v/>
      </c>
      <c r="G70" s="126">
        <f>-$E$25</f>
        <v/>
      </c>
      <c r="H70" s="124">
        <f>D70*(1+F70)*(1+G70)</f>
        <v/>
      </c>
      <c r="I70" s="127">
        <f>IFERROR(H70/D70-1,0)</f>
        <v/>
      </c>
      <c r="J70" s="123" t="inlineStr"/>
      <c r="K70" s="86" t="n"/>
      <c r="L70" s="86" t="n"/>
      <c r="M70" s="86" t="n"/>
    </row>
    <row r="71">
      <c r="A71" s="86" t="n"/>
      <c r="B71" s="116" t="inlineStr">
        <is>
          <t>②  Suit la MASSE SALARIALE</t>
        </is>
      </c>
      <c r="C71" s="116" t="n"/>
      <c r="D71" s="117">
        <f>SUM(D72:D74)</f>
        <v/>
      </c>
      <c r="E71" s="128" t="inlineStr">
        <is>
          <t>politique salariale × effectifs permanents</t>
        </is>
      </c>
      <c r="F71" s="119" t="inlineStr"/>
      <c r="G71" s="119" t="inlineStr"/>
      <c r="H71" s="117">
        <f>SUM(H72:H74)</f>
        <v/>
      </c>
      <c r="I71" s="129">
        <f>IFERROR(H71/D71-1,0)</f>
        <v/>
      </c>
      <c r="J71" s="130" t="inlineStr">
        <is>
          <t>NON — la masse est engagée à l'année</t>
        </is>
      </c>
      <c r="K71" s="86" t="n"/>
      <c r="L71" s="86" t="n"/>
      <c r="M71" s="86" t="n"/>
    </row>
    <row r="72" hidden="1" outlineLevel="1">
      <c r="A72" s="86" t="n"/>
      <c r="B72" s="122" t="inlineStr">
        <is>
          <t xml:space="preserve">      6411 · Salaires — enseignants permanents</t>
        </is>
      </c>
      <c r="C72" s="123" t="n"/>
      <c r="D72" s="124" t="n">
        <v>3841069.84</v>
      </c>
      <c r="E72" s="125" t="inlineStr">
        <is>
          <t>les postes</t>
        </is>
      </c>
      <c r="F72" s="126">
        <f>$E$27</f>
        <v/>
      </c>
      <c r="G72" s="126">
        <f>$E$26</f>
        <v/>
      </c>
      <c r="H72" s="124">
        <f>D72*(1+F72)*(1+G72)</f>
        <v/>
      </c>
      <c r="I72" s="127">
        <f>IFERROR(H72/D72-1,0)</f>
        <v/>
      </c>
      <c r="J72" s="123" t="inlineStr"/>
      <c r="K72" s="86" t="n"/>
      <c r="L72" s="86" t="n"/>
      <c r="M72" s="86" t="n"/>
    </row>
    <row r="73" hidden="1" outlineLevel="1">
      <c r="A73" s="86" t="n"/>
      <c r="B73" s="122" t="inlineStr">
        <is>
          <t xml:space="preserve">      6413 · Salaires — personnel administratif des campus</t>
        </is>
      </c>
      <c r="C73" s="123" t="n"/>
      <c r="D73" s="124" t="n">
        <v>2033330.6</v>
      </c>
      <c r="E73" s="125" t="inlineStr">
        <is>
          <t>les postes</t>
        </is>
      </c>
      <c r="F73" s="126">
        <f>$E$27</f>
        <v/>
      </c>
      <c r="G73" s="126">
        <f>$E$26</f>
        <v/>
      </c>
      <c r="H73" s="124">
        <f>D73*(1+F73)*(1+G73)</f>
        <v/>
      </c>
      <c r="I73" s="127">
        <f>IFERROR(H73/D73-1,0)</f>
        <v/>
      </c>
      <c r="J73" s="123" t="inlineStr"/>
      <c r="K73" s="86" t="n"/>
      <c r="L73" s="86" t="n"/>
      <c r="M73" s="86" t="n"/>
    </row>
    <row r="74" hidden="1" outlineLevel="1">
      <c r="A74" s="86" t="n"/>
      <c r="B74" s="122" t="inlineStr">
        <is>
          <t xml:space="preserve">      645 · Charges sociales sur les salaires</t>
        </is>
      </c>
      <c r="C74" s="123" t="n"/>
      <c r="D74" s="124" t="n">
        <v>3162957.9</v>
      </c>
      <c r="E74" s="125" t="inlineStr">
        <is>
          <t>les postes</t>
        </is>
      </c>
      <c r="F74" s="126">
        <f>$E$27</f>
        <v/>
      </c>
      <c r="G74" s="126">
        <f>$E$26</f>
        <v/>
      </c>
      <c r="H74" s="124">
        <f>D74*(1+F74)*(1+G74)</f>
        <v/>
      </c>
      <c r="I74" s="127">
        <f>IFERROR(H74/D74-1,0)</f>
        <v/>
      </c>
      <c r="J74" s="123" t="inlineStr"/>
      <c r="K74" s="86" t="n"/>
      <c r="L74" s="86" t="n"/>
      <c r="M74" s="86" t="n"/>
    </row>
    <row r="75">
      <c r="A75" s="86" t="n"/>
      <c r="B75" s="116" t="inlineStr">
        <is>
          <t>③  INDEXÉ  ·  structure de campus</t>
        </is>
      </c>
      <c r="C75" s="116" t="n"/>
      <c r="D75" s="117">
        <f>SUM(D76:D79)</f>
        <v/>
      </c>
      <c r="E75" s="131" t="inlineStr">
        <is>
          <t>inflation, moins l'effort, × variation de structure</t>
        </is>
      </c>
      <c r="F75" s="119" t="inlineStr"/>
      <c r="G75" s="119" t="inlineStr"/>
      <c r="H75" s="117">
        <f>SUM(H76:H79)</f>
        <v/>
      </c>
      <c r="I75" s="132">
        <f>IFERROR(H75/D75-1,0)</f>
        <v/>
      </c>
      <c r="J75" s="133" t="inlineStr">
        <is>
          <t>NON — c'est le mur qui coûte, pas l'élève</t>
        </is>
      </c>
      <c r="K75" s="86" t="n"/>
      <c r="L75" s="86" t="n"/>
      <c r="M75" s="86" t="n"/>
    </row>
    <row r="76" hidden="1" outlineLevel="1">
      <c r="A76" s="86" t="n"/>
      <c r="B76" s="122" t="inlineStr">
        <is>
          <t xml:space="preserve">      613 · Locations immobilières des campus</t>
        </is>
      </c>
      <c r="C76" s="123" t="n"/>
      <c r="D76" s="124" t="n">
        <v>2372423.51</v>
      </c>
      <c r="E76" s="125" t="inlineStr">
        <is>
          <t>l'indexation et la structure</t>
        </is>
      </c>
      <c r="F76" s="126" t="n">
        <v>0</v>
      </c>
      <c r="G76" s="126">
        <f>(1+$E$24)*(1-$E$25)*(1+$E$28)-1</f>
        <v/>
      </c>
      <c r="H76" s="124">
        <f>D76*(1+F76)*(1+G76)</f>
        <v/>
      </c>
      <c r="I76" s="127">
        <f>IFERROR(H76/D76-1,0)</f>
        <v/>
      </c>
      <c r="J76" s="123" t="inlineStr"/>
      <c r="K76" s="86" t="n"/>
      <c r="L76" s="86" t="n"/>
      <c r="M76" s="86" t="n"/>
    </row>
    <row r="77" hidden="1" outlineLevel="1">
      <c r="A77" s="86" t="n"/>
      <c r="B77" s="122" t="inlineStr">
        <is>
          <t xml:space="preserve">      615 · Entretien et réparations</t>
        </is>
      </c>
      <c r="C77" s="123" t="n"/>
      <c r="D77" s="124" t="n">
        <v>338915.38</v>
      </c>
      <c r="E77" s="125" t="inlineStr">
        <is>
          <t>l'indexation et la structure</t>
        </is>
      </c>
      <c r="F77" s="126" t="n">
        <v>0</v>
      </c>
      <c r="G77" s="126">
        <f>(1+$E$24)*(1-$E$25)*(1+$E$28)-1</f>
        <v/>
      </c>
      <c r="H77" s="124">
        <f>D77*(1+F77)*(1+G77)</f>
        <v/>
      </c>
      <c r="I77" s="127">
        <f>IFERROR(H77/D77-1,0)</f>
        <v/>
      </c>
      <c r="J77" s="123" t="inlineStr"/>
      <c r="K77" s="86" t="n"/>
      <c r="L77" s="86" t="n"/>
      <c r="M77" s="86" t="n"/>
    </row>
    <row r="78" hidden="1" outlineLevel="1">
      <c r="A78" s="86" t="n"/>
      <c r="B78" s="122" t="inlineStr">
        <is>
          <t xml:space="preserve">      616 · Primes d'assurance</t>
        </is>
      </c>
      <c r="C78" s="123" t="n"/>
      <c r="D78" s="124" t="n">
        <v>225926.43</v>
      </c>
      <c r="E78" s="125" t="inlineStr">
        <is>
          <t>l'indexation et la structure</t>
        </is>
      </c>
      <c r="F78" s="126" t="n">
        <v>0</v>
      </c>
      <c r="G78" s="126">
        <f>(1+$E$24)*(1-$E$25)*(1+$E$28)-1</f>
        <v/>
      </c>
      <c r="H78" s="124">
        <f>D78*(1+F78)*(1+G78)</f>
        <v/>
      </c>
      <c r="I78" s="127">
        <f>IFERROR(H78/D78-1,0)</f>
        <v/>
      </c>
      <c r="J78" s="123" t="inlineStr"/>
      <c r="K78" s="86" t="n"/>
      <c r="L78" s="86" t="n"/>
      <c r="M78" s="86" t="n"/>
    </row>
    <row r="79" hidden="1" outlineLevel="1">
      <c r="A79" s="86" t="n"/>
      <c r="B79" s="122" t="inlineStr">
        <is>
          <t xml:space="preserve">      625 · Déplacements, missions et réceptions</t>
        </is>
      </c>
      <c r="C79" s="123" t="n"/>
      <c r="D79" s="124" t="n">
        <v>338890.38</v>
      </c>
      <c r="E79" s="125" t="inlineStr">
        <is>
          <t>l'indexation et la structure</t>
        </is>
      </c>
      <c r="F79" s="126" t="n">
        <v>0</v>
      </c>
      <c r="G79" s="126">
        <f>(1+$E$24)*(1-$E$25)*(1+$E$28)-1</f>
        <v/>
      </c>
      <c r="H79" s="124">
        <f>D79*(1+F79)*(1+G79)</f>
        <v/>
      </c>
      <c r="I79" s="127">
        <f>IFERROR(H79/D79-1,0)</f>
        <v/>
      </c>
      <c r="J79" s="123" t="inlineStr"/>
      <c r="K79" s="86" t="n"/>
      <c r="L79" s="86" t="n"/>
      <c r="M79" s="86" t="n"/>
    </row>
    <row r="80">
      <c r="A80" s="86" t="n"/>
      <c r="B80" s="116" t="inlineStr">
        <is>
          <t>④  INDEXÉ  ·  impôts et taxes</t>
        </is>
      </c>
      <c r="C80" s="116" t="n"/>
      <c r="D80" s="117">
        <f>SUM(D81:D81)</f>
        <v/>
      </c>
      <c r="E80" s="131" t="inlineStr">
        <is>
          <t>inflation, moins l'effort</t>
        </is>
      </c>
      <c r="F80" s="119" t="inlineStr"/>
      <c r="G80" s="119" t="inlineStr"/>
      <c r="H80" s="117">
        <f>SUM(H81:H81)</f>
        <v/>
      </c>
      <c r="I80" s="132">
        <f>IFERROR(H80/D80-1,0)</f>
        <v/>
      </c>
      <c r="J80" s="133" t="inlineStr">
        <is>
          <t>NON — assis sur la base fiscale</t>
        </is>
      </c>
      <c r="K80" s="86" t="n"/>
      <c r="L80" s="86" t="n"/>
      <c r="M80" s="86" t="n"/>
    </row>
    <row r="81" hidden="1" outlineLevel="1">
      <c r="A81" s="86" t="n"/>
      <c r="B81" s="122" t="inlineStr">
        <is>
          <t xml:space="preserve">      63511 · Contribution économique territoriale</t>
        </is>
      </c>
      <c r="C81" s="123" t="n"/>
      <c r="D81" s="124" t="n">
        <v>225943.95</v>
      </c>
      <c r="E81" s="125" t="inlineStr">
        <is>
          <t>l'indexation, moins l'effort</t>
        </is>
      </c>
      <c r="F81" s="126" t="n">
        <v>0</v>
      </c>
      <c r="G81" s="126">
        <f>(1+$E$24)*(1-$E$25)-1</f>
        <v/>
      </c>
      <c r="H81" s="124">
        <f>D81*(1+F81)*(1+G81)</f>
        <v/>
      </c>
      <c r="I81" s="127">
        <f>IFERROR(H81/D81-1,0)</f>
        <v/>
      </c>
      <c r="J81" s="123" t="inlineStr"/>
      <c r="K81" s="86" t="n"/>
      <c r="L81" s="86" t="n"/>
      <c r="M81" s="86" t="n"/>
    </row>
    <row r="82">
      <c r="A82" s="86" t="n"/>
      <c r="B82" s="116" t="inlineStr">
        <is>
          <t>⑤  DÉCIDÉ</t>
        </is>
      </c>
      <c r="C82" s="116" t="n"/>
      <c r="D82" s="117">
        <f>SUM(D83:D83)</f>
        <v/>
      </c>
      <c r="E82" s="134" t="inlineStr">
        <is>
          <t>le geste d'acquisition lui-même</t>
        </is>
      </c>
      <c r="F82" s="119" t="inlineStr"/>
      <c r="G82" s="119" t="inlineStr"/>
      <c r="H82" s="117">
        <f>SUM(H83:H83)</f>
        <v/>
      </c>
      <c r="I82" s="135">
        <f>IFERROR(H82/D82-1,0)</f>
        <v/>
      </c>
      <c r="J82" s="136" t="inlineStr">
        <is>
          <t>c'est la décision elle-même</t>
        </is>
      </c>
      <c r="K82" s="86" t="n"/>
      <c r="L82" s="86" t="n"/>
      <c r="M82" s="86" t="n"/>
    </row>
    <row r="83" hidden="1" outlineLevel="1">
      <c r="A83" s="86" t="n"/>
      <c r="B83" s="122" t="inlineStr">
        <is>
          <t xml:space="preserve">      6231 · Annonces et insertions — budget d'acquisition</t>
        </is>
      </c>
      <c r="C83" s="123" t="n"/>
      <c r="D83" s="124" t="n">
        <v>434174</v>
      </c>
      <c r="E83" s="125" t="inlineStr">
        <is>
          <t>le geste</t>
        </is>
      </c>
      <c r="F83" s="126" t="n">
        <v>0</v>
      </c>
      <c r="G83" s="126">
        <f>$E$21</f>
        <v/>
      </c>
      <c r="H83" s="124">
        <f>D83*(1+F83)*(1+G83)</f>
        <v/>
      </c>
      <c r="I83" s="127">
        <f>IFERROR(H83/D83-1,0)</f>
        <v/>
      </c>
      <c r="J83" s="123" t="inlineStr"/>
      <c r="K83" s="86" t="n"/>
      <c r="L83" s="86" t="n"/>
      <c r="M83" s="86" t="n"/>
    </row>
    <row r="84">
      <c r="A84" s="86" t="n"/>
      <c r="B84" s="116" t="inlineStr">
        <is>
          <t>TOTAL DES CHARGES DE CAMPUS</t>
        </is>
      </c>
      <c r="C84" s="116" t="n"/>
      <c r="D84" s="117">
        <f>D67+D71+D75+D80+D82</f>
        <v/>
      </c>
      <c r="E84" s="116" t="inlineStr"/>
      <c r="F84" s="119" t="inlineStr"/>
      <c r="G84" s="119" t="inlineStr"/>
      <c r="H84" s="117">
        <f>H67+H71+H75+H80+H82</f>
        <v/>
      </c>
      <c r="I84" s="137">
        <f>IFERROR(H84/D84-1,0)</f>
        <v/>
      </c>
      <c r="J84" s="116" t="inlineStr"/>
      <c r="K84" s="86" t="n"/>
      <c r="L84" s="86" t="n"/>
      <c r="M84" s="86" t="n"/>
    </row>
    <row r="85">
      <c r="A85" s="86" t="n"/>
      <c r="B85" s="138" t="inlineStr">
        <is>
          <t>Chiffre d'affaires</t>
        </is>
      </c>
      <c r="C85" s="138" t="n"/>
      <c r="D85" s="139" t="n">
        <v>23098985</v>
      </c>
      <c r="E85" s="138" t="inlineStr"/>
      <c r="F85" s="140" t="inlineStr"/>
      <c r="G85" s="140" t="inlineStr"/>
      <c r="H85" s="139">
        <f>E59</f>
        <v/>
      </c>
      <c r="I85" s="141">
        <f>IFERROR(H85/D85-1,0)</f>
        <v/>
      </c>
      <c r="J85" s="138" t="inlineStr">
        <is>
          <t>bloc ⓒ ci-dessus</t>
        </is>
      </c>
      <c r="K85" s="86" t="n"/>
      <c r="L85" s="86" t="n"/>
      <c r="M85" s="86" t="n"/>
    </row>
    <row r="86">
      <c r="A86" s="86" t="n"/>
      <c r="B86" s="116" t="inlineStr">
        <is>
          <t>EBITDA PROPRE  ·  avant quote-part du siège</t>
        </is>
      </c>
      <c r="C86" s="116" t="n"/>
      <c r="D86" s="142">
        <f>D85-D84</f>
        <v/>
      </c>
      <c r="E86" s="116" t="inlineStr"/>
      <c r="F86" s="119" t="inlineStr"/>
      <c r="G86" s="119" t="inlineStr"/>
      <c r="H86" s="142">
        <f>H85-H84</f>
        <v/>
      </c>
      <c r="I86" s="137">
        <f>IFERROR(H86/D86-1,0)</f>
        <v/>
      </c>
      <c r="J86" s="116" t="inlineStr">
        <is>
          <t>ce que les campus produisent</t>
        </is>
      </c>
      <c r="K86" s="86" t="n"/>
      <c r="L86" s="86" t="n"/>
      <c r="M86" s="86" t="n"/>
    </row>
    <row r="87">
      <c r="A87" s="86" t="n"/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</row>
    <row r="88" ht="20" customHeight="1">
      <c r="A88" s="86" t="n"/>
      <c r="B88" s="143" t="inlineStr">
        <is>
          <t>LE SIÈGE  ·  mêmes règles, périmètre à part — c'est lui qui sépare l'EBITDA propre de l'EBITDA net</t>
        </is>
      </c>
      <c r="C88" s="86" t="n"/>
      <c r="D88" s="86" t="n"/>
      <c r="E88" s="86" t="n"/>
      <c r="F88" s="86" t="n"/>
      <c r="G88" s="86" t="n"/>
      <c r="H88" s="86" t="n"/>
      <c r="I88" s="86" t="n"/>
      <c r="J88" s="86" t="n"/>
      <c r="K88" s="86" t="n"/>
      <c r="L88" s="86" t="n"/>
      <c r="M88" s="86" t="n"/>
    </row>
    <row r="89" hidden="1" outlineLevel="1">
      <c r="A89" s="86" t="n"/>
      <c r="B89" s="144" t="inlineStr">
        <is>
          <t xml:space="preserve">      6236 · Catalogues et imprimés — marketing de marque</t>
        </is>
      </c>
      <c r="C89" s="145" t="n"/>
      <c r="D89" s="112" t="n">
        <v>676344</v>
      </c>
      <c r="E89" s="73" t="inlineStr">
        <is>
          <t>le budget de marque</t>
        </is>
      </c>
      <c r="F89" s="111" t="n">
        <v>0</v>
      </c>
      <c r="G89" s="111">
        <f>$E$22</f>
        <v/>
      </c>
      <c r="H89" s="112">
        <f>D89*(1+F89)*(1+G89)</f>
        <v/>
      </c>
      <c r="I89" s="146">
        <f>IFERROR(H89/D89-1,0)</f>
        <v/>
      </c>
      <c r="J89" s="145" t="inlineStr"/>
      <c r="K89" s="86" t="n"/>
      <c r="L89" s="86" t="n"/>
      <c r="M89" s="86" t="n"/>
    </row>
    <row r="90" hidden="1" outlineLevel="1">
      <c r="A90" s="86" t="n"/>
      <c r="B90" s="144" t="inlineStr">
        <is>
          <t xml:space="preserve">      6414 · Salaires du siège</t>
        </is>
      </c>
      <c r="C90" s="145" t="n"/>
      <c r="D90" s="112" t="n">
        <v>1242649</v>
      </c>
      <c r="E90" s="73" t="inlineStr">
        <is>
          <t>les postes</t>
        </is>
      </c>
      <c r="F90" s="111">
        <f>$E$27</f>
        <v/>
      </c>
      <c r="G90" s="111">
        <f>$E$26</f>
        <v/>
      </c>
      <c r="H90" s="112">
        <f>D90*(1+F90)*(1+G90)</f>
        <v/>
      </c>
      <c r="I90" s="146">
        <f>IFERROR(H90/D90-1,0)</f>
        <v/>
      </c>
      <c r="J90" s="145" t="inlineStr"/>
      <c r="K90" s="86" t="n"/>
      <c r="L90" s="86" t="n"/>
      <c r="M90" s="86" t="n"/>
    </row>
    <row r="91" hidden="1" outlineLevel="1">
      <c r="A91" s="86" t="n"/>
      <c r="B91" s="144" t="inlineStr">
        <is>
          <t xml:space="preserve">      6226 · Honoraires</t>
        </is>
      </c>
      <c r="C91" s="145" t="n"/>
      <c r="D91" s="112" t="n">
        <v>564841</v>
      </c>
      <c r="E91" s="73" t="inlineStr">
        <is>
          <t>l'indexation et la structure</t>
        </is>
      </c>
      <c r="F91" s="111" t="n">
        <v>0</v>
      </c>
      <c r="G91" s="111">
        <f>(1+$E$24)*(1-$E$25)*(1+$E$28)-1</f>
        <v/>
      </c>
      <c r="H91" s="112">
        <f>D91*(1+F91)*(1+G91)</f>
        <v/>
      </c>
      <c r="I91" s="146">
        <f>IFERROR(H91/D91-1,0)</f>
        <v/>
      </c>
      <c r="J91" s="145" t="inlineStr"/>
      <c r="K91" s="86" t="n"/>
      <c r="L91" s="86" t="n"/>
      <c r="M91" s="86" t="n"/>
    </row>
    <row r="92" hidden="1" outlineLevel="1">
      <c r="A92" s="86" t="n"/>
      <c r="B92" s="144" t="inlineStr">
        <is>
          <t xml:space="preserve">      626 · Frais postaux et de télécommunications</t>
        </is>
      </c>
      <c r="C92" s="145" t="n"/>
      <c r="D92" s="112" t="n">
        <v>451872</v>
      </c>
      <c r="E92" s="73" t="inlineStr">
        <is>
          <t>l'indexation et la structure</t>
        </is>
      </c>
      <c r="F92" s="111" t="n">
        <v>0</v>
      </c>
      <c r="G92" s="111">
        <f>(1+$E$24)*(1-$E$25)*(1+$E$28)-1</f>
        <v/>
      </c>
      <c r="H92" s="112">
        <f>D92*(1+F92)*(1+G92)</f>
        <v/>
      </c>
      <c r="I92" s="146">
        <f>IFERROR(H92/D92-1,0)</f>
        <v/>
      </c>
      <c r="J92" s="145" t="inlineStr"/>
      <c r="K92" s="86" t="n"/>
      <c r="L92" s="86" t="n"/>
      <c r="M92" s="86" t="n"/>
    </row>
    <row r="93" hidden="1" outlineLevel="1">
      <c r="A93" s="86" t="n"/>
      <c r="B93" s="144" t="inlineStr">
        <is>
          <t xml:space="preserve">      6281 · Cotisations et concours divers</t>
        </is>
      </c>
      <c r="C93" s="145" t="n"/>
      <c r="D93" s="112" t="n">
        <v>180749</v>
      </c>
      <c r="E93" s="73" t="inlineStr">
        <is>
          <t>l'indexation et la structure</t>
        </is>
      </c>
      <c r="F93" s="111" t="n">
        <v>0</v>
      </c>
      <c r="G93" s="111">
        <f>(1+$E$24)*(1-$E$25)*(1+$E$28)-1</f>
        <v/>
      </c>
      <c r="H93" s="112">
        <f>D93*(1+F93)*(1+G93)</f>
        <v/>
      </c>
      <c r="I93" s="146">
        <f>IFERROR(H93/D93-1,0)</f>
        <v/>
      </c>
      <c r="J93" s="145" t="inlineStr"/>
      <c r="K93" s="86" t="n"/>
      <c r="L93" s="86" t="n"/>
      <c r="M93" s="86" t="n"/>
    </row>
    <row r="94" hidden="1" outlineLevel="1">
      <c r="A94" s="86" t="n"/>
      <c r="B94" s="144" t="inlineStr">
        <is>
          <t xml:space="preserve">      6331 · Versement mobilité</t>
        </is>
      </c>
      <c r="C94" s="145" t="n"/>
      <c r="D94" s="112" t="n">
        <v>338904</v>
      </c>
      <c r="E94" s="73" t="inlineStr">
        <is>
          <t>l'indexation, moins l'effort</t>
        </is>
      </c>
      <c r="F94" s="111" t="n">
        <v>0</v>
      </c>
      <c r="G94" s="111">
        <f>(1+$E$24)*(1-$E$25)-1</f>
        <v/>
      </c>
      <c r="H94" s="112">
        <f>D94*(1+F94)*(1+G94)</f>
        <v/>
      </c>
      <c r="I94" s="146">
        <f>IFERROR(H94/D94-1,0)</f>
        <v/>
      </c>
      <c r="J94" s="145" t="inlineStr"/>
      <c r="K94" s="86" t="n"/>
      <c r="L94" s="86" t="n"/>
      <c r="M94" s="86" t="n"/>
    </row>
    <row r="95" hidden="1" outlineLevel="1">
      <c r="A95" s="86" t="n"/>
      <c r="B95" s="144" t="inlineStr">
        <is>
          <t xml:space="preserve">      6333 · Participation à la formation professionnelle</t>
        </is>
      </c>
      <c r="C95" s="145" t="n"/>
      <c r="D95" s="112" t="n">
        <v>112968</v>
      </c>
      <c r="E95" s="73" t="inlineStr">
        <is>
          <t>l'indexation, moins l'effort</t>
        </is>
      </c>
      <c r="F95" s="111" t="n">
        <v>0</v>
      </c>
      <c r="G95" s="111">
        <f>(1+$E$24)*(1-$E$25)-1</f>
        <v/>
      </c>
      <c r="H95" s="112">
        <f>D95*(1+F95)*(1+G95)</f>
        <v/>
      </c>
      <c r="I95" s="146">
        <f>IFERROR(H95/D95-1,0)</f>
        <v/>
      </c>
      <c r="J95" s="145" t="inlineStr"/>
      <c r="K95" s="86" t="n"/>
      <c r="L95" s="86" t="n"/>
      <c r="M95" s="86" t="n"/>
    </row>
    <row r="96">
      <c r="A96" s="86" t="n"/>
      <c r="B96" s="116" t="inlineStr">
        <is>
          <t>QUOTE-PART DU SIÈGE</t>
        </is>
      </c>
      <c r="C96" s="116" t="n"/>
      <c r="D96" s="117">
        <f>D89+D90+D91+D92+D93+D94+D95</f>
        <v/>
      </c>
      <c r="E96" s="116" t="inlineStr"/>
      <c r="F96" s="119" t="inlineStr"/>
      <c r="G96" s="119" t="inlineStr"/>
      <c r="H96" s="117">
        <f>H89+H90+H91+H92+H93+H94+H95</f>
        <v/>
      </c>
      <c r="I96" s="137">
        <f>IFERROR(H96/D96-1,0)</f>
        <v/>
      </c>
      <c r="J96" s="116" t="inlineStr">
        <is>
          <t>marque, holding — cascades K1 et K4</t>
        </is>
      </c>
      <c r="K96" s="86" t="n"/>
      <c r="L96" s="86" t="n"/>
      <c r="M96" s="86" t="n"/>
    </row>
    <row r="97">
      <c r="A97" s="86" t="n"/>
      <c r="B97" s="86" t="n"/>
      <c r="C97" s="86" t="n"/>
      <c r="D97" s="86" t="n"/>
      <c r="E97" s="86" t="n"/>
      <c r="F97" s="86" t="n"/>
      <c r="G97" s="86" t="n"/>
      <c r="H97" s="86" t="n"/>
      <c r="I97" s="86" t="n"/>
      <c r="J97" s="86" t="n"/>
      <c r="K97" s="86" t="n"/>
      <c r="L97" s="86" t="n"/>
      <c r="M97" s="86" t="n"/>
    </row>
    <row r="98">
      <c r="A98" s="86" t="n"/>
      <c r="B98" s="116" t="inlineStr">
        <is>
          <t>EBITDA NET  ·  celui du groupe</t>
        </is>
      </c>
      <c r="C98" s="116" t="n"/>
      <c r="D98" s="147">
        <f>D86-D96</f>
        <v/>
      </c>
      <c r="E98" s="116" t="inlineStr"/>
      <c r="F98" s="119" t="inlineStr"/>
      <c r="G98" s="119" t="inlineStr"/>
      <c r="H98" s="147">
        <f>H86-H96</f>
        <v/>
      </c>
      <c r="I98" s="137">
        <f>IFERROR(H98/D98-1,0)</f>
        <v/>
      </c>
      <c r="J98" s="116" t="inlineStr">
        <is>
          <t>dotations exclues</t>
        </is>
      </c>
      <c r="K98" s="86" t="n"/>
      <c r="L98" s="86" t="n"/>
      <c r="M98" s="86" t="n"/>
    </row>
    <row r="99">
      <c r="A99" s="86" t="n"/>
      <c r="B99" s="106" t="inlineStr">
        <is>
          <t>Marge d'EBITDA  —  propre</t>
        </is>
      </c>
      <c r="C99" s="106" t="n"/>
      <c r="D99" s="148">
        <f>IFERROR(D86/D85,0)</f>
        <v/>
      </c>
      <c r="E99" s="106" t="inlineStr"/>
      <c r="F99" s="149" t="inlineStr"/>
      <c r="G99" s="149" t="inlineStr"/>
      <c r="H99" s="148">
        <f>IFERROR(H86/H85,0)</f>
        <v/>
      </c>
      <c r="I99" s="150" t="inlineStr"/>
      <c r="J99" s="106">
        <f>"et nette : "&amp;TEXT(D98/D85,"0.0 %")&amp;"  →  "&amp;TEXT(H98/H85,"0.0 %")</f>
        <v/>
      </c>
      <c r="K99" s="86" t="n"/>
      <c r="L99" s="86" t="n"/>
      <c r="M99" s="86" t="n"/>
    </row>
    <row r="100">
      <c r="A100" s="86" t="n"/>
      <c r="B100" s="86" t="n"/>
      <c r="C100" s="86" t="n"/>
      <c r="D100" s="86" t="n"/>
      <c r="E100" s="86" t="n"/>
      <c r="F100" s="86" t="n"/>
      <c r="G100" s="86" t="n"/>
      <c r="H100" s="86" t="n"/>
      <c r="I100" s="86" t="n"/>
      <c r="J100" s="86" t="n"/>
      <c r="K100" s="86" t="n"/>
      <c r="L100" s="86" t="n"/>
      <c r="M100" s="86" t="n"/>
    </row>
    <row r="101">
      <c r="A101" s="86" t="n"/>
      <c r="B101" s="144" t="inlineStr">
        <is>
          <t xml:space="preserve">      6811 · Dotations aux amortissements  ·  sous la ligne d'EBITDA</t>
        </is>
      </c>
      <c r="C101" s="145" t="n"/>
      <c r="D101" s="112" t="n">
        <v>1352683</v>
      </c>
      <c r="E101" s="73" t="inlineStr">
        <is>
          <t>l'indexation</t>
        </is>
      </c>
      <c r="F101" s="111" t="n">
        <v>0</v>
      </c>
      <c r="G101" s="111">
        <f>$E$24</f>
        <v/>
      </c>
      <c r="H101" s="112">
        <f>D101*(1+F101)*(1+G101)</f>
        <v/>
      </c>
      <c r="I101" s="146">
        <f>IFERROR(H101/D101-1,0)</f>
        <v/>
      </c>
      <c r="J101" s="145" t="inlineStr"/>
      <c r="K101" s="86" t="n"/>
      <c r="L101" s="86" t="n"/>
      <c r="M101" s="86" t="n"/>
    </row>
    <row r="102">
      <c r="A102" s="86" t="n"/>
      <c r="B102" s="86" t="n"/>
      <c r="C102" s="86" t="n"/>
      <c r="D102" s="86" t="n"/>
      <c r="E102" s="86" t="n"/>
      <c r="F102" s="86" t="n"/>
      <c r="G102" s="86" t="n"/>
      <c r="H102" s="86" t="n"/>
      <c r="I102" s="86" t="n"/>
      <c r="J102" s="86" t="n"/>
      <c r="K102" s="86" t="n"/>
      <c r="L102" s="86" t="n"/>
      <c r="M102" s="86" t="n"/>
    </row>
    <row r="103">
      <c r="A103" s="86" t="n"/>
      <c r="B103" s="86" t="n"/>
      <c r="C103" s="86" t="n"/>
      <c r="D103" s="86" t="n"/>
      <c r="E103" s="86" t="n"/>
      <c r="F103" s="86" t="n"/>
      <c r="G103" s="86" t="n"/>
      <c r="H103" s="86" t="n"/>
      <c r="I103" s="86" t="n"/>
      <c r="J103" s="86" t="n"/>
      <c r="K103" s="86" t="n"/>
      <c r="L103" s="86" t="n"/>
      <c r="M103" s="86" t="n"/>
    </row>
    <row r="104" ht="20" customHeight="1">
      <c r="A104" s="86" t="n"/>
      <c r="B104" s="92" t="inlineStr">
        <is>
          <t>ⓔ  Est-ce que ce budget dit la même chose que le moteur ?</t>
        </is>
      </c>
      <c r="C104" s="86" t="n"/>
      <c r="D104" s="86" t="n"/>
      <c r="E104" s="86" t="n"/>
      <c r="F104" s="86" t="n"/>
      <c r="G104" s="86" t="n"/>
      <c r="H104" s="86" t="n"/>
      <c r="I104" s="86" t="n"/>
      <c r="J104" s="86" t="n"/>
      <c r="K104" s="86" t="n"/>
      <c r="L104" s="86" t="n"/>
      <c r="M104" s="86" t="n"/>
    </row>
    <row r="105" ht="14" customHeight="1">
      <c r="A105" s="86" t="n"/>
      <c r="B105" s="93" t="inlineStr">
        <is>
          <t>Le CA gagné est le même nombre — c'est la même cellule. Le coût de service, lui, obéit à deux doctrines : le budget applique la règle de CAD_PIL, où le vacataire suit le chiffre d'affaires ; le moteur le fait suivre la CLASSE, ce qui est plus juste. L'écart est affiché, pas gommé.</t>
        </is>
      </c>
      <c r="C105" s="86" t="n"/>
      <c r="D105" s="86" t="n"/>
      <c r="E105" s="86" t="n"/>
      <c r="F105" s="86" t="n"/>
      <c r="G105" s="86" t="n"/>
      <c r="H105" s="86" t="n"/>
      <c r="I105" s="86" t="n"/>
      <c r="J105" s="86" t="n"/>
      <c r="K105" s="86" t="n"/>
      <c r="L105" s="86" t="n"/>
      <c r="M105" s="86" t="n"/>
    </row>
    <row r="106">
      <c r="A106" s="86" t="n"/>
      <c r="B106" s="86" t="n"/>
      <c r="C106" s="86" t="n"/>
      <c r="D106" s="86" t="n"/>
      <c r="E106" s="86" t="n"/>
      <c r="F106" s="86" t="n"/>
      <c r="G106" s="86" t="n"/>
      <c r="H106" s="86" t="n"/>
      <c r="I106" s="86" t="n"/>
      <c r="J106" s="86" t="n"/>
      <c r="K106" s="86" t="n"/>
      <c r="L106" s="86" t="n"/>
      <c r="M106" s="86" t="n"/>
    </row>
    <row r="107" ht="26" customHeight="1">
      <c r="A107" s="86" t="n"/>
      <c r="B107" s="94" t="inlineStr">
        <is>
          <t>Ce que le geste rapporte</t>
        </is>
      </c>
      <c r="C107" s="95" t="n"/>
      <c r="D107" s="95" t="inlineStr">
        <is>
          <t>Le moteur</t>
        </is>
      </c>
      <c r="E107" s="95" t="n"/>
      <c r="F107" s="95" t="inlineStr">
        <is>
          <t>Le budget 2027</t>
        </is>
      </c>
      <c r="G107" s="95" t="n"/>
      <c r="H107" s="95" t="inlineStr">
        <is>
          <t>Écart</t>
        </is>
      </c>
      <c r="I107" s="95" t="n"/>
      <c r="J107" s="95" t="inlineStr">
        <is>
          <t>Pourquoi</t>
        </is>
      </c>
      <c r="K107" s="86" t="n"/>
      <c r="L107" s="86" t="n"/>
      <c r="M107" s="86" t="n"/>
    </row>
    <row r="108">
      <c r="A108" s="86" t="n"/>
      <c r="B108" s="145" t="inlineStr">
        <is>
          <t>CA gagné par le geste d'acquisition</t>
        </is>
      </c>
      <c r="C108" s="67" t="n"/>
      <c r="D108" s="112">
        <f>'Le moteur'!J61</f>
        <v/>
      </c>
      <c r="E108" s="67" t="n"/>
      <c r="F108" s="112">
        <f>E56</f>
        <v/>
      </c>
      <c r="G108" s="67" t="n"/>
      <c r="H108" s="151">
        <f>F108-D108</f>
        <v/>
      </c>
      <c r="I108" s="67" t="n"/>
      <c r="J108" s="73" t="inlineStr">
        <is>
          <t>la même cellule — zéro par construction</t>
        </is>
      </c>
      <c r="K108" s="67" t="n"/>
      <c r="L108" s="67" t="n"/>
      <c r="M108" s="67" t="n"/>
    </row>
    <row r="109">
      <c r="A109" s="86" t="n"/>
      <c r="B109" s="145" t="inlineStr">
        <is>
          <t>Coût de servir ces élèves</t>
        </is>
      </c>
      <c r="C109" s="67" t="n"/>
      <c r="D109" s="112">
        <f>'Le moteur'!I61*'Le moteur'!K61</f>
        <v/>
      </c>
      <c r="E109" s="67" t="n"/>
      <c r="F109" s="112">
        <f>D67*'Le moteur'!J61/D85*(1-$E$25)</f>
        <v/>
      </c>
      <c r="G109" s="67" t="n"/>
      <c r="H109" s="151">
        <f>F109-D109</f>
        <v/>
      </c>
      <c r="I109" s="67" t="n"/>
      <c r="J109" s="73" t="inlineStr">
        <is>
          <t>le moteur suit la CLASSE, le budget suit le CA — c'est là qu'ils divergent</t>
        </is>
      </c>
      <c r="K109" s="67" t="n"/>
      <c r="L109" s="67" t="n"/>
      <c r="M109" s="67" t="n"/>
    </row>
    <row r="110">
      <c r="A110" s="86" t="n"/>
      <c r="B110" s="106" t="inlineStr">
        <is>
          <t>EBITDA gagné</t>
        </is>
      </c>
      <c r="C110" s="67" t="n"/>
      <c r="D110" s="152">
        <f>'Le moteur'!L61</f>
        <v/>
      </c>
      <c r="E110" s="67" t="n"/>
      <c r="F110" s="152">
        <f>F108-(H83-D83)-F109</f>
        <v/>
      </c>
      <c r="G110" s="67" t="n"/>
      <c r="H110" s="153">
        <f>F110-D110</f>
        <v/>
      </c>
      <c r="I110" s="67" t="n"/>
      <c r="J110" s="73" t="inlineStr">
        <is>
          <t>CA gagné − Δ budget d'acquisition − coût de service</t>
        </is>
      </c>
      <c r="K110" s="67" t="n"/>
      <c r="L110" s="67" t="n"/>
      <c r="M110" s="67" t="n"/>
    </row>
    <row r="111">
      <c r="A111" s="86" t="n"/>
      <c r="B111" s="86" t="n"/>
      <c r="C111" s="86" t="n"/>
      <c r="D111" s="86" t="n"/>
      <c r="E111" s="86" t="n"/>
      <c r="F111" s="86" t="n"/>
      <c r="G111" s="86" t="n"/>
      <c r="H111" s="86" t="n"/>
      <c r="I111" s="86" t="n"/>
      <c r="J111" s="86" t="n"/>
      <c r="K111" s="86" t="n"/>
      <c r="L111" s="86" t="n"/>
      <c r="M111" s="86" t="n"/>
    </row>
    <row r="112" ht="18" customHeight="1">
      <c r="A112" s="86" t="n"/>
      <c r="B112" s="154">
        <f>"Ce budget reproduit le scénario Cadrage de CAD_PIL à l'euro : "&amp;TEXT(H85,"#,##0 €")&amp;" de chiffre d'affaires, "&amp;TEXT(H98,"#,##0 €")&amp;" d'EBITDA net. L'écart de "&amp;TEXT(ABS(H110),"#,##0 €")&amp;" ci-dessus est le prix de sa doctrine : chez lui le vacataire suit le CA, chez nous il suit la classe."</f>
        <v/>
      </c>
      <c r="C112" s="155" t="n"/>
      <c r="D112" s="155" t="n"/>
      <c r="E112" s="155" t="n"/>
      <c r="F112" s="155" t="n"/>
      <c r="G112" s="155" t="n"/>
      <c r="H112" s="155" t="n"/>
      <c r="I112" s="155" t="n"/>
      <c r="J112" s="155" t="n"/>
      <c r="K112" s="155" t="n"/>
      <c r="L112" s="155" t="n"/>
      <c r="M112" s="155" t="n"/>
    </row>
    <row r="113" ht="18" customHeight="1">
      <c r="A113" s="86" t="n"/>
      <c r="B113" s="156">
        <f>"La marge nette gagne "&amp;TEXT((H98/H85-D98/D85)*100,"0.0")&amp;" pt quand la marge propre n'en gagne que "&amp;TEXT((H86/H85-D86/D85)*100,"0.0")&amp;" : la différence ne vient pas des campus, elle vient du siège qui se dilue — il croît de "&amp;TEXT(H96/D96-1,"0.0 %")&amp;" quand le chiffre d'affaires croît de "&amp;TEXT(H85/D85-1,"0.0 %")&amp;"."</f>
        <v/>
      </c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86" t="n"/>
      <c r="B114" s="157">
        <f>"Et le gain ne vient d'aucune économie : il vient de "&amp;TEXT(E38-E34,"#,##0")&amp;" élèves de plus dans des classes déjà ouvertes — dont "&amp;TEXT(E36+E37,"#,##0")&amp;" que les deux gestes ont payés."</f>
        <v/>
      </c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</row>
    <row r="115">
      <c r="A115" s="86" t="n"/>
      <c r="B115" s="86" t="n"/>
      <c r="C115" s="86" t="n"/>
      <c r="D115" s="86" t="n"/>
      <c r="E115" s="86" t="n"/>
      <c r="F115" s="86" t="n"/>
      <c r="G115" s="86" t="n"/>
      <c r="H115" s="86" t="n"/>
      <c r="I115" s="86" t="n"/>
      <c r="J115" s="86" t="n"/>
      <c r="K115" s="86" t="n"/>
      <c r="L115" s="86" t="n"/>
      <c r="M115" s="86" t="n"/>
    </row>
  </sheetData>
  <conditionalFormatting sqref="I68 I69 I70 I72 I73 I74 I76 I77 I78 I79 I81 I83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4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</row>
    <row r="5" ht="22" customHeight="1">
      <c r="A5" s="86" t="n"/>
      <c r="B5" s="87" t="inlineStr">
        <is>
          <t>La comptabilité ne connaît pas le programme.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</row>
    <row r="6" ht="16" customHeight="1">
      <c r="A6" s="86" t="n"/>
      <c r="B6" s="88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</row>
    <row r="7">
      <c r="A7" s="86" t="n"/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6" t="n"/>
      <c r="L7" s="86" t="n"/>
      <c r="M7" s="86" t="n"/>
      <c r="N7" s="86" t="n"/>
    </row>
    <row r="8" ht="20" customHeight="1">
      <c r="A8" s="86" t="n"/>
      <c r="B8" s="92" t="inlineStr">
        <is>
          <t>①  Trois poches d'enseignement, trois comportements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  <c r="K8" s="86" t="n"/>
      <c r="L8" s="86" t="n"/>
      <c r="M8" s="86" t="n"/>
      <c r="N8" s="86" t="n"/>
    </row>
    <row r="9" ht="14" customHeight="1">
      <c r="A9" s="86" t="n"/>
      <c r="B9" s="93" t="inlineStr">
        <is>
          <t>Le même euro de charge ne se répartit pas de la même façon, et surtout ne réagit pas de la même façon quand un élève de plus arrive.</t>
        </is>
      </c>
      <c r="C9" s="86" t="n"/>
      <c r="D9" s="86" t="n"/>
      <c r="E9" s="86" t="n"/>
      <c r="F9" s="86" t="n"/>
      <c r="G9" s="86" t="n"/>
      <c r="H9" s="86" t="n"/>
      <c r="I9" s="86" t="n"/>
      <c r="J9" s="86" t="n"/>
      <c r="K9" s="86" t="n"/>
      <c r="L9" s="86" t="n"/>
      <c r="M9" s="86" t="n"/>
      <c r="N9" s="86" t="n"/>
    </row>
    <row r="10">
      <c r="A10" s="86" t="n"/>
      <c r="B10" s="86" t="n"/>
      <c r="C10" s="86" t="n"/>
      <c r="D10" s="86" t="n"/>
      <c r="E10" s="86" t="n"/>
      <c r="F10" s="86" t="n"/>
      <c r="G10" s="86" t="n"/>
      <c r="H10" s="86" t="n"/>
      <c r="I10" s="86" t="n"/>
      <c r="J10" s="86" t="n"/>
      <c r="K10" s="86" t="n"/>
      <c r="L10" s="86" t="n"/>
      <c r="M10" s="86" t="n"/>
      <c r="N10" s="86" t="n"/>
    </row>
    <row r="11" ht="30" customHeight="1">
      <c r="A11" s="86" t="n"/>
      <c r="B11" s="94" t="inlineStr">
        <is>
          <t>Poche</t>
        </is>
      </c>
      <c r="C11" s="95" t="inlineStr">
        <is>
          <t>Comptes</t>
        </is>
      </c>
      <c r="D11" s="95" t="inlineStr">
        <is>
          <t>Montant 2026</t>
        </is>
      </c>
      <c r="E11" s="95" t="inlineStr">
        <is>
          <t>Clé d'allocation</t>
        </is>
      </c>
      <c r="F11" s="95" t="inlineStr">
        <is>
          <t>Varie avec</t>
        </is>
      </c>
      <c r="G11" s="95" t="inlineStr">
        <is>
          <t>Comportement</t>
        </is>
      </c>
      <c r="H11" s="95" t="inlineStr">
        <is>
          <t>Bouge si un élève de plus arrive ?</t>
        </is>
      </c>
      <c r="I11" s="86" t="n"/>
      <c r="J11" s="86" t="n"/>
      <c r="K11" s="86" t="n"/>
      <c r="L11" s="86" t="n"/>
      <c r="M11" s="86" t="n"/>
      <c r="N11" s="86" t="n"/>
    </row>
    <row r="12">
      <c r="A12" s="86" t="n"/>
      <c r="B12" s="106" t="inlineStr">
        <is>
          <t>Consommables</t>
        </is>
      </c>
      <c r="C12" s="159" t="inlineStr">
        <is>
          <t>604 + 6063</t>
        </is>
      </c>
      <c r="D12" s="112">
        <f>'Le moteur'!R34</f>
        <v/>
      </c>
      <c r="E12" s="145" t="inlineStr">
        <is>
          <t>EFFECTIFS</t>
        </is>
      </c>
      <c r="F12" s="145" t="inlineStr">
        <is>
          <t>le campus</t>
        </is>
      </c>
      <c r="G12" s="160" t="inlineStr">
        <is>
          <t>VARIABLE</t>
        </is>
      </c>
      <c r="H12" s="161" t="inlineStr">
        <is>
          <t>OUI — c'est le seul euro qui suit vraiment l'élève</t>
        </is>
      </c>
      <c r="I12" s="86" t="n"/>
      <c r="J12" s="86" t="n"/>
      <c r="K12" s="86" t="n"/>
      <c r="L12" s="86" t="n"/>
      <c r="M12" s="86" t="n"/>
      <c r="N12" s="86" t="n"/>
    </row>
    <row r="13">
      <c r="A13" s="86" t="n"/>
      <c r="B13" s="106" t="inlineStr">
        <is>
          <t>Vacataires</t>
        </is>
      </c>
      <c r="C13" s="159" t="inlineStr">
        <is>
          <t>621</t>
        </is>
      </c>
      <c r="D13" s="112">
        <f>'Le moteur'!S34</f>
        <v/>
      </c>
      <c r="E13" s="145" t="inlineStr">
        <is>
          <t>HEURES</t>
        </is>
      </c>
      <c r="F13" s="145" t="inlineStr">
        <is>
          <t>le programme</t>
        </is>
      </c>
      <c r="G13" s="162" t="inlineStr">
        <is>
          <t>SEMI-VARIABLE</t>
        </is>
      </c>
      <c r="H13" s="163" t="inlineStr">
        <is>
          <t>Seulement si la classe doit ouvrir</t>
        </is>
      </c>
      <c r="I13" s="86" t="n"/>
      <c r="J13" s="86" t="n"/>
      <c r="K13" s="86" t="n"/>
      <c r="L13" s="86" t="n"/>
      <c r="M13" s="86" t="n"/>
      <c r="N13" s="86" t="n"/>
    </row>
    <row r="14">
      <c r="A14" s="86" t="n"/>
      <c r="B14" s="106" t="inlineStr">
        <is>
          <t>Enseignants permanents</t>
        </is>
      </c>
      <c r="C14" s="159" t="inlineStr">
        <is>
          <t>6411</t>
        </is>
      </c>
      <c r="D14" s="112">
        <f>'Le moteur'!T34</f>
        <v/>
      </c>
      <c r="E14" s="145" t="inlineStr">
        <is>
          <t>HEURES</t>
        </is>
      </c>
      <c r="F14" s="145" t="inlineStr">
        <is>
          <t>le nombre de postes</t>
        </is>
      </c>
      <c r="G14" s="164" t="inlineStr">
        <is>
          <t>CAPACITÉ</t>
        </is>
      </c>
      <c r="H14" s="165" t="inlineStr">
        <is>
          <t>NON — payé pareil pour 24 ou 32 élèves dans la salle</t>
        </is>
      </c>
      <c r="I14" s="86" t="n"/>
      <c r="J14" s="86" t="n"/>
      <c r="K14" s="86" t="n"/>
      <c r="L14" s="86" t="n"/>
      <c r="M14" s="86" t="n"/>
      <c r="N14" s="86" t="n"/>
    </row>
    <row r="15">
      <c r="A15" s="86" t="n"/>
      <c r="B15" s="93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</row>
    <row r="16">
      <c r="A16" s="86" t="n"/>
      <c r="B16" s="86" t="n"/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  <c r="M16" s="86" t="n"/>
      <c r="N16" s="86" t="n"/>
    </row>
    <row r="17">
      <c r="A17" s="86" t="n"/>
      <c r="B17" s="86" t="n"/>
      <c r="C17" s="86" t="n"/>
      <c r="D17" s="86" t="n"/>
      <c r="E17" s="86" t="n"/>
      <c r="F17" s="86" t="n"/>
      <c r="G17" s="86" t="n"/>
      <c r="H17" s="86" t="n"/>
      <c r="I17" s="86" t="n"/>
      <c r="J17" s="86" t="n"/>
      <c r="K17" s="86" t="n"/>
      <c r="L17" s="86" t="n"/>
      <c r="M17" s="86" t="n"/>
      <c r="N17" s="86" t="n"/>
    </row>
    <row r="18" ht="20" customHeight="1">
      <c r="A18" s="86" t="n"/>
      <c r="B18" s="92" t="inlineStr">
        <is>
          <t>②  Le coût variable MOYEN, au grain cycle × modalité</t>
        </is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86" t="n"/>
      <c r="L18" s="86" t="n"/>
      <c r="M18" s="86" t="n"/>
      <c r="N18" s="86" t="n"/>
    </row>
    <row r="19" ht="14" customHeight="1">
      <c r="A19" s="86" t="n"/>
      <c r="B19" s="93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86" t="n"/>
      <c r="D19" s="86" t="n"/>
      <c r="E19" s="86" t="n"/>
      <c r="F19" s="86" t="n"/>
      <c r="G19" s="86" t="n"/>
      <c r="H19" s="86" t="n"/>
      <c r="I19" s="86" t="n"/>
      <c r="J19" s="86" t="n"/>
      <c r="K19" s="86" t="n"/>
      <c r="L19" s="86" t="n"/>
      <c r="M19" s="86" t="n"/>
      <c r="N19" s="86" t="n"/>
    </row>
    <row r="20">
      <c r="A20" s="86" t="n"/>
      <c r="B20" s="86" t="n"/>
      <c r="C20" s="86" t="n"/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</row>
    <row r="21" ht="30" customHeight="1">
      <c r="A21" s="86" t="n"/>
      <c r="B21" s="94" t="inlineStr">
        <is>
          <t>Cycle · modalité</t>
        </is>
      </c>
      <c r="C21" s="95" t="inlineStr">
        <is>
          <t>Effectifs 2026</t>
        </is>
      </c>
      <c r="D21" s="95" t="inlineStr">
        <is>
          <t>Heures / élève</t>
        </is>
      </c>
      <c r="E21" s="95" t="inlineStr">
        <is>
          <t>Tarif horaire</t>
        </is>
      </c>
      <c r="F21" s="95" t="inlineStr">
        <is>
          <t>Vacataires / élève</t>
        </is>
      </c>
      <c r="G21" s="95" t="inlineStr">
        <is>
          <t>Consommables / élève</t>
        </is>
      </c>
      <c r="H21" s="95" t="inlineStr">
        <is>
          <t>Coût moyen / élève</t>
        </is>
      </c>
      <c r="I21" s="95" t="inlineStr">
        <is>
          <t>Écart à la moyenne</t>
        </is>
      </c>
      <c r="J21" s="86" t="n"/>
      <c r="K21" s="86" t="n"/>
      <c r="L21" s="86" t="n"/>
      <c r="M21" s="86" t="n"/>
      <c r="N21" s="86" t="n"/>
    </row>
    <row r="22">
      <c r="A22" s="86" t="n"/>
      <c r="B22" s="106" t="inlineStr">
        <is>
          <t>Mastère · alternance</t>
        </is>
      </c>
      <c r="C22" s="104" t="n">
        <v>840</v>
      </c>
      <c r="D22" s="166" t="n">
        <v>18</v>
      </c>
      <c r="E22" s="167">
        <f>$E$26</f>
        <v/>
      </c>
      <c r="F22" s="168">
        <f>D22*E22</f>
        <v/>
      </c>
      <c r="G22" s="112" t="n">
        <v>372.0952843881691</v>
      </c>
      <c r="H22" s="168">
        <f>F22+G22</f>
        <v/>
      </c>
      <c r="I22" s="146">
        <f>IFERROR(H22/$H$26-1,0)</f>
        <v/>
      </c>
      <c r="J22" s="86" t="n"/>
      <c r="K22" s="86" t="n"/>
      <c r="L22" s="86" t="n"/>
      <c r="M22" s="86" t="n"/>
      <c r="N22" s="86" t="n"/>
    </row>
    <row r="23">
      <c r="A23" s="86" t="n"/>
      <c r="B23" s="106" t="inlineStr">
        <is>
          <t>Bachelor · alternance</t>
        </is>
      </c>
      <c r="C23" s="104" t="n">
        <v>1688</v>
      </c>
      <c r="D23" s="166" t="n">
        <v>21.04265402843602</v>
      </c>
      <c r="E23" s="167">
        <f>$E$26</f>
        <v/>
      </c>
      <c r="F23" s="168">
        <f>D23*E23</f>
        <v/>
      </c>
      <c r="G23" s="112" t="n">
        <v>361.8303545853921</v>
      </c>
      <c r="H23" s="168">
        <f>F23+G23</f>
        <v/>
      </c>
      <c r="I23" s="146">
        <f>IFERROR(H23/$H$26-1,0)</f>
        <v/>
      </c>
      <c r="J23" s="86" t="n"/>
      <c r="K23" s="86" t="n"/>
      <c r="L23" s="86" t="n"/>
      <c r="M23" s="86" t="n"/>
      <c r="N23" s="86" t="n"/>
    </row>
    <row r="24">
      <c r="A24" s="86" t="n"/>
      <c r="B24" s="106" t="inlineStr">
        <is>
          <t>Bachelor · initial</t>
        </is>
      </c>
      <c r="C24" s="104" t="n">
        <v>424</v>
      </c>
      <c r="D24" s="166" t="n">
        <v>24.05660377358491</v>
      </c>
      <c r="E24" s="167">
        <f>$E$26</f>
        <v/>
      </c>
      <c r="F24" s="168">
        <f>D24*E24</f>
        <v/>
      </c>
      <c r="G24" s="112" t="n">
        <v>372.0952832735557</v>
      </c>
      <c r="H24" s="168">
        <f>F24+G24</f>
        <v/>
      </c>
      <c r="I24" s="146">
        <f>IFERROR(H24/$H$26-1,0)</f>
        <v/>
      </c>
      <c r="J24" s="86" t="n"/>
      <c r="K24" s="86" t="n"/>
      <c r="L24" s="86" t="n"/>
      <c r="M24" s="86" t="n"/>
      <c r="N24" s="86" t="n"/>
    </row>
    <row r="25">
      <c r="A25" s="86" t="n"/>
      <c r="B25" s="106" t="inlineStr">
        <is>
          <t>BTS · alternance</t>
        </is>
      </c>
      <c r="C25" s="104" t="n">
        <v>162</v>
      </c>
      <c r="D25" s="166" t="n">
        <v>34.5679012345679</v>
      </c>
      <c r="E25" s="167">
        <f>$E$26</f>
        <v/>
      </c>
      <c r="F25" s="168">
        <f>D25*E25</f>
        <v/>
      </c>
      <c r="G25" s="112" t="n">
        <v>299.900755961781</v>
      </c>
      <c r="H25" s="168">
        <f>F25+G25</f>
        <v/>
      </c>
      <c r="I25" s="146">
        <f>IFERROR(H25/$H$26-1,0)</f>
        <v/>
      </c>
      <c r="J25" s="86" t="n"/>
      <c r="K25" s="86" t="n"/>
      <c r="L25" s="86" t="n"/>
      <c r="M25" s="86" t="n"/>
      <c r="N25" s="86" t="n"/>
    </row>
    <row r="26">
      <c r="A26" s="86" t="n"/>
      <c r="B26" s="116" t="inlineStr">
        <is>
          <t>MOYENNE PONDÉRÉE</t>
        </is>
      </c>
      <c r="C26" s="169">
        <f>SUM(C22:C25)</f>
        <v/>
      </c>
      <c r="D26" s="170">
        <f>IFERROR('Le moteur'!X39/C26,0)</f>
        <v/>
      </c>
      <c r="E26" s="171">
        <f>IFERROR('Le moteur'!Z39/'Le moteur'!X39,0)</f>
        <v/>
      </c>
      <c r="F26" s="117">
        <f>D26*E26</f>
        <v/>
      </c>
      <c r="G26" s="117">
        <f>IFERROR(SUMPRODUCT(C22:C25,G22:G25)/C26,0)</f>
        <v/>
      </c>
      <c r="H26" s="117">
        <f>F26+G26</f>
        <v/>
      </c>
      <c r="I26" s="137" t="inlineStr">
        <is>
          <t>—</t>
        </is>
      </c>
      <c r="J26" s="86" t="n"/>
      <c r="K26" s="86" t="n"/>
      <c r="L26" s="86" t="n"/>
      <c r="M26" s="86" t="n"/>
      <c r="N26" s="86" t="n"/>
    </row>
    <row r="27">
      <c r="A27" s="86" t="n"/>
      <c r="B27" s="86" t="n"/>
      <c r="C27" s="86" t="n"/>
      <c r="D27" s="86" t="n"/>
      <c r="E27" s="86" t="n"/>
      <c r="F27" s="86" t="n"/>
      <c r="G27" s="86" t="n"/>
      <c r="H27" s="86" t="n"/>
      <c r="I27" s="86" t="n"/>
      <c r="J27" s="86" t="n"/>
      <c r="K27" s="86" t="n"/>
      <c r="L27" s="86" t="n"/>
      <c r="M27" s="86" t="n"/>
      <c r="N27" s="86" t="n"/>
    </row>
    <row r="28">
      <c r="A28" s="86" t="n"/>
      <c r="B28" s="172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86" t="n"/>
      <c r="D28" s="86" t="n"/>
      <c r="E28" s="86" t="n"/>
      <c r="F28" s="86" t="n"/>
      <c r="G28" s="86" t="n"/>
      <c r="H28" s="86" t="n"/>
      <c r="I28" s="86" t="n"/>
      <c r="J28" s="86" t="n"/>
      <c r="K28" s="86" t="n"/>
      <c r="L28" s="86" t="n"/>
      <c r="M28" s="86" t="n"/>
      <c r="N28" s="86" t="n"/>
    </row>
    <row r="29">
      <c r="A29" s="86" t="n"/>
      <c r="B29" s="86" t="n"/>
      <c r="C29" s="86" t="n"/>
      <c r="D29" s="86" t="n"/>
      <c r="E29" s="86" t="n"/>
      <c r="F29" s="86" t="n"/>
      <c r="G29" s="86" t="n"/>
      <c r="H29" s="86" t="n"/>
      <c r="I29" s="86" t="n"/>
      <c r="J29" s="86" t="n"/>
      <c r="K29" s="86" t="n"/>
      <c r="L29" s="86" t="n"/>
      <c r="M29" s="86" t="n"/>
      <c r="N29" s="86" t="n"/>
    </row>
    <row r="30" ht="20" customHeight="1">
      <c r="A30" s="86" t="n"/>
      <c r="B30" s="92" t="inlineStr">
        <is>
          <t>③  Le coût d'enseignement campus par campus  ·  ce qui suit l'élève, ce qui suit la classe, ce qui ne bouge pas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  <c r="N30" s="86" t="n"/>
    </row>
    <row r="31" ht="14" customHeight="1">
      <c r="A31" s="86" t="n"/>
      <c r="B31" s="93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86" t="n"/>
      <c r="D31" s="86" t="n"/>
      <c r="E31" s="86" t="n"/>
      <c r="F31" s="86" t="n"/>
      <c r="G31" s="86" t="n"/>
      <c r="H31" s="86" t="n"/>
      <c r="I31" s="86" t="n"/>
      <c r="J31" s="86" t="n"/>
      <c r="K31" s="86" t="n"/>
      <c r="L31" s="86" t="n"/>
      <c r="M31" s="86" t="n"/>
      <c r="N31" s="86" t="n"/>
    </row>
    <row r="32">
      <c r="A32" s="86" t="n"/>
      <c r="B32" s="86" t="n"/>
      <c r="C32" s="86" t="n"/>
      <c r="D32" s="86" t="n"/>
      <c r="E32" s="86" t="n"/>
      <c r="F32" s="86" t="n"/>
      <c r="G32" s="86" t="n"/>
      <c r="H32" s="86" t="n"/>
      <c r="I32" s="86" t="n"/>
      <c r="J32" s="86" t="n"/>
      <c r="K32" s="86" t="n"/>
      <c r="L32" s="86" t="n"/>
      <c r="M32" s="86" t="n"/>
      <c r="N32" s="86" t="n"/>
    </row>
    <row r="33" ht="34" customHeight="1">
      <c r="A33" s="86" t="n"/>
      <c r="B33" s="94" t="inlineStr">
        <is>
          <t>Campus</t>
        </is>
      </c>
      <c r="C33" s="95" t="inlineStr">
        <is>
          <t>Effectifs 2026</t>
        </is>
      </c>
      <c r="D33" s="95" t="inlineStr">
        <is>
          <t>Places libres</t>
        </is>
      </c>
      <c r="E33" s="95" t="inlineStr">
        <is>
          <t>Consommables 604+6063</t>
        </is>
      </c>
      <c r="F33" s="95" t="inlineStr">
        <is>
          <t>Consommables / élève</t>
        </is>
      </c>
      <c r="G33" s="95" t="inlineStr">
        <is>
          <t>Heures d'enseignement</t>
        </is>
      </c>
      <c r="H33" s="95" t="inlineStr">
        <is>
          <t>Vacataires 621</t>
        </is>
      </c>
      <c r="I33" s="95" t="inlineStr">
        <is>
          <t>Quote-part vacataire / place</t>
        </is>
      </c>
      <c r="J33" s="95" t="inlineStr">
        <is>
          <t>Permanents 6411</t>
        </is>
      </c>
      <c r="K33" s="95" t="inlineStr">
        <is>
          <t>Permanents / élève</t>
        </is>
      </c>
      <c r="L33" s="95" t="inlineStr">
        <is>
          <t>Croissance possible avant saturation</t>
        </is>
      </c>
      <c r="M33" s="86" t="n"/>
      <c r="N33" s="86" t="n"/>
    </row>
    <row r="34">
      <c r="A34" s="86" t="n"/>
      <c r="B34" s="106" t="inlineStr">
        <is>
          <t>Ipac Bachelor Factory Montpellier</t>
        </is>
      </c>
      <c r="C34" s="104">
        <f>'Le moteur'!U25</f>
        <v/>
      </c>
      <c r="D34" s="104">
        <f>'Le moteur'!G47</f>
        <v/>
      </c>
      <c r="E34" s="112">
        <f>'Le moteur'!Y25</f>
        <v/>
      </c>
      <c r="F34" s="112">
        <f>IFERROR(E34/C34,0)</f>
        <v/>
      </c>
      <c r="G34" s="173">
        <f>'Le moteur'!X25</f>
        <v/>
      </c>
      <c r="H34" s="112">
        <f>'Le moteur'!Z25</f>
        <v/>
      </c>
      <c r="I34" s="112">
        <f>IFERROR(H34/'Le moteur'!V25,0)</f>
        <v/>
      </c>
      <c r="J34" s="112">
        <f>'Le moteur'!AA25</f>
        <v/>
      </c>
      <c r="K34" s="112">
        <f>IFERROR(J34/C34,0)</f>
        <v/>
      </c>
      <c r="L34" s="109">
        <f>IFERROR(D34/C34,0)</f>
        <v/>
      </c>
      <c r="M34" s="86" t="n"/>
      <c r="N34" s="86" t="n"/>
    </row>
    <row r="35">
      <c r="A35" s="86" t="n"/>
      <c r="B35" s="106" t="inlineStr">
        <is>
          <t>Ipac Bachelor Factory Nantes</t>
        </is>
      </c>
      <c r="C35" s="104">
        <f>'Le moteur'!U26</f>
        <v/>
      </c>
      <c r="D35" s="104">
        <f>'Le moteur'!G48</f>
        <v/>
      </c>
      <c r="E35" s="112">
        <f>'Le moteur'!Y26</f>
        <v/>
      </c>
      <c r="F35" s="112">
        <f>IFERROR(E35/C35,0)</f>
        <v/>
      </c>
      <c r="G35" s="173">
        <f>'Le moteur'!X26</f>
        <v/>
      </c>
      <c r="H35" s="112">
        <f>'Le moteur'!Z26</f>
        <v/>
      </c>
      <c r="I35" s="112">
        <f>IFERROR(H35/'Le moteur'!V26,0)</f>
        <v/>
      </c>
      <c r="J35" s="112">
        <f>'Le moteur'!AA26</f>
        <v/>
      </c>
      <c r="K35" s="112">
        <f>IFERROR(J35/C35,0)</f>
        <v/>
      </c>
      <c r="L35" s="109">
        <f>IFERROR(D35/C35,0)</f>
        <v/>
      </c>
      <c r="M35" s="86" t="n"/>
      <c r="N35" s="86" t="n"/>
    </row>
    <row r="36">
      <c r="A36" s="86" t="n"/>
      <c r="B36" s="106" t="inlineStr">
        <is>
          <t>Ipac Bachelor Factory Rennes</t>
        </is>
      </c>
      <c r="C36" s="104">
        <f>'Le moteur'!U27</f>
        <v/>
      </c>
      <c r="D36" s="104">
        <f>'Le moteur'!G49</f>
        <v/>
      </c>
      <c r="E36" s="112">
        <f>'Le moteur'!Y27</f>
        <v/>
      </c>
      <c r="F36" s="112">
        <f>IFERROR(E36/C36,0)</f>
        <v/>
      </c>
      <c r="G36" s="173">
        <f>'Le moteur'!X27</f>
        <v/>
      </c>
      <c r="H36" s="112">
        <f>'Le moteur'!Z27</f>
        <v/>
      </c>
      <c r="I36" s="112">
        <f>IFERROR(H36/'Le moteur'!V27,0)</f>
        <v/>
      </c>
      <c r="J36" s="112">
        <f>'Le moteur'!AA27</f>
        <v/>
      </c>
      <c r="K36" s="112">
        <f>IFERROR(J36/C36,0)</f>
        <v/>
      </c>
      <c r="L36" s="109">
        <f>IFERROR(D36/C36,0)</f>
        <v/>
      </c>
      <c r="M36" s="86" t="n"/>
      <c r="N36" s="86" t="n"/>
    </row>
    <row r="37">
      <c r="A37" s="86" t="n"/>
      <c r="B37" s="106" t="inlineStr">
        <is>
          <t>ISCOM Lille</t>
        </is>
      </c>
      <c r="C37" s="104">
        <f>'Le moteur'!U28</f>
        <v/>
      </c>
      <c r="D37" s="104">
        <f>'Le moteur'!G50</f>
        <v/>
      </c>
      <c r="E37" s="112">
        <f>'Le moteur'!Y28</f>
        <v/>
      </c>
      <c r="F37" s="112">
        <f>IFERROR(E37/C37,0)</f>
        <v/>
      </c>
      <c r="G37" s="173">
        <f>'Le moteur'!X28</f>
        <v/>
      </c>
      <c r="H37" s="112">
        <f>'Le moteur'!Z28</f>
        <v/>
      </c>
      <c r="I37" s="112">
        <f>IFERROR(H37/'Le moteur'!V28,0)</f>
        <v/>
      </c>
      <c r="J37" s="112">
        <f>'Le moteur'!AA28</f>
        <v/>
      </c>
      <c r="K37" s="112">
        <f>IFERROR(J37/C37,0)</f>
        <v/>
      </c>
      <c r="L37" s="109">
        <f>IFERROR(D37/C37,0)</f>
        <v/>
      </c>
      <c r="M37" s="86" t="n"/>
      <c r="N37" s="86" t="n"/>
    </row>
    <row r="38">
      <c r="A38" s="86" t="n"/>
      <c r="B38" s="106" t="inlineStr">
        <is>
          <t>ISCOM Paris</t>
        </is>
      </c>
      <c r="C38" s="104">
        <f>'Le moteur'!U29</f>
        <v/>
      </c>
      <c r="D38" s="104">
        <f>'Le moteur'!G51</f>
        <v/>
      </c>
      <c r="E38" s="112">
        <f>'Le moteur'!Y29</f>
        <v/>
      </c>
      <c r="F38" s="112">
        <f>IFERROR(E38/C38,0)</f>
        <v/>
      </c>
      <c r="G38" s="173">
        <f>'Le moteur'!X29</f>
        <v/>
      </c>
      <c r="H38" s="112">
        <f>'Le moteur'!Z29</f>
        <v/>
      </c>
      <c r="I38" s="112">
        <f>IFERROR(H38/'Le moteur'!V29,0)</f>
        <v/>
      </c>
      <c r="J38" s="112">
        <f>'Le moteur'!AA29</f>
        <v/>
      </c>
      <c r="K38" s="112">
        <f>IFERROR(J38/C38,0)</f>
        <v/>
      </c>
      <c r="L38" s="109">
        <f>IFERROR(D38/C38,0)</f>
        <v/>
      </c>
      <c r="M38" s="86" t="n"/>
      <c r="N38" s="86" t="n"/>
    </row>
    <row r="39">
      <c r="A39" s="86" t="n"/>
      <c r="B39" s="106" t="inlineStr">
        <is>
          <t>ISCOM Toulouse</t>
        </is>
      </c>
      <c r="C39" s="104">
        <f>'Le moteur'!U30</f>
        <v/>
      </c>
      <c r="D39" s="104">
        <f>'Le moteur'!G52</f>
        <v/>
      </c>
      <c r="E39" s="112">
        <f>'Le moteur'!Y30</f>
        <v/>
      </c>
      <c r="F39" s="112">
        <f>IFERROR(E39/C39,0)</f>
        <v/>
      </c>
      <c r="G39" s="173">
        <f>'Le moteur'!X30</f>
        <v/>
      </c>
      <c r="H39" s="112">
        <f>'Le moteur'!Z30</f>
        <v/>
      </c>
      <c r="I39" s="112">
        <f>IFERROR(H39/'Le moteur'!V30,0)</f>
        <v/>
      </c>
      <c r="J39" s="112">
        <f>'Le moteur'!AA30</f>
        <v/>
      </c>
      <c r="K39" s="112">
        <f>IFERROR(J39/C39,0)</f>
        <v/>
      </c>
      <c r="L39" s="109">
        <f>IFERROR(D39/C39,0)</f>
        <v/>
      </c>
      <c r="M39" s="86" t="n"/>
      <c r="N39" s="86" t="n"/>
    </row>
    <row r="40">
      <c r="A40" s="86" t="n"/>
      <c r="B40" s="106" t="inlineStr">
        <is>
          <t>MBway Bordeaux</t>
        </is>
      </c>
      <c r="C40" s="104">
        <f>'Le moteur'!U31</f>
        <v/>
      </c>
      <c r="D40" s="104">
        <f>'Le moteur'!G53</f>
        <v/>
      </c>
      <c r="E40" s="112">
        <f>'Le moteur'!Y31</f>
        <v/>
      </c>
      <c r="F40" s="112">
        <f>IFERROR(E40/C40,0)</f>
        <v/>
      </c>
      <c r="G40" s="173">
        <f>'Le moteur'!X31</f>
        <v/>
      </c>
      <c r="H40" s="112">
        <f>'Le moteur'!Z31</f>
        <v/>
      </c>
      <c r="I40" s="112">
        <f>IFERROR(H40/'Le moteur'!V31,0)</f>
        <v/>
      </c>
      <c r="J40" s="112">
        <f>'Le moteur'!AA31</f>
        <v/>
      </c>
      <c r="K40" s="112">
        <f>IFERROR(J40/C40,0)</f>
        <v/>
      </c>
      <c r="L40" s="109">
        <f>IFERROR(D40/C40,0)</f>
        <v/>
      </c>
      <c r="M40" s="86" t="n"/>
      <c r="N40" s="86" t="n"/>
    </row>
    <row r="41">
      <c r="A41" s="86" t="n"/>
      <c r="B41" s="106" t="inlineStr">
        <is>
          <t>MBway Lyon</t>
        </is>
      </c>
      <c r="C41" s="104">
        <f>'Le moteur'!U32</f>
        <v/>
      </c>
      <c r="D41" s="104">
        <f>'Le moteur'!G54</f>
        <v/>
      </c>
      <c r="E41" s="112">
        <f>'Le moteur'!Y32</f>
        <v/>
      </c>
      <c r="F41" s="112">
        <f>IFERROR(E41/C41,0)</f>
        <v/>
      </c>
      <c r="G41" s="173">
        <f>'Le moteur'!X32</f>
        <v/>
      </c>
      <c r="H41" s="112">
        <f>'Le moteur'!Z32</f>
        <v/>
      </c>
      <c r="I41" s="112">
        <f>IFERROR(H41/'Le moteur'!V32,0)</f>
        <v/>
      </c>
      <c r="J41" s="112">
        <f>'Le moteur'!AA32</f>
        <v/>
      </c>
      <c r="K41" s="112">
        <f>IFERROR(J41/C41,0)</f>
        <v/>
      </c>
      <c r="L41" s="109">
        <f>IFERROR(D41/C41,0)</f>
        <v/>
      </c>
      <c r="M41" s="86" t="n"/>
      <c r="N41" s="86" t="n"/>
    </row>
    <row r="42">
      <c r="A42" s="86" t="n"/>
      <c r="B42" s="106" t="inlineStr">
        <is>
          <t>MBway Nantes</t>
        </is>
      </c>
      <c r="C42" s="104">
        <f>'Le moteur'!U33</f>
        <v/>
      </c>
      <c r="D42" s="104">
        <f>'Le moteur'!G55</f>
        <v/>
      </c>
      <c r="E42" s="112">
        <f>'Le moteur'!Y33</f>
        <v/>
      </c>
      <c r="F42" s="112">
        <f>IFERROR(E42/C42,0)</f>
        <v/>
      </c>
      <c r="G42" s="173">
        <f>'Le moteur'!X33</f>
        <v/>
      </c>
      <c r="H42" s="112">
        <f>'Le moteur'!Z33</f>
        <v/>
      </c>
      <c r="I42" s="112">
        <f>IFERROR(H42/'Le moteur'!V33,0)</f>
        <v/>
      </c>
      <c r="J42" s="112">
        <f>'Le moteur'!AA33</f>
        <v/>
      </c>
      <c r="K42" s="112">
        <f>IFERROR(J42/C42,0)</f>
        <v/>
      </c>
      <c r="L42" s="109">
        <f>IFERROR(D42/C42,0)</f>
        <v/>
      </c>
      <c r="M42" s="86" t="n"/>
      <c r="N42" s="86" t="n"/>
    </row>
    <row r="43">
      <c r="A43" s="86" t="n"/>
      <c r="B43" s="106" t="inlineStr">
        <is>
          <t>MBway Paris</t>
        </is>
      </c>
      <c r="C43" s="104">
        <f>'Le moteur'!U34</f>
        <v/>
      </c>
      <c r="D43" s="104">
        <f>'Le moteur'!G56</f>
        <v/>
      </c>
      <c r="E43" s="112">
        <f>'Le moteur'!Y34</f>
        <v/>
      </c>
      <c r="F43" s="112">
        <f>IFERROR(E43/C43,0)</f>
        <v/>
      </c>
      <c r="G43" s="173">
        <f>'Le moteur'!X34</f>
        <v/>
      </c>
      <c r="H43" s="112">
        <f>'Le moteur'!Z34</f>
        <v/>
      </c>
      <c r="I43" s="112">
        <f>IFERROR(H43/'Le moteur'!V34,0)</f>
        <v/>
      </c>
      <c r="J43" s="112">
        <f>'Le moteur'!AA34</f>
        <v/>
      </c>
      <c r="K43" s="112">
        <f>IFERROR(J43/C43,0)</f>
        <v/>
      </c>
      <c r="L43" s="109">
        <f>IFERROR(D43/C43,0)</f>
        <v/>
      </c>
      <c r="M43" s="86" t="n"/>
      <c r="N43" s="86" t="n"/>
    </row>
    <row r="44">
      <c r="A44" s="86" t="n"/>
      <c r="B44" s="106" t="inlineStr">
        <is>
          <t>Pigier Bordeaux</t>
        </is>
      </c>
      <c r="C44" s="104">
        <f>'Le moteur'!U35</f>
        <v/>
      </c>
      <c r="D44" s="104">
        <f>'Le moteur'!G57</f>
        <v/>
      </c>
      <c r="E44" s="112">
        <f>'Le moteur'!Y35</f>
        <v/>
      </c>
      <c r="F44" s="112">
        <f>IFERROR(E44/C44,0)</f>
        <v/>
      </c>
      <c r="G44" s="173">
        <f>'Le moteur'!X35</f>
        <v/>
      </c>
      <c r="H44" s="112">
        <f>'Le moteur'!Z35</f>
        <v/>
      </c>
      <c r="I44" s="112">
        <f>IFERROR(H44/'Le moteur'!V35,0)</f>
        <v/>
      </c>
      <c r="J44" s="112">
        <f>'Le moteur'!AA35</f>
        <v/>
      </c>
      <c r="K44" s="112">
        <f>IFERROR(J44/C44,0)</f>
        <v/>
      </c>
      <c r="L44" s="109">
        <f>IFERROR(D44/C44,0)</f>
        <v/>
      </c>
      <c r="M44" s="86" t="n"/>
      <c r="N44" s="86" t="n"/>
    </row>
    <row r="45">
      <c r="A45" s="86" t="n"/>
      <c r="B45" s="106" t="inlineStr">
        <is>
          <t>Pigier Lyon</t>
        </is>
      </c>
      <c r="C45" s="104">
        <f>'Le moteur'!U36</f>
        <v/>
      </c>
      <c r="D45" s="104">
        <f>'Le moteur'!G58</f>
        <v/>
      </c>
      <c r="E45" s="112">
        <f>'Le moteur'!Y36</f>
        <v/>
      </c>
      <c r="F45" s="112">
        <f>IFERROR(E45/C45,0)</f>
        <v/>
      </c>
      <c r="G45" s="173">
        <f>'Le moteur'!X36</f>
        <v/>
      </c>
      <c r="H45" s="112">
        <f>'Le moteur'!Z36</f>
        <v/>
      </c>
      <c r="I45" s="112">
        <f>IFERROR(H45/'Le moteur'!V36,0)</f>
        <v/>
      </c>
      <c r="J45" s="112">
        <f>'Le moteur'!AA36</f>
        <v/>
      </c>
      <c r="K45" s="112">
        <f>IFERROR(J45/C45,0)</f>
        <v/>
      </c>
      <c r="L45" s="109">
        <f>IFERROR(D45/C45,0)</f>
        <v/>
      </c>
      <c r="M45" s="86" t="n"/>
      <c r="N45" s="86" t="n"/>
    </row>
    <row r="46">
      <c r="A46" s="86" t="n"/>
      <c r="B46" s="106" t="inlineStr">
        <is>
          <t>Tunon Lyon</t>
        </is>
      </c>
      <c r="C46" s="104">
        <f>'Le moteur'!U37</f>
        <v/>
      </c>
      <c r="D46" s="104">
        <f>'Le moteur'!G59</f>
        <v/>
      </c>
      <c r="E46" s="112">
        <f>'Le moteur'!Y37</f>
        <v/>
      </c>
      <c r="F46" s="112">
        <f>IFERROR(E46/C46,0)</f>
        <v/>
      </c>
      <c r="G46" s="173">
        <f>'Le moteur'!X37</f>
        <v/>
      </c>
      <c r="H46" s="112">
        <f>'Le moteur'!Z37</f>
        <v/>
      </c>
      <c r="I46" s="112">
        <f>IFERROR(H46/'Le moteur'!V37,0)</f>
        <v/>
      </c>
      <c r="J46" s="112">
        <f>'Le moteur'!AA37</f>
        <v/>
      </c>
      <c r="K46" s="112">
        <f>IFERROR(J46/C46,0)</f>
        <v/>
      </c>
      <c r="L46" s="109">
        <f>IFERROR(D46/C46,0)</f>
        <v/>
      </c>
      <c r="M46" s="86" t="n"/>
      <c r="N46" s="86" t="n"/>
    </row>
    <row r="47">
      <c r="A47" s="86" t="n"/>
      <c r="B47" s="106" t="inlineStr">
        <is>
          <t>Tunon Paris</t>
        </is>
      </c>
      <c r="C47" s="104">
        <f>'Le moteur'!U38</f>
        <v/>
      </c>
      <c r="D47" s="104">
        <f>'Le moteur'!G60</f>
        <v/>
      </c>
      <c r="E47" s="112">
        <f>'Le moteur'!Y38</f>
        <v/>
      </c>
      <c r="F47" s="112">
        <f>IFERROR(E47/C47,0)</f>
        <v/>
      </c>
      <c r="G47" s="173">
        <f>'Le moteur'!X38</f>
        <v/>
      </c>
      <c r="H47" s="112">
        <f>'Le moteur'!Z38</f>
        <v/>
      </c>
      <c r="I47" s="112">
        <f>IFERROR(H47/'Le moteur'!V38,0)</f>
        <v/>
      </c>
      <c r="J47" s="112">
        <f>'Le moteur'!AA38</f>
        <v/>
      </c>
      <c r="K47" s="112">
        <f>IFERROR(J47/C47,0)</f>
        <v/>
      </c>
      <c r="L47" s="109">
        <f>IFERROR(D47/C47,0)</f>
        <v/>
      </c>
      <c r="M47" s="86" t="n"/>
      <c r="N47" s="86" t="n"/>
    </row>
    <row r="48">
      <c r="A48" s="86" t="n"/>
      <c r="B48" s="116" t="inlineStr">
        <is>
          <t>GROUPE · 14 campus</t>
        </is>
      </c>
      <c r="C48" s="169">
        <f>SUM(C34:C47)</f>
        <v/>
      </c>
      <c r="D48" s="169">
        <f>SUM(D34:D47)</f>
        <v/>
      </c>
      <c r="E48" s="117">
        <f>SUM(E34:E47)</f>
        <v/>
      </c>
      <c r="F48" s="117">
        <f>IFERROR(E48/C48,0)</f>
        <v/>
      </c>
      <c r="G48" s="174">
        <f>SUM(G34:G47)</f>
        <v/>
      </c>
      <c r="H48" s="117">
        <f>SUM(H34:H47)</f>
        <v/>
      </c>
      <c r="I48" s="117">
        <f>IFERROR(H48/'Le moteur'!V39,0)</f>
        <v/>
      </c>
      <c r="J48" s="117">
        <f>SUM(J34:J47)</f>
        <v/>
      </c>
      <c r="K48" s="117">
        <f>IFERROR(J48/C48,0)</f>
        <v/>
      </c>
      <c r="L48" s="175">
        <f>MIN(L34:L47)</f>
        <v/>
      </c>
      <c r="M48" s="86" t="n"/>
      <c r="N48" s="86" t="n"/>
    </row>
    <row r="49">
      <c r="A49" s="86" t="n"/>
      <c r="B49" s="93" t="inlineStr">
        <is>
          <t>La dernière colonne ne se somme pas : au groupe, la croissance possible est celle du PREMIER campus qui sature, pas la moyenne du réseau.</t>
        </is>
      </c>
      <c r="C49" s="86" t="n"/>
      <c r="D49" s="86" t="n"/>
      <c r="E49" s="86" t="n"/>
      <c r="F49" s="86" t="n"/>
      <c r="G49" s="86" t="n"/>
      <c r="H49" s="86" t="n"/>
      <c r="I49" s="86" t="n"/>
      <c r="J49" s="86" t="n"/>
      <c r="K49" s="86" t="n"/>
      <c r="L49" s="86" t="n"/>
      <c r="M49" s="86" t="n"/>
      <c r="N49" s="86" t="n"/>
    </row>
    <row r="50">
      <c r="A50" s="86" t="n"/>
      <c r="B50" s="172">
        <f>"Les permanents pèsent "&amp;TEXT(J48/(E48+H48+J48),"0 %")&amp;" du coût d'enseignement du réseau, et pas un euro d'entre eux ne bouge quand un élève de plus s'assoit."</f>
        <v/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</row>
    <row r="51">
      <c r="A51" s="86" t="n"/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</row>
    <row r="52" ht="20" customHeight="1">
      <c r="A52" s="86" t="n"/>
      <c r="B52" s="115" t="inlineStr">
        <is>
          <t>④  Mais ce n'est pas ce coût-là que le masque soustrait</t>
        </is>
      </c>
      <c r="C52" s="86" t="n"/>
      <c r="D52" s="86" t="n"/>
      <c r="E52" s="86" t="n"/>
      <c r="F52" s="86" t="n"/>
      <c r="G52" s="86" t="n"/>
      <c r="H52" s="86" t="n"/>
      <c r="I52" s="86" t="n"/>
      <c r="J52" s="86" t="n"/>
      <c r="K52" s="86" t="n"/>
      <c r="L52" s="86" t="n"/>
      <c r="M52" s="86" t="n"/>
      <c r="N52" s="86" t="n"/>
    </row>
    <row r="53" ht="14" customHeight="1">
      <c r="A53" s="86" t="n"/>
      <c r="B53" s="93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86" t="n"/>
      <c r="D53" s="86" t="n"/>
      <c r="E53" s="86" t="n"/>
      <c r="F53" s="86" t="n"/>
      <c r="G53" s="86" t="n"/>
      <c r="H53" s="86" t="n"/>
      <c r="I53" s="86" t="n"/>
      <c r="J53" s="86" t="n"/>
      <c r="K53" s="86" t="n"/>
      <c r="L53" s="86" t="n"/>
      <c r="M53" s="86" t="n"/>
      <c r="N53" s="86" t="n"/>
    </row>
    <row r="54">
      <c r="A54" s="86" t="n"/>
      <c r="B54" s="86" t="n"/>
      <c r="C54" s="86" t="n"/>
      <c r="D54" s="86" t="n"/>
      <c r="E54" s="86" t="n"/>
      <c r="F54" s="86" t="n"/>
      <c r="G54" s="86" t="n"/>
      <c r="H54" s="86" t="n"/>
      <c r="I54" s="86" t="n"/>
      <c r="J54" s="86" t="n"/>
      <c r="K54" s="86" t="n"/>
      <c r="L54" s="86" t="n"/>
      <c r="M54" s="86" t="n"/>
      <c r="N54" s="86" t="n"/>
    </row>
    <row r="55">
      <c r="A55" s="86" t="n"/>
      <c r="B55" s="176" t="inlineStr">
        <is>
          <t>TANT QU'IL RESTE UNE PLACE</t>
        </is>
      </c>
      <c r="C55" s="27" t="n"/>
      <c r="D55" s="177">
        <f>"les consommables seuls  —  de "&amp;TEXT(MIN(F34:F47),"#,##0 €")&amp;" à "&amp;TEXT(MAX(F34:F47),"#,##0 €")&amp;" selon le campus"</f>
        <v/>
      </c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>
      <c r="A56" s="86" t="n"/>
      <c r="B56" s="178" t="inlineStr">
        <is>
          <t>QUAND LA CLASSE EST PLEINE</t>
        </is>
      </c>
      <c r="C56" s="8" t="n"/>
      <c r="D56" s="179" t="inlineStr">
        <is>
          <t>+ la quote-part du vacataire d'une classe neuve  —  et là, le programme compte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86" t="n"/>
      <c r="B57" s="10" t="n"/>
      <c r="C57" s="10" t="n"/>
      <c r="D57" s="180" t="inlineStr">
        <is>
          <t>Le masque bascule seul : IF(inscrits gagnés &lt;= places libres ; consommables ; consommables + vacataires du campus ÷ places du campus).</t>
        </is>
      </c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</row>
    <row r="58">
      <c r="A58" s="86" t="n"/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</row>
    <row r="59">
      <c r="A59" s="86" t="n"/>
      <c r="B59" s="86" t="n"/>
      <c r="C59" s="86" t="n"/>
      <c r="D59" s="86" t="n"/>
      <c r="E59" s="86" t="n"/>
      <c r="F59" s="86" t="n"/>
      <c r="G59" s="86" t="n"/>
      <c r="H59" s="86" t="n"/>
      <c r="I59" s="86" t="n"/>
      <c r="J59" s="86" t="n"/>
      <c r="K59" s="86" t="n"/>
      <c r="L59" s="86" t="n"/>
      <c r="M59" s="86" t="n"/>
      <c r="N59" s="86" t="n"/>
    </row>
    <row r="60" ht="30" customHeight="1">
      <c r="A60" s="86" t="n"/>
      <c r="B60" s="94" t="inlineStr">
        <is>
          <t>Programme qui ouvre</t>
        </is>
      </c>
      <c r="C60" s="95" t="inlineStr">
        <is>
          <t>Heures / classe</t>
        </is>
      </c>
      <c r="D60" s="95" t="inlineStr">
        <is>
          <t>Tarif horaire</t>
        </is>
      </c>
      <c r="E60" s="95" t="inlineStr">
        <is>
          <t>Coût du vacataire</t>
        </is>
      </c>
      <c r="F60" s="95" t="inlineStr">
        <is>
          <t>Capacité de la classe</t>
        </is>
      </c>
      <c r="G60" s="95" t="inlineStr">
        <is>
          <t>Coût d'ouverture / place</t>
        </is>
      </c>
      <c r="H60" s="95" t="inlineStr">
        <is>
          <t>+ consommables ⇒ coût marginal</t>
        </is>
      </c>
      <c r="I60" s="86" t="n"/>
      <c r="J60" s="86" t="n"/>
      <c r="K60" s="86" t="n"/>
      <c r="L60" s="86" t="n"/>
      <c r="M60" s="86" t="n"/>
      <c r="N60" s="86" t="n"/>
    </row>
    <row r="61">
      <c r="A61" s="86" t="n"/>
      <c r="B61" s="106" t="inlineStr">
        <is>
          <t>Bachelor · alternance</t>
        </is>
      </c>
      <c r="C61" s="173">
        <f>'Intégration &amp; contrôles'!C9</f>
        <v/>
      </c>
      <c r="D61" s="167">
        <f>$E$26</f>
        <v/>
      </c>
      <c r="E61" s="112">
        <f>C61*D61</f>
        <v/>
      </c>
      <c r="F61" s="104">
        <f>'Intégration &amp; contrôles'!D9</f>
        <v/>
      </c>
      <c r="G61" s="168">
        <f>E61/F61</f>
        <v/>
      </c>
      <c r="H61" s="181">
        <f>"de "&amp;TEXT(G61+MIN($F$34:$F$47),"#,##0 €")&amp;" à "&amp;TEXT(G61+MAX($F$34:$F$47),"#,##0 €")&amp;" selon le campus"</f>
        <v/>
      </c>
      <c r="I61" s="86" t="n"/>
      <c r="J61" s="86" t="n"/>
      <c r="K61" s="86" t="n"/>
      <c r="L61" s="86" t="n"/>
      <c r="M61" s="86" t="n"/>
      <c r="N61" s="86" t="n"/>
    </row>
    <row r="62">
      <c r="A62" s="86" t="n"/>
      <c r="B62" s="106" t="inlineStr">
        <is>
          <t>Mastère · alternance</t>
        </is>
      </c>
      <c r="C62" s="173">
        <f>'Intégration &amp; contrôles'!C13</f>
        <v/>
      </c>
      <c r="D62" s="167">
        <f>$E$26</f>
        <v/>
      </c>
      <c r="E62" s="112">
        <f>C62*D62</f>
        <v/>
      </c>
      <c r="F62" s="104">
        <f>'Intégration &amp; contrôles'!D13</f>
        <v/>
      </c>
      <c r="G62" s="168">
        <f>E62/F62</f>
        <v/>
      </c>
      <c r="H62" s="181">
        <f>"de "&amp;TEXT(G62+MIN($F$34:$F$47),"#,##0 €")&amp;" à "&amp;TEXT(G62+MAX($F$34:$F$47),"#,##0 €")&amp;" selon le campus"</f>
        <v/>
      </c>
      <c r="I62" s="86" t="n"/>
      <c r="J62" s="86" t="n"/>
      <c r="K62" s="86" t="n"/>
      <c r="L62" s="86" t="n"/>
      <c r="M62" s="86" t="n"/>
      <c r="N62" s="86" t="n"/>
    </row>
    <row r="63">
      <c r="A63" s="86" t="n"/>
      <c r="B63" s="106" t="inlineStr">
        <is>
          <t>Bachelor · initial</t>
        </is>
      </c>
      <c r="C63" s="173">
        <f>'Intégration &amp; contrôles'!C10</f>
        <v/>
      </c>
      <c r="D63" s="167">
        <f>$E$26</f>
        <v/>
      </c>
      <c r="E63" s="112">
        <f>C63*D63</f>
        <v/>
      </c>
      <c r="F63" s="104">
        <f>'Intégration &amp; contrôles'!D10</f>
        <v/>
      </c>
      <c r="G63" s="168">
        <f>E63/F63</f>
        <v/>
      </c>
      <c r="H63" s="181">
        <f>"de "&amp;TEXT(G63+MIN($F$34:$F$47),"#,##0 €")&amp;" à "&amp;TEXT(G63+MAX($F$34:$F$47),"#,##0 €")&amp;" selon le campus"</f>
        <v/>
      </c>
      <c r="I63" s="86" t="n"/>
      <c r="J63" s="86" t="n"/>
      <c r="K63" s="86" t="n"/>
      <c r="L63" s="86" t="n"/>
      <c r="M63" s="86" t="n"/>
      <c r="N63" s="86" t="n"/>
    </row>
    <row r="64">
      <c r="A64" s="86" t="n"/>
      <c r="B64" s="106" t="inlineStr">
        <is>
          <t>BTS · alternance</t>
        </is>
      </c>
      <c r="C64" s="173">
        <f>'Intégration &amp; contrôles'!C11</f>
        <v/>
      </c>
      <c r="D64" s="167">
        <f>$E$26</f>
        <v/>
      </c>
      <c r="E64" s="112">
        <f>C64*D64</f>
        <v/>
      </c>
      <c r="F64" s="104">
        <f>'Intégration &amp; contrôles'!D11</f>
        <v/>
      </c>
      <c r="G64" s="168">
        <f>E64/F64</f>
        <v/>
      </c>
      <c r="H64" s="181">
        <f>"de "&amp;TEXT(G64+MIN($F$34:$F$47),"#,##0 €")&amp;" à "&amp;TEXT(G64+MAX($F$34:$F$47),"#,##0 €")&amp;" selon le campus"</f>
        <v/>
      </c>
      <c r="I64" s="86" t="n"/>
      <c r="J64" s="86" t="n"/>
      <c r="K64" s="86" t="n"/>
      <c r="L64" s="86" t="n"/>
      <c r="M64" s="86" t="n"/>
      <c r="N64" s="86" t="n"/>
    </row>
    <row r="65">
      <c r="A65" s="86" t="n"/>
      <c r="B65" s="86" t="n"/>
      <c r="C65" s="86" t="n"/>
      <c r="D65" s="86" t="n"/>
      <c r="E65" s="86" t="n"/>
      <c r="F65" s="86" t="n"/>
      <c r="G65" s="86" t="n"/>
      <c r="H65" s="86" t="n"/>
      <c r="I65" s="86" t="n"/>
      <c r="J65" s="86" t="n"/>
      <c r="K65" s="86" t="n"/>
      <c r="L65" s="86" t="n"/>
      <c r="M65" s="86" t="n"/>
      <c r="N65" s="86" t="n"/>
    </row>
    <row r="66">
      <c r="A66" s="86" t="n"/>
      <c r="B66" s="93" t="inlineStr">
        <is>
          <t>Heures et capacités viennent de l'onglet « Intégration &amp; contrôles » ; le tarif horaire de la ligne MOYENNE PONDÉRÉE ci-dessus. Rien n'est saisi dans ce tableau.</t>
        </is>
      </c>
      <c r="C66" s="86" t="n"/>
      <c r="D66" s="86" t="n"/>
      <c r="E66" s="86" t="n"/>
      <c r="F66" s="86" t="n"/>
      <c r="G66" s="86" t="n"/>
      <c r="H66" s="86" t="n"/>
      <c r="I66" s="86" t="n"/>
      <c r="J66" s="86" t="n"/>
      <c r="K66" s="86" t="n"/>
      <c r="L66" s="86" t="n"/>
      <c r="M66" s="86" t="n"/>
      <c r="N66" s="86" t="n"/>
    </row>
    <row r="67">
      <c r="A67" s="86" t="n"/>
      <c r="B67" s="86" t="n"/>
      <c r="C67" s="86" t="n"/>
      <c r="D67" s="86" t="n"/>
      <c r="E67" s="86" t="n"/>
      <c r="F67" s="86" t="n"/>
      <c r="G67" s="86" t="n"/>
      <c r="H67" s="86" t="n"/>
      <c r="I67" s="86" t="n"/>
      <c r="J67" s="86" t="n"/>
      <c r="K67" s="86" t="n"/>
      <c r="L67" s="86" t="n"/>
      <c r="M67" s="86" t="n"/>
      <c r="N67" s="86" t="n"/>
    </row>
    <row r="68" ht="20" customHeight="1">
      <c r="A68" s="86" t="n"/>
      <c r="B68" s="182" t="inlineStr">
        <is>
          <t>⑤  Et les enseignants permanents, ils sont où ?</t>
        </is>
      </c>
      <c r="C68" s="86" t="n"/>
      <c r="D68" s="86" t="n"/>
      <c r="E68" s="86" t="n"/>
      <c r="F68" s="86" t="n"/>
      <c r="G68" s="86" t="n"/>
      <c r="H68" s="86" t="n"/>
      <c r="I68" s="86" t="n"/>
      <c r="J68" s="86" t="n"/>
      <c r="K68" s="86" t="n"/>
      <c r="L68" s="86" t="n"/>
      <c r="M68" s="86" t="n"/>
      <c r="N68" s="86" t="n"/>
    </row>
    <row r="69" ht="14" customHeight="1">
      <c r="A69" s="86" t="n"/>
      <c r="B69" s="93" t="inlineStr">
        <is>
          <t>Dans le modèle, et alloués à l'heure comme les vacataires — mais jamais dans le coût marginal.</t>
        </is>
      </c>
      <c r="C69" s="86" t="n"/>
      <c r="D69" s="86" t="n"/>
      <c r="E69" s="86" t="n"/>
      <c r="F69" s="86" t="n"/>
      <c r="G69" s="86" t="n"/>
      <c r="H69" s="86" t="n"/>
      <c r="I69" s="86" t="n"/>
      <c r="J69" s="86" t="n"/>
      <c r="K69" s="86" t="n"/>
      <c r="L69" s="86" t="n"/>
      <c r="M69" s="86" t="n"/>
      <c r="N69" s="86" t="n"/>
    </row>
    <row r="70">
      <c r="A70" s="86" t="n"/>
      <c r="B70" s="177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>
      <c r="A71" s="86" t="n"/>
      <c r="B71" s="179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86" t="n"/>
      <c r="B72" s="183">
        <f>"Sur "&amp;TEXT('Budget 2027'!D84+'Budget 2027'!D96+'Budget 2027'!D101,"#,##0 €")&amp;" de charges, "&amp;TEXT('Budget 2027'!D67,"#,##0 €")&amp;" seulement bougent quand un élève de plus s'assoit — soit "&amp;TEXT('Budget 2027'!D67/('Budget 2027'!D84+'Budget 2027'!D96+'Budget 2027'!D101),"0.0 %")&amp;". Tout le reste est de la capacité déjà engagée : c'est ce qui rend le geste aussi rentable tant qu'il reste des places."</f>
        <v/>
      </c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</row>
    <row r="73">
      <c r="A73" s="86" t="n"/>
      <c r="B73" s="86" t="n"/>
      <c r="C73" s="86" t="n"/>
      <c r="D73" s="86" t="n"/>
      <c r="E73" s="86" t="n"/>
      <c r="F73" s="86" t="n"/>
      <c r="G73" s="86" t="n"/>
      <c r="H73" s="86" t="n"/>
      <c r="I73" s="86" t="n"/>
      <c r="J73" s="86" t="n"/>
      <c r="K73" s="86" t="n"/>
      <c r="L73" s="86" t="n"/>
      <c r="M73" s="86" t="n"/>
      <c r="N73" s="86" t="n"/>
    </row>
    <row r="74">
      <c r="A74" s="86" t="n"/>
      <c r="B74" s="93" t="inlineStr">
        <is>
          <t>Le détail des vingt comptes — chacun avec son comportement et son inducteur — est dans l'onglet « Budget 2027 ». Il n'est pas dupliqué ici.</t>
        </is>
      </c>
      <c r="C74" s="86" t="n"/>
      <c r="D74" s="86" t="n"/>
      <c r="E74" s="86" t="n"/>
      <c r="F74" s="86" t="n"/>
      <c r="G74" s="86" t="n"/>
      <c r="H74" s="86" t="n"/>
      <c r="I74" s="86" t="n"/>
      <c r="J74" s="86" t="n"/>
      <c r="K74" s="86" t="n"/>
      <c r="L74" s="86" t="n"/>
      <c r="M74" s="86" t="n"/>
      <c r="N74" s="86" t="n"/>
    </row>
    <row r="75">
      <c r="A75" s="86" t="n"/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</row>
    <row r="76">
      <c r="A76" s="86" t="n"/>
      <c r="B76" s="86" t="n"/>
      <c r="C76" s="86" t="n"/>
      <c r="D76" s="86" t="n"/>
      <c r="E76" s="86" t="n"/>
      <c r="F76" s="86" t="n"/>
      <c r="G76" s="86" t="n"/>
      <c r="H76" s="86" t="n"/>
      <c r="I76" s="86" t="n"/>
      <c r="J76" s="86" t="n"/>
      <c r="K76" s="86" t="n"/>
      <c r="L76" s="86" t="n"/>
      <c r="M76" s="86" t="n"/>
      <c r="N76" s="86" t="n"/>
    </row>
    <row r="77">
      <c r="A77" s="86" t="n"/>
      <c r="B77" s="86" t="n"/>
      <c r="C77" s="86" t="n"/>
      <c r="D77" s="86" t="n"/>
      <c r="E77" s="86" t="n"/>
      <c r="F77" s="86" t="n"/>
      <c r="G77" s="86" t="n"/>
      <c r="H77" s="86" t="n"/>
      <c r="I77" s="86" t="n"/>
      <c r="J77" s="86" t="n"/>
      <c r="K77" s="86" t="n"/>
      <c r="L77" s="86" t="n"/>
      <c r="M77" s="86" t="n"/>
      <c r="N77" s="86" t="n"/>
    </row>
    <row r="78">
      <c r="A78" s="86" t="n"/>
      <c r="B78" s="86" t="n"/>
      <c r="C78" s="86" t="n"/>
      <c r="D78" s="86" t="n"/>
      <c r="E78" s="86" t="n"/>
      <c r="F78" s="86" t="n"/>
      <c r="G78" s="86" t="n"/>
      <c r="H78" s="86" t="n"/>
      <c r="I78" s="86" t="n"/>
      <c r="J78" s="86" t="n"/>
      <c r="K78" s="86" t="n"/>
      <c r="L78" s="86" t="n"/>
      <c r="M78" s="86" t="n"/>
      <c r="N78" s="86" t="n"/>
    </row>
    <row r="79">
      <c r="A79" s="86" t="n"/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</row>
    <row r="80">
      <c r="A80" s="86" t="n"/>
      <c r="B80" s="86" t="n"/>
      <c r="C80" s="86" t="n"/>
      <c r="D80" s="86" t="n"/>
      <c r="E80" s="86" t="n"/>
      <c r="F80" s="86" t="n"/>
      <c r="G80" s="86" t="n"/>
      <c r="H80" s="86" t="n"/>
      <c r="I80" s="86" t="n"/>
      <c r="J80" s="86" t="n"/>
      <c r="K80" s="86" t="n"/>
      <c r="L80" s="86" t="n"/>
      <c r="M80" s="86" t="n"/>
      <c r="N80" s="86" t="n"/>
    </row>
    <row r="81">
      <c r="A81" s="86" t="n"/>
      <c r="B81" s="86" t="n"/>
      <c r="C81" s="86" t="n"/>
      <c r="D81" s="86" t="n"/>
      <c r="E81" s="86" t="n"/>
      <c r="F81" s="86" t="n"/>
      <c r="G81" s="86" t="n"/>
      <c r="H81" s="86" t="n"/>
      <c r="I81" s="86" t="n"/>
      <c r="J81" s="86" t="n"/>
      <c r="K81" s="86" t="n"/>
      <c r="L81" s="86" t="n"/>
      <c r="M81" s="86" t="n"/>
      <c r="N81" s="86" t="n"/>
    </row>
    <row r="82">
      <c r="A82" s="86" t="n"/>
      <c r="B82" s="86" t="n"/>
      <c r="C82" s="86" t="n"/>
      <c r="D82" s="86" t="n"/>
      <c r="E82" s="86" t="n"/>
      <c r="F82" s="86" t="n"/>
      <c r="G82" s="86" t="n"/>
      <c r="H82" s="86" t="n"/>
      <c r="I82" s="86" t="n"/>
      <c r="J82" s="86" t="n"/>
      <c r="K82" s="86" t="n"/>
      <c r="L82" s="86" t="n"/>
      <c r="M82" s="86" t="n"/>
      <c r="N82" s="86" t="n"/>
    </row>
    <row r="83">
      <c r="A83" s="86" t="n"/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</row>
    <row r="84">
      <c r="A84" s="86" t="n"/>
      <c r="B84" s="86" t="n"/>
      <c r="C84" s="86" t="n"/>
      <c r="D84" s="86" t="n"/>
      <c r="E84" s="86" t="n"/>
      <c r="F84" s="86" t="n"/>
      <c r="G84" s="86" t="n"/>
      <c r="H84" s="86" t="n"/>
      <c r="I84" s="86" t="n"/>
      <c r="J84" s="86" t="n"/>
      <c r="K84" s="86" t="n"/>
      <c r="L84" s="86" t="n"/>
      <c r="M84" s="86" t="n"/>
      <c r="N84" s="86" t="n"/>
    </row>
    <row r="85">
      <c r="A85" s="86" t="n"/>
      <c r="B85" s="86" t="n"/>
      <c r="C85" s="86" t="n"/>
      <c r="D85" s="86" t="n"/>
      <c r="E85" s="86" t="n"/>
      <c r="F85" s="86" t="n"/>
      <c r="G85" s="86" t="n"/>
      <c r="H85" s="86" t="n"/>
      <c r="I85" s="86" t="n"/>
      <c r="J85" s="86" t="n"/>
      <c r="K85" s="86" t="n"/>
      <c r="L85" s="86" t="n"/>
      <c r="M85" s="86" t="n"/>
      <c r="N85" s="86" t="n"/>
    </row>
    <row r="86">
      <c r="A86" s="86" t="n"/>
      <c r="B86" s="86" t="n"/>
      <c r="C86" s="86" t="n"/>
      <c r="D86" s="86" t="n"/>
      <c r="E86" s="86" t="n"/>
      <c r="F86" s="86" t="n"/>
      <c r="G86" s="86" t="n"/>
      <c r="H86" s="86" t="n"/>
      <c r="I86" s="86" t="n"/>
      <c r="J86" s="86" t="n"/>
      <c r="K86" s="86" t="n"/>
      <c r="L86" s="86" t="n"/>
      <c r="M86" s="86" t="n"/>
      <c r="N86" s="86" t="n"/>
    </row>
    <row r="87">
      <c r="A87" s="86" t="n"/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</row>
    <row r="88">
      <c r="A88" s="86" t="n"/>
      <c r="B88" s="86" t="n"/>
      <c r="C88" s="86" t="n"/>
      <c r="D88" s="86" t="n"/>
      <c r="E88" s="86" t="n"/>
      <c r="F88" s="86" t="n"/>
      <c r="G88" s="86" t="n"/>
      <c r="H88" s="86" t="n"/>
      <c r="I88" s="86" t="n"/>
      <c r="J88" s="86" t="n"/>
      <c r="K88" s="86" t="n"/>
      <c r="L88" s="86" t="n"/>
      <c r="M88" s="86" t="n"/>
      <c r="N88" s="86" t="n"/>
    </row>
    <row r="89">
      <c r="A89" s="86" t="n"/>
      <c r="B89" s="86" t="n"/>
      <c r="C89" s="86" t="n"/>
      <c r="D89" s="86" t="n"/>
      <c r="E89" s="86" t="n"/>
      <c r="F89" s="86" t="n"/>
      <c r="G89" s="86" t="n"/>
      <c r="H89" s="86" t="n"/>
      <c r="I89" s="86" t="n"/>
      <c r="J89" s="86" t="n"/>
      <c r="K89" s="86" t="n"/>
      <c r="L89" s="86" t="n"/>
      <c r="M89" s="86" t="n"/>
      <c r="N89" s="86" t="n"/>
    </row>
    <row r="90">
      <c r="A90" s="86" t="n"/>
      <c r="B90" s="86" t="n"/>
      <c r="C90" s="86" t="n"/>
      <c r="D90" s="86" t="n"/>
      <c r="E90" s="86" t="n"/>
      <c r="F90" s="86" t="n"/>
      <c r="G90" s="86" t="n"/>
      <c r="H90" s="86" t="n"/>
      <c r="I90" s="86" t="n"/>
      <c r="J90" s="86" t="n"/>
      <c r="K90" s="86" t="n"/>
      <c r="L90" s="86" t="n"/>
      <c r="M90" s="86" t="n"/>
      <c r="N90" s="86" t="n"/>
    </row>
    <row r="91">
      <c r="A91" s="86" t="n"/>
      <c r="B91" s="86" t="n"/>
      <c r="C91" s="86" t="n"/>
      <c r="D91" s="86" t="n"/>
      <c r="E91" s="86" t="n"/>
      <c r="F91" s="86" t="n"/>
      <c r="G91" s="86" t="n"/>
      <c r="H91" s="86" t="n"/>
      <c r="I91" s="86" t="n"/>
      <c r="J91" s="86" t="n"/>
      <c r="K91" s="86" t="n"/>
      <c r="L91" s="86" t="n"/>
      <c r="M91" s="86" t="n"/>
      <c r="N91" s="86" t="n"/>
    </row>
    <row r="92">
      <c r="A92" s="86" t="n"/>
      <c r="B92" s="86" t="n"/>
      <c r="C92" s="86" t="n"/>
      <c r="D92" s="86" t="n"/>
      <c r="E92" s="86" t="n"/>
      <c r="F92" s="86" t="n"/>
      <c r="G92" s="86" t="n"/>
      <c r="H92" s="86" t="n"/>
      <c r="I92" s="86" t="n"/>
      <c r="J92" s="86" t="n"/>
      <c r="K92" s="86" t="n"/>
      <c r="L92" s="86" t="n"/>
      <c r="M92" s="86" t="n"/>
      <c r="N92" s="86" t="n"/>
    </row>
    <row r="93">
      <c r="A93" s="86" t="n"/>
      <c r="B93" s="86" t="n"/>
      <c r="C93" s="86" t="n"/>
      <c r="D93" s="86" t="n"/>
      <c r="E93" s="86" t="n"/>
      <c r="F93" s="86" t="n"/>
      <c r="G93" s="86" t="n"/>
      <c r="H93" s="86" t="n"/>
      <c r="I93" s="86" t="n"/>
      <c r="J93" s="86" t="n"/>
      <c r="K93" s="86" t="n"/>
      <c r="L93" s="86" t="n"/>
      <c r="M93" s="86" t="n"/>
      <c r="N93" s="86" t="n"/>
    </row>
    <row r="94">
      <c r="A94" s="86" t="n"/>
      <c r="B94" s="86" t="n"/>
      <c r="C94" s="86" t="n"/>
      <c r="D94" s="86" t="n"/>
      <c r="E94" s="86" t="n"/>
      <c r="F94" s="86" t="n"/>
      <c r="G94" s="86" t="n"/>
      <c r="H94" s="86" t="n"/>
      <c r="I94" s="86" t="n"/>
      <c r="J94" s="86" t="n"/>
      <c r="K94" s="86" t="n"/>
      <c r="L94" s="86" t="n"/>
      <c r="M94" s="86" t="n"/>
      <c r="N94" s="86" t="n"/>
    </row>
    <row r="95">
      <c r="A95" s="86" t="n"/>
      <c r="B95" s="86" t="n"/>
      <c r="C95" s="86" t="n"/>
      <c r="D95" s="86" t="n"/>
      <c r="E95" s="86" t="n"/>
      <c r="F95" s="86" t="n"/>
      <c r="G95" s="86" t="n"/>
      <c r="H95" s="86" t="n"/>
      <c r="I95" s="86" t="n"/>
      <c r="J95" s="86" t="n"/>
      <c r="K95" s="86" t="n"/>
      <c r="L95" s="86" t="n"/>
      <c r="M95" s="86" t="n"/>
      <c r="N95" s="86" t="n"/>
    </row>
    <row r="96">
      <c r="A96" s="86" t="n"/>
      <c r="B96" s="86" t="n"/>
      <c r="C96" s="86" t="n"/>
      <c r="D96" s="86" t="n"/>
      <c r="E96" s="86" t="n"/>
      <c r="F96" s="86" t="n"/>
      <c r="G96" s="86" t="n"/>
      <c r="H96" s="86" t="n"/>
      <c r="I96" s="86" t="n"/>
      <c r="J96" s="86" t="n"/>
      <c r="K96" s="86" t="n"/>
      <c r="L96" s="86" t="n"/>
      <c r="M96" s="86" t="n"/>
      <c r="N96" s="86" t="n"/>
    </row>
    <row r="97">
      <c r="A97" s="86" t="n"/>
      <c r="B97" s="86" t="n"/>
      <c r="C97" s="86" t="n"/>
      <c r="D97" s="86" t="n"/>
      <c r="E97" s="86" t="n"/>
      <c r="F97" s="86" t="n"/>
      <c r="G97" s="86" t="n"/>
      <c r="H97" s="86" t="n"/>
      <c r="I97" s="86" t="n"/>
      <c r="J97" s="86" t="n"/>
      <c r="K97" s="86" t="n"/>
      <c r="L97" s="86" t="n"/>
      <c r="M97" s="86" t="n"/>
      <c r="N97" s="86" t="n"/>
    </row>
    <row r="98">
      <c r="A98" s="86" t="n"/>
      <c r="B98" s="86" t="n"/>
      <c r="C98" s="86" t="n"/>
      <c r="D98" s="86" t="n"/>
      <c r="E98" s="86" t="n"/>
      <c r="F98" s="86" t="n"/>
      <c r="G98" s="86" t="n"/>
      <c r="H98" s="86" t="n"/>
      <c r="I98" s="86" t="n"/>
      <c r="J98" s="86" t="n"/>
      <c r="K98" s="86" t="n"/>
      <c r="L98" s="86" t="n"/>
      <c r="M98" s="86" t="n"/>
      <c r="N98" s="86" t="n"/>
    </row>
    <row r="99">
      <c r="A99" s="86" t="n"/>
      <c r="B99" s="86" t="n"/>
      <c r="C99" s="86" t="n"/>
      <c r="D99" s="86" t="n"/>
      <c r="E99" s="86" t="n"/>
      <c r="F99" s="86" t="n"/>
      <c r="G99" s="86" t="n"/>
      <c r="H99" s="86" t="n"/>
      <c r="I99" s="86" t="n"/>
      <c r="J99" s="86" t="n"/>
      <c r="K99" s="86" t="n"/>
      <c r="L99" s="86" t="n"/>
      <c r="M99" s="86" t="n"/>
      <c r="N99" s="86" t="n"/>
    </row>
    <row r="100">
      <c r="A100" s="86" t="n"/>
      <c r="B100" s="86" t="n"/>
      <c r="C100" s="86" t="n"/>
      <c r="D100" s="86" t="n"/>
      <c r="E100" s="86" t="n"/>
      <c r="F100" s="86" t="n"/>
      <c r="G100" s="86" t="n"/>
      <c r="H100" s="86" t="n"/>
      <c r="I100" s="86" t="n"/>
      <c r="J100" s="86" t="n"/>
      <c r="K100" s="86" t="n"/>
      <c r="L100" s="86" t="n"/>
      <c r="M100" s="86" t="n"/>
      <c r="N100" s="86" t="n"/>
    </row>
    <row r="101">
      <c r="A101" s="86" t="n"/>
      <c r="B101" s="86" t="n"/>
      <c r="C101" s="86" t="n"/>
      <c r="D101" s="86" t="n"/>
      <c r="E101" s="86" t="n"/>
      <c r="F101" s="86" t="n"/>
      <c r="G101" s="86" t="n"/>
      <c r="H101" s="86" t="n"/>
      <c r="I101" s="86" t="n"/>
      <c r="J101" s="86" t="n"/>
      <c r="K101" s="86" t="n"/>
      <c r="L101" s="86" t="n"/>
      <c r="M101" s="86" t="n"/>
      <c r="N101" s="86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88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4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</row>
    <row r="5" ht="20" customHeight="1">
      <c r="A5" s="86" t="n"/>
      <c r="B5" s="92" t="inlineStr">
        <is>
          <t>ⓐ  Les paramètres du modèle  ·  les seules hypothèses du classeur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</row>
    <row r="6" ht="14" customHeight="1">
      <c r="A6" s="86" t="n"/>
      <c r="B6" s="93" t="inlineStr">
        <is>
          <t>Elles ne sortent d'aucune vue : elles décrivent la maquette pédagogique. Fond sable = hypothèse. Changer une cellule ici change tout l'onglet « Le coût variable ».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</row>
    <row r="7">
      <c r="A7" s="86" t="n"/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6" t="n"/>
      <c r="L7" s="86" t="n"/>
    </row>
    <row r="8" ht="28" customHeight="1">
      <c r="A8" s="86" t="n"/>
      <c r="B8" s="94" t="inlineStr">
        <is>
          <t>Programme</t>
        </is>
      </c>
      <c r="C8" s="95" t="inlineStr">
        <is>
          <t>Heures / classe</t>
        </is>
      </c>
      <c r="D8" s="95" t="inlineStr">
        <is>
          <t>Capacité de la classe</t>
        </is>
      </c>
      <c r="E8" s="95" t="inlineStr">
        <is>
          <t>Origine</t>
        </is>
      </c>
      <c r="F8" s="86" t="n"/>
      <c r="G8" s="86" t="n"/>
      <c r="H8" s="86" t="n"/>
      <c r="I8" s="86" t="n"/>
      <c r="J8" s="86" t="n"/>
      <c r="K8" s="86" t="n"/>
      <c r="L8" s="86" t="n"/>
    </row>
    <row r="9">
      <c r="A9" s="86" t="n"/>
      <c r="B9" s="184" t="inlineStr">
        <is>
          <t>Bachelor · alternance</t>
        </is>
      </c>
      <c r="C9" s="185" t="n">
        <v>480</v>
      </c>
      <c r="D9" s="186" t="n">
        <v>32</v>
      </c>
      <c r="E9" s="187" t="inlineStr">
        <is>
          <t>maquette pédagogique</t>
        </is>
      </c>
      <c r="F9" s="86" t="n"/>
      <c r="G9" s="86" t="n"/>
      <c r="H9" s="86" t="n"/>
      <c r="I9" s="86" t="n"/>
      <c r="J9" s="86" t="n"/>
      <c r="K9" s="86" t="n"/>
      <c r="L9" s="86" t="n"/>
    </row>
    <row r="10">
      <c r="A10" s="86" t="n"/>
      <c r="B10" s="184" t="inlineStr">
        <is>
          <t>Bachelor · initial</t>
        </is>
      </c>
      <c r="C10" s="185" t="n">
        <v>600</v>
      </c>
      <c r="D10" s="186" t="n">
        <v>32</v>
      </c>
      <c r="E10" s="187" t="inlineStr">
        <is>
          <t>maquette pédagogique</t>
        </is>
      </c>
      <c r="F10" s="86" t="n"/>
      <c r="G10" s="86" t="n"/>
      <c r="H10" s="86" t="n"/>
      <c r="I10" s="86" t="n"/>
      <c r="J10" s="86" t="n"/>
      <c r="K10" s="86" t="n"/>
      <c r="L10" s="86" t="n"/>
    </row>
    <row r="11">
      <c r="A11" s="86" t="n"/>
      <c r="B11" s="184" t="inlineStr">
        <is>
          <t>BTS · alternance</t>
        </is>
      </c>
      <c r="C11" s="185" t="n">
        <v>700</v>
      </c>
      <c r="D11" s="186" t="n">
        <v>30</v>
      </c>
      <c r="E11" s="187" t="inlineStr">
        <is>
          <t>maquette pédagogique</t>
        </is>
      </c>
      <c r="F11" s="86" t="n"/>
      <c r="G11" s="86" t="n"/>
      <c r="H11" s="86" t="n"/>
      <c r="I11" s="86" t="n"/>
      <c r="J11" s="86" t="n"/>
      <c r="K11" s="86" t="n"/>
      <c r="L11" s="86" t="n"/>
    </row>
    <row r="12">
      <c r="A12" s="86" t="n"/>
      <c r="B12" s="188" t="inlineStr">
        <is>
          <t>BTS · initial</t>
        </is>
      </c>
      <c r="C12" s="189" t="n">
        <v>1000</v>
      </c>
      <c r="D12" s="190" t="n">
        <v>30</v>
      </c>
      <c r="E12" s="191" t="inlineStr">
        <is>
          <t>maquette pédagogique  (programme absent du réseau en 2026)</t>
        </is>
      </c>
      <c r="F12" s="86" t="n"/>
      <c r="G12" s="86" t="n"/>
      <c r="H12" s="86" t="n"/>
      <c r="I12" s="86" t="n"/>
      <c r="J12" s="86" t="n"/>
      <c r="K12" s="86" t="n"/>
      <c r="L12" s="86" t="n"/>
    </row>
    <row r="13">
      <c r="A13" s="86" t="n"/>
      <c r="B13" s="184" t="inlineStr">
        <is>
          <t>Mastère · alternance</t>
        </is>
      </c>
      <c r="C13" s="185" t="n">
        <v>420</v>
      </c>
      <c r="D13" s="186" t="n">
        <v>26</v>
      </c>
      <c r="E13" s="187" t="inlineStr">
        <is>
          <t>maquette pédagogique</t>
        </is>
      </c>
      <c r="F13" s="86" t="n"/>
      <c r="G13" s="86" t="n"/>
      <c r="H13" s="86" t="n"/>
      <c r="I13" s="86" t="n"/>
      <c r="J13" s="86" t="n"/>
      <c r="K13" s="86" t="n"/>
      <c r="L13" s="86" t="n"/>
    </row>
    <row r="14">
      <c r="A14" s="86" t="n"/>
      <c r="B14" s="188" t="inlineStr">
        <is>
          <t>Mastère · initial</t>
        </is>
      </c>
      <c r="C14" s="189" t="n">
        <v>520</v>
      </c>
      <c r="D14" s="190" t="n">
        <v>26</v>
      </c>
      <c r="E14" s="191" t="inlineStr">
        <is>
          <t>maquette pédagogique  (programme absent du réseau en 2026)</t>
        </is>
      </c>
      <c r="F14" s="86" t="n"/>
      <c r="G14" s="86" t="n"/>
      <c r="H14" s="86" t="n"/>
      <c r="I14" s="86" t="n"/>
      <c r="J14" s="86" t="n"/>
      <c r="K14" s="86" t="n"/>
      <c r="L14" s="86" t="n"/>
    </row>
    <row r="15">
      <c r="A15" s="86" t="n"/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</row>
    <row r="16">
      <c r="A16" s="86" t="n"/>
      <c r="B16" s="93" t="inlineStr">
        <is>
          <t>Le tarif horaire, lui, n'est PAS un paramètre : il se déduit du réel, compte 621 ÷ heures d'enseignement. Il vit dans l'onglet « Le coût variable ».</t>
        </is>
      </c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</row>
    <row r="17">
      <c r="A17" s="86" t="n"/>
      <c r="B17" s="86" t="n"/>
      <c r="C17" s="86" t="n"/>
      <c r="D17" s="86" t="n"/>
      <c r="E17" s="86" t="n"/>
      <c r="F17" s="86" t="n"/>
      <c r="G17" s="86" t="n"/>
      <c r="H17" s="86" t="n"/>
      <c r="I17" s="86" t="n"/>
      <c r="J17" s="86" t="n"/>
      <c r="K17" s="86" t="n"/>
      <c r="L17" s="86" t="n"/>
    </row>
    <row r="18" ht="20" customHeight="1">
      <c r="A18" s="86" t="n"/>
      <c r="B18" s="92" t="inlineStr">
        <is>
          <t>ⓑ  Le mapping  ·  colonne du classeur ↔ colonne de V_MOTEUR_CAL</t>
        </is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86" t="n"/>
      <c r="L18" s="86" t="n"/>
    </row>
    <row r="19" ht="14" customHeight="1">
      <c r="A19" s="86" t="n"/>
      <c r="B19" s="93" t="inlineStr">
        <is>
          <t>Le tableau ① de l'onglet « Le moteur » est la vue, colonne pour colonne. Neuf colonnes sont à ajouter — les sept du levier marque, les heures et les permanents. Elles sont signalées en rouge, et tagetik/V_MOTEUR_CAL.sql les porte déjà.</t>
        </is>
      </c>
      <c r="C19" s="86" t="n"/>
      <c r="D19" s="86" t="n"/>
      <c r="E19" s="86" t="n"/>
      <c r="F19" s="86" t="n"/>
      <c r="G19" s="86" t="n"/>
      <c r="H19" s="86" t="n"/>
      <c r="I19" s="86" t="n"/>
      <c r="J19" s="86" t="n"/>
      <c r="K19" s="86" t="n"/>
      <c r="L19" s="86" t="n"/>
    </row>
    <row r="20">
      <c r="A20" s="86" t="n"/>
      <c r="B20" s="86" t="n"/>
      <c r="C20" s="86" t="n"/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</row>
    <row r="21" ht="26" customHeight="1">
      <c r="A21" s="86" t="n"/>
      <c r="B21" s="94" t="inlineStr">
        <is>
          <t>Colonne du classeur</t>
        </is>
      </c>
      <c r="C21" s="95" t="inlineStr">
        <is>
          <t>Colonne de la vue</t>
        </is>
      </c>
      <c r="D21" s="95" t="inlineStr">
        <is>
          <t>Nature</t>
        </is>
      </c>
      <c r="E21" s="95" t="inlineStr">
        <is>
          <t>Commentaire</t>
        </is>
      </c>
      <c r="F21" s="86" t="n"/>
      <c r="G21" s="86" t="n"/>
      <c r="H21" s="86" t="n"/>
      <c r="I21" s="86" t="n"/>
      <c r="J21" s="86" t="n"/>
      <c r="K21" s="86" t="n"/>
      <c r="L21" s="86" t="n"/>
    </row>
    <row r="22">
      <c r="A22" s="86" t="n"/>
      <c r="B22" s="138" t="inlineStr">
        <is>
          <t>B  ·  Marque</t>
        </is>
      </c>
      <c r="C22" s="192" t="inlineStr">
        <is>
          <t>MARQUE</t>
        </is>
      </c>
      <c r="D22" s="192" t="inlineStr">
        <is>
          <t>dimension</t>
        </is>
      </c>
      <c r="E22" s="192" t="inlineStr">
        <is>
          <t>regroupement d'affichage</t>
        </is>
      </c>
      <c r="F22" s="86" t="n"/>
      <c r="G22" s="86" t="n"/>
      <c r="H22" s="86" t="n"/>
      <c r="I22" s="86" t="n"/>
      <c r="J22" s="86" t="n"/>
      <c r="K22" s="86" t="n"/>
      <c r="L22" s="86" t="n"/>
    </row>
    <row r="23">
      <c r="A23" s="86" t="n"/>
      <c r="B23" s="138" t="inlineStr">
        <is>
          <t>C  ·  Campus</t>
        </is>
      </c>
      <c r="C23" s="192" t="inlineStr">
        <is>
          <t>CAMPUS</t>
        </is>
      </c>
      <c r="D23" s="192" t="inlineStr">
        <is>
          <t>dimension</t>
        </is>
      </c>
      <c r="E23" s="192" t="inlineStr">
        <is>
          <t>libellé azienda</t>
        </is>
      </c>
      <c r="F23" s="86" t="n"/>
      <c r="G23" s="86" t="n"/>
      <c r="H23" s="86" t="n"/>
      <c r="I23" s="86" t="n"/>
      <c r="J23" s="86" t="n"/>
      <c r="K23" s="86" t="n"/>
      <c r="L23" s="86" t="n"/>
    </row>
    <row r="24">
      <c r="A24" s="86" t="n"/>
      <c r="B24" s="138" t="inlineStr">
        <is>
          <t>D  ·  Leads payants 2024</t>
        </is>
      </c>
      <c r="C24" s="192" t="inlineStr">
        <is>
          <t>LEAD_PAY_2024</t>
        </is>
      </c>
      <c r="D24" s="192" t="inlineStr">
        <is>
          <t>mesure</t>
        </is>
      </c>
      <c r="E24" s="192" t="inlineStr"/>
      <c r="F24" s="86" t="n"/>
      <c r="G24" s="86" t="n"/>
      <c r="H24" s="86" t="n"/>
      <c r="I24" s="86" t="n"/>
      <c r="J24" s="86" t="n"/>
      <c r="K24" s="86" t="n"/>
      <c r="L24" s="86" t="n"/>
    </row>
    <row r="25">
      <c r="A25" s="86" t="n"/>
      <c r="B25" s="138" t="inlineStr">
        <is>
          <t>E  ·  Leads payants 2025</t>
        </is>
      </c>
      <c r="C25" s="192" t="inlineStr">
        <is>
          <t>LEAD_PAY_2025</t>
        </is>
      </c>
      <c r="D25" s="192" t="inlineStr">
        <is>
          <t>mesure</t>
        </is>
      </c>
      <c r="E25" s="192" t="inlineStr"/>
      <c r="F25" s="86" t="n"/>
      <c r="G25" s="86" t="n"/>
      <c r="H25" s="86" t="n"/>
      <c r="I25" s="86" t="n"/>
      <c r="J25" s="86" t="n"/>
      <c r="K25" s="86" t="n"/>
      <c r="L25" s="86" t="n"/>
    </row>
    <row r="26">
      <c r="A26" s="86" t="n"/>
      <c r="B26" s="138" t="inlineStr">
        <is>
          <t>F  ·  Leads payants 2026</t>
        </is>
      </c>
      <c r="C26" s="192" t="inlineStr">
        <is>
          <t>LEAD_PAY_2026</t>
        </is>
      </c>
      <c r="D26" s="192" t="inlineStr">
        <is>
          <t>mesure</t>
        </is>
      </c>
      <c r="E26" s="192" t="inlineStr">
        <is>
          <t>base du geste d'acquisition</t>
        </is>
      </c>
      <c r="F26" s="86" t="n"/>
      <c r="G26" s="86" t="n"/>
      <c r="H26" s="86" t="n"/>
      <c r="I26" s="86" t="n"/>
      <c r="J26" s="86" t="n"/>
      <c r="K26" s="86" t="n"/>
      <c r="L26" s="86" t="n"/>
    </row>
    <row r="27">
      <c r="A27" s="86" t="n"/>
      <c r="B27" s="138" t="inlineStr">
        <is>
          <t>G  ·  Budget acq. 2024</t>
        </is>
      </c>
      <c r="C27" s="192" t="inlineStr">
        <is>
          <t>SPEND_ACQ_2024</t>
        </is>
      </c>
      <c r="D27" s="192" t="inlineStr">
        <is>
          <t>mesure</t>
        </is>
      </c>
      <c r="E27" s="192" t="inlineStr"/>
      <c r="F27" s="86" t="n"/>
      <c r="G27" s="86" t="n"/>
      <c r="H27" s="86" t="n"/>
      <c r="I27" s="86" t="n"/>
      <c r="J27" s="86" t="n"/>
      <c r="K27" s="86" t="n"/>
      <c r="L27" s="86" t="n"/>
    </row>
    <row r="28">
      <c r="A28" s="86" t="n"/>
      <c r="B28" s="138" t="inlineStr">
        <is>
          <t>H  ·  Budget acq. 2025</t>
        </is>
      </c>
      <c r="C28" s="192" t="inlineStr">
        <is>
          <t>SPEND_ACQ_2025</t>
        </is>
      </c>
      <c r="D28" s="192" t="inlineStr">
        <is>
          <t>mesure</t>
        </is>
      </c>
      <c r="E28" s="192" t="inlineStr"/>
      <c r="F28" s="86" t="n"/>
      <c r="G28" s="86" t="n"/>
      <c r="H28" s="86" t="n"/>
      <c r="I28" s="86" t="n"/>
      <c r="J28" s="86" t="n"/>
      <c r="K28" s="86" t="n"/>
      <c r="L28" s="86" t="n"/>
    </row>
    <row r="29">
      <c r="A29" s="86" t="n"/>
      <c r="B29" s="138" t="inlineStr">
        <is>
          <t>I  ·  Budget acq. 2026</t>
        </is>
      </c>
      <c r="C29" s="192" t="inlineStr">
        <is>
          <t>SPEND_ACQ_2026</t>
        </is>
      </c>
      <c r="D29" s="192" t="inlineStr">
        <is>
          <t>mesure</t>
        </is>
      </c>
      <c r="E29" s="192">
        <f> compte 6231</f>
        <v/>
      </c>
      <c r="F29" s="86" t="n"/>
      <c r="G29" s="86" t="n"/>
      <c r="H29" s="86" t="n"/>
      <c r="I29" s="86" t="n"/>
      <c r="J29" s="86" t="n"/>
      <c r="K29" s="86" t="n"/>
      <c r="L29" s="86" t="n"/>
    </row>
    <row r="30">
      <c r="A30" s="86" t="n"/>
      <c r="B30" s="138" t="inlineStr">
        <is>
          <t>J  ·  Élasticité payante</t>
        </is>
      </c>
      <c r="C30" s="192" t="inlineStr">
        <is>
          <t>ELASTICITE</t>
        </is>
      </c>
      <c r="D30" s="193" t="inlineStr">
        <is>
          <t>NON additive</t>
        </is>
      </c>
      <c r="E30" s="192" t="inlineStr">
        <is>
          <t>régression log-log, reste au campus</t>
        </is>
      </c>
      <c r="F30" s="86" t="n"/>
      <c r="G30" s="86" t="n"/>
      <c r="H30" s="86" t="n"/>
      <c r="I30" s="86" t="n"/>
      <c r="J30" s="86" t="n"/>
      <c r="K30" s="86" t="n"/>
      <c r="L30" s="86" t="n"/>
    </row>
    <row r="31">
      <c r="A31" s="86" t="n"/>
      <c r="B31" s="194" t="inlineStr">
        <is>
          <t>K  ·  Leads organiques 2024</t>
        </is>
      </c>
      <c r="C31" s="195" t="inlineStr">
        <is>
          <t>LEAD_ORG_2024</t>
        </is>
      </c>
      <c r="D31" s="195" t="inlineStr">
        <is>
          <t>mesure</t>
        </is>
      </c>
      <c r="E31" s="195" t="inlineStr">
        <is>
          <t>À AJOUTER À LA VUE</t>
        </is>
      </c>
      <c r="F31" s="86" t="n"/>
      <c r="G31" s="86" t="n"/>
      <c r="H31" s="86" t="n"/>
      <c r="I31" s="86" t="n"/>
      <c r="J31" s="86" t="n"/>
      <c r="K31" s="86" t="n"/>
      <c r="L31" s="86" t="n"/>
    </row>
    <row r="32">
      <c r="A32" s="86" t="n"/>
      <c r="B32" s="194" t="inlineStr">
        <is>
          <t>L  ·  Leads organiques 2025</t>
        </is>
      </c>
      <c r="C32" s="195" t="inlineStr">
        <is>
          <t>LEAD_ORG_2025</t>
        </is>
      </c>
      <c r="D32" s="195" t="inlineStr">
        <is>
          <t>mesure</t>
        </is>
      </c>
      <c r="E32" s="195" t="inlineStr">
        <is>
          <t>À AJOUTER À LA VUE</t>
        </is>
      </c>
      <c r="F32" s="86" t="n"/>
      <c r="G32" s="86" t="n"/>
      <c r="H32" s="86" t="n"/>
      <c r="I32" s="86" t="n"/>
      <c r="J32" s="86" t="n"/>
      <c r="K32" s="86" t="n"/>
      <c r="L32" s="86" t="n"/>
    </row>
    <row r="33">
      <c r="A33" s="86" t="n"/>
      <c r="B33" s="194" t="inlineStr">
        <is>
          <t>M  ·  Leads organiques 2026</t>
        </is>
      </c>
      <c r="C33" s="195" t="inlineStr">
        <is>
          <t>LEAD_ORG_2026</t>
        </is>
      </c>
      <c r="D33" s="195" t="inlineStr">
        <is>
          <t>mesure</t>
        </is>
      </c>
      <c r="E33" s="195" t="inlineStr">
        <is>
          <t>À AJOUTER À LA VUE</t>
        </is>
      </c>
      <c r="F33" s="86" t="n"/>
      <c r="G33" s="86" t="n"/>
      <c r="H33" s="86" t="n"/>
      <c r="I33" s="86" t="n"/>
      <c r="J33" s="86" t="n"/>
      <c r="K33" s="86" t="n"/>
      <c r="L33" s="86" t="n"/>
    </row>
    <row r="34">
      <c r="A34" s="86" t="n"/>
      <c r="B34" s="194" t="inlineStr">
        <is>
          <t>N  ·  Budget marque 2024</t>
        </is>
      </c>
      <c r="C34" s="195" t="inlineStr">
        <is>
          <t>SPEND_MRQ_2024</t>
        </is>
      </c>
      <c r="D34" s="195" t="inlineStr">
        <is>
          <t>mesure</t>
        </is>
      </c>
      <c r="E34" s="195" t="inlineStr">
        <is>
          <t>À AJOUTER À LA VUE</t>
        </is>
      </c>
      <c r="F34" s="86" t="n"/>
      <c r="G34" s="86" t="n"/>
      <c r="H34" s="86" t="n"/>
      <c r="I34" s="86" t="n"/>
      <c r="J34" s="86" t="n"/>
      <c r="K34" s="86" t="n"/>
      <c r="L34" s="86" t="n"/>
    </row>
    <row r="35">
      <c r="A35" s="86" t="n"/>
      <c r="B35" s="194" t="inlineStr">
        <is>
          <t>O  ·  Budget marque 2025</t>
        </is>
      </c>
      <c r="C35" s="195" t="inlineStr">
        <is>
          <t>SPEND_MRQ_2025</t>
        </is>
      </c>
      <c r="D35" s="195" t="inlineStr">
        <is>
          <t>mesure</t>
        </is>
      </c>
      <c r="E35" s="195" t="inlineStr">
        <is>
          <t>À AJOUTER À LA VUE</t>
        </is>
      </c>
      <c r="F35" s="86" t="n"/>
      <c r="G35" s="86" t="n"/>
      <c r="H35" s="86" t="n"/>
      <c r="I35" s="86" t="n"/>
      <c r="J35" s="86" t="n"/>
      <c r="K35" s="86" t="n"/>
      <c r="L35" s="86" t="n"/>
    </row>
    <row r="36">
      <c r="A36" s="86" t="n"/>
      <c r="B36" s="194" t="inlineStr">
        <is>
          <t>P  ·  Budget marque 2026</t>
        </is>
      </c>
      <c r="C36" s="195" t="inlineStr">
        <is>
          <t>SPEND_MRQ_2026</t>
        </is>
      </c>
      <c r="D36" s="195" t="inlineStr">
        <is>
          <t>mesure</t>
        </is>
      </c>
      <c r="E36" s="195" t="inlineStr">
        <is>
          <t>À AJOUTER · = compte 6236</t>
        </is>
      </c>
      <c r="F36" s="86" t="n"/>
      <c r="G36" s="86" t="n"/>
      <c r="H36" s="86" t="n"/>
      <c r="I36" s="86" t="n"/>
      <c r="J36" s="86" t="n"/>
      <c r="K36" s="86" t="n"/>
      <c r="L36" s="86" t="n"/>
    </row>
    <row r="37">
      <c r="A37" s="86" t="n"/>
      <c r="B37" s="194" t="inlineStr">
        <is>
          <t>Q  ·  Élasticité organique</t>
        </is>
      </c>
      <c r="C37" s="195" t="inlineStr">
        <is>
          <t>ELASTICITE_ORG</t>
        </is>
      </c>
      <c r="D37" s="193" t="inlineStr">
        <is>
          <t>NON additive</t>
        </is>
      </c>
      <c r="E37" s="195" t="inlineStr">
        <is>
          <t>À AJOUTER · même régression, côté marque</t>
        </is>
      </c>
      <c r="F37" s="86" t="n"/>
      <c r="G37" s="86" t="n"/>
      <c r="H37" s="86" t="n"/>
      <c r="I37" s="86" t="n"/>
      <c r="J37" s="86" t="n"/>
      <c r="K37" s="86" t="n"/>
      <c r="L37" s="86" t="n"/>
    </row>
    <row r="38">
      <c r="A38" s="86" t="n"/>
      <c r="B38" s="138" t="inlineStr">
        <is>
          <t>R  ·  Leads totaux 2026</t>
        </is>
      </c>
      <c r="C38" s="192" t="inlineStr">
        <is>
          <t>LEAD_TOT_N</t>
        </is>
      </c>
      <c r="D38" s="192" t="inlineStr">
        <is>
          <t>mesure</t>
        </is>
      </c>
      <c r="E38" s="192" t="inlineStr">
        <is>
          <t>dénominateur de la conversion</t>
        </is>
      </c>
      <c r="F38" s="86" t="n"/>
      <c r="G38" s="86" t="n"/>
      <c r="H38" s="86" t="n"/>
      <c r="I38" s="86" t="n"/>
      <c r="J38" s="86" t="n"/>
      <c r="K38" s="86" t="n"/>
      <c r="L38" s="86" t="n"/>
    </row>
    <row r="39">
      <c r="A39" s="86" t="n"/>
      <c r="B39" s="138" t="inlineStr">
        <is>
          <t>S  ·  Inscrits 2026</t>
        </is>
      </c>
      <c r="C39" s="192" t="inlineStr">
        <is>
          <t>INSCRITS_N</t>
        </is>
      </c>
      <c r="D39" s="192" t="inlineStr">
        <is>
          <t>mesure</t>
        </is>
      </c>
      <c r="E39" s="192" t="inlineStr">
        <is>
          <t>numérateur de la conversion</t>
        </is>
      </c>
      <c r="F39" s="86" t="n"/>
      <c r="G39" s="86" t="n"/>
      <c r="H39" s="86" t="n"/>
      <c r="I39" s="86" t="n"/>
      <c r="J39" s="86" t="n"/>
      <c r="K39" s="86" t="n"/>
      <c r="L39" s="86" t="n"/>
    </row>
    <row r="40">
      <c r="A40" s="86" t="n"/>
      <c r="B40" s="138" t="inlineStr">
        <is>
          <t>T  ·  CA nouveaux 2026</t>
        </is>
      </c>
      <c r="C40" s="192" t="inlineStr">
        <is>
          <t>CA_NEW_N</t>
        </is>
      </c>
      <c r="D40" s="192" t="inlineStr">
        <is>
          <t>mesure</t>
        </is>
      </c>
      <c r="E40" s="192" t="inlineStr"/>
      <c r="F40" s="86" t="n"/>
      <c r="G40" s="86" t="n"/>
      <c r="H40" s="86" t="n"/>
      <c r="I40" s="86" t="n"/>
      <c r="J40" s="86" t="n"/>
      <c r="K40" s="86" t="n"/>
      <c r="L40" s="86" t="n"/>
    </row>
    <row r="41">
      <c r="A41" s="86" t="n"/>
      <c r="B41" s="138" t="inlineStr">
        <is>
          <t>U  ·  Effectifs 2026</t>
        </is>
      </c>
      <c r="C41" s="192" t="inlineStr">
        <is>
          <t>EFFECTIFS_N</t>
        </is>
      </c>
      <c r="D41" s="192" t="inlineStr">
        <is>
          <t>mesure</t>
        </is>
      </c>
      <c r="E41" s="192" t="inlineStr"/>
      <c r="F41" s="86" t="n"/>
      <c r="G41" s="86" t="n"/>
      <c r="H41" s="86" t="n"/>
      <c r="I41" s="86" t="n"/>
      <c r="J41" s="86" t="n"/>
      <c r="K41" s="86" t="n"/>
      <c r="L41" s="86" t="n"/>
    </row>
    <row r="42">
      <c r="A42" s="86" t="n"/>
      <c r="B42" s="138" t="inlineStr">
        <is>
          <t>V  ·  Places 2026</t>
        </is>
      </c>
      <c r="C42" s="192" t="inlineStr">
        <is>
          <t>PLACES_N</t>
        </is>
      </c>
      <c r="D42" s="192" t="inlineStr">
        <is>
          <t>mesure</t>
        </is>
      </c>
      <c r="E42" s="192" t="inlineStr">
        <is>
          <t>classes × capacité</t>
        </is>
      </c>
      <c r="F42" s="86" t="n"/>
      <c r="G42" s="86" t="n"/>
      <c r="H42" s="86" t="n"/>
      <c r="I42" s="86" t="n"/>
      <c r="J42" s="86" t="n"/>
      <c r="K42" s="86" t="n"/>
      <c r="L42" s="86" t="n"/>
    </row>
    <row r="43">
      <c r="A43" s="86" t="n"/>
      <c r="B43" s="138" t="inlineStr">
        <is>
          <t>W  ·  Classes 2026</t>
        </is>
      </c>
      <c r="C43" s="192" t="inlineStr">
        <is>
          <t>CLASSES_N</t>
        </is>
      </c>
      <c r="D43" s="192" t="inlineStr">
        <is>
          <t>mesure</t>
        </is>
      </c>
      <c r="E43" s="192" t="inlineStr"/>
      <c r="F43" s="86" t="n"/>
      <c r="G43" s="86" t="n"/>
      <c r="H43" s="86" t="n"/>
      <c r="I43" s="86" t="n"/>
      <c r="J43" s="86" t="n"/>
      <c r="K43" s="86" t="n"/>
      <c r="L43" s="86" t="n"/>
    </row>
    <row r="44">
      <c r="A44" s="86" t="n"/>
      <c r="B44" s="194" t="inlineStr">
        <is>
          <t>X  ·  Heures d'enseignement 2026</t>
        </is>
      </c>
      <c r="C44" s="195" t="inlineStr">
        <is>
          <t>HEURES_N</t>
        </is>
      </c>
      <c r="D44" s="195" t="inlineStr">
        <is>
          <t>mesure</t>
        </is>
      </c>
      <c r="E44" s="195" t="inlineStr">
        <is>
          <t>À AJOUTER À LA VUE</t>
        </is>
      </c>
      <c r="F44" s="86" t="n"/>
      <c r="G44" s="86" t="n"/>
      <c r="H44" s="86" t="n"/>
      <c r="I44" s="86" t="n"/>
      <c r="J44" s="86" t="n"/>
      <c r="K44" s="86" t="n"/>
      <c r="L44" s="86" t="n"/>
    </row>
    <row r="45">
      <c r="A45" s="86" t="n"/>
      <c r="B45" s="138" t="inlineStr">
        <is>
          <t>Y  ·  Consommables 604+6063</t>
        </is>
      </c>
      <c r="C45" s="192" t="inlineStr">
        <is>
          <t>COUT_CONSO_N</t>
        </is>
      </c>
      <c r="D45" s="192" t="inlineStr">
        <is>
          <t>mesure</t>
        </is>
      </c>
      <c r="E45" s="192" t="inlineStr"/>
      <c r="F45" s="86" t="n"/>
      <c r="G45" s="86" t="n"/>
      <c r="H45" s="86" t="n"/>
      <c r="I45" s="86" t="n"/>
      <c r="J45" s="86" t="n"/>
      <c r="K45" s="86" t="n"/>
      <c r="L45" s="86" t="n"/>
    </row>
    <row r="46">
      <c r="A46" s="86" t="n"/>
      <c r="B46" s="138" t="inlineStr">
        <is>
          <t>Z  ·  Vacataires 621</t>
        </is>
      </c>
      <c r="C46" s="192" t="inlineStr">
        <is>
          <t>COUT_VACAT_N</t>
        </is>
      </c>
      <c r="D46" s="192" t="inlineStr">
        <is>
          <t>mesure</t>
        </is>
      </c>
      <c r="E46" s="192" t="inlineStr"/>
      <c r="F46" s="86" t="n"/>
      <c r="G46" s="86" t="n"/>
      <c r="H46" s="86" t="n"/>
      <c r="I46" s="86" t="n"/>
      <c r="J46" s="86" t="n"/>
      <c r="K46" s="86" t="n"/>
      <c r="L46" s="86" t="n"/>
    </row>
    <row r="47">
      <c r="A47" s="86" t="n"/>
      <c r="B47" s="194" t="inlineStr">
        <is>
          <t>AA  ·  Enseignants permanents 6411</t>
        </is>
      </c>
      <c r="C47" s="195" t="inlineStr">
        <is>
          <t>COUT_PERM_N</t>
        </is>
      </c>
      <c r="D47" s="195" t="inlineStr">
        <is>
          <t>mesure</t>
        </is>
      </c>
      <c r="E47" s="195" t="inlineStr">
        <is>
          <t>À AJOUTER À LA VUE</t>
        </is>
      </c>
      <c r="F47" s="86" t="n"/>
      <c r="G47" s="86" t="n"/>
      <c r="H47" s="86" t="n"/>
      <c r="I47" s="86" t="n"/>
      <c r="J47" s="86" t="n"/>
      <c r="K47" s="86" t="n"/>
      <c r="L47" s="86" t="n"/>
    </row>
    <row r="48">
      <c r="A48" s="86" t="n"/>
      <c r="B48" s="86" t="n"/>
      <c r="C48" s="86" t="n"/>
      <c r="D48" s="86" t="n"/>
      <c r="E48" s="86" t="n"/>
      <c r="F48" s="86" t="n"/>
      <c r="G48" s="86" t="n"/>
      <c r="H48" s="86" t="n"/>
      <c r="I48" s="86" t="n"/>
      <c r="J48" s="86" t="n"/>
      <c r="K48" s="86" t="n"/>
      <c r="L48" s="86" t="n"/>
    </row>
    <row r="49">
      <c r="A49" s="86" t="n"/>
      <c r="B49" s="86" t="n"/>
      <c r="C49" s="86" t="n"/>
      <c r="D49" s="86" t="n"/>
      <c r="E49" s="86" t="n"/>
      <c r="F49" s="86" t="n"/>
      <c r="G49" s="86" t="n"/>
      <c r="H49" s="86" t="n"/>
      <c r="I49" s="86" t="n"/>
      <c r="J49" s="86" t="n"/>
      <c r="K49" s="86" t="n"/>
      <c r="L49" s="86" t="n"/>
    </row>
    <row r="50" ht="20" customHeight="1">
      <c r="A50" s="86" t="n"/>
      <c r="B50" s="115" t="inlineStr">
        <is>
          <t>ⓒ  Les formules du masque  ·  la ligne 47, campus Ipac Montpellier</t>
        </is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</row>
    <row r="51" ht="14" customHeight="1">
      <c r="A51" s="86" t="n"/>
      <c r="B51" s="93" t="inlineStr">
        <is>
          <t>Toutes les autres lignes sont la même formule, décalée. Aucune n'utilise de constante : chacune pointe le tableau ① ou l'une des deux saisies.</t>
        </is>
      </c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</row>
    <row r="52">
      <c r="A52" s="86" t="n"/>
      <c r="B52" s="86" t="n"/>
      <c r="C52" s="86" t="n"/>
      <c r="D52" s="86" t="n"/>
      <c r="E52" s="86" t="n"/>
      <c r="F52" s="86" t="n"/>
      <c r="G52" s="86" t="n"/>
      <c r="H52" s="86" t="n"/>
      <c r="I52" s="86" t="n"/>
      <c r="J52" s="86" t="n"/>
      <c r="K52" s="86" t="n"/>
      <c r="L52" s="86" t="n"/>
    </row>
    <row r="53" ht="26" customHeight="1">
      <c r="A53" s="86" t="n"/>
      <c r="B53" s="94" t="inlineStr">
        <is>
          <t>Mesure</t>
        </is>
      </c>
      <c r="C53" s="95" t="inlineStr">
        <is>
          <t>Col.</t>
        </is>
      </c>
      <c r="D53" s="95" t="inlineStr">
        <is>
          <t>Formule du classeur</t>
        </is>
      </c>
      <c r="E53" s="95" t="n"/>
      <c r="F53" s="95" t="inlineStr">
        <is>
          <t>Ce qu'elle dit</t>
        </is>
      </c>
      <c r="G53" s="86" t="n"/>
      <c r="H53" s="86" t="n"/>
      <c r="I53" s="86" t="n"/>
      <c r="J53" s="86" t="n"/>
      <c r="K53" s="86" t="n"/>
      <c r="L53" s="86" t="n"/>
    </row>
    <row r="54">
      <c r="A54" s="86" t="n"/>
      <c r="B54" s="196" t="inlineStr">
        <is>
          <t>Δ budget d'acquisition</t>
        </is>
      </c>
      <c r="C54" s="196" t="inlineStr">
        <is>
          <t>F4</t>
        </is>
      </c>
      <c r="D54" s="197" t="inlineStr">
        <is>
          <t>SAISIE</t>
        </is>
      </c>
      <c r="E54" s="196" t="n"/>
      <c r="F54" s="196" t="inlineStr">
        <is>
          <t>la première des deux cellules modifiables</t>
        </is>
      </c>
      <c r="G54" s="86" t="n"/>
      <c r="H54" s="86" t="n"/>
      <c r="I54" s="86" t="n"/>
      <c r="J54" s="86" t="n"/>
      <c r="K54" s="86" t="n"/>
      <c r="L54" s="86" t="n"/>
    </row>
    <row r="55">
      <c r="A55" s="86" t="n"/>
      <c r="B55" s="196" t="inlineStr">
        <is>
          <t>Δ budget de marque</t>
        </is>
      </c>
      <c r="C55" s="196" t="inlineStr">
        <is>
          <t>J4</t>
        </is>
      </c>
      <c r="D55" s="197" t="inlineStr">
        <is>
          <t>SAISIE</t>
        </is>
      </c>
      <c r="E55" s="196" t="n"/>
      <c r="F55" s="196" t="inlineStr">
        <is>
          <t>la seconde — le levier qu'on ne pilotait pas</t>
        </is>
      </c>
      <c r="G55" s="86" t="n"/>
      <c r="H55" s="86" t="n"/>
      <c r="I55" s="86" t="n"/>
      <c r="J55" s="86" t="n"/>
      <c r="K55" s="86" t="n"/>
      <c r="L55" s="86" t="n"/>
    </row>
    <row r="56">
      <c r="A56" s="86" t="n"/>
      <c r="B56" s="198" t="inlineStr">
        <is>
          <t>Conversion lead → inscrit</t>
        </is>
      </c>
      <c r="C56" s="123" t="inlineStr">
        <is>
          <t>D</t>
        </is>
      </c>
      <c r="D56" s="199" t="inlineStr">
        <is>
          <t>=IFERROR(S25/R25,0)</t>
        </is>
      </c>
      <c r="E56" s="123" t="n"/>
      <c r="F56" s="123" t="inlineStr">
        <is>
          <t>INSCRITS ÷ LEADS TOTAUX — jamais pré-calculée, sinon la ligne groupe se trompe</t>
        </is>
      </c>
      <c r="G56" s="86" t="n"/>
      <c r="H56" s="86" t="n"/>
      <c r="I56" s="86" t="n"/>
      <c r="J56" s="86" t="n"/>
      <c r="K56" s="86" t="n"/>
      <c r="L56" s="86" t="n"/>
    </row>
    <row r="57">
      <c r="A57" s="86" t="n"/>
      <c r="B57" s="198" t="inlineStr">
        <is>
          <t>CA par inscrit</t>
        </is>
      </c>
      <c r="C57" s="123" t="inlineStr">
        <is>
          <t>E</t>
        </is>
      </c>
      <c r="D57" s="199" t="inlineStr">
        <is>
          <t>=IFERROR(T25/S25,0)</t>
        </is>
      </c>
      <c r="E57" s="123" t="n"/>
      <c r="F57" s="123" t="inlineStr">
        <is>
          <t>CA des nouveaux ÷ inscrits</t>
        </is>
      </c>
      <c r="G57" s="86" t="n"/>
      <c r="H57" s="86" t="n"/>
      <c r="I57" s="86" t="n"/>
      <c r="J57" s="86" t="n"/>
      <c r="K57" s="86" t="n"/>
      <c r="L57" s="86" t="n"/>
    </row>
    <row r="58">
      <c r="A58" s="86" t="n"/>
      <c r="B58" s="198" t="inlineStr">
        <is>
          <t>Consommables / élève</t>
        </is>
      </c>
      <c r="C58" s="123" t="inlineStr">
        <is>
          <t>F</t>
        </is>
      </c>
      <c r="D58" s="199" t="inlineStr">
        <is>
          <t>=IFERROR(Y25/U25,0)</t>
        </is>
      </c>
      <c r="E58" s="123" t="n"/>
      <c r="F58" s="123" t="inlineStr">
        <is>
          <t>604 + 6063 ÷ effectifs</t>
        </is>
      </c>
      <c r="G58" s="86" t="n"/>
      <c r="H58" s="86" t="n"/>
      <c r="I58" s="86" t="n"/>
      <c r="J58" s="86" t="n"/>
      <c r="K58" s="86" t="n"/>
      <c r="L58" s="86" t="n"/>
    </row>
    <row r="59">
      <c r="A59" s="86" t="n"/>
      <c r="B59" s="198" t="inlineStr">
        <is>
          <t>Places libres</t>
        </is>
      </c>
      <c r="C59" s="123" t="inlineStr">
        <is>
          <t>G</t>
        </is>
      </c>
      <c r="D59" s="199" t="inlineStr">
        <is>
          <t>=V25-U25</t>
        </is>
      </c>
      <c r="E59" s="123" t="n"/>
      <c r="F59" s="123" t="inlineStr">
        <is>
          <t>places − effectifs : la borne physique du geste</t>
        </is>
      </c>
      <c r="G59" s="86" t="n"/>
      <c r="H59" s="86" t="n"/>
      <c r="I59" s="86" t="n"/>
      <c r="J59" s="86" t="n"/>
      <c r="K59" s="86" t="n"/>
      <c r="L59" s="86" t="n"/>
    </row>
    <row r="60">
      <c r="A60" s="86" t="n"/>
      <c r="B60" s="198" t="inlineStr">
        <is>
          <t>Δ budget acquisition</t>
        </is>
      </c>
      <c r="C60" s="123" t="inlineStr">
        <is>
          <t>H</t>
        </is>
      </c>
      <c r="D60" s="199" t="inlineStr">
        <is>
          <t>=I25*$F$4</t>
        </is>
      </c>
      <c r="E60" s="123" t="n"/>
      <c r="F60" s="123" t="inlineStr">
        <is>
          <t>le geste, appliqué au budget 2026</t>
        </is>
      </c>
      <c r="G60" s="86" t="n"/>
      <c r="H60" s="86" t="n"/>
      <c r="I60" s="86" t="n"/>
      <c r="J60" s="86" t="n"/>
      <c r="K60" s="86" t="n"/>
      <c r="L60" s="86" t="n"/>
    </row>
    <row r="61">
      <c r="A61" s="86" t="n"/>
      <c r="B61" s="198" t="inlineStr">
        <is>
          <t>Inscrits gagnés · acquisition</t>
        </is>
      </c>
      <c r="C61" s="123" t="inlineStr">
        <is>
          <t>I</t>
        </is>
      </c>
      <c r="D61" s="199" t="inlineStr">
        <is>
          <t>=F25*((1+$F$4)^J25-1)*D47</t>
        </is>
      </c>
      <c r="E61" s="123" t="n"/>
      <c r="F61" s="123" t="inlineStr">
        <is>
          <t>leads payants × l'effet d'élasticité, converti au taux du campus</t>
        </is>
      </c>
      <c r="G61" s="86" t="n"/>
      <c r="H61" s="86" t="n"/>
      <c r="I61" s="86" t="n"/>
      <c r="J61" s="86" t="n"/>
      <c r="K61" s="86" t="n"/>
      <c r="L61" s="86" t="n"/>
    </row>
    <row r="62">
      <c r="A62" s="86" t="n"/>
      <c r="B62" s="198" t="inlineStr">
        <is>
          <t>CA gagné · acquisition</t>
        </is>
      </c>
      <c r="C62" s="123" t="inlineStr">
        <is>
          <t>J</t>
        </is>
      </c>
      <c r="D62" s="199" t="inlineStr">
        <is>
          <t>=I47*E47</t>
        </is>
      </c>
      <c r="E62" s="123" t="n"/>
      <c r="F62" s="123" t="inlineStr">
        <is>
          <t>inscrits gagnés × CA par inscrit</t>
        </is>
      </c>
      <c r="G62" s="86" t="n"/>
      <c r="H62" s="86" t="n"/>
      <c r="I62" s="86" t="n"/>
      <c r="J62" s="86" t="n"/>
      <c r="K62" s="86" t="n"/>
      <c r="L62" s="86" t="n"/>
    </row>
    <row r="63">
      <c r="A63" s="86" t="n"/>
      <c r="B63" s="198" t="inlineStr">
        <is>
          <t>Coût marginal / élève</t>
        </is>
      </c>
      <c r="C63" s="123" t="inlineStr">
        <is>
          <t>K</t>
        </is>
      </c>
      <c r="D63" s="199" t="inlineStr">
        <is>
          <t>=IF(I47&lt;=G47,F47,F47+Z25/V25)</t>
        </is>
      </c>
      <c r="E63" s="123" t="n"/>
      <c r="F63" s="123" t="inlineStr">
        <is>
          <t>consommables seuls, + quote-part vacataire si la classe doit ouvrir</t>
        </is>
      </c>
      <c r="G63" s="86" t="n"/>
      <c r="H63" s="86" t="n"/>
      <c r="I63" s="86" t="n"/>
      <c r="J63" s="86" t="n"/>
      <c r="K63" s="86" t="n"/>
      <c r="L63" s="86" t="n"/>
    </row>
    <row r="64">
      <c r="A64" s="86" t="n"/>
      <c r="B64" s="198" t="inlineStr">
        <is>
          <t>EBITDA gagné · acquisition</t>
        </is>
      </c>
      <c r="C64" s="123" t="inlineStr">
        <is>
          <t>L</t>
        </is>
      </c>
      <c r="D64" s="199" t="inlineStr">
        <is>
          <t>=J47-H47-I47*K47</t>
        </is>
      </c>
      <c r="E64" s="123" t="n"/>
      <c r="F64" s="123" t="inlineStr">
        <is>
          <t>CA gagné − Δ budget − coût de service</t>
        </is>
      </c>
      <c r="G64" s="86" t="n"/>
      <c r="H64" s="86" t="n"/>
      <c r="I64" s="86" t="n"/>
      <c r="J64" s="86" t="n"/>
      <c r="K64" s="86" t="n"/>
      <c r="L64" s="86" t="n"/>
    </row>
    <row r="65">
      <c r="A65" s="86" t="n"/>
      <c r="B65" s="198" t="inlineStr">
        <is>
          <t>CAC marginal · acquisition</t>
        </is>
      </c>
      <c r="C65" s="123" t="inlineStr">
        <is>
          <t>M</t>
        </is>
      </c>
      <c r="D65" s="199" t="inlineStr">
        <is>
          <t>=IFERROR(H47/I47,0)</t>
        </is>
      </c>
      <c r="E65" s="123" t="n"/>
      <c r="F65" s="123" t="inlineStr">
        <is>
          <t>Δ budget ÷ inscrits gagnés</t>
        </is>
      </c>
      <c r="G65" s="86" t="n"/>
      <c r="H65" s="86" t="n"/>
      <c r="I65" s="86" t="n"/>
      <c r="J65" s="86" t="n"/>
      <c r="K65" s="86" t="n"/>
      <c r="L65" s="86" t="n"/>
    </row>
    <row r="66">
      <c r="A66" s="86" t="n"/>
      <c r="B66" s="198" t="inlineStr">
        <is>
          <t>Δ budget marque</t>
        </is>
      </c>
      <c r="C66" s="123" t="inlineStr">
        <is>
          <t>N</t>
        </is>
      </c>
      <c r="D66" s="199" t="inlineStr">
        <is>
          <t>=P25*$J$4</t>
        </is>
      </c>
      <c r="E66" s="123" t="n"/>
      <c r="F66" s="123" t="inlineStr">
        <is>
          <t>le second levier, appliqué au budget de marque 2026</t>
        </is>
      </c>
      <c r="G66" s="86" t="n"/>
      <c r="H66" s="86" t="n"/>
      <c r="I66" s="86" t="n"/>
      <c r="J66" s="86" t="n"/>
      <c r="K66" s="86" t="n"/>
      <c r="L66" s="86" t="n"/>
    </row>
    <row r="67">
      <c r="A67" s="86" t="n"/>
      <c r="B67" s="198" t="inlineStr">
        <is>
          <t>Inscrits gagnés · marque</t>
        </is>
      </c>
      <c r="C67" s="123" t="inlineStr">
        <is>
          <t>O</t>
        </is>
      </c>
      <c r="D67" s="199" t="inlineStr">
        <is>
          <t>=M25*((1+$J$4)^Q25-1)*D47</t>
        </is>
      </c>
      <c r="E67" s="123" t="n"/>
      <c r="F67" s="123" t="inlineStr">
        <is>
          <t>leads ORGANIQUES × l'effet d'élasticité organique — la même formule</t>
        </is>
      </c>
      <c r="G67" s="86" t="n"/>
      <c r="H67" s="86" t="n"/>
      <c r="I67" s="86" t="n"/>
      <c r="J67" s="86" t="n"/>
      <c r="K67" s="86" t="n"/>
      <c r="L67" s="86" t="n"/>
    </row>
    <row r="68">
      <c r="A68" s="86" t="n"/>
      <c r="B68" s="198" t="inlineStr">
        <is>
          <t>CA gagné · marque</t>
        </is>
      </c>
      <c r="C68" s="123" t="inlineStr">
        <is>
          <t>P</t>
        </is>
      </c>
      <c r="D68" s="199" t="inlineStr">
        <is>
          <t>=O47*E47</t>
        </is>
      </c>
      <c r="E68" s="123" t="n"/>
      <c r="F68" s="123" t="inlineStr">
        <is>
          <t>inscrits gagnés × le même CA par inscrit</t>
        </is>
      </c>
      <c r="G68" s="86" t="n"/>
      <c r="H68" s="86" t="n"/>
      <c r="I68" s="86" t="n"/>
      <c r="J68" s="86" t="n"/>
      <c r="K68" s="86" t="n"/>
      <c r="L68" s="86" t="n"/>
    </row>
    <row r="69">
      <c r="A69" s="86" t="n"/>
      <c r="B69" s="198" t="inlineStr">
        <is>
          <t>CAC marginal · marque</t>
        </is>
      </c>
      <c r="C69" s="123" t="inlineStr">
        <is>
          <t>Q</t>
        </is>
      </c>
      <c r="D69" s="199" t="inlineStr">
        <is>
          <t>=IFERROR(N47/O47,0)</t>
        </is>
      </c>
      <c r="E69" s="123" t="n"/>
      <c r="F69" s="123" t="inlineStr">
        <is>
          <t>Δ budget de marque ÷ inscrits gagnés</t>
        </is>
      </c>
      <c r="G69" s="86" t="n"/>
      <c r="H69" s="86" t="n"/>
      <c r="I69" s="86" t="n"/>
      <c r="J69" s="86" t="n"/>
      <c r="K69" s="86" t="n"/>
      <c r="L69" s="86" t="n"/>
    </row>
    <row r="70">
      <c r="A70" s="86" t="n"/>
      <c r="B70" s="198" t="inlineStr">
        <is>
          <t>Le rapport</t>
        </is>
      </c>
      <c r="C70" s="123" t="inlineStr">
        <is>
          <t>R</t>
        </is>
      </c>
      <c r="D70" s="199" t="inlineStr">
        <is>
          <t>=IFERROR((J47/H47)/(P47/N47),0)</t>
        </is>
      </c>
      <c r="E70" s="123" t="n"/>
      <c r="F70" s="123" t="inlineStr">
        <is>
          <t>ce que vaut l'euro d'acquisition rapporté à l'euro de marque</t>
        </is>
      </c>
      <c r="G70" s="86" t="n"/>
      <c r="H70" s="86" t="n"/>
      <c r="I70" s="86" t="n"/>
      <c r="J70" s="86" t="n"/>
      <c r="K70" s="86" t="n"/>
      <c r="L70" s="86" t="n"/>
    </row>
    <row r="71">
      <c r="A71" s="86" t="n"/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</row>
    <row r="72">
      <c r="A72" s="86" t="n"/>
      <c r="B72" s="86" t="n"/>
      <c r="C72" s="86" t="n"/>
      <c r="D72" s="86" t="n"/>
      <c r="E72" s="86" t="n"/>
      <c r="F72" s="86" t="n"/>
      <c r="G72" s="86" t="n"/>
      <c r="H72" s="86" t="n"/>
      <c r="I72" s="86" t="n"/>
      <c r="J72" s="86" t="n"/>
      <c r="K72" s="86" t="n"/>
      <c r="L72" s="86" t="n"/>
    </row>
    <row r="73" ht="20" customHeight="1">
      <c r="A73" s="86" t="n"/>
      <c r="B73" s="92" t="inlineStr">
        <is>
          <t>ⓓ  Les contrôles  ·  ils doivent tous valoir zéro</t>
        </is>
      </c>
      <c r="C73" s="86" t="n"/>
      <c r="D73" s="86" t="n"/>
      <c r="E73" s="86" t="n"/>
      <c r="F73" s="86" t="n"/>
      <c r="G73" s="86" t="n"/>
      <c r="H73" s="86" t="n"/>
      <c r="I73" s="86" t="n"/>
      <c r="J73" s="86" t="n"/>
      <c r="K73" s="86" t="n"/>
      <c r="L73" s="86" t="n"/>
    </row>
    <row r="74" ht="14" customHeight="1">
      <c r="A74" s="86" t="n"/>
      <c r="B74" s="93" t="inlineStr">
        <is>
          <t>Chacun confronte deux sources indépendantes. Le dernier n'est pas un écart mais une marge : il dit combien de sièges restent avant que le coût marginal ne bascule.</t>
        </is>
      </c>
      <c r="C74" s="86" t="n"/>
      <c r="D74" s="86" t="n"/>
      <c r="E74" s="86" t="n"/>
      <c r="F74" s="86" t="n"/>
      <c r="G74" s="86" t="n"/>
      <c r="H74" s="86" t="n"/>
      <c r="I74" s="86" t="n"/>
      <c r="J74" s="86" t="n"/>
      <c r="K74" s="86" t="n"/>
      <c r="L74" s="86" t="n"/>
    </row>
    <row r="75">
      <c r="A75" s="86" t="n"/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</row>
    <row r="76" ht="26" customHeight="1">
      <c r="A76" s="86" t="n"/>
      <c r="B76" s="94" t="inlineStr">
        <is>
          <t>Contrôle</t>
        </is>
      </c>
      <c r="C76" s="95" t="n"/>
      <c r="D76" s="95" t="inlineStr">
        <is>
          <t>Source A</t>
        </is>
      </c>
      <c r="E76" s="95" t="inlineStr">
        <is>
          <t>Source B</t>
        </is>
      </c>
      <c r="F76" s="95" t="inlineStr">
        <is>
          <t>Écart</t>
        </is>
      </c>
      <c r="G76" s="95" t="inlineStr">
        <is>
          <t>Statut</t>
        </is>
      </c>
      <c r="H76" s="95" t="inlineStr">
        <is>
          <t>Ce qui est comparé</t>
        </is>
      </c>
      <c r="I76" s="86" t="n"/>
      <c r="J76" s="86" t="n"/>
      <c r="K76" s="86" t="n"/>
      <c r="L76" s="86" t="n"/>
    </row>
    <row r="77">
      <c r="A77" s="86" t="n"/>
      <c r="B77" s="106" t="inlineStr">
        <is>
          <t>Budget d'acquisition : dépense CRM 2026 = compte 6231</t>
        </is>
      </c>
      <c r="C77" s="145" t="n"/>
      <c r="D77" s="112">
        <f>'Le moteur'!I39</f>
        <v/>
      </c>
      <c r="E77" s="112">
        <f>'Budget 2027'!D83</f>
        <v/>
      </c>
      <c r="F77" s="112">
        <f>D77-E77</f>
        <v/>
      </c>
      <c r="G77" s="159">
        <f>IF(ABS(F77)&lt;1,"OK","À VÉRIFIER")</f>
        <v/>
      </c>
      <c r="H77" s="181" t="inlineStr">
        <is>
          <t>socle CRM contre comptabilité</t>
        </is>
      </c>
      <c r="I77" s="86" t="n"/>
      <c r="J77" s="86" t="n"/>
      <c r="K77" s="86" t="n"/>
      <c r="L77" s="86" t="n"/>
    </row>
    <row r="78">
      <c r="A78" s="86" t="n"/>
      <c r="B78" s="106" t="inlineStr">
        <is>
          <t>Consommables : comptes 604 + 6063 = COUT_CONSO_N</t>
        </is>
      </c>
      <c r="C78" s="145" t="n"/>
      <c r="D78" s="112">
        <f>'Budget 2027'!D68+'Budget 2027'!D69</f>
        <v/>
      </c>
      <c r="E78" s="112">
        <f>'Le moteur'!Y39</f>
        <v/>
      </c>
      <c r="F78" s="112">
        <f>D78-E78</f>
        <v/>
      </c>
      <c r="G78" s="159">
        <f>IF(ABS(F78)&lt;1,"OK","À VÉRIFIER")</f>
        <v/>
      </c>
      <c r="H78" s="181" t="inlineStr">
        <is>
          <t>comptes contre agrégat de la vue</t>
        </is>
      </c>
      <c r="I78" s="86" t="n"/>
      <c r="J78" s="86" t="n"/>
      <c r="K78" s="86" t="n"/>
      <c r="L78" s="86" t="n"/>
    </row>
    <row r="79">
      <c r="A79" s="86" t="n"/>
      <c r="B79" s="106" t="inlineStr">
        <is>
          <t>Vacataires : compte 621 = COUT_VACAT_N</t>
        </is>
      </c>
      <c r="C79" s="145" t="n"/>
      <c r="D79" s="112">
        <f>'Budget 2027'!D70</f>
        <v/>
      </c>
      <c r="E79" s="112">
        <f>'Le moteur'!Z39</f>
        <v/>
      </c>
      <c r="F79" s="112">
        <f>D79-E79</f>
        <v/>
      </c>
      <c r="G79" s="159">
        <f>IF(ABS(F79)&lt;1,"OK","À VÉRIFIER")</f>
        <v/>
      </c>
      <c r="H79" s="181" t="inlineStr">
        <is>
          <t>comptes contre agrégat de la vue</t>
        </is>
      </c>
      <c r="I79" s="86" t="n"/>
      <c r="J79" s="86" t="n"/>
      <c r="K79" s="86" t="n"/>
      <c r="L79" s="86" t="n"/>
    </row>
    <row r="80">
      <c r="B80" s="106" t="inlineStr">
        <is>
          <t>Permanents : compte 6411 = COUT_PERM_N</t>
        </is>
      </c>
      <c r="C80" s="145" t="n"/>
      <c r="D80" s="112">
        <f>'Budget 2027'!D72</f>
        <v/>
      </c>
      <c r="E80" s="112">
        <f>'Le moteur'!AA39</f>
        <v/>
      </c>
      <c r="F80" s="112">
        <f>D80-E80</f>
        <v/>
      </c>
      <c r="G80" s="159">
        <f>IF(ABS(F80)&lt;1,"OK","À VÉRIFIER")</f>
        <v/>
      </c>
      <c r="H80" s="181" t="inlineStr">
        <is>
          <t>comptes contre agrégat de la vue</t>
        </is>
      </c>
    </row>
    <row r="81">
      <c r="B81" s="106" t="inlineStr">
        <is>
          <t>Effectifs : grain programme = grain campus</t>
        </is>
      </c>
      <c r="C81" s="145" t="n"/>
      <c r="D81" s="104">
        <f>'Le coût variable'!C26</f>
        <v/>
      </c>
      <c r="E81" s="104">
        <f>'Le moteur'!U39</f>
        <v/>
      </c>
      <c r="F81" s="104">
        <f>D81-E81</f>
        <v/>
      </c>
      <c r="G81" s="159">
        <f>IF(ABS(F81)&lt;1,"OK","À VÉRIFIER")</f>
        <v/>
      </c>
      <c r="H81" s="181" t="inlineStr">
        <is>
          <t>cycle × modalité contre campus</t>
        </is>
      </c>
    </row>
    <row r="82">
      <c r="B82" s="106" t="inlineStr">
        <is>
          <t>Allocation : consommables alloués aux programmes = total réseau</t>
        </is>
      </c>
      <c r="C82" s="145" t="n"/>
      <c r="D82" s="112">
        <f>SUMPRODUCT('Le coût variable'!C22:C25,'Le coût variable'!G22:G25)</f>
        <v/>
      </c>
      <c r="E82" s="112">
        <f>'Le moteur'!Y39</f>
        <v/>
      </c>
      <c r="F82" s="112">
        <f>D82-E82</f>
        <v/>
      </c>
      <c r="G82" s="159">
        <f>IF(ABS(F82)&lt;1,"OK","À VÉRIFIER")</f>
        <v/>
      </c>
      <c r="H82" s="181" t="inlineStr">
        <is>
          <t>la clé EFFECTIFS ne perd rien</t>
        </is>
      </c>
    </row>
    <row r="83">
      <c r="B83" s="106" t="inlineStr">
        <is>
          <t>EBITDA gagné : CA gagné − Δ budget − coût de service</t>
        </is>
      </c>
      <c r="C83" s="145" t="n"/>
      <c r="D83" s="112">
        <f>'Le moteur'!J61-'Le moteur'!H61-'Le moteur'!I61*'Le moteur'!K61</f>
        <v/>
      </c>
      <c r="E83" s="112">
        <f>'Le moteur'!L61</f>
        <v/>
      </c>
      <c r="F83" s="112">
        <f>D83-E83</f>
        <v/>
      </c>
      <c r="G83" s="159">
        <f>IF(ABS(F83)&lt;1,"OK","À VÉRIFIER")</f>
        <v/>
      </c>
      <c r="H83" s="181" t="inlineStr">
        <is>
          <t>additivité de la ligne groupe</t>
        </is>
      </c>
    </row>
    <row r="84">
      <c r="B84" s="106" t="inlineStr">
        <is>
          <t>Régime du coût marginal : inscrits gagnés ≤ places libres</t>
        </is>
      </c>
      <c r="C84" s="145" t="n"/>
      <c r="D84" s="104">
        <f>'Le moteur'!I61</f>
        <v/>
      </c>
      <c r="E84" s="104">
        <f>'Le moteur'!G61</f>
        <v/>
      </c>
      <c r="F84" s="104">
        <f>E84-D84</f>
        <v/>
      </c>
      <c r="G84" s="159">
        <f>IF(F84&gt;0,"OK · marge","BASCULE")</f>
        <v/>
      </c>
      <c r="H84" s="181" t="inlineStr">
        <is>
          <t>si dépassé, une classe ouvre</t>
        </is>
      </c>
    </row>
    <row r="87" ht="18" customHeight="1">
      <c r="B87" s="200" t="inlineStr">
        <is>
          <t>Ce qu'il reste à faire côté Tagetik</t>
        </is>
      </c>
      <c r="C87" s="155" t="n"/>
      <c r="D87" s="155" t="n"/>
      <c r="E87" s="155" t="n"/>
      <c r="F87" s="155" t="n"/>
      <c r="G87" s="155" t="n"/>
      <c r="H87" s="155" t="n"/>
      <c r="I87" s="155" t="n"/>
      <c r="J87" s="155" t="n"/>
      <c r="K87" s="155" t="n"/>
      <c r="L87" s="155" t="n"/>
    </row>
    <row r="88">
      <c r="B88" s="157" t="inlineStr">
        <is>
          <t>① rejouer V_MOTEUR_CAL : elle porte maintenant le levier marque (LEAD_ORG, SPEND_MRQ, ELASTICITE_ORG), les heures et les permanents.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</row>
  </sheetData>
  <conditionalFormatting sqref="G77:G84">
    <cfRule type="expression" priority="1" dxfId="2">
      <formula>ISNUMBER(SEARCH("OK",$G77))</formula>
    </cfRule>
    <cfRule type="expression" priority="2" dxfId="3">
      <formula>NOT(ISNUMBER(SEARCH("OK",$G77)))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2026-09-09T06:42:57Z</dcterms:created>
  <dcterms:modified xsi:type="dcterms:W3CDTF">2026-09-09T06:42:58Z</dcterms:modified>
</cp:coreProperties>
</file>