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1_Cadrage" sheetId="2" state="visible" r:id="rId2"/>
    <sheet name="02_Base" sheetId="3" state="visible" r:id="rId3"/>
    <sheet name="03_Campagnes" sheetId="4" state="visible" r:id="rId4"/>
    <sheet name="04_Moteu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&quot; €&quot;;(#,##0)&quot; €&quot;;&quot;-&quot;"/>
    <numFmt numFmtId="165" formatCode="0.0%;(0.0%);&quot;-&quot;"/>
    <numFmt numFmtId="166" formatCode="#,##0;(#,##0);&quot;-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8000"/>
    </font>
    <font>
      <name val="Arial"/>
      <b val="1"/>
      <color rgb="00000000"/>
    </font>
    <font>
      <name val="Arial"/>
      <color rgb="00000000"/>
    </font>
    <font>
      <name val="Arial"/>
      <color rgb="000000FF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4" fontId="7" fillId="0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 wrapText="1"/>
    </xf>
    <xf numFmtId="2" fontId="10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4" fontId="8" fillId="4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 wrapText="1"/>
    </xf>
    <xf numFmtId="2" fontId="8" fillId="3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9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left" vertical="center"/>
    </xf>
    <xf numFmtId="0" fontId="0" fillId="6" borderId="1" pivotButton="0" quotePrefix="0" xfId="0"/>
    <xf numFmtId="166" fontId="8" fillId="6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80" customWidth="1" min="3" max="3"/>
  </cols>
  <sheetData>
    <row r="2" ht="30" customHeight="1">
      <c r="B2" s="1" t="inlineStr">
        <is>
          <t>EDUSERVICES — Modèle de CA (v3, budget-driven, leads observés)</t>
        </is>
      </c>
    </row>
    <row r="3">
      <c r="B3" s="2" t="inlineStr">
        <is>
          <t>Budget marketing → leads (CRM, socle organique + payant) → funnel mesuré → inscrits → CA. Revenu et taux différenciés alternance / initial.</t>
        </is>
      </c>
    </row>
    <row r="5" ht="20" customHeight="1">
      <c r="B5" s="3" t="inlineStr">
        <is>
          <t>Les feuilles (périmètre : CA uniquement)</t>
        </is>
      </c>
      <c r="C5" s="4" t="n"/>
    </row>
    <row r="6" ht="46" customHeight="1">
      <c r="B6" s="5" t="inlineStr">
        <is>
          <t>01_Cadrage</t>
        </is>
      </c>
      <c r="C6" s="6" t="inlineStr">
        <is>
          <t>POSTE DE COMMANDE CFO : objectif CA, scénarios, leviers (budget marketing, prix, conversion, passage), coefficients prix par marque×ville.</t>
        </is>
      </c>
    </row>
    <row r="7" ht="46" customHeight="1">
      <c r="B7" s="5" t="inlineStr">
        <is>
          <t>02_Base</t>
        </is>
      </c>
      <c r="C7" s="6" t="inlineStr">
        <is>
          <t>BASE DE RÉFÉRENCE (version unique) : fusion historique + paramètres. LEADS OBSERVÉS (CRM) et taux de funnel MESURÉS (lead→cand, cand→admis, admis→inscrit), différenciés par modalité.</t>
        </is>
      </c>
    </row>
    <row r="8" ht="46" customHeight="1">
      <c r="B8" s="5" t="inlineStr">
        <is>
          <t>03_Campagnes</t>
        </is>
      </c>
      <c r="C8" s="6" t="inlineStr">
        <is>
          <t>MOTEUR D'ACQUISITION (campus) : leads = socle ORGANIQUE (fixe) + part PAYANTE (budget ÷ CPL, rendement décroissant ^r). Couper le budget ne met pas les leads à zéro.</t>
        </is>
      </c>
    </row>
    <row r="9" ht="46" customHeight="1">
      <c r="B9" s="5" t="inlineStr">
        <is>
          <t>04_Moteur</t>
        </is>
      </c>
      <c r="C9" s="6" t="inlineStr">
        <is>
          <t>MOTEUR DE CA (cellule) : répartition des leads (mix réel) → funnel mesuré → effectif (+cohorte) → CA.</t>
        </is>
      </c>
    </row>
    <row r="11" ht="20" customHeight="1">
      <c r="B11" s="3" t="inlineStr">
        <is>
          <t>Principe d'ancrage</t>
        </is>
      </c>
      <c r="C11" s="4" t="n"/>
    </row>
    <row r="12" ht="46" customHeight="1">
      <c r="B12" s="7" t="inlineStr">
        <is>
          <t>Au budget de référence, tous leviers à 0, le moteur reproduit l'historique. Les taux ne sont pas supposés : ils sont mesurés depuis les leads observés. Seul l'écart au budget de référence fait varier les volumes (part payante × courbe ^r).</t>
        </is>
      </c>
    </row>
  </sheetData>
  <mergeCells count="5">
    <mergeCell ref="B2:C2"/>
    <mergeCell ref="B11:C11"/>
    <mergeCell ref="B3:C3"/>
    <mergeCell ref="B5:C5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8" customWidth="1" min="3" max="3"/>
    <col width="13" customWidth="1" min="4" max="4"/>
    <col width="12" customWidth="1" min="5" max="5"/>
    <col width="12" customWidth="1" min="6" max="6"/>
    <col width="12" customWidth="1" min="7" max="7"/>
    <col width="13" customWidth="1" min="8" max="8"/>
    <col width="2" customWidth="1" min="9" max="9"/>
    <col width="16" customWidth="1" min="10" max="10"/>
    <col width="11" customWidth="1" min="11" max="11"/>
    <col width="11" customWidth="1" min="12" max="12"/>
    <col width="16" customWidth="1" min="13" max="13"/>
  </cols>
  <sheetData>
    <row r="1" ht="28" customHeight="1">
      <c r="B1" s="1" t="inlineStr">
        <is>
          <t>POSTE DE COMMANDE CFO — Cadrage du chiffre d'affaires</t>
        </is>
      </c>
    </row>
    <row r="3">
      <c r="B3" s="8" t="inlineStr">
        <is>
          <t>Scénario actif :</t>
        </is>
      </c>
      <c r="D3" s="9" t="inlineStr">
        <is>
          <t>Cadrage</t>
        </is>
      </c>
    </row>
    <row r="5" ht="20" customHeight="1">
      <c r="B5" s="3" t="inlineStr">
        <is>
          <t>① Cadrage top-down du CA — référence · budget construit · objectif · écart</t>
        </is>
      </c>
      <c r="C5" s="4" t="n"/>
      <c r="D5" s="4" t="n"/>
      <c r="E5" s="4" t="n"/>
      <c r="F5" s="4" t="n"/>
      <c r="G5" s="4" t="n"/>
      <c r="J5" s="3" t="inlineStr">
        <is>
          <t>Coefficients prix (marque × ville)</t>
        </is>
      </c>
      <c r="K5" s="4" t="n"/>
      <c r="L5" s="4" t="n"/>
      <c r="M5" s="4" t="n"/>
    </row>
    <row r="6">
      <c r="B6" s="10" t="inlineStr">
        <is>
          <t>Indicateur</t>
        </is>
      </c>
      <c r="C6" s="10" t="inlineStr">
        <is>
          <t>Référence</t>
        </is>
      </c>
      <c r="D6" s="10" t="inlineStr">
        <is>
          <t>Budget construit</t>
        </is>
      </c>
      <c r="E6" s="10" t="inlineStr">
        <is>
          <t>🟡 Objectif</t>
        </is>
      </c>
      <c r="F6" s="10" t="inlineStr">
        <is>
          <t>Écart</t>
        </is>
      </c>
      <c r="G6" s="10" t="inlineStr">
        <is>
          <t>Écart %</t>
        </is>
      </c>
      <c r="J6" s="10" t="inlineStr">
        <is>
          <t>Marque</t>
        </is>
      </c>
      <c r="K6" s="10" t="inlineStr">
        <is>
          <t>Ville</t>
        </is>
      </c>
      <c r="L6" s="10" t="inlineStr">
        <is>
          <t>Coeff prix</t>
        </is>
      </c>
      <c r="M6" s="10" t="inlineStr">
        <is>
          <t>clé</t>
        </is>
      </c>
    </row>
    <row r="7">
      <c r="B7" s="11" t="inlineStr">
        <is>
          <t>Chiffre d'affaires</t>
        </is>
      </c>
      <c r="C7" s="12" t="n">
        <v>21936350</v>
      </c>
      <c r="D7" s="13">
        <f>'04_Moteur'!$AA$62</f>
        <v/>
      </c>
      <c r="E7" s="14" t="n">
        <v>23252531</v>
      </c>
      <c r="F7" s="15">
        <f>D7-E7</f>
        <v/>
      </c>
      <c r="G7" s="16">
        <f>IFERROR(F7/E7,0)</f>
        <v/>
      </c>
      <c r="J7" s="17" t="inlineStr">
        <is>
          <t>MBway</t>
        </is>
      </c>
      <c r="K7" s="18" t="inlineStr">
        <is>
          <t>Paris</t>
        </is>
      </c>
      <c r="L7" s="19" t="n">
        <v>1.15</v>
      </c>
      <c r="M7" s="20">
        <f>J7&amp;"|"&amp;K7</f>
        <v/>
      </c>
    </row>
    <row r="8">
      <c r="B8" s="11" t="inlineStr">
        <is>
          <t>Effectif total</t>
        </is>
      </c>
      <c r="C8" s="21" t="n">
        <v>2952</v>
      </c>
      <c r="D8" s="22">
        <f>'04_Moteur'!$Y$62</f>
        <v/>
      </c>
      <c r="E8" s="23" t="n">
        <v>3070</v>
      </c>
      <c r="F8" s="24">
        <f>D8-E8</f>
        <v/>
      </c>
      <c r="G8" s="16">
        <f>IFERROR(F8/E8,0)</f>
        <v/>
      </c>
      <c r="J8" s="17" t="inlineStr">
        <is>
          <t>MBway</t>
        </is>
      </c>
      <c r="K8" s="18" t="inlineStr">
        <is>
          <t>Lyon</t>
        </is>
      </c>
      <c r="L8" s="19" t="n">
        <v>1.05</v>
      </c>
      <c r="M8" s="20">
        <f>J8&amp;"|"&amp;K8</f>
        <v/>
      </c>
    </row>
    <row r="9">
      <c r="J9" s="17" t="inlineStr">
        <is>
          <t>MBway</t>
        </is>
      </c>
      <c r="K9" s="18" t="inlineStr">
        <is>
          <t>Nantes</t>
        </is>
      </c>
      <c r="L9" s="19" t="n">
        <v>1</v>
      </c>
      <c r="M9" s="20">
        <f>J9&amp;"|"&amp;K9</f>
        <v/>
      </c>
    </row>
    <row r="10">
      <c r="B10" s="8" t="inlineStr">
        <is>
          <t>RESTE À TROUVER (CA vs objectif) :</t>
        </is>
      </c>
      <c r="F10" s="25">
        <f>IF(E7-D7&gt;0,E7-D7,0)</f>
        <v/>
      </c>
      <c r="G10" s="26">
        <f>IF(E7-D7&gt;0,"à combler","atteint")</f>
        <v/>
      </c>
      <c r="J10" s="17" t="inlineStr">
        <is>
          <t>MBway</t>
        </is>
      </c>
      <c r="K10" s="18" t="inlineStr">
        <is>
          <t>Bordeaux</t>
        </is>
      </c>
      <c r="L10" s="19" t="n">
        <v>0.95</v>
      </c>
      <c r="M10" s="20">
        <f>J10&amp;"|"&amp;K10</f>
        <v/>
      </c>
    </row>
    <row r="11">
      <c r="J11" s="17" t="inlineStr">
        <is>
          <t>ISCOM</t>
        </is>
      </c>
      <c r="K11" s="18" t="inlineStr">
        <is>
          <t>Paris</t>
        </is>
      </c>
      <c r="L11" s="19" t="n">
        <v>1.15</v>
      </c>
      <c r="M11" s="20">
        <f>J11&amp;"|"&amp;K11</f>
        <v/>
      </c>
    </row>
    <row r="12" ht="20" customHeight="1">
      <c r="B12" s="3" t="inlineStr">
        <is>
          <t>② Leviers — bascule par scénario (colonne ACTIF)</t>
        </is>
      </c>
      <c r="C12" s="4" t="n"/>
      <c r="D12" s="4" t="n"/>
      <c r="E12" s="4" t="n"/>
      <c r="F12" s="4" t="n"/>
      <c r="G12" s="4" t="n"/>
      <c r="H12" s="4" t="n"/>
      <c r="J12" s="17" t="inlineStr">
        <is>
          <t>ISCOM</t>
        </is>
      </c>
      <c r="K12" s="18" t="inlineStr">
        <is>
          <t>Lille</t>
        </is>
      </c>
      <c r="L12" s="19" t="n">
        <v>1</v>
      </c>
      <c r="M12" s="20">
        <f>J12&amp;"|"&amp;K12</f>
        <v/>
      </c>
    </row>
    <row r="13">
      <c r="B13" s="10" t="inlineStr">
        <is>
          <t>Paramètre</t>
        </is>
      </c>
      <c r="C13" s="10" t="inlineStr">
        <is>
          <t>Unité</t>
        </is>
      </c>
      <c r="D13" s="10" t="inlineStr">
        <is>
          <t>Référence</t>
        </is>
      </c>
      <c r="E13" s="10" t="inlineStr">
        <is>
          <t>Cadrage</t>
        </is>
      </c>
      <c r="F13" s="10" t="inlineStr">
        <is>
          <t>Optimiste</t>
        </is>
      </c>
      <c r="G13" s="10" t="inlineStr">
        <is>
          <t>Prudent</t>
        </is>
      </c>
      <c r="H13" s="10" t="inlineStr">
        <is>
          <t>ACTIF</t>
        </is>
      </c>
      <c r="J13" s="17" t="inlineStr">
        <is>
          <t>ISCOM</t>
        </is>
      </c>
      <c r="K13" s="18" t="inlineStr">
        <is>
          <t>Toulouse</t>
        </is>
      </c>
      <c r="L13" s="19" t="n">
        <v>0.95</v>
      </c>
      <c r="M13" s="20">
        <f>J13&amp;"|"&amp;K13</f>
        <v/>
      </c>
    </row>
    <row r="14">
      <c r="B14" s="27" t="inlineStr">
        <is>
          <t>Variation du budget marketing (→ leads payants)</t>
        </is>
      </c>
      <c r="C14" s="28" t="inlineStr">
        <is>
          <t>%</t>
        </is>
      </c>
      <c r="D14" s="29" t="n">
        <v>0</v>
      </c>
      <c r="E14" s="30" t="n">
        <v>0.1</v>
      </c>
      <c r="F14" s="30" t="n">
        <v>0.2</v>
      </c>
      <c r="G14" s="30" t="n">
        <v>-0.05</v>
      </c>
      <c r="H14" s="31">
        <f>INDEX(D14:G14,MATCH($D$3,$D$13:$G$13,0))</f>
        <v/>
      </c>
      <c r="J14" s="17" t="inlineStr">
        <is>
          <t>Ipac Bachelor Factory</t>
        </is>
      </c>
      <c r="K14" s="18" t="inlineStr">
        <is>
          <t>Nantes</t>
        </is>
      </c>
      <c r="L14" s="19" t="n">
        <v>1</v>
      </c>
      <c r="M14" s="20">
        <f>J14&amp;"|"&amp;K14</f>
        <v/>
      </c>
    </row>
    <row r="15">
      <c r="B15" s="27" t="inlineStr">
        <is>
          <t>Hausse tarifaire (prix)</t>
        </is>
      </c>
      <c r="C15" s="28" t="inlineStr">
        <is>
          <t>%</t>
        </is>
      </c>
      <c r="D15" s="29" t="n">
        <v>0</v>
      </c>
      <c r="E15" s="30" t="n">
        <v>0.03</v>
      </c>
      <c r="F15" s="30" t="n">
        <v>0.04</v>
      </c>
      <c r="G15" s="30" t="n">
        <v>0.02</v>
      </c>
      <c r="H15" s="31">
        <f>INDEX(D15:G15,MATCH($D$3,$D$13:$G$13,0))</f>
        <v/>
      </c>
      <c r="J15" s="17" t="inlineStr">
        <is>
          <t>Ipac Bachelor Factory</t>
        </is>
      </c>
      <c r="K15" s="18" t="inlineStr">
        <is>
          <t>Rennes</t>
        </is>
      </c>
      <c r="L15" s="19" t="n">
        <v>0.9</v>
      </c>
      <c r="M15" s="20">
        <f>J15&amp;"|"&amp;K15</f>
        <v/>
      </c>
    </row>
    <row r="16">
      <c r="B16" s="27" t="inlineStr">
        <is>
          <t>Gain taux lead → candidature</t>
        </is>
      </c>
      <c r="C16" s="28" t="inlineStr">
        <is>
          <t>pts</t>
        </is>
      </c>
      <c r="D16" s="29" t="n">
        <v>0</v>
      </c>
      <c r="E16" s="30" t="n">
        <v>0.02</v>
      </c>
      <c r="F16" s="30" t="n">
        <v>0.04</v>
      </c>
      <c r="G16" s="30" t="n">
        <v>0</v>
      </c>
      <c r="H16" s="31">
        <f>INDEX(D16:G16,MATCH($D$3,$D$13:$G$13,0))</f>
        <v/>
      </c>
      <c r="J16" s="17" t="inlineStr">
        <is>
          <t>Ipac Bachelor Factory</t>
        </is>
      </c>
      <c r="K16" s="18" t="inlineStr">
        <is>
          <t>Montpellier</t>
        </is>
      </c>
      <c r="L16" s="19" t="n">
        <v>0.9</v>
      </c>
      <c r="M16" s="20">
        <f>J16&amp;"|"&amp;K16</f>
        <v/>
      </c>
    </row>
    <row r="17">
      <c r="B17" s="27" t="inlineStr">
        <is>
          <t>Gain conversion admis → inscrit</t>
        </is>
      </c>
      <c r="C17" s="28" t="inlineStr">
        <is>
          <t>pts</t>
        </is>
      </c>
      <c r="D17" s="29" t="n">
        <v>0</v>
      </c>
      <c r="E17" s="30" t="n">
        <v>0.015</v>
      </c>
      <c r="F17" s="30" t="n">
        <v>0.03</v>
      </c>
      <c r="G17" s="30" t="n">
        <v>0</v>
      </c>
      <c r="H17" s="31">
        <f>INDEX(D17:G17,MATCH($D$3,$D$13:$G$13,0))</f>
        <v/>
      </c>
      <c r="J17" s="17" t="inlineStr">
        <is>
          <t>Pigier</t>
        </is>
      </c>
      <c r="K17" s="18" t="inlineStr">
        <is>
          <t>Lyon</t>
        </is>
      </c>
      <c r="L17" s="19" t="n">
        <v>1.05</v>
      </c>
      <c r="M17" s="20">
        <f>J17&amp;"|"&amp;K17</f>
        <v/>
      </c>
    </row>
    <row r="18">
      <c r="B18" s="27" t="inlineStr">
        <is>
          <t>Amélioration du taux de passage</t>
        </is>
      </c>
      <c r="C18" s="28" t="inlineStr">
        <is>
          <t>pts</t>
        </is>
      </c>
      <c r="D18" s="29" t="n">
        <v>0</v>
      </c>
      <c r="E18" s="30" t="n">
        <v>0.01</v>
      </c>
      <c r="F18" s="30" t="n">
        <v>0.02</v>
      </c>
      <c r="G18" s="30" t="n">
        <v>-0.01</v>
      </c>
      <c r="H18" s="31">
        <f>INDEX(D18:G18,MATCH($D$3,$D$13:$G$13,0))</f>
        <v/>
      </c>
      <c r="J18" s="17" t="inlineStr">
        <is>
          <t>Pigier</t>
        </is>
      </c>
      <c r="K18" s="18" t="inlineStr">
        <is>
          <t>Bordeaux</t>
        </is>
      </c>
      <c r="L18" s="19" t="n">
        <v>0.95</v>
      </c>
      <c r="M18" s="20">
        <f>J18&amp;"|"&amp;K18</f>
        <v/>
      </c>
    </row>
    <row r="19">
      <c r="B19" s="32" t="inlineStr">
        <is>
          <t>Astuce : choisir « Référence » remet tous les leviers à 0 → le modèle reproduit l'atterrissage.</t>
        </is>
      </c>
      <c r="J19" s="17" t="inlineStr">
        <is>
          <t>Tunon</t>
        </is>
      </c>
      <c r="K19" s="18" t="inlineStr">
        <is>
          <t>Paris</t>
        </is>
      </c>
      <c r="L19" s="19" t="n">
        <v>1.15</v>
      </c>
      <c r="M19" s="20">
        <f>J19&amp;"|"&amp;K19</f>
        <v/>
      </c>
    </row>
    <row r="20" ht="20" customHeight="1">
      <c r="B20" s="3" t="inlineStr">
        <is>
          <t>③ Constantes de référence (scénarisables)</t>
        </is>
      </c>
      <c r="C20" s="4" t="n"/>
      <c r="D20" s="4" t="n"/>
      <c r="E20" s="4" t="n"/>
      <c r="F20" s="4" t="n"/>
      <c r="G20" s="4" t="n"/>
      <c r="H20" s="4" t="n"/>
      <c r="J20" s="17" t="inlineStr">
        <is>
          <t>Tunon</t>
        </is>
      </c>
      <c r="K20" s="18" t="inlineStr">
        <is>
          <t>Lyon</t>
        </is>
      </c>
      <c r="L20" s="19" t="n">
        <v>1.05</v>
      </c>
      <c r="M20" s="20">
        <f>J20&amp;"|"&amp;K20</f>
        <v/>
      </c>
    </row>
    <row r="21">
      <c r="B21" s="10" t="inlineStr">
        <is>
          <t>Paramètre</t>
        </is>
      </c>
      <c r="C21" s="10" t="inlineStr">
        <is>
          <t>Unité</t>
        </is>
      </c>
      <c r="D21" s="10" t="inlineStr">
        <is>
          <t>Référence</t>
        </is>
      </c>
      <c r="E21" s="10" t="inlineStr">
        <is>
          <t>Cadrage</t>
        </is>
      </c>
      <c r="F21" s="10" t="inlineStr">
        <is>
          <t>Optimiste</t>
        </is>
      </c>
      <c r="G21" s="10" t="inlineStr">
        <is>
          <t>Prudent</t>
        </is>
      </c>
      <c r="H21" s="10" t="inlineStr">
        <is>
          <t>ACTIF</t>
        </is>
      </c>
    </row>
    <row r="22">
      <c r="B22" s="27" t="inlineStr">
        <is>
          <t>Rendement d'acquisition (part payante)</t>
        </is>
      </c>
      <c r="C22" s="28" t="inlineStr">
        <is>
          <t>x</t>
        </is>
      </c>
      <c r="D22" s="33" t="n">
        <v>0.5</v>
      </c>
      <c r="E22" s="19" t="n">
        <v>0.5</v>
      </c>
      <c r="F22" s="19" t="n">
        <v>0.5</v>
      </c>
      <c r="G22" s="19" t="n">
        <v>0.5</v>
      </c>
      <c r="H22" s="34">
        <f>INDEX(D22:G22,MATCH($D$3,$D$13:$G$13,0))</f>
        <v/>
      </c>
    </row>
    <row r="23">
      <c r="B23" s="27" t="inlineStr">
        <is>
          <t>Part organique des leads (hors budget)</t>
        </is>
      </c>
      <c r="C23" s="28" t="inlineStr">
        <is>
          <t>%</t>
        </is>
      </c>
      <c r="D23" s="29" t="n">
        <v>0.4</v>
      </c>
      <c r="E23" s="30" t="n">
        <v>0.4</v>
      </c>
      <c r="F23" s="30" t="n">
        <v>0.4</v>
      </c>
      <c r="G23" s="30" t="n">
        <v>0.4</v>
      </c>
      <c r="H23" s="31">
        <f>INDEX(D23:G23,MATCH($D$3,$D$13:$G$13,0))</f>
        <v/>
      </c>
    </row>
    <row r="24">
      <c r="B24" s="27" t="inlineStr">
        <is>
          <t>Frais de dossier / nouvel inscrit</t>
        </is>
      </c>
      <c r="C24" s="28" t="inlineStr">
        <is>
          <t>€</t>
        </is>
      </c>
      <c r="D24" s="35" t="n">
        <v>90</v>
      </c>
      <c r="E24" s="36" t="n">
        <v>90</v>
      </c>
      <c r="F24" s="36" t="n">
        <v>90</v>
      </c>
      <c r="G24" s="36" t="n">
        <v>90</v>
      </c>
      <c r="H24" s="37">
        <f>INDEX(D24:G24,MATCH($D$3,$D$13:$G$13,0))</f>
        <v/>
      </c>
    </row>
  </sheetData>
  <mergeCells count="7">
    <mergeCell ref="J5:M5"/>
    <mergeCell ref="B1:H1"/>
    <mergeCell ref="B5:G5"/>
    <mergeCell ref="B12:H12"/>
    <mergeCell ref="B10:E10"/>
    <mergeCell ref="B19:H19"/>
    <mergeCell ref="B20:H20"/>
  </mergeCells>
  <dataValidations count="1">
    <dataValidation sqref="D3" showDropDown="0" showInputMessage="0" showErrorMessage="0" allowBlank="0" type="list">
      <formula1>"Référence,Cadrage,Optimiste,Prudent"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6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20" customWidth="1" min="3" max="3"/>
    <col width="6" customWidth="1" min="4" max="4"/>
    <col width="6" customWidth="1" min="5" max="5"/>
    <col width="7" customWidth="1" min="6" max="6"/>
    <col width="7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1" customWidth="1" min="14" max="14"/>
    <col width="9" customWidth="1" min="15" max="15"/>
    <col width="12" customWidth="1" min="16" max="16"/>
    <col width="10" customWidth="1" min="17" max="17"/>
    <col width="11" customWidth="1" min="18" max="18"/>
    <col width="11" customWidth="1" min="19" max="19"/>
    <col width="12" customWidth="1" min="20" max="20"/>
  </cols>
  <sheetData>
    <row r="1" ht="22" customHeight="1">
      <c r="A1" s="1" t="inlineStr">
        <is>
          <t>BASE DE RÉFÉRENCE — version unique · fusion historique + paramètres · leads observés (CRM) &amp; taux mesurés</t>
        </is>
      </c>
    </row>
    <row r="2" ht="16" customHeight="1">
      <c r="A2" s="7" t="inlineStr">
        <is>
          <t>Une ligne = marque × ville × programme × année × modalité. Leads = donnée observée (CRM). Taux = mesurés (aval÷amont). Revenu différencié alternance (OPCO) / initial (étudiant).</t>
        </is>
      </c>
    </row>
    <row r="3" ht="30" customHeight="1">
      <c r="A3" s="10" t="inlineStr">
        <is>
          <t>Marque</t>
        </is>
      </c>
      <c r="B3" s="10" t="inlineStr">
        <is>
          <t>Ville</t>
        </is>
      </c>
      <c r="C3" s="10" t="inlineStr">
        <is>
          <t>Programme</t>
        </is>
      </c>
      <c r="D3" s="10" t="inlineStr">
        <is>
          <t>Cycle</t>
        </is>
      </c>
      <c r="E3" s="10" t="inlineStr">
        <is>
          <t>Année</t>
        </is>
      </c>
      <c r="F3" s="10" t="inlineStr">
        <is>
          <t>Modalité</t>
        </is>
      </c>
      <c r="G3" s="10" t="inlineStr">
        <is>
          <t>Entrée</t>
        </is>
      </c>
      <c r="H3" s="10" t="inlineStr">
        <is>
          <t>Leads hist</t>
        </is>
      </c>
      <c r="I3" s="10" t="inlineStr">
        <is>
          <t>Cand hist</t>
        </is>
      </c>
      <c r="J3" s="10" t="inlineStr">
        <is>
          <t>Admis hist</t>
        </is>
      </c>
      <c r="K3" s="10" t="inlineStr">
        <is>
          <t>Nouv hist</t>
        </is>
      </c>
      <c r="L3" s="10" t="inlineStr">
        <is>
          <t>Réins hist</t>
        </is>
      </c>
      <c r="M3" s="10" t="inlineStr">
        <is>
          <t>Effectif hist</t>
        </is>
      </c>
      <c r="N3" s="10" t="inlineStr">
        <is>
          <t>Eff. année inf.</t>
        </is>
      </c>
      <c r="O3" s="10" t="inlineStr">
        <is>
          <t>Classes hist</t>
        </is>
      </c>
      <c r="P3" s="10" t="inlineStr">
        <is>
          <t>Revenu/étudiant</t>
        </is>
      </c>
      <c r="Q3" s="10" t="inlineStr">
        <is>
          <t>Taux passage</t>
        </is>
      </c>
      <c r="R3" s="10" t="inlineStr">
        <is>
          <t>Taux lead→cand</t>
        </is>
      </c>
      <c r="S3" s="10" t="inlineStr">
        <is>
          <t>Taux cand→admis</t>
        </is>
      </c>
      <c r="T3" s="10" t="inlineStr">
        <is>
          <t>Yield admis→inscrit</t>
        </is>
      </c>
    </row>
    <row r="4">
      <c r="A4" s="17" t="inlineStr">
        <is>
          <t>MBway</t>
        </is>
      </c>
      <c r="B4" s="17" t="inlineStr">
        <is>
          <t>Paris</t>
        </is>
      </c>
      <c r="C4" s="17" t="inlineStr">
        <is>
          <t>Bachelor Management</t>
        </is>
      </c>
      <c r="D4" s="17" t="inlineStr">
        <is>
          <t>BAC</t>
        </is>
      </c>
      <c r="E4" s="17" t="inlineStr">
        <is>
          <t>B1</t>
        </is>
      </c>
      <c r="F4" s="17" t="inlineStr">
        <is>
          <t>Initial</t>
        </is>
      </c>
      <c r="G4" s="38" t="n">
        <v>1</v>
      </c>
      <c r="H4" s="38" t="n">
        <v>646</v>
      </c>
      <c r="I4" s="38" t="n">
        <v>181</v>
      </c>
      <c r="J4" s="38" t="n">
        <v>130</v>
      </c>
      <c r="K4" s="38" t="n">
        <v>78</v>
      </c>
      <c r="L4" s="38" t="n">
        <v>0</v>
      </c>
      <c r="M4" s="38" t="n">
        <v>78</v>
      </c>
      <c r="N4" s="38" t="n">
        <v>0</v>
      </c>
      <c r="O4" s="38" t="n">
        <v>3</v>
      </c>
      <c r="P4" s="39" t="n">
        <v>8400</v>
      </c>
      <c r="Q4" s="40" t="n">
        <v>0</v>
      </c>
      <c r="R4" s="40" t="n">
        <v>0.2802</v>
      </c>
      <c r="S4" s="40" t="n">
        <v>0.7181999999999999</v>
      </c>
      <c r="T4" s="40" t="n">
        <v>0.6</v>
      </c>
    </row>
    <row r="5">
      <c r="A5" s="17" t="inlineStr">
        <is>
          <t>MBway</t>
        </is>
      </c>
      <c r="B5" s="17" t="inlineStr">
        <is>
          <t>Paris</t>
        </is>
      </c>
      <c r="C5" s="17" t="inlineStr">
        <is>
          <t>Bachelor Management</t>
        </is>
      </c>
      <c r="D5" s="17" t="inlineStr">
        <is>
          <t>BAC</t>
        </is>
      </c>
      <c r="E5" s="17" t="inlineStr">
        <is>
          <t>B2</t>
        </is>
      </c>
      <c r="F5" s="17" t="inlineStr">
        <is>
          <t>Alternance</t>
        </is>
      </c>
      <c r="G5" s="38" t="n">
        <v>0</v>
      </c>
      <c r="H5" s="38" t="n">
        <v>0</v>
      </c>
      <c r="I5" s="38" t="n">
        <v>0</v>
      </c>
      <c r="J5" s="38" t="n">
        <v>0</v>
      </c>
      <c r="K5" s="38" t="n">
        <v>0</v>
      </c>
      <c r="L5" s="38" t="n">
        <v>73</v>
      </c>
      <c r="M5" s="38" t="n">
        <v>73</v>
      </c>
      <c r="N5" s="38" t="n">
        <v>78</v>
      </c>
      <c r="O5" s="38" t="n">
        <v>3</v>
      </c>
      <c r="P5" s="39" t="n">
        <v>7840</v>
      </c>
      <c r="Q5" s="40" t="n">
        <v>0.93</v>
      </c>
      <c r="R5" s="40" t="n">
        <v>0</v>
      </c>
      <c r="S5" s="40" t="n">
        <v>0</v>
      </c>
      <c r="T5" s="40" t="n">
        <v>0</v>
      </c>
    </row>
    <row r="6">
      <c r="A6" s="17" t="inlineStr">
        <is>
          <t>MBway</t>
        </is>
      </c>
      <c r="B6" s="17" t="inlineStr">
        <is>
          <t>Paris</t>
        </is>
      </c>
      <c r="C6" s="17" t="inlineStr">
        <is>
          <t>Bachelor Management</t>
        </is>
      </c>
      <c r="D6" s="17" t="inlineStr">
        <is>
          <t>BAC</t>
        </is>
      </c>
      <c r="E6" s="17" t="inlineStr">
        <is>
          <t>B3</t>
        </is>
      </c>
      <c r="F6" s="17" t="inlineStr">
        <is>
          <t>Alternance</t>
        </is>
      </c>
      <c r="G6" s="38" t="n">
        <v>0</v>
      </c>
      <c r="H6" s="38" t="n">
        <v>0</v>
      </c>
      <c r="I6" s="38" t="n">
        <v>0</v>
      </c>
      <c r="J6" s="38" t="n">
        <v>0</v>
      </c>
      <c r="K6" s="38" t="n">
        <v>0</v>
      </c>
      <c r="L6" s="38" t="n">
        <v>69</v>
      </c>
      <c r="M6" s="38" t="n">
        <v>69</v>
      </c>
      <c r="N6" s="38" t="n">
        <v>73</v>
      </c>
      <c r="O6" s="38" t="n">
        <v>3</v>
      </c>
      <c r="P6" s="39" t="n">
        <v>7840</v>
      </c>
      <c r="Q6" s="40" t="n">
        <v>0.95</v>
      </c>
      <c r="R6" s="40" t="n">
        <v>0</v>
      </c>
      <c r="S6" s="40" t="n">
        <v>0</v>
      </c>
      <c r="T6" s="40" t="n">
        <v>0</v>
      </c>
    </row>
    <row r="7">
      <c r="A7" s="17" t="inlineStr">
        <is>
          <t>MBway</t>
        </is>
      </c>
      <c r="B7" s="17" t="inlineStr">
        <is>
          <t>Paris</t>
        </is>
      </c>
      <c r="C7" s="17" t="inlineStr">
        <is>
          <t>Mastère Management</t>
        </is>
      </c>
      <c r="D7" s="17" t="inlineStr">
        <is>
          <t>MAST</t>
        </is>
      </c>
      <c r="E7" s="17" t="inlineStr">
        <is>
          <t>M1</t>
        </is>
      </c>
      <c r="F7" s="17" t="inlineStr">
        <is>
          <t>Alternance</t>
        </is>
      </c>
      <c r="G7" s="38" t="n">
        <v>1</v>
      </c>
      <c r="H7" s="38" t="n">
        <v>1330</v>
      </c>
      <c r="I7" s="38" t="n">
        <v>266</v>
      </c>
      <c r="J7" s="38" t="n">
        <v>186</v>
      </c>
      <c r="K7" s="38" t="n">
        <v>78</v>
      </c>
      <c r="L7" s="38" t="n">
        <v>0</v>
      </c>
      <c r="M7" s="38" t="n">
        <v>78</v>
      </c>
      <c r="N7" s="38" t="n">
        <v>0</v>
      </c>
      <c r="O7" s="38" t="n">
        <v>3</v>
      </c>
      <c r="P7" s="39" t="n">
        <v>8400</v>
      </c>
      <c r="Q7" s="40" t="n">
        <v>0</v>
      </c>
      <c r="R7" s="40" t="n">
        <v>0.2</v>
      </c>
      <c r="S7" s="40" t="n">
        <v>0.6992</v>
      </c>
      <c r="T7" s="40" t="n">
        <v>0.4194</v>
      </c>
    </row>
    <row r="8">
      <c r="A8" s="17" t="inlineStr">
        <is>
          <t>MBway</t>
        </is>
      </c>
      <c r="B8" s="17" t="inlineStr">
        <is>
          <t>Paris</t>
        </is>
      </c>
      <c r="C8" s="17" t="inlineStr">
        <is>
          <t>Mastère Management</t>
        </is>
      </c>
      <c r="D8" s="17" t="inlineStr">
        <is>
          <t>MAST</t>
        </is>
      </c>
      <c r="E8" s="17" t="inlineStr">
        <is>
          <t>M2</t>
        </is>
      </c>
      <c r="F8" s="17" t="inlineStr">
        <is>
          <t>Alternance</t>
        </is>
      </c>
      <c r="G8" s="38" t="n">
        <v>0</v>
      </c>
      <c r="H8" s="38" t="n">
        <v>0</v>
      </c>
      <c r="I8" s="38" t="n">
        <v>0</v>
      </c>
      <c r="J8" s="38" t="n">
        <v>0</v>
      </c>
      <c r="K8" s="38" t="n">
        <v>0</v>
      </c>
      <c r="L8" s="38" t="n">
        <v>75</v>
      </c>
      <c r="M8" s="38" t="n">
        <v>75</v>
      </c>
      <c r="N8" s="38" t="n">
        <v>78</v>
      </c>
      <c r="O8" s="38" t="n">
        <v>3</v>
      </c>
      <c r="P8" s="39" t="n">
        <v>8400</v>
      </c>
      <c r="Q8" s="40" t="n">
        <v>0.96</v>
      </c>
      <c r="R8" s="40" t="n">
        <v>0</v>
      </c>
      <c r="S8" s="40" t="n">
        <v>0</v>
      </c>
      <c r="T8" s="40" t="n">
        <v>0</v>
      </c>
    </row>
    <row r="9">
      <c r="A9" s="17" t="inlineStr">
        <is>
          <t>MBway</t>
        </is>
      </c>
      <c r="B9" s="17" t="inlineStr">
        <is>
          <t>Lyon</t>
        </is>
      </c>
      <c r="C9" s="17" t="inlineStr">
        <is>
          <t>Bachelor Management</t>
        </is>
      </c>
      <c r="D9" s="17" t="inlineStr">
        <is>
          <t>BAC</t>
        </is>
      </c>
      <c r="E9" s="17" t="inlineStr">
        <is>
          <t>B1</t>
        </is>
      </c>
      <c r="F9" s="17" t="inlineStr">
        <is>
          <t>Initial</t>
        </is>
      </c>
      <c r="G9" s="38" t="n">
        <v>1</v>
      </c>
      <c r="H9" s="38" t="n">
        <v>546</v>
      </c>
      <c r="I9" s="38" t="n">
        <v>153</v>
      </c>
      <c r="J9" s="38" t="n">
        <v>110</v>
      </c>
      <c r="K9" s="38" t="n">
        <v>66</v>
      </c>
      <c r="L9" s="38" t="n">
        <v>0</v>
      </c>
      <c r="M9" s="38" t="n">
        <v>66</v>
      </c>
      <c r="N9" s="38" t="n">
        <v>0</v>
      </c>
      <c r="O9" s="38" t="n">
        <v>3</v>
      </c>
      <c r="P9" s="39" t="n">
        <v>7875</v>
      </c>
      <c r="Q9" s="40" t="n">
        <v>0</v>
      </c>
      <c r="R9" s="40" t="n">
        <v>0.2802</v>
      </c>
      <c r="S9" s="40" t="n">
        <v>0.719</v>
      </c>
      <c r="T9" s="40" t="n">
        <v>0.6</v>
      </c>
    </row>
    <row r="10">
      <c r="A10" s="17" t="inlineStr">
        <is>
          <t>MBway</t>
        </is>
      </c>
      <c r="B10" s="17" t="inlineStr">
        <is>
          <t>Lyon</t>
        </is>
      </c>
      <c r="C10" s="17" t="inlineStr">
        <is>
          <t>Bachelor Management</t>
        </is>
      </c>
      <c r="D10" s="17" t="inlineStr">
        <is>
          <t>BAC</t>
        </is>
      </c>
      <c r="E10" s="17" t="inlineStr">
        <is>
          <t>B2</t>
        </is>
      </c>
      <c r="F10" s="17" t="inlineStr">
        <is>
          <t>Alternance</t>
        </is>
      </c>
      <c r="G10" s="38" t="n">
        <v>0</v>
      </c>
      <c r="H10" s="38" t="n">
        <v>0</v>
      </c>
      <c r="I10" s="38" t="n">
        <v>0</v>
      </c>
      <c r="J10" s="38" t="n">
        <v>0</v>
      </c>
      <c r="K10" s="38" t="n">
        <v>0</v>
      </c>
      <c r="L10" s="38" t="n">
        <v>61</v>
      </c>
      <c r="M10" s="38" t="n">
        <v>61</v>
      </c>
      <c r="N10" s="38" t="n">
        <v>66</v>
      </c>
      <c r="O10" s="38" t="n">
        <v>2</v>
      </c>
      <c r="P10" s="39" t="n">
        <v>7350</v>
      </c>
      <c r="Q10" s="40" t="n">
        <v>0.93</v>
      </c>
      <c r="R10" s="40" t="n">
        <v>0</v>
      </c>
      <c r="S10" s="40" t="n">
        <v>0</v>
      </c>
      <c r="T10" s="40" t="n">
        <v>0</v>
      </c>
    </row>
    <row r="11">
      <c r="A11" s="17" t="inlineStr">
        <is>
          <t>MBway</t>
        </is>
      </c>
      <c r="B11" s="17" t="inlineStr">
        <is>
          <t>Lyon</t>
        </is>
      </c>
      <c r="C11" s="17" t="inlineStr">
        <is>
          <t>Bachelor Management</t>
        </is>
      </c>
      <c r="D11" s="17" t="inlineStr">
        <is>
          <t>BAC</t>
        </is>
      </c>
      <c r="E11" s="17" t="inlineStr">
        <is>
          <t>B3</t>
        </is>
      </c>
      <c r="F11" s="17" t="inlineStr">
        <is>
          <t>Alternance</t>
        </is>
      </c>
      <c r="G11" s="38" t="n">
        <v>0</v>
      </c>
      <c r="H11" s="38" t="n">
        <v>0</v>
      </c>
      <c r="I11" s="38" t="n">
        <v>0</v>
      </c>
      <c r="J11" s="38" t="n">
        <v>0</v>
      </c>
      <c r="K11" s="38" t="n">
        <v>0</v>
      </c>
      <c r="L11" s="38" t="n">
        <v>58</v>
      </c>
      <c r="M11" s="38" t="n">
        <v>58</v>
      </c>
      <c r="N11" s="38" t="n">
        <v>61</v>
      </c>
      <c r="O11" s="38" t="n">
        <v>2</v>
      </c>
      <c r="P11" s="39" t="n">
        <v>7350</v>
      </c>
      <c r="Q11" s="40" t="n">
        <v>0.95</v>
      </c>
      <c r="R11" s="40" t="n">
        <v>0</v>
      </c>
      <c r="S11" s="40" t="n">
        <v>0</v>
      </c>
      <c r="T11" s="40" t="n">
        <v>0</v>
      </c>
    </row>
    <row r="12">
      <c r="A12" s="17" t="inlineStr">
        <is>
          <t>MBway</t>
        </is>
      </c>
      <c r="B12" s="17" t="inlineStr">
        <is>
          <t>Lyon</t>
        </is>
      </c>
      <c r="C12" s="17" t="inlineStr">
        <is>
          <t>Mastère Management</t>
        </is>
      </c>
      <c r="D12" s="17" t="inlineStr">
        <is>
          <t>MAST</t>
        </is>
      </c>
      <c r="E12" s="17" t="inlineStr">
        <is>
          <t>M1</t>
        </is>
      </c>
      <c r="F12" s="17" t="inlineStr">
        <is>
          <t>Alternance</t>
        </is>
      </c>
      <c r="G12" s="38" t="n">
        <v>1</v>
      </c>
      <c r="H12" s="38" t="n">
        <v>1120</v>
      </c>
      <c r="I12" s="38" t="n">
        <v>224</v>
      </c>
      <c r="J12" s="38" t="n">
        <v>157</v>
      </c>
      <c r="K12" s="38" t="n">
        <v>66</v>
      </c>
      <c r="L12" s="38" t="n">
        <v>0</v>
      </c>
      <c r="M12" s="38" t="n">
        <v>66</v>
      </c>
      <c r="N12" s="38" t="n">
        <v>0</v>
      </c>
      <c r="O12" s="38" t="n">
        <v>3</v>
      </c>
      <c r="P12" s="39" t="n">
        <v>7875</v>
      </c>
      <c r="Q12" s="40" t="n">
        <v>0</v>
      </c>
      <c r="R12" s="40" t="n">
        <v>0.2</v>
      </c>
      <c r="S12" s="40" t="n">
        <v>0.7009</v>
      </c>
      <c r="T12" s="40" t="n">
        <v>0.4204</v>
      </c>
    </row>
    <row r="13">
      <c r="A13" s="17" t="inlineStr">
        <is>
          <t>MBway</t>
        </is>
      </c>
      <c r="B13" s="17" t="inlineStr">
        <is>
          <t>Lyon</t>
        </is>
      </c>
      <c r="C13" s="17" t="inlineStr">
        <is>
          <t>Mastère Management</t>
        </is>
      </c>
      <c r="D13" s="17" t="inlineStr">
        <is>
          <t>MAST</t>
        </is>
      </c>
      <c r="E13" s="17" t="inlineStr">
        <is>
          <t>M2</t>
        </is>
      </c>
      <c r="F13" s="17" t="inlineStr">
        <is>
          <t>Alternance</t>
        </is>
      </c>
      <c r="G13" s="38" t="n">
        <v>0</v>
      </c>
      <c r="H13" s="38" t="n">
        <v>0</v>
      </c>
      <c r="I13" s="38" t="n">
        <v>0</v>
      </c>
      <c r="J13" s="38" t="n">
        <v>0</v>
      </c>
      <c r="K13" s="38" t="n">
        <v>0</v>
      </c>
      <c r="L13" s="38" t="n">
        <v>63</v>
      </c>
      <c r="M13" s="38" t="n">
        <v>63</v>
      </c>
      <c r="N13" s="38" t="n">
        <v>66</v>
      </c>
      <c r="O13" s="38" t="n">
        <v>3</v>
      </c>
      <c r="P13" s="39" t="n">
        <v>7875</v>
      </c>
      <c r="Q13" s="40" t="n">
        <v>0.96</v>
      </c>
      <c r="R13" s="40" t="n">
        <v>0</v>
      </c>
      <c r="S13" s="40" t="n">
        <v>0</v>
      </c>
      <c r="T13" s="40" t="n">
        <v>0</v>
      </c>
    </row>
    <row r="14">
      <c r="A14" s="17" t="inlineStr">
        <is>
          <t>MBway</t>
        </is>
      </c>
      <c r="B14" s="17" t="inlineStr">
        <is>
          <t>Nantes</t>
        </is>
      </c>
      <c r="C14" s="17" t="inlineStr">
        <is>
          <t>Bachelor Management</t>
        </is>
      </c>
      <c r="D14" s="17" t="inlineStr">
        <is>
          <t>BAC</t>
        </is>
      </c>
      <c r="E14" s="17" t="inlineStr">
        <is>
          <t>B1</t>
        </is>
      </c>
      <c r="F14" s="17" t="inlineStr">
        <is>
          <t>Initial</t>
        </is>
      </c>
      <c r="G14" s="38" t="n">
        <v>1</v>
      </c>
      <c r="H14" s="38" t="n">
        <v>496</v>
      </c>
      <c r="I14" s="38" t="n">
        <v>139</v>
      </c>
      <c r="J14" s="38" t="n">
        <v>100</v>
      </c>
      <c r="K14" s="38" t="n">
        <v>60</v>
      </c>
      <c r="L14" s="38" t="n">
        <v>0</v>
      </c>
      <c r="M14" s="38" t="n">
        <v>60</v>
      </c>
      <c r="N14" s="38" t="n">
        <v>0</v>
      </c>
      <c r="O14" s="38" t="n">
        <v>2</v>
      </c>
      <c r="P14" s="39" t="n">
        <v>7500</v>
      </c>
      <c r="Q14" s="40" t="n">
        <v>0</v>
      </c>
      <c r="R14" s="40" t="n">
        <v>0.2802</v>
      </c>
      <c r="S14" s="40" t="n">
        <v>0.7194</v>
      </c>
      <c r="T14" s="40" t="n">
        <v>0.6</v>
      </c>
    </row>
    <row r="15">
      <c r="A15" s="17" t="inlineStr">
        <is>
          <t>MBway</t>
        </is>
      </c>
      <c r="B15" s="17" t="inlineStr">
        <is>
          <t>Nantes</t>
        </is>
      </c>
      <c r="C15" s="17" t="inlineStr">
        <is>
          <t>Bachelor Management</t>
        </is>
      </c>
      <c r="D15" s="17" t="inlineStr">
        <is>
          <t>BAC</t>
        </is>
      </c>
      <c r="E15" s="17" t="inlineStr">
        <is>
          <t>B2</t>
        </is>
      </c>
      <c r="F15" s="17" t="inlineStr">
        <is>
          <t>Alternance</t>
        </is>
      </c>
      <c r="G15" s="38" t="n">
        <v>0</v>
      </c>
      <c r="H15" s="38" t="n">
        <v>0</v>
      </c>
      <c r="I15" s="38" t="n">
        <v>0</v>
      </c>
      <c r="J15" s="38" t="n">
        <v>0</v>
      </c>
      <c r="K15" s="38" t="n">
        <v>0</v>
      </c>
      <c r="L15" s="38" t="n">
        <v>56</v>
      </c>
      <c r="M15" s="38" t="n">
        <v>56</v>
      </c>
      <c r="N15" s="38" t="n">
        <v>60</v>
      </c>
      <c r="O15" s="38" t="n">
        <v>2</v>
      </c>
      <c r="P15" s="39" t="n">
        <v>7000</v>
      </c>
      <c r="Q15" s="40" t="n">
        <v>0.93</v>
      </c>
      <c r="R15" s="40" t="n">
        <v>0</v>
      </c>
      <c r="S15" s="40" t="n">
        <v>0</v>
      </c>
      <c r="T15" s="40" t="n">
        <v>0</v>
      </c>
    </row>
    <row r="16">
      <c r="A16" s="17" t="inlineStr">
        <is>
          <t>MBway</t>
        </is>
      </c>
      <c r="B16" s="17" t="inlineStr">
        <is>
          <t>Nantes</t>
        </is>
      </c>
      <c r="C16" s="17" t="inlineStr">
        <is>
          <t>Bachelor Management</t>
        </is>
      </c>
      <c r="D16" s="17" t="inlineStr">
        <is>
          <t>BAC</t>
        </is>
      </c>
      <c r="E16" s="17" t="inlineStr">
        <is>
          <t>B3</t>
        </is>
      </c>
      <c r="F16" s="17" t="inlineStr">
        <is>
          <t>Alternance</t>
        </is>
      </c>
      <c r="G16" s="38" t="n">
        <v>0</v>
      </c>
      <c r="H16" s="38" t="n">
        <v>0</v>
      </c>
      <c r="I16" s="38" t="n">
        <v>0</v>
      </c>
      <c r="J16" s="38" t="n">
        <v>0</v>
      </c>
      <c r="K16" s="38" t="n">
        <v>0</v>
      </c>
      <c r="L16" s="38" t="n">
        <v>53</v>
      </c>
      <c r="M16" s="38" t="n">
        <v>53</v>
      </c>
      <c r="N16" s="38" t="n">
        <v>56</v>
      </c>
      <c r="O16" s="38" t="n">
        <v>2</v>
      </c>
      <c r="P16" s="39" t="n">
        <v>7000</v>
      </c>
      <c r="Q16" s="40" t="n">
        <v>0.95</v>
      </c>
      <c r="R16" s="40" t="n">
        <v>0</v>
      </c>
      <c r="S16" s="40" t="n">
        <v>0</v>
      </c>
      <c r="T16" s="40" t="n">
        <v>0</v>
      </c>
    </row>
    <row r="17">
      <c r="A17" s="17" t="inlineStr">
        <is>
          <t>MBway</t>
        </is>
      </c>
      <c r="B17" s="17" t="inlineStr">
        <is>
          <t>Nantes</t>
        </is>
      </c>
      <c r="C17" s="17" t="inlineStr">
        <is>
          <t>Mastère Management</t>
        </is>
      </c>
      <c r="D17" s="17" t="inlineStr">
        <is>
          <t>MAST</t>
        </is>
      </c>
      <c r="E17" s="17" t="inlineStr">
        <is>
          <t>M1</t>
        </is>
      </c>
      <c r="F17" s="17" t="inlineStr">
        <is>
          <t>Alternance</t>
        </is>
      </c>
      <c r="G17" s="38" t="n">
        <v>1</v>
      </c>
      <c r="H17" s="38" t="n">
        <v>1020</v>
      </c>
      <c r="I17" s="38" t="n">
        <v>204</v>
      </c>
      <c r="J17" s="38" t="n">
        <v>143</v>
      </c>
      <c r="K17" s="38" t="n">
        <v>60</v>
      </c>
      <c r="L17" s="38" t="n">
        <v>0</v>
      </c>
      <c r="M17" s="38" t="n">
        <v>60</v>
      </c>
      <c r="N17" s="38" t="n">
        <v>0</v>
      </c>
      <c r="O17" s="38" t="n">
        <v>3</v>
      </c>
      <c r="P17" s="39" t="n">
        <v>7500</v>
      </c>
      <c r="Q17" s="40" t="n">
        <v>0</v>
      </c>
      <c r="R17" s="40" t="n">
        <v>0.2</v>
      </c>
      <c r="S17" s="40" t="n">
        <v>0.701</v>
      </c>
      <c r="T17" s="40" t="n">
        <v>0.4196</v>
      </c>
    </row>
    <row r="18">
      <c r="A18" s="17" t="inlineStr">
        <is>
          <t>MBway</t>
        </is>
      </c>
      <c r="B18" s="17" t="inlineStr">
        <is>
          <t>Nantes</t>
        </is>
      </c>
      <c r="C18" s="17" t="inlineStr">
        <is>
          <t>Mastère Management</t>
        </is>
      </c>
      <c r="D18" s="17" t="inlineStr">
        <is>
          <t>MAST</t>
        </is>
      </c>
      <c r="E18" s="17" t="inlineStr">
        <is>
          <t>M2</t>
        </is>
      </c>
      <c r="F18" s="17" t="inlineStr">
        <is>
          <t>Alternance</t>
        </is>
      </c>
      <c r="G18" s="38" t="n">
        <v>0</v>
      </c>
      <c r="H18" s="38" t="n">
        <v>0</v>
      </c>
      <c r="I18" s="38" t="n">
        <v>0</v>
      </c>
      <c r="J18" s="38" t="n">
        <v>0</v>
      </c>
      <c r="K18" s="38" t="n">
        <v>0</v>
      </c>
      <c r="L18" s="38" t="n">
        <v>58</v>
      </c>
      <c r="M18" s="38" t="n">
        <v>58</v>
      </c>
      <c r="N18" s="38" t="n">
        <v>60</v>
      </c>
      <c r="O18" s="38" t="n">
        <v>3</v>
      </c>
      <c r="P18" s="39" t="n">
        <v>7500</v>
      </c>
      <c r="Q18" s="40" t="n">
        <v>0.96</v>
      </c>
      <c r="R18" s="40" t="n">
        <v>0</v>
      </c>
      <c r="S18" s="40" t="n">
        <v>0</v>
      </c>
      <c r="T18" s="40" t="n">
        <v>0</v>
      </c>
    </row>
    <row r="19">
      <c r="A19" s="17" t="inlineStr">
        <is>
          <t>MBway</t>
        </is>
      </c>
      <c r="B19" s="17" t="inlineStr">
        <is>
          <t>Bordeaux</t>
        </is>
      </c>
      <c r="C19" s="17" t="inlineStr">
        <is>
          <t>Bachelor Management</t>
        </is>
      </c>
      <c r="D19" s="17" t="inlineStr">
        <is>
          <t>BAC</t>
        </is>
      </c>
      <c r="E19" s="17" t="inlineStr">
        <is>
          <t>B1</t>
        </is>
      </c>
      <c r="F19" s="17" t="inlineStr">
        <is>
          <t>Initial</t>
        </is>
      </c>
      <c r="G19" s="38" t="n">
        <v>1</v>
      </c>
      <c r="H19" s="38" t="n">
        <v>421</v>
      </c>
      <c r="I19" s="38" t="n">
        <v>118</v>
      </c>
      <c r="J19" s="38" t="n">
        <v>85</v>
      </c>
      <c r="K19" s="38" t="n">
        <v>51</v>
      </c>
      <c r="L19" s="38" t="n">
        <v>0</v>
      </c>
      <c r="M19" s="38" t="n">
        <v>51</v>
      </c>
      <c r="N19" s="38" t="n">
        <v>0</v>
      </c>
      <c r="O19" s="38" t="n">
        <v>2</v>
      </c>
      <c r="P19" s="39" t="n">
        <v>7275</v>
      </c>
      <c r="Q19" s="40" t="n">
        <v>0</v>
      </c>
      <c r="R19" s="40" t="n">
        <v>0.2803</v>
      </c>
      <c r="S19" s="40" t="n">
        <v>0.7203000000000001</v>
      </c>
      <c r="T19" s="40" t="n">
        <v>0.6</v>
      </c>
    </row>
    <row r="20">
      <c r="A20" s="17" t="inlineStr">
        <is>
          <t>MBway</t>
        </is>
      </c>
      <c r="B20" s="17" t="inlineStr">
        <is>
          <t>Bordeaux</t>
        </is>
      </c>
      <c r="C20" s="17" t="inlineStr">
        <is>
          <t>Bachelor Management</t>
        </is>
      </c>
      <c r="D20" s="17" t="inlineStr">
        <is>
          <t>BAC</t>
        </is>
      </c>
      <c r="E20" s="17" t="inlineStr">
        <is>
          <t>B2</t>
        </is>
      </c>
      <c r="F20" s="17" t="inlineStr">
        <is>
          <t>Alternance</t>
        </is>
      </c>
      <c r="G20" s="38" t="n">
        <v>0</v>
      </c>
      <c r="H20" s="38" t="n">
        <v>0</v>
      </c>
      <c r="I20" s="38" t="n">
        <v>0</v>
      </c>
      <c r="J20" s="38" t="n">
        <v>0</v>
      </c>
      <c r="K20" s="38" t="n">
        <v>0</v>
      </c>
      <c r="L20" s="38" t="n">
        <v>47</v>
      </c>
      <c r="M20" s="38" t="n">
        <v>47</v>
      </c>
      <c r="N20" s="38" t="n">
        <v>51</v>
      </c>
      <c r="O20" s="38" t="n">
        <v>2</v>
      </c>
      <c r="P20" s="39" t="n">
        <v>6790</v>
      </c>
      <c r="Q20" s="40" t="n">
        <v>0.93</v>
      </c>
      <c r="R20" s="40" t="n">
        <v>0</v>
      </c>
      <c r="S20" s="40" t="n">
        <v>0</v>
      </c>
      <c r="T20" s="40" t="n">
        <v>0</v>
      </c>
    </row>
    <row r="21">
      <c r="A21" s="17" t="inlineStr">
        <is>
          <t>MBway</t>
        </is>
      </c>
      <c r="B21" s="17" t="inlineStr">
        <is>
          <t>Bordeaux</t>
        </is>
      </c>
      <c r="C21" s="17" t="inlineStr">
        <is>
          <t>Bachelor Management</t>
        </is>
      </c>
      <c r="D21" s="17" t="inlineStr">
        <is>
          <t>BAC</t>
        </is>
      </c>
      <c r="E21" s="17" t="inlineStr">
        <is>
          <t>B3</t>
        </is>
      </c>
      <c r="F21" s="17" t="inlineStr">
        <is>
          <t>Alternance</t>
        </is>
      </c>
      <c r="G21" s="38" t="n">
        <v>0</v>
      </c>
      <c r="H21" s="38" t="n">
        <v>0</v>
      </c>
      <c r="I21" s="38" t="n">
        <v>0</v>
      </c>
      <c r="J21" s="38" t="n">
        <v>0</v>
      </c>
      <c r="K21" s="38" t="n">
        <v>0</v>
      </c>
      <c r="L21" s="38" t="n">
        <v>45</v>
      </c>
      <c r="M21" s="38" t="n">
        <v>45</v>
      </c>
      <c r="N21" s="38" t="n">
        <v>47</v>
      </c>
      <c r="O21" s="38" t="n">
        <v>2</v>
      </c>
      <c r="P21" s="39" t="n">
        <v>6790</v>
      </c>
      <c r="Q21" s="40" t="n">
        <v>0.95</v>
      </c>
      <c r="R21" s="40" t="n">
        <v>0</v>
      </c>
      <c r="S21" s="40" t="n">
        <v>0</v>
      </c>
      <c r="T21" s="40" t="n">
        <v>0</v>
      </c>
    </row>
    <row r="22">
      <c r="A22" s="17" t="inlineStr">
        <is>
          <t>MBway</t>
        </is>
      </c>
      <c r="B22" s="17" t="inlineStr">
        <is>
          <t>Bordeaux</t>
        </is>
      </c>
      <c r="C22" s="17" t="inlineStr">
        <is>
          <t>Mastère Management</t>
        </is>
      </c>
      <c r="D22" s="17" t="inlineStr">
        <is>
          <t>MAST</t>
        </is>
      </c>
      <c r="E22" s="17" t="inlineStr">
        <is>
          <t>M1</t>
        </is>
      </c>
      <c r="F22" s="17" t="inlineStr">
        <is>
          <t>Alternance</t>
        </is>
      </c>
      <c r="G22" s="38" t="n">
        <v>1</v>
      </c>
      <c r="H22" s="38" t="n">
        <v>865</v>
      </c>
      <c r="I22" s="38" t="n">
        <v>173</v>
      </c>
      <c r="J22" s="38" t="n">
        <v>121</v>
      </c>
      <c r="K22" s="38" t="n">
        <v>51</v>
      </c>
      <c r="L22" s="38" t="n">
        <v>0</v>
      </c>
      <c r="M22" s="38" t="n">
        <v>51</v>
      </c>
      <c r="N22" s="38" t="n">
        <v>0</v>
      </c>
      <c r="O22" s="38" t="n">
        <v>2</v>
      </c>
      <c r="P22" s="39" t="n">
        <v>7275</v>
      </c>
      <c r="Q22" s="40" t="n">
        <v>0</v>
      </c>
      <c r="R22" s="40" t="n">
        <v>0.2</v>
      </c>
      <c r="S22" s="40" t="n">
        <v>0.6994</v>
      </c>
      <c r="T22" s="40" t="n">
        <v>0.4215</v>
      </c>
    </row>
    <row r="23">
      <c r="A23" s="17" t="inlineStr">
        <is>
          <t>MBway</t>
        </is>
      </c>
      <c r="B23" s="17" t="inlineStr">
        <is>
          <t>Bordeaux</t>
        </is>
      </c>
      <c r="C23" s="17" t="inlineStr">
        <is>
          <t>Mastère Management</t>
        </is>
      </c>
      <c r="D23" s="17" t="inlineStr">
        <is>
          <t>MAST</t>
        </is>
      </c>
      <c r="E23" s="17" t="inlineStr">
        <is>
          <t>M2</t>
        </is>
      </c>
      <c r="F23" s="17" t="inlineStr">
        <is>
          <t>Alternance</t>
        </is>
      </c>
      <c r="G23" s="38" t="n">
        <v>0</v>
      </c>
      <c r="H23" s="38" t="n">
        <v>0</v>
      </c>
      <c r="I23" s="38" t="n">
        <v>0</v>
      </c>
      <c r="J23" s="38" t="n">
        <v>0</v>
      </c>
      <c r="K23" s="38" t="n">
        <v>0</v>
      </c>
      <c r="L23" s="38" t="n">
        <v>49</v>
      </c>
      <c r="M23" s="38" t="n">
        <v>49</v>
      </c>
      <c r="N23" s="38" t="n">
        <v>51</v>
      </c>
      <c r="O23" s="38" t="n">
        <v>2</v>
      </c>
      <c r="P23" s="39" t="n">
        <v>7275</v>
      </c>
      <c r="Q23" s="40" t="n">
        <v>0.96</v>
      </c>
      <c r="R23" s="40" t="n">
        <v>0</v>
      </c>
      <c r="S23" s="40" t="n">
        <v>0</v>
      </c>
      <c r="T23" s="40" t="n">
        <v>0</v>
      </c>
    </row>
    <row r="24">
      <c r="A24" s="17" t="inlineStr">
        <is>
          <t>ISCOM</t>
        </is>
      </c>
      <c r="B24" s="17" t="inlineStr">
        <is>
          <t>Paris</t>
        </is>
      </c>
      <c r="C24" s="17" t="inlineStr">
        <is>
          <t>Bachelor Communication</t>
        </is>
      </c>
      <c r="D24" s="17" t="inlineStr">
        <is>
          <t>BAC</t>
        </is>
      </c>
      <c r="E24" s="17" t="inlineStr">
        <is>
          <t>B1</t>
        </is>
      </c>
      <c r="F24" s="17" t="inlineStr">
        <is>
          <t>Initial</t>
        </is>
      </c>
      <c r="G24" s="38" t="n">
        <v>1</v>
      </c>
      <c r="H24" s="38" t="n">
        <v>596</v>
      </c>
      <c r="I24" s="38" t="n">
        <v>167</v>
      </c>
      <c r="J24" s="38" t="n">
        <v>120</v>
      </c>
      <c r="K24" s="38" t="n">
        <v>72</v>
      </c>
      <c r="L24" s="38" t="n">
        <v>0</v>
      </c>
      <c r="M24" s="38" t="n">
        <v>72</v>
      </c>
      <c r="N24" s="38" t="n">
        <v>0</v>
      </c>
      <c r="O24" s="38" t="n">
        <v>3</v>
      </c>
      <c r="P24" s="39" t="n">
        <v>8400</v>
      </c>
      <c r="Q24" s="40" t="n">
        <v>0</v>
      </c>
      <c r="R24" s="40" t="n">
        <v>0.2802</v>
      </c>
      <c r="S24" s="40" t="n">
        <v>0.7186</v>
      </c>
      <c r="T24" s="40" t="n">
        <v>0.6</v>
      </c>
    </row>
    <row r="25">
      <c r="A25" s="17" t="inlineStr">
        <is>
          <t>ISCOM</t>
        </is>
      </c>
      <c r="B25" s="17" t="inlineStr">
        <is>
          <t>Paris</t>
        </is>
      </c>
      <c r="C25" s="17" t="inlineStr">
        <is>
          <t>Bachelor Communication</t>
        </is>
      </c>
      <c r="D25" s="17" t="inlineStr">
        <is>
          <t>BAC</t>
        </is>
      </c>
      <c r="E25" s="17" t="inlineStr">
        <is>
          <t>B2</t>
        </is>
      </c>
      <c r="F25" s="17" t="inlineStr">
        <is>
          <t>Alternance</t>
        </is>
      </c>
      <c r="G25" s="38" t="n">
        <v>0</v>
      </c>
      <c r="H25" s="38" t="n">
        <v>0</v>
      </c>
      <c r="I25" s="38" t="n">
        <v>0</v>
      </c>
      <c r="J25" s="38" t="n">
        <v>0</v>
      </c>
      <c r="K25" s="38" t="n">
        <v>0</v>
      </c>
      <c r="L25" s="38" t="n">
        <v>67</v>
      </c>
      <c r="M25" s="38" t="n">
        <v>67</v>
      </c>
      <c r="N25" s="38" t="n">
        <v>72</v>
      </c>
      <c r="O25" s="38" t="n">
        <v>3</v>
      </c>
      <c r="P25" s="39" t="n">
        <v>7840</v>
      </c>
      <c r="Q25" s="40" t="n">
        <v>0.93</v>
      </c>
      <c r="R25" s="40" t="n">
        <v>0</v>
      </c>
      <c r="S25" s="40" t="n">
        <v>0</v>
      </c>
      <c r="T25" s="40" t="n">
        <v>0</v>
      </c>
    </row>
    <row r="26">
      <c r="A26" s="17" t="inlineStr">
        <is>
          <t>ISCOM</t>
        </is>
      </c>
      <c r="B26" s="17" t="inlineStr">
        <is>
          <t>Paris</t>
        </is>
      </c>
      <c r="C26" s="17" t="inlineStr">
        <is>
          <t>Bachelor Communication</t>
        </is>
      </c>
      <c r="D26" s="17" t="inlineStr">
        <is>
          <t>BAC</t>
        </is>
      </c>
      <c r="E26" s="17" t="inlineStr">
        <is>
          <t>B3</t>
        </is>
      </c>
      <c r="F26" s="17" t="inlineStr">
        <is>
          <t>Alternance</t>
        </is>
      </c>
      <c r="G26" s="38" t="n">
        <v>0</v>
      </c>
      <c r="H26" s="38" t="n">
        <v>0</v>
      </c>
      <c r="I26" s="38" t="n">
        <v>0</v>
      </c>
      <c r="J26" s="38" t="n">
        <v>0</v>
      </c>
      <c r="K26" s="38" t="n">
        <v>0</v>
      </c>
      <c r="L26" s="38" t="n">
        <v>64</v>
      </c>
      <c r="M26" s="38" t="n">
        <v>64</v>
      </c>
      <c r="N26" s="38" t="n">
        <v>67</v>
      </c>
      <c r="O26" s="38" t="n">
        <v>2</v>
      </c>
      <c r="P26" s="39" t="n">
        <v>7840</v>
      </c>
      <c r="Q26" s="40" t="n">
        <v>0.95</v>
      </c>
      <c r="R26" s="40" t="n">
        <v>0</v>
      </c>
      <c r="S26" s="40" t="n">
        <v>0</v>
      </c>
      <c r="T26" s="40" t="n">
        <v>0</v>
      </c>
    </row>
    <row r="27">
      <c r="A27" s="17" t="inlineStr">
        <is>
          <t>ISCOM</t>
        </is>
      </c>
      <c r="B27" s="17" t="inlineStr">
        <is>
          <t>Paris</t>
        </is>
      </c>
      <c r="C27" s="17" t="inlineStr">
        <is>
          <t>Mastère Communication</t>
        </is>
      </c>
      <c r="D27" s="17" t="inlineStr">
        <is>
          <t>MAST</t>
        </is>
      </c>
      <c r="E27" s="17" t="inlineStr">
        <is>
          <t>M1</t>
        </is>
      </c>
      <c r="F27" s="17" t="inlineStr">
        <is>
          <t>Alternance</t>
        </is>
      </c>
      <c r="G27" s="38" t="n">
        <v>1</v>
      </c>
      <c r="H27" s="38" t="n">
        <v>1220</v>
      </c>
      <c r="I27" s="38" t="n">
        <v>244</v>
      </c>
      <c r="J27" s="38" t="n">
        <v>171</v>
      </c>
      <c r="K27" s="38" t="n">
        <v>72</v>
      </c>
      <c r="L27" s="38" t="n">
        <v>0</v>
      </c>
      <c r="M27" s="38" t="n">
        <v>72</v>
      </c>
      <c r="N27" s="38" t="n">
        <v>0</v>
      </c>
      <c r="O27" s="38" t="n">
        <v>3</v>
      </c>
      <c r="P27" s="39" t="n">
        <v>8400</v>
      </c>
      <c r="Q27" s="40" t="n">
        <v>0</v>
      </c>
      <c r="R27" s="40" t="n">
        <v>0.2</v>
      </c>
      <c r="S27" s="40" t="n">
        <v>0.7008</v>
      </c>
      <c r="T27" s="40" t="n">
        <v>0.4211</v>
      </c>
    </row>
    <row r="28">
      <c r="A28" s="17" t="inlineStr">
        <is>
          <t>ISCOM</t>
        </is>
      </c>
      <c r="B28" s="17" t="inlineStr">
        <is>
          <t>Paris</t>
        </is>
      </c>
      <c r="C28" s="17" t="inlineStr">
        <is>
          <t>Mastère Communication</t>
        </is>
      </c>
      <c r="D28" s="17" t="inlineStr">
        <is>
          <t>MAST</t>
        </is>
      </c>
      <c r="E28" s="17" t="inlineStr">
        <is>
          <t>M2</t>
        </is>
      </c>
      <c r="F28" s="17" t="inlineStr">
        <is>
          <t>Alternance</t>
        </is>
      </c>
      <c r="G28" s="38" t="n">
        <v>0</v>
      </c>
      <c r="H28" s="38" t="n">
        <v>0</v>
      </c>
      <c r="I28" s="38" t="n">
        <v>0</v>
      </c>
      <c r="J28" s="38" t="n">
        <v>0</v>
      </c>
      <c r="K28" s="38" t="n">
        <v>0</v>
      </c>
      <c r="L28" s="38" t="n">
        <v>69</v>
      </c>
      <c r="M28" s="38" t="n">
        <v>69</v>
      </c>
      <c r="N28" s="38" t="n">
        <v>72</v>
      </c>
      <c r="O28" s="38" t="n">
        <v>3</v>
      </c>
      <c r="P28" s="39" t="n">
        <v>8400</v>
      </c>
      <c r="Q28" s="40" t="n">
        <v>0.96</v>
      </c>
      <c r="R28" s="40" t="n">
        <v>0</v>
      </c>
      <c r="S28" s="40" t="n">
        <v>0</v>
      </c>
      <c r="T28" s="40" t="n">
        <v>0</v>
      </c>
    </row>
    <row r="29">
      <c r="A29" s="17" t="inlineStr">
        <is>
          <t>ISCOM</t>
        </is>
      </c>
      <c r="B29" s="17" t="inlineStr">
        <is>
          <t>Lille</t>
        </is>
      </c>
      <c r="C29" s="17" t="inlineStr">
        <is>
          <t>Bachelor Communication</t>
        </is>
      </c>
      <c r="D29" s="17" t="inlineStr">
        <is>
          <t>BAC</t>
        </is>
      </c>
      <c r="E29" s="17" t="inlineStr">
        <is>
          <t>B1</t>
        </is>
      </c>
      <c r="F29" s="17" t="inlineStr">
        <is>
          <t>Initial</t>
        </is>
      </c>
      <c r="G29" s="38" t="n">
        <v>1</v>
      </c>
      <c r="H29" s="38" t="n">
        <v>411</v>
      </c>
      <c r="I29" s="38" t="n">
        <v>115</v>
      </c>
      <c r="J29" s="38" t="n">
        <v>83</v>
      </c>
      <c r="K29" s="38" t="n">
        <v>50</v>
      </c>
      <c r="L29" s="38" t="n">
        <v>0</v>
      </c>
      <c r="M29" s="38" t="n">
        <v>50</v>
      </c>
      <c r="N29" s="38" t="n">
        <v>0</v>
      </c>
      <c r="O29" s="38" t="n">
        <v>2</v>
      </c>
      <c r="P29" s="39" t="n">
        <v>7350</v>
      </c>
      <c r="Q29" s="40" t="n">
        <v>0</v>
      </c>
      <c r="R29" s="40" t="n">
        <v>0.2798</v>
      </c>
      <c r="S29" s="40" t="n">
        <v>0.7217</v>
      </c>
      <c r="T29" s="40" t="n">
        <v>0.6024</v>
      </c>
    </row>
    <row r="30">
      <c r="A30" s="17" t="inlineStr">
        <is>
          <t>ISCOM</t>
        </is>
      </c>
      <c r="B30" s="17" t="inlineStr">
        <is>
          <t>Lille</t>
        </is>
      </c>
      <c r="C30" s="17" t="inlineStr">
        <is>
          <t>Bachelor Communication</t>
        </is>
      </c>
      <c r="D30" s="17" t="inlineStr">
        <is>
          <t>BAC</t>
        </is>
      </c>
      <c r="E30" s="17" t="inlineStr">
        <is>
          <t>B2</t>
        </is>
      </c>
      <c r="F30" s="17" t="inlineStr">
        <is>
          <t>Alternance</t>
        </is>
      </c>
      <c r="G30" s="38" t="n">
        <v>0</v>
      </c>
      <c r="H30" s="38" t="n">
        <v>0</v>
      </c>
      <c r="I30" s="38" t="n">
        <v>0</v>
      </c>
      <c r="J30" s="38" t="n">
        <v>0</v>
      </c>
      <c r="K30" s="38" t="n">
        <v>0</v>
      </c>
      <c r="L30" s="38" t="n">
        <v>46</v>
      </c>
      <c r="M30" s="38" t="n">
        <v>46</v>
      </c>
      <c r="N30" s="38" t="n">
        <v>50</v>
      </c>
      <c r="O30" s="38" t="n">
        <v>2</v>
      </c>
      <c r="P30" s="39" t="n">
        <v>6860</v>
      </c>
      <c r="Q30" s="40" t="n">
        <v>0.93</v>
      </c>
      <c r="R30" s="40" t="n">
        <v>0</v>
      </c>
      <c r="S30" s="40" t="n">
        <v>0</v>
      </c>
      <c r="T30" s="40" t="n">
        <v>0</v>
      </c>
    </row>
    <row r="31">
      <c r="A31" s="17" t="inlineStr">
        <is>
          <t>ISCOM</t>
        </is>
      </c>
      <c r="B31" s="17" t="inlineStr">
        <is>
          <t>Lille</t>
        </is>
      </c>
      <c r="C31" s="17" t="inlineStr">
        <is>
          <t>Bachelor Communication</t>
        </is>
      </c>
      <c r="D31" s="17" t="inlineStr">
        <is>
          <t>BAC</t>
        </is>
      </c>
      <c r="E31" s="17" t="inlineStr">
        <is>
          <t>B3</t>
        </is>
      </c>
      <c r="F31" s="17" t="inlineStr">
        <is>
          <t>Alternance</t>
        </is>
      </c>
      <c r="G31" s="38" t="n">
        <v>0</v>
      </c>
      <c r="H31" s="38" t="n">
        <v>0</v>
      </c>
      <c r="I31" s="38" t="n">
        <v>0</v>
      </c>
      <c r="J31" s="38" t="n">
        <v>0</v>
      </c>
      <c r="K31" s="38" t="n">
        <v>0</v>
      </c>
      <c r="L31" s="38" t="n">
        <v>44</v>
      </c>
      <c r="M31" s="38" t="n">
        <v>44</v>
      </c>
      <c r="N31" s="38" t="n">
        <v>46</v>
      </c>
      <c r="O31" s="38" t="n">
        <v>2</v>
      </c>
      <c r="P31" s="39" t="n">
        <v>6860</v>
      </c>
      <c r="Q31" s="40" t="n">
        <v>0.95</v>
      </c>
      <c r="R31" s="40" t="n">
        <v>0</v>
      </c>
      <c r="S31" s="40" t="n">
        <v>0</v>
      </c>
      <c r="T31" s="40" t="n">
        <v>0</v>
      </c>
    </row>
    <row r="32">
      <c r="A32" s="17" t="inlineStr">
        <is>
          <t>ISCOM</t>
        </is>
      </c>
      <c r="B32" s="17" t="inlineStr">
        <is>
          <t>Lille</t>
        </is>
      </c>
      <c r="C32" s="17" t="inlineStr">
        <is>
          <t>Mastère Communication</t>
        </is>
      </c>
      <c r="D32" s="17" t="inlineStr">
        <is>
          <t>MAST</t>
        </is>
      </c>
      <c r="E32" s="17" t="inlineStr">
        <is>
          <t>M1</t>
        </is>
      </c>
      <c r="F32" s="17" t="inlineStr">
        <is>
          <t>Alternance</t>
        </is>
      </c>
      <c r="G32" s="38" t="n">
        <v>1</v>
      </c>
      <c r="H32" s="38" t="n">
        <v>850</v>
      </c>
      <c r="I32" s="38" t="n">
        <v>170</v>
      </c>
      <c r="J32" s="38" t="n">
        <v>119</v>
      </c>
      <c r="K32" s="38" t="n">
        <v>50</v>
      </c>
      <c r="L32" s="38" t="n">
        <v>0</v>
      </c>
      <c r="M32" s="38" t="n">
        <v>50</v>
      </c>
      <c r="N32" s="38" t="n">
        <v>0</v>
      </c>
      <c r="O32" s="38" t="n">
        <v>2</v>
      </c>
      <c r="P32" s="39" t="n">
        <v>7350</v>
      </c>
      <c r="Q32" s="40" t="n">
        <v>0</v>
      </c>
      <c r="R32" s="40" t="n">
        <v>0.2</v>
      </c>
      <c r="S32" s="40" t="n">
        <v>0.7</v>
      </c>
      <c r="T32" s="40" t="n">
        <v>0.4202</v>
      </c>
    </row>
    <row r="33">
      <c r="A33" s="17" t="inlineStr">
        <is>
          <t>ISCOM</t>
        </is>
      </c>
      <c r="B33" s="17" t="inlineStr">
        <is>
          <t>Lille</t>
        </is>
      </c>
      <c r="C33" s="17" t="inlineStr">
        <is>
          <t>Mastère Communication</t>
        </is>
      </c>
      <c r="D33" s="17" t="inlineStr">
        <is>
          <t>MAST</t>
        </is>
      </c>
      <c r="E33" s="17" t="inlineStr">
        <is>
          <t>M2</t>
        </is>
      </c>
      <c r="F33" s="17" t="inlineStr">
        <is>
          <t>Alternance</t>
        </is>
      </c>
      <c r="G33" s="38" t="n">
        <v>0</v>
      </c>
      <c r="H33" s="38" t="n">
        <v>0</v>
      </c>
      <c r="I33" s="38" t="n">
        <v>0</v>
      </c>
      <c r="J33" s="38" t="n">
        <v>0</v>
      </c>
      <c r="K33" s="38" t="n">
        <v>0</v>
      </c>
      <c r="L33" s="38" t="n">
        <v>48</v>
      </c>
      <c r="M33" s="38" t="n">
        <v>48</v>
      </c>
      <c r="N33" s="38" t="n">
        <v>50</v>
      </c>
      <c r="O33" s="38" t="n">
        <v>2</v>
      </c>
      <c r="P33" s="39" t="n">
        <v>7350</v>
      </c>
      <c r="Q33" s="40" t="n">
        <v>0.96</v>
      </c>
      <c r="R33" s="40" t="n">
        <v>0</v>
      </c>
      <c r="S33" s="40" t="n">
        <v>0</v>
      </c>
      <c r="T33" s="40" t="n">
        <v>0</v>
      </c>
    </row>
    <row r="34">
      <c r="A34" s="17" t="inlineStr">
        <is>
          <t>ISCOM</t>
        </is>
      </c>
      <c r="B34" s="17" t="inlineStr">
        <is>
          <t>Toulouse</t>
        </is>
      </c>
      <c r="C34" s="17" t="inlineStr">
        <is>
          <t>Bachelor Communication</t>
        </is>
      </c>
      <c r="D34" s="17" t="inlineStr">
        <is>
          <t>BAC</t>
        </is>
      </c>
      <c r="E34" s="17" t="inlineStr">
        <is>
          <t>B1</t>
        </is>
      </c>
      <c r="F34" s="17" t="inlineStr">
        <is>
          <t>Initial</t>
        </is>
      </c>
      <c r="G34" s="38" t="n">
        <v>1</v>
      </c>
      <c r="H34" s="38" t="n">
        <v>386</v>
      </c>
      <c r="I34" s="38" t="n">
        <v>108</v>
      </c>
      <c r="J34" s="38" t="n">
        <v>78</v>
      </c>
      <c r="K34" s="38" t="n">
        <v>47</v>
      </c>
      <c r="L34" s="38" t="n">
        <v>0</v>
      </c>
      <c r="M34" s="38" t="n">
        <v>47</v>
      </c>
      <c r="N34" s="38" t="n">
        <v>0</v>
      </c>
      <c r="O34" s="38" t="n">
        <v>2</v>
      </c>
      <c r="P34" s="39" t="n">
        <v>7200</v>
      </c>
      <c r="Q34" s="40" t="n">
        <v>0</v>
      </c>
      <c r="R34" s="40" t="n">
        <v>0.2798</v>
      </c>
      <c r="S34" s="40" t="n">
        <v>0.7222</v>
      </c>
      <c r="T34" s="40" t="n">
        <v>0.6026</v>
      </c>
    </row>
    <row r="35">
      <c r="A35" s="17" t="inlineStr">
        <is>
          <t>ISCOM</t>
        </is>
      </c>
      <c r="B35" s="17" t="inlineStr">
        <is>
          <t>Toulouse</t>
        </is>
      </c>
      <c r="C35" s="17" t="inlineStr">
        <is>
          <t>Bachelor Communication</t>
        </is>
      </c>
      <c r="D35" s="17" t="inlineStr">
        <is>
          <t>BAC</t>
        </is>
      </c>
      <c r="E35" s="17" t="inlineStr">
        <is>
          <t>B2</t>
        </is>
      </c>
      <c r="F35" s="17" t="inlineStr">
        <is>
          <t>Alternance</t>
        </is>
      </c>
      <c r="G35" s="38" t="n">
        <v>0</v>
      </c>
      <c r="H35" s="38" t="n">
        <v>0</v>
      </c>
      <c r="I35" s="38" t="n">
        <v>0</v>
      </c>
      <c r="J35" s="38" t="n">
        <v>0</v>
      </c>
      <c r="K35" s="38" t="n">
        <v>0</v>
      </c>
      <c r="L35" s="38" t="n">
        <v>44</v>
      </c>
      <c r="M35" s="38" t="n">
        <v>44</v>
      </c>
      <c r="N35" s="38" t="n">
        <v>47</v>
      </c>
      <c r="O35" s="38" t="n">
        <v>2</v>
      </c>
      <c r="P35" s="39" t="n">
        <v>6720</v>
      </c>
      <c r="Q35" s="40" t="n">
        <v>0.93</v>
      </c>
      <c r="R35" s="40" t="n">
        <v>0</v>
      </c>
      <c r="S35" s="40" t="n">
        <v>0</v>
      </c>
      <c r="T35" s="40" t="n">
        <v>0</v>
      </c>
    </row>
    <row r="36">
      <c r="A36" s="17" t="inlineStr">
        <is>
          <t>ISCOM</t>
        </is>
      </c>
      <c r="B36" s="17" t="inlineStr">
        <is>
          <t>Toulouse</t>
        </is>
      </c>
      <c r="C36" s="17" t="inlineStr">
        <is>
          <t>Bachelor Communication</t>
        </is>
      </c>
      <c r="D36" s="17" t="inlineStr">
        <is>
          <t>BAC</t>
        </is>
      </c>
      <c r="E36" s="17" t="inlineStr">
        <is>
          <t>B3</t>
        </is>
      </c>
      <c r="F36" s="17" t="inlineStr">
        <is>
          <t>Alternance</t>
        </is>
      </c>
      <c r="G36" s="38" t="n">
        <v>0</v>
      </c>
      <c r="H36" s="38" t="n">
        <v>0</v>
      </c>
      <c r="I36" s="38" t="n">
        <v>0</v>
      </c>
      <c r="J36" s="38" t="n">
        <v>0</v>
      </c>
      <c r="K36" s="38" t="n">
        <v>0</v>
      </c>
      <c r="L36" s="38" t="n">
        <v>42</v>
      </c>
      <c r="M36" s="38" t="n">
        <v>42</v>
      </c>
      <c r="N36" s="38" t="n">
        <v>44</v>
      </c>
      <c r="O36" s="38" t="n">
        <v>2</v>
      </c>
      <c r="P36" s="39" t="n">
        <v>6720</v>
      </c>
      <c r="Q36" s="40" t="n">
        <v>0.95</v>
      </c>
      <c r="R36" s="40" t="n">
        <v>0</v>
      </c>
      <c r="S36" s="40" t="n">
        <v>0</v>
      </c>
      <c r="T36" s="40" t="n">
        <v>0</v>
      </c>
    </row>
    <row r="37">
      <c r="A37" s="17" t="inlineStr">
        <is>
          <t>ISCOM</t>
        </is>
      </c>
      <c r="B37" s="17" t="inlineStr">
        <is>
          <t>Toulouse</t>
        </is>
      </c>
      <c r="C37" s="17" t="inlineStr">
        <is>
          <t>Mastère Communication</t>
        </is>
      </c>
      <c r="D37" s="17" t="inlineStr">
        <is>
          <t>MAST</t>
        </is>
      </c>
      <c r="E37" s="17" t="inlineStr">
        <is>
          <t>M1</t>
        </is>
      </c>
      <c r="F37" s="17" t="inlineStr">
        <is>
          <t>Alternance</t>
        </is>
      </c>
      <c r="G37" s="38" t="n">
        <v>1</v>
      </c>
      <c r="H37" s="38" t="n">
        <v>800</v>
      </c>
      <c r="I37" s="38" t="n">
        <v>160</v>
      </c>
      <c r="J37" s="38" t="n">
        <v>112</v>
      </c>
      <c r="K37" s="38" t="n">
        <v>47</v>
      </c>
      <c r="L37" s="38" t="n">
        <v>0</v>
      </c>
      <c r="M37" s="38" t="n">
        <v>47</v>
      </c>
      <c r="N37" s="38" t="n">
        <v>0</v>
      </c>
      <c r="O37" s="38" t="n">
        <v>2</v>
      </c>
      <c r="P37" s="39" t="n">
        <v>7200</v>
      </c>
      <c r="Q37" s="40" t="n">
        <v>0</v>
      </c>
      <c r="R37" s="40" t="n">
        <v>0.2</v>
      </c>
      <c r="S37" s="40" t="n">
        <v>0.7</v>
      </c>
      <c r="T37" s="40" t="n">
        <v>0.4196</v>
      </c>
    </row>
    <row r="38">
      <c r="A38" s="17" t="inlineStr">
        <is>
          <t>ISCOM</t>
        </is>
      </c>
      <c r="B38" s="17" t="inlineStr">
        <is>
          <t>Toulouse</t>
        </is>
      </c>
      <c r="C38" s="17" t="inlineStr">
        <is>
          <t>Mastère Communication</t>
        </is>
      </c>
      <c r="D38" s="17" t="inlineStr">
        <is>
          <t>MAST</t>
        </is>
      </c>
      <c r="E38" s="17" t="inlineStr">
        <is>
          <t>M2</t>
        </is>
      </c>
      <c r="F38" s="17" t="inlineStr">
        <is>
          <t>Alternance</t>
        </is>
      </c>
      <c r="G38" s="38" t="n">
        <v>0</v>
      </c>
      <c r="H38" s="38" t="n">
        <v>0</v>
      </c>
      <c r="I38" s="38" t="n">
        <v>0</v>
      </c>
      <c r="J38" s="38" t="n">
        <v>0</v>
      </c>
      <c r="K38" s="38" t="n">
        <v>0</v>
      </c>
      <c r="L38" s="38" t="n">
        <v>45</v>
      </c>
      <c r="M38" s="38" t="n">
        <v>45</v>
      </c>
      <c r="N38" s="38" t="n">
        <v>47</v>
      </c>
      <c r="O38" s="38" t="n">
        <v>2</v>
      </c>
      <c r="P38" s="39" t="n">
        <v>7200</v>
      </c>
      <c r="Q38" s="40" t="n">
        <v>0.96</v>
      </c>
      <c r="R38" s="40" t="n">
        <v>0</v>
      </c>
      <c r="S38" s="40" t="n">
        <v>0</v>
      </c>
      <c r="T38" s="40" t="n">
        <v>0</v>
      </c>
    </row>
    <row r="39">
      <c r="A39" s="17" t="inlineStr">
        <is>
          <t>Ipac Bachelor Factory</t>
        </is>
      </c>
      <c r="B39" s="17" t="inlineStr">
        <is>
          <t>Nantes</t>
        </is>
      </c>
      <c r="C39" s="17" t="inlineStr">
        <is>
          <t>Bachelor Commerce</t>
        </is>
      </c>
      <c r="D39" s="17" t="inlineStr">
        <is>
          <t>BAC</t>
        </is>
      </c>
      <c r="E39" s="17" t="inlineStr">
        <is>
          <t>B1</t>
        </is>
      </c>
      <c r="F39" s="17" t="inlineStr">
        <is>
          <t>Alternance</t>
        </is>
      </c>
      <c r="G39" s="38" t="n">
        <v>1</v>
      </c>
      <c r="H39" s="38" t="n">
        <v>850</v>
      </c>
      <c r="I39" s="38" t="n">
        <v>170</v>
      </c>
      <c r="J39" s="38" t="n">
        <v>119</v>
      </c>
      <c r="K39" s="38" t="n">
        <v>50</v>
      </c>
      <c r="L39" s="38" t="n">
        <v>0</v>
      </c>
      <c r="M39" s="38" t="n">
        <v>50</v>
      </c>
      <c r="N39" s="38" t="n">
        <v>0</v>
      </c>
      <c r="O39" s="38" t="n">
        <v>2</v>
      </c>
      <c r="P39" s="39" t="n">
        <v>7000</v>
      </c>
      <c r="Q39" s="40" t="n">
        <v>0</v>
      </c>
      <c r="R39" s="40" t="n">
        <v>0.2</v>
      </c>
      <c r="S39" s="40" t="n">
        <v>0.7</v>
      </c>
      <c r="T39" s="40" t="n">
        <v>0.4202</v>
      </c>
    </row>
    <row r="40">
      <c r="A40" s="17" t="inlineStr">
        <is>
          <t>Ipac Bachelor Factory</t>
        </is>
      </c>
      <c r="B40" s="17" t="inlineStr">
        <is>
          <t>Nantes</t>
        </is>
      </c>
      <c r="C40" s="17" t="inlineStr">
        <is>
          <t>Bachelor Commerce</t>
        </is>
      </c>
      <c r="D40" s="17" t="inlineStr">
        <is>
          <t>BAC</t>
        </is>
      </c>
      <c r="E40" s="17" t="inlineStr">
        <is>
          <t>B2</t>
        </is>
      </c>
      <c r="F40" s="17" t="inlineStr">
        <is>
          <t>Alternance</t>
        </is>
      </c>
      <c r="G40" s="38" t="n">
        <v>0</v>
      </c>
      <c r="H40" s="38" t="n">
        <v>0</v>
      </c>
      <c r="I40" s="38" t="n">
        <v>0</v>
      </c>
      <c r="J40" s="38" t="n">
        <v>0</v>
      </c>
      <c r="K40" s="38" t="n">
        <v>0</v>
      </c>
      <c r="L40" s="38" t="n">
        <v>46</v>
      </c>
      <c r="M40" s="38" t="n">
        <v>46</v>
      </c>
      <c r="N40" s="38" t="n">
        <v>50</v>
      </c>
      <c r="O40" s="38" t="n">
        <v>2</v>
      </c>
      <c r="P40" s="39" t="n">
        <v>7000</v>
      </c>
      <c r="Q40" s="40" t="n">
        <v>0.93</v>
      </c>
      <c r="R40" s="40" t="n">
        <v>0</v>
      </c>
      <c r="S40" s="40" t="n">
        <v>0</v>
      </c>
      <c r="T40" s="40" t="n">
        <v>0</v>
      </c>
    </row>
    <row r="41">
      <c r="A41" s="17" t="inlineStr">
        <is>
          <t>Ipac Bachelor Factory</t>
        </is>
      </c>
      <c r="B41" s="17" t="inlineStr">
        <is>
          <t>Nantes</t>
        </is>
      </c>
      <c r="C41" s="17" t="inlineStr">
        <is>
          <t>Bachelor Commerce</t>
        </is>
      </c>
      <c r="D41" s="17" t="inlineStr">
        <is>
          <t>BAC</t>
        </is>
      </c>
      <c r="E41" s="17" t="inlineStr">
        <is>
          <t>B3</t>
        </is>
      </c>
      <c r="F41" s="17" t="inlineStr">
        <is>
          <t>Alternance</t>
        </is>
      </c>
      <c r="G41" s="38" t="n">
        <v>0</v>
      </c>
      <c r="H41" s="38" t="n">
        <v>0</v>
      </c>
      <c r="I41" s="38" t="n">
        <v>0</v>
      </c>
      <c r="J41" s="38" t="n">
        <v>0</v>
      </c>
      <c r="K41" s="38" t="n">
        <v>0</v>
      </c>
      <c r="L41" s="38" t="n">
        <v>44</v>
      </c>
      <c r="M41" s="38" t="n">
        <v>44</v>
      </c>
      <c r="N41" s="38" t="n">
        <v>46</v>
      </c>
      <c r="O41" s="38" t="n">
        <v>2</v>
      </c>
      <c r="P41" s="39" t="n">
        <v>7000</v>
      </c>
      <c r="Q41" s="40" t="n">
        <v>0.95</v>
      </c>
      <c r="R41" s="40" t="n">
        <v>0</v>
      </c>
      <c r="S41" s="40" t="n">
        <v>0</v>
      </c>
      <c r="T41" s="40" t="n">
        <v>0</v>
      </c>
    </row>
    <row r="42">
      <c r="A42" s="17" t="inlineStr">
        <is>
          <t>Ipac Bachelor Factory</t>
        </is>
      </c>
      <c r="B42" s="17" t="inlineStr">
        <is>
          <t>Rennes</t>
        </is>
      </c>
      <c r="C42" s="17" t="inlineStr">
        <is>
          <t>Bachelor Commerce</t>
        </is>
      </c>
      <c r="D42" s="17" t="inlineStr">
        <is>
          <t>BAC</t>
        </is>
      </c>
      <c r="E42" s="17" t="inlineStr">
        <is>
          <t>B1</t>
        </is>
      </c>
      <c r="F42" s="17" t="inlineStr">
        <is>
          <t>Alternance</t>
        </is>
      </c>
      <c r="G42" s="38" t="n">
        <v>1</v>
      </c>
      <c r="H42" s="38" t="n">
        <v>680</v>
      </c>
      <c r="I42" s="38" t="n">
        <v>136</v>
      </c>
      <c r="J42" s="38" t="n">
        <v>95</v>
      </c>
      <c r="K42" s="38" t="n">
        <v>40</v>
      </c>
      <c r="L42" s="38" t="n">
        <v>0</v>
      </c>
      <c r="M42" s="38" t="n">
        <v>40</v>
      </c>
      <c r="N42" s="38" t="n">
        <v>0</v>
      </c>
      <c r="O42" s="38" t="n">
        <v>2</v>
      </c>
      <c r="P42" s="39" t="n">
        <v>6650</v>
      </c>
      <c r="Q42" s="40" t="n">
        <v>0</v>
      </c>
      <c r="R42" s="40" t="n">
        <v>0.2</v>
      </c>
      <c r="S42" s="40" t="n">
        <v>0.6985</v>
      </c>
      <c r="T42" s="40" t="n">
        <v>0.4211</v>
      </c>
    </row>
    <row r="43">
      <c r="A43" s="17" t="inlineStr">
        <is>
          <t>Ipac Bachelor Factory</t>
        </is>
      </c>
      <c r="B43" s="17" t="inlineStr">
        <is>
          <t>Rennes</t>
        </is>
      </c>
      <c r="C43" s="17" t="inlineStr">
        <is>
          <t>Bachelor Commerce</t>
        </is>
      </c>
      <c r="D43" s="17" t="inlineStr">
        <is>
          <t>BAC</t>
        </is>
      </c>
      <c r="E43" s="17" t="inlineStr">
        <is>
          <t>B2</t>
        </is>
      </c>
      <c r="F43" s="17" t="inlineStr">
        <is>
          <t>Alternance</t>
        </is>
      </c>
      <c r="G43" s="38" t="n">
        <v>0</v>
      </c>
      <c r="H43" s="38" t="n">
        <v>0</v>
      </c>
      <c r="I43" s="38" t="n">
        <v>0</v>
      </c>
      <c r="J43" s="38" t="n">
        <v>0</v>
      </c>
      <c r="K43" s="38" t="n">
        <v>0</v>
      </c>
      <c r="L43" s="38" t="n">
        <v>37</v>
      </c>
      <c r="M43" s="38" t="n">
        <v>37</v>
      </c>
      <c r="N43" s="38" t="n">
        <v>40</v>
      </c>
      <c r="O43" s="38" t="n">
        <v>2</v>
      </c>
      <c r="P43" s="39" t="n">
        <v>6650</v>
      </c>
      <c r="Q43" s="40" t="n">
        <v>0.93</v>
      </c>
      <c r="R43" s="40" t="n">
        <v>0</v>
      </c>
      <c r="S43" s="40" t="n">
        <v>0</v>
      </c>
      <c r="T43" s="40" t="n">
        <v>0</v>
      </c>
    </row>
    <row r="44">
      <c r="A44" s="17" t="inlineStr">
        <is>
          <t>Ipac Bachelor Factory</t>
        </is>
      </c>
      <c r="B44" s="17" t="inlineStr">
        <is>
          <t>Rennes</t>
        </is>
      </c>
      <c r="C44" s="17" t="inlineStr">
        <is>
          <t>Bachelor Commerce</t>
        </is>
      </c>
      <c r="D44" s="17" t="inlineStr">
        <is>
          <t>BAC</t>
        </is>
      </c>
      <c r="E44" s="17" t="inlineStr">
        <is>
          <t>B3</t>
        </is>
      </c>
      <c r="F44" s="17" t="inlineStr">
        <is>
          <t>Alternance</t>
        </is>
      </c>
      <c r="G44" s="38" t="n">
        <v>0</v>
      </c>
      <c r="H44" s="38" t="n">
        <v>0</v>
      </c>
      <c r="I44" s="38" t="n">
        <v>0</v>
      </c>
      <c r="J44" s="38" t="n">
        <v>0</v>
      </c>
      <c r="K44" s="38" t="n">
        <v>0</v>
      </c>
      <c r="L44" s="38" t="n">
        <v>35</v>
      </c>
      <c r="M44" s="38" t="n">
        <v>35</v>
      </c>
      <c r="N44" s="38" t="n">
        <v>37</v>
      </c>
      <c r="O44" s="38" t="n">
        <v>2</v>
      </c>
      <c r="P44" s="39" t="n">
        <v>6650</v>
      </c>
      <c r="Q44" s="40" t="n">
        <v>0.95</v>
      </c>
      <c r="R44" s="40" t="n">
        <v>0</v>
      </c>
      <c r="S44" s="40" t="n">
        <v>0</v>
      </c>
      <c r="T44" s="40" t="n">
        <v>0</v>
      </c>
    </row>
    <row r="45">
      <c r="A45" s="17" t="inlineStr">
        <is>
          <t>Ipac Bachelor Factory</t>
        </is>
      </c>
      <c r="B45" s="17" t="inlineStr">
        <is>
          <t>Montpellier</t>
        </is>
      </c>
      <c r="C45" s="17" t="inlineStr">
        <is>
          <t>Bachelor Commerce</t>
        </is>
      </c>
      <c r="D45" s="17" t="inlineStr">
        <is>
          <t>BAC</t>
        </is>
      </c>
      <c r="E45" s="17" t="inlineStr">
        <is>
          <t>B1</t>
        </is>
      </c>
      <c r="F45" s="17" t="inlineStr">
        <is>
          <t>Alternance</t>
        </is>
      </c>
      <c r="G45" s="38" t="n">
        <v>1</v>
      </c>
      <c r="H45" s="38" t="n">
        <v>680</v>
      </c>
      <c r="I45" s="38" t="n">
        <v>136</v>
      </c>
      <c r="J45" s="38" t="n">
        <v>95</v>
      </c>
      <c r="K45" s="38" t="n">
        <v>40</v>
      </c>
      <c r="L45" s="38" t="n">
        <v>0</v>
      </c>
      <c r="M45" s="38" t="n">
        <v>40</v>
      </c>
      <c r="N45" s="38" t="n">
        <v>0</v>
      </c>
      <c r="O45" s="38" t="n">
        <v>2</v>
      </c>
      <c r="P45" s="39" t="n">
        <v>6650</v>
      </c>
      <c r="Q45" s="40" t="n">
        <v>0</v>
      </c>
      <c r="R45" s="40" t="n">
        <v>0.2</v>
      </c>
      <c r="S45" s="40" t="n">
        <v>0.6985</v>
      </c>
      <c r="T45" s="40" t="n">
        <v>0.4211</v>
      </c>
    </row>
    <row r="46">
      <c r="A46" s="17" t="inlineStr">
        <is>
          <t>Ipac Bachelor Factory</t>
        </is>
      </c>
      <c r="B46" s="17" t="inlineStr">
        <is>
          <t>Montpellier</t>
        </is>
      </c>
      <c r="C46" s="17" t="inlineStr">
        <is>
          <t>Bachelor Commerce</t>
        </is>
      </c>
      <c r="D46" s="17" t="inlineStr">
        <is>
          <t>BAC</t>
        </is>
      </c>
      <c r="E46" s="17" t="inlineStr">
        <is>
          <t>B2</t>
        </is>
      </c>
      <c r="F46" s="17" t="inlineStr">
        <is>
          <t>Alternance</t>
        </is>
      </c>
      <c r="G46" s="38" t="n">
        <v>0</v>
      </c>
      <c r="H46" s="38" t="n">
        <v>0</v>
      </c>
      <c r="I46" s="38" t="n">
        <v>0</v>
      </c>
      <c r="J46" s="38" t="n">
        <v>0</v>
      </c>
      <c r="K46" s="38" t="n">
        <v>0</v>
      </c>
      <c r="L46" s="38" t="n">
        <v>37</v>
      </c>
      <c r="M46" s="38" t="n">
        <v>37</v>
      </c>
      <c r="N46" s="38" t="n">
        <v>40</v>
      </c>
      <c r="O46" s="38" t="n">
        <v>2</v>
      </c>
      <c r="P46" s="39" t="n">
        <v>6650</v>
      </c>
      <c r="Q46" s="40" t="n">
        <v>0.93</v>
      </c>
      <c r="R46" s="40" t="n">
        <v>0</v>
      </c>
      <c r="S46" s="40" t="n">
        <v>0</v>
      </c>
      <c r="T46" s="40" t="n">
        <v>0</v>
      </c>
    </row>
    <row r="47">
      <c r="A47" s="17" t="inlineStr">
        <is>
          <t>Ipac Bachelor Factory</t>
        </is>
      </c>
      <c r="B47" s="17" t="inlineStr">
        <is>
          <t>Montpellier</t>
        </is>
      </c>
      <c r="C47" s="17" t="inlineStr">
        <is>
          <t>Bachelor Commerce</t>
        </is>
      </c>
      <c r="D47" s="17" t="inlineStr">
        <is>
          <t>BAC</t>
        </is>
      </c>
      <c r="E47" s="17" t="inlineStr">
        <is>
          <t>B3</t>
        </is>
      </c>
      <c r="F47" s="17" t="inlineStr">
        <is>
          <t>Alternance</t>
        </is>
      </c>
      <c r="G47" s="38" t="n">
        <v>0</v>
      </c>
      <c r="H47" s="38" t="n">
        <v>0</v>
      </c>
      <c r="I47" s="38" t="n">
        <v>0</v>
      </c>
      <c r="J47" s="38" t="n">
        <v>0</v>
      </c>
      <c r="K47" s="38" t="n">
        <v>0</v>
      </c>
      <c r="L47" s="38" t="n">
        <v>35</v>
      </c>
      <c r="M47" s="38" t="n">
        <v>35</v>
      </c>
      <c r="N47" s="38" t="n">
        <v>37</v>
      </c>
      <c r="O47" s="38" t="n">
        <v>2</v>
      </c>
      <c r="P47" s="39" t="n">
        <v>6650</v>
      </c>
      <c r="Q47" s="40" t="n">
        <v>0.95</v>
      </c>
      <c r="R47" s="40" t="n">
        <v>0</v>
      </c>
      <c r="S47" s="40" t="n">
        <v>0</v>
      </c>
      <c r="T47" s="40" t="n">
        <v>0</v>
      </c>
    </row>
    <row r="48">
      <c r="A48" s="17" t="inlineStr">
        <is>
          <t>Pigier</t>
        </is>
      </c>
      <c r="B48" s="17" t="inlineStr">
        <is>
          <t>Lyon</t>
        </is>
      </c>
      <c r="C48" s="17" t="inlineStr">
        <is>
          <t>BTS Gestion</t>
        </is>
      </c>
      <c r="D48" s="17" t="inlineStr">
        <is>
          <t>BTS</t>
        </is>
      </c>
      <c r="E48" s="17" t="inlineStr">
        <is>
          <t>1</t>
        </is>
      </c>
      <c r="F48" s="17" t="inlineStr">
        <is>
          <t>Alternance</t>
        </is>
      </c>
      <c r="G48" s="38" t="n">
        <v>1</v>
      </c>
      <c r="H48" s="38" t="n">
        <v>785</v>
      </c>
      <c r="I48" s="38" t="n">
        <v>157</v>
      </c>
      <c r="J48" s="38" t="n">
        <v>110</v>
      </c>
      <c r="K48" s="38" t="n">
        <v>46</v>
      </c>
      <c r="L48" s="38" t="n">
        <v>0</v>
      </c>
      <c r="M48" s="38" t="n">
        <v>46</v>
      </c>
      <c r="N48" s="38" t="n">
        <v>0</v>
      </c>
      <c r="O48" s="38" t="n">
        <v>2</v>
      </c>
      <c r="P48" s="39" t="n">
        <v>6300</v>
      </c>
      <c r="Q48" s="40" t="n">
        <v>0</v>
      </c>
      <c r="R48" s="40" t="n">
        <v>0.2</v>
      </c>
      <c r="S48" s="40" t="n">
        <v>0.7006</v>
      </c>
      <c r="T48" s="40" t="n">
        <v>0.4182</v>
      </c>
    </row>
    <row r="49">
      <c r="A49" s="17" t="inlineStr">
        <is>
          <t>Pigier</t>
        </is>
      </c>
      <c r="B49" s="17" t="inlineStr">
        <is>
          <t>Lyon</t>
        </is>
      </c>
      <c r="C49" s="17" t="inlineStr">
        <is>
          <t>BTS Gestion</t>
        </is>
      </c>
      <c r="D49" s="17" t="inlineStr">
        <is>
          <t>BTS</t>
        </is>
      </c>
      <c r="E49" s="17" t="inlineStr">
        <is>
          <t>2</t>
        </is>
      </c>
      <c r="F49" s="17" t="inlineStr">
        <is>
          <t>Alternance</t>
        </is>
      </c>
      <c r="G49" s="38" t="n">
        <v>0</v>
      </c>
      <c r="H49" s="38" t="n">
        <v>0</v>
      </c>
      <c r="I49" s="38" t="n">
        <v>0</v>
      </c>
      <c r="J49" s="38" t="n">
        <v>0</v>
      </c>
      <c r="K49" s="38" t="n">
        <v>0</v>
      </c>
      <c r="L49" s="38" t="n">
        <v>43</v>
      </c>
      <c r="M49" s="38" t="n">
        <v>43</v>
      </c>
      <c r="N49" s="38" t="n">
        <v>46</v>
      </c>
      <c r="O49" s="38" t="n">
        <v>2</v>
      </c>
      <c r="P49" s="39" t="n">
        <v>6300</v>
      </c>
      <c r="Q49" s="40" t="n">
        <v>0.9399999999999999</v>
      </c>
      <c r="R49" s="40" t="n">
        <v>0</v>
      </c>
      <c r="S49" s="40" t="n">
        <v>0</v>
      </c>
      <c r="T49" s="40" t="n">
        <v>0</v>
      </c>
    </row>
    <row r="50">
      <c r="A50" s="17" t="inlineStr">
        <is>
          <t>Pigier</t>
        </is>
      </c>
      <c r="B50" s="17" t="inlineStr">
        <is>
          <t>Lyon</t>
        </is>
      </c>
      <c r="C50" s="17" t="inlineStr">
        <is>
          <t>Bachelor RH</t>
        </is>
      </c>
      <c r="D50" s="17" t="inlineStr">
        <is>
          <t>BAC</t>
        </is>
      </c>
      <c r="E50" s="17" t="inlineStr">
        <is>
          <t>B1</t>
        </is>
      </c>
      <c r="F50" s="17" t="inlineStr">
        <is>
          <t>Alternance</t>
        </is>
      </c>
      <c r="G50" s="38" t="n">
        <v>1</v>
      </c>
      <c r="H50" s="38" t="n">
        <v>785</v>
      </c>
      <c r="I50" s="38" t="n">
        <v>157</v>
      </c>
      <c r="J50" s="38" t="n">
        <v>110</v>
      </c>
      <c r="K50" s="38" t="n">
        <v>46</v>
      </c>
      <c r="L50" s="38" t="n">
        <v>0</v>
      </c>
      <c r="M50" s="38" t="n">
        <v>46</v>
      </c>
      <c r="N50" s="38" t="n">
        <v>0</v>
      </c>
      <c r="O50" s="38" t="n">
        <v>2</v>
      </c>
      <c r="P50" s="39" t="n">
        <v>7350</v>
      </c>
      <c r="Q50" s="40" t="n">
        <v>0</v>
      </c>
      <c r="R50" s="40" t="n">
        <v>0.2</v>
      </c>
      <c r="S50" s="40" t="n">
        <v>0.7006</v>
      </c>
      <c r="T50" s="40" t="n">
        <v>0.4182</v>
      </c>
    </row>
    <row r="51">
      <c r="A51" s="17" t="inlineStr">
        <is>
          <t>Pigier</t>
        </is>
      </c>
      <c r="B51" s="17" t="inlineStr">
        <is>
          <t>Lyon</t>
        </is>
      </c>
      <c r="C51" s="17" t="inlineStr">
        <is>
          <t>Bachelor RH</t>
        </is>
      </c>
      <c r="D51" s="17" t="inlineStr">
        <is>
          <t>BAC</t>
        </is>
      </c>
      <c r="E51" s="17" t="inlineStr">
        <is>
          <t>B3</t>
        </is>
      </c>
      <c r="F51" s="17" t="inlineStr">
        <is>
          <t>Alternance</t>
        </is>
      </c>
      <c r="G51" s="38" t="n">
        <v>0</v>
      </c>
      <c r="H51" s="38" t="n">
        <v>0</v>
      </c>
      <c r="I51" s="38" t="n">
        <v>0</v>
      </c>
      <c r="J51" s="38" t="n">
        <v>0</v>
      </c>
      <c r="K51" s="38" t="n">
        <v>0</v>
      </c>
      <c r="L51" s="38" t="n">
        <v>44</v>
      </c>
      <c r="M51" s="38" t="n">
        <v>44</v>
      </c>
      <c r="N51" s="38" t="n">
        <v>46</v>
      </c>
      <c r="O51" s="38" t="n">
        <v>2</v>
      </c>
      <c r="P51" s="39" t="n">
        <v>7350</v>
      </c>
      <c r="Q51" s="40" t="n">
        <v>0.95</v>
      </c>
      <c r="R51" s="40" t="n">
        <v>0</v>
      </c>
      <c r="S51" s="40" t="n">
        <v>0</v>
      </c>
      <c r="T51" s="40" t="n">
        <v>0</v>
      </c>
    </row>
    <row r="52">
      <c r="A52" s="17" t="inlineStr">
        <is>
          <t>Pigier</t>
        </is>
      </c>
      <c r="B52" s="17" t="inlineStr">
        <is>
          <t>Bordeaux</t>
        </is>
      </c>
      <c r="C52" s="17" t="inlineStr">
        <is>
          <t>BTS Gestion</t>
        </is>
      </c>
      <c r="D52" s="17" t="inlineStr">
        <is>
          <t>BTS</t>
        </is>
      </c>
      <c r="E52" s="17" t="inlineStr">
        <is>
          <t>1</t>
        </is>
      </c>
      <c r="F52" s="17" t="inlineStr">
        <is>
          <t>Alternance</t>
        </is>
      </c>
      <c r="G52" s="38" t="n">
        <v>1</v>
      </c>
      <c r="H52" s="38" t="n">
        <v>615</v>
      </c>
      <c r="I52" s="38" t="n">
        <v>123</v>
      </c>
      <c r="J52" s="38" t="n">
        <v>86</v>
      </c>
      <c r="K52" s="38" t="n">
        <v>36</v>
      </c>
      <c r="L52" s="38" t="n">
        <v>0</v>
      </c>
      <c r="M52" s="38" t="n">
        <v>36</v>
      </c>
      <c r="N52" s="38" t="n">
        <v>0</v>
      </c>
      <c r="O52" s="38" t="n">
        <v>2</v>
      </c>
      <c r="P52" s="39" t="n">
        <v>5820</v>
      </c>
      <c r="Q52" s="40" t="n">
        <v>0</v>
      </c>
      <c r="R52" s="40" t="n">
        <v>0.2</v>
      </c>
      <c r="S52" s="40" t="n">
        <v>0.6992</v>
      </c>
      <c r="T52" s="40" t="n">
        <v>0.4186</v>
      </c>
    </row>
    <row r="53">
      <c r="A53" s="17" t="inlineStr">
        <is>
          <t>Pigier</t>
        </is>
      </c>
      <c r="B53" s="17" t="inlineStr">
        <is>
          <t>Bordeaux</t>
        </is>
      </c>
      <c r="C53" s="17" t="inlineStr">
        <is>
          <t>BTS Gestion</t>
        </is>
      </c>
      <c r="D53" s="17" t="inlineStr">
        <is>
          <t>BTS</t>
        </is>
      </c>
      <c r="E53" s="17" t="inlineStr">
        <is>
          <t>2</t>
        </is>
      </c>
      <c r="F53" s="17" t="inlineStr">
        <is>
          <t>Alternance</t>
        </is>
      </c>
      <c r="G53" s="38" t="n">
        <v>0</v>
      </c>
      <c r="H53" s="38" t="n">
        <v>0</v>
      </c>
      <c r="I53" s="38" t="n">
        <v>0</v>
      </c>
      <c r="J53" s="38" t="n">
        <v>0</v>
      </c>
      <c r="K53" s="38" t="n">
        <v>0</v>
      </c>
      <c r="L53" s="38" t="n">
        <v>34</v>
      </c>
      <c r="M53" s="38" t="n">
        <v>34</v>
      </c>
      <c r="N53" s="38" t="n">
        <v>36</v>
      </c>
      <c r="O53" s="38" t="n">
        <v>2</v>
      </c>
      <c r="P53" s="39" t="n">
        <v>5820</v>
      </c>
      <c r="Q53" s="40" t="n">
        <v>0.9399999999999999</v>
      </c>
      <c r="R53" s="40" t="n">
        <v>0</v>
      </c>
      <c r="S53" s="40" t="n">
        <v>0</v>
      </c>
      <c r="T53" s="40" t="n">
        <v>0</v>
      </c>
    </row>
    <row r="54">
      <c r="A54" s="17" t="inlineStr">
        <is>
          <t>Pigier</t>
        </is>
      </c>
      <c r="B54" s="17" t="inlineStr">
        <is>
          <t>Bordeaux</t>
        </is>
      </c>
      <c r="C54" s="17" t="inlineStr">
        <is>
          <t>Bachelor RH</t>
        </is>
      </c>
      <c r="D54" s="17" t="inlineStr">
        <is>
          <t>BAC</t>
        </is>
      </c>
      <c r="E54" s="17" t="inlineStr">
        <is>
          <t>B1</t>
        </is>
      </c>
      <c r="F54" s="17" t="inlineStr">
        <is>
          <t>Alternance</t>
        </is>
      </c>
      <c r="G54" s="38" t="n">
        <v>1</v>
      </c>
      <c r="H54" s="38" t="n">
        <v>615</v>
      </c>
      <c r="I54" s="38" t="n">
        <v>123</v>
      </c>
      <c r="J54" s="38" t="n">
        <v>86</v>
      </c>
      <c r="K54" s="38" t="n">
        <v>36</v>
      </c>
      <c r="L54" s="38" t="n">
        <v>0</v>
      </c>
      <c r="M54" s="38" t="n">
        <v>36</v>
      </c>
      <c r="N54" s="38" t="n">
        <v>0</v>
      </c>
      <c r="O54" s="38" t="n">
        <v>2</v>
      </c>
      <c r="P54" s="39" t="n">
        <v>6790</v>
      </c>
      <c r="Q54" s="40" t="n">
        <v>0</v>
      </c>
      <c r="R54" s="40" t="n">
        <v>0.2</v>
      </c>
      <c r="S54" s="40" t="n">
        <v>0.6992</v>
      </c>
      <c r="T54" s="40" t="n">
        <v>0.4186</v>
      </c>
    </row>
    <row r="55">
      <c r="A55" s="17" t="inlineStr">
        <is>
          <t>Pigier</t>
        </is>
      </c>
      <c r="B55" s="17" t="inlineStr">
        <is>
          <t>Bordeaux</t>
        </is>
      </c>
      <c r="C55" s="17" t="inlineStr">
        <is>
          <t>Bachelor RH</t>
        </is>
      </c>
      <c r="D55" s="17" t="inlineStr">
        <is>
          <t>BAC</t>
        </is>
      </c>
      <c r="E55" s="17" t="inlineStr">
        <is>
          <t>B3</t>
        </is>
      </c>
      <c r="F55" s="17" t="inlineStr">
        <is>
          <t>Alternance</t>
        </is>
      </c>
      <c r="G55" s="38" t="n">
        <v>0</v>
      </c>
      <c r="H55" s="38" t="n">
        <v>0</v>
      </c>
      <c r="I55" s="38" t="n">
        <v>0</v>
      </c>
      <c r="J55" s="38" t="n">
        <v>0</v>
      </c>
      <c r="K55" s="38" t="n">
        <v>0</v>
      </c>
      <c r="L55" s="38" t="n">
        <v>34</v>
      </c>
      <c r="M55" s="38" t="n">
        <v>34</v>
      </c>
      <c r="N55" s="38" t="n">
        <v>36</v>
      </c>
      <c r="O55" s="38" t="n">
        <v>2</v>
      </c>
      <c r="P55" s="39" t="n">
        <v>6790</v>
      </c>
      <c r="Q55" s="40" t="n">
        <v>0.95</v>
      </c>
      <c r="R55" s="40" t="n">
        <v>0</v>
      </c>
      <c r="S55" s="40" t="n">
        <v>0</v>
      </c>
      <c r="T55" s="40" t="n">
        <v>0</v>
      </c>
    </row>
    <row r="56">
      <c r="A56" s="17" t="inlineStr">
        <is>
          <t>Tunon</t>
        </is>
      </c>
      <c r="B56" s="17" t="inlineStr">
        <is>
          <t>Paris</t>
        </is>
      </c>
      <c r="C56" s="17" t="inlineStr">
        <is>
          <t>Bachelor Tourisme</t>
        </is>
      </c>
      <c r="D56" s="17" t="inlineStr">
        <is>
          <t>BAC</t>
        </is>
      </c>
      <c r="E56" s="17" t="inlineStr">
        <is>
          <t>B1</t>
        </is>
      </c>
      <c r="F56" s="17" t="inlineStr">
        <is>
          <t>Alternance</t>
        </is>
      </c>
      <c r="G56" s="38" t="n">
        <v>1</v>
      </c>
      <c r="H56" s="38" t="n">
        <v>800</v>
      </c>
      <c r="I56" s="38" t="n">
        <v>160</v>
      </c>
      <c r="J56" s="38" t="n">
        <v>112</v>
      </c>
      <c r="K56" s="38" t="n">
        <v>47</v>
      </c>
      <c r="L56" s="38" t="n">
        <v>0</v>
      </c>
      <c r="M56" s="38" t="n">
        <v>47</v>
      </c>
      <c r="N56" s="38" t="n">
        <v>0</v>
      </c>
      <c r="O56" s="38" t="n">
        <v>2</v>
      </c>
      <c r="P56" s="39" t="n">
        <v>7840</v>
      </c>
      <c r="Q56" s="40" t="n">
        <v>0</v>
      </c>
      <c r="R56" s="40" t="n">
        <v>0.2</v>
      </c>
      <c r="S56" s="40" t="n">
        <v>0.7</v>
      </c>
      <c r="T56" s="40" t="n">
        <v>0.4196</v>
      </c>
    </row>
    <row r="57">
      <c r="A57" s="17" t="inlineStr">
        <is>
          <t>Tunon</t>
        </is>
      </c>
      <c r="B57" s="17" t="inlineStr">
        <is>
          <t>Paris</t>
        </is>
      </c>
      <c r="C57" s="17" t="inlineStr">
        <is>
          <t>Bachelor Tourisme</t>
        </is>
      </c>
      <c r="D57" s="17" t="inlineStr">
        <is>
          <t>BAC</t>
        </is>
      </c>
      <c r="E57" s="17" t="inlineStr">
        <is>
          <t>B2</t>
        </is>
      </c>
      <c r="F57" s="17" t="inlineStr">
        <is>
          <t>Alternance</t>
        </is>
      </c>
      <c r="G57" s="38" t="n">
        <v>0</v>
      </c>
      <c r="H57" s="38" t="n">
        <v>0</v>
      </c>
      <c r="I57" s="38" t="n">
        <v>0</v>
      </c>
      <c r="J57" s="38" t="n">
        <v>0</v>
      </c>
      <c r="K57" s="38" t="n">
        <v>0</v>
      </c>
      <c r="L57" s="38" t="n">
        <v>44</v>
      </c>
      <c r="M57" s="38" t="n">
        <v>44</v>
      </c>
      <c r="N57" s="38" t="n">
        <v>47</v>
      </c>
      <c r="O57" s="38" t="n">
        <v>2</v>
      </c>
      <c r="P57" s="39" t="n">
        <v>7840</v>
      </c>
      <c r="Q57" s="40" t="n">
        <v>0.93</v>
      </c>
      <c r="R57" s="40" t="n">
        <v>0</v>
      </c>
      <c r="S57" s="40" t="n">
        <v>0</v>
      </c>
      <c r="T57" s="40" t="n">
        <v>0</v>
      </c>
    </row>
    <row r="58">
      <c r="A58" s="17" t="inlineStr">
        <is>
          <t>Tunon</t>
        </is>
      </c>
      <c r="B58" s="17" t="inlineStr">
        <is>
          <t>Paris</t>
        </is>
      </c>
      <c r="C58" s="17" t="inlineStr">
        <is>
          <t>Bachelor Tourisme</t>
        </is>
      </c>
      <c r="D58" s="17" t="inlineStr">
        <is>
          <t>BAC</t>
        </is>
      </c>
      <c r="E58" s="17" t="inlineStr">
        <is>
          <t>B3</t>
        </is>
      </c>
      <c r="F58" s="17" t="inlineStr">
        <is>
          <t>Alternance</t>
        </is>
      </c>
      <c r="G58" s="38" t="n">
        <v>0</v>
      </c>
      <c r="H58" s="38" t="n">
        <v>0</v>
      </c>
      <c r="I58" s="38" t="n">
        <v>0</v>
      </c>
      <c r="J58" s="38" t="n">
        <v>0</v>
      </c>
      <c r="K58" s="38" t="n">
        <v>0</v>
      </c>
      <c r="L58" s="38" t="n">
        <v>42</v>
      </c>
      <c r="M58" s="38" t="n">
        <v>42</v>
      </c>
      <c r="N58" s="38" t="n">
        <v>44</v>
      </c>
      <c r="O58" s="38" t="n">
        <v>2</v>
      </c>
      <c r="P58" s="39" t="n">
        <v>7840</v>
      </c>
      <c r="Q58" s="40" t="n">
        <v>0.95</v>
      </c>
      <c r="R58" s="40" t="n">
        <v>0</v>
      </c>
      <c r="S58" s="40" t="n">
        <v>0</v>
      </c>
      <c r="T58" s="40" t="n">
        <v>0</v>
      </c>
    </row>
    <row r="59">
      <c r="A59" s="17" t="inlineStr">
        <is>
          <t>Tunon</t>
        </is>
      </c>
      <c r="B59" s="17" t="inlineStr">
        <is>
          <t>Lyon</t>
        </is>
      </c>
      <c r="C59" s="17" t="inlineStr">
        <is>
          <t>Bachelor Tourisme</t>
        </is>
      </c>
      <c r="D59" s="17" t="inlineStr">
        <is>
          <t>BAC</t>
        </is>
      </c>
      <c r="E59" s="17" t="inlineStr">
        <is>
          <t>B1</t>
        </is>
      </c>
      <c r="F59" s="17" t="inlineStr">
        <is>
          <t>Alternance</t>
        </is>
      </c>
      <c r="G59" s="38" t="n">
        <v>1</v>
      </c>
      <c r="H59" s="38" t="n">
        <v>680</v>
      </c>
      <c r="I59" s="38" t="n">
        <v>136</v>
      </c>
      <c r="J59" s="38" t="n">
        <v>95</v>
      </c>
      <c r="K59" s="38" t="n">
        <v>40</v>
      </c>
      <c r="L59" s="38" t="n">
        <v>0</v>
      </c>
      <c r="M59" s="38" t="n">
        <v>40</v>
      </c>
      <c r="N59" s="38" t="n">
        <v>0</v>
      </c>
      <c r="O59" s="38" t="n">
        <v>2</v>
      </c>
      <c r="P59" s="39" t="n">
        <v>7350</v>
      </c>
      <c r="Q59" s="40" t="n">
        <v>0</v>
      </c>
      <c r="R59" s="40" t="n">
        <v>0.2</v>
      </c>
      <c r="S59" s="40" t="n">
        <v>0.6985</v>
      </c>
      <c r="T59" s="40" t="n">
        <v>0.4211</v>
      </c>
    </row>
    <row r="60">
      <c r="A60" s="17" t="inlineStr">
        <is>
          <t>Tunon</t>
        </is>
      </c>
      <c r="B60" s="17" t="inlineStr">
        <is>
          <t>Lyon</t>
        </is>
      </c>
      <c r="C60" s="17" t="inlineStr">
        <is>
          <t>Bachelor Tourisme</t>
        </is>
      </c>
      <c r="D60" s="17" t="inlineStr">
        <is>
          <t>BAC</t>
        </is>
      </c>
      <c r="E60" s="17" t="inlineStr">
        <is>
          <t>B2</t>
        </is>
      </c>
      <c r="F60" s="17" t="inlineStr">
        <is>
          <t>Alternance</t>
        </is>
      </c>
      <c r="G60" s="38" t="n">
        <v>0</v>
      </c>
      <c r="H60" s="38" t="n">
        <v>0</v>
      </c>
      <c r="I60" s="38" t="n">
        <v>0</v>
      </c>
      <c r="J60" s="38" t="n">
        <v>0</v>
      </c>
      <c r="K60" s="38" t="n">
        <v>0</v>
      </c>
      <c r="L60" s="38" t="n">
        <v>37</v>
      </c>
      <c r="M60" s="38" t="n">
        <v>37</v>
      </c>
      <c r="N60" s="38" t="n">
        <v>40</v>
      </c>
      <c r="O60" s="38" t="n">
        <v>2</v>
      </c>
      <c r="P60" s="39" t="n">
        <v>7350</v>
      </c>
      <c r="Q60" s="40" t="n">
        <v>0.93</v>
      </c>
      <c r="R60" s="40" t="n">
        <v>0</v>
      </c>
      <c r="S60" s="40" t="n">
        <v>0</v>
      </c>
      <c r="T60" s="40" t="n">
        <v>0</v>
      </c>
    </row>
    <row r="61">
      <c r="A61" s="17" t="inlineStr">
        <is>
          <t>Tunon</t>
        </is>
      </c>
      <c r="B61" s="17" t="inlineStr">
        <is>
          <t>Lyon</t>
        </is>
      </c>
      <c r="C61" s="17" t="inlineStr">
        <is>
          <t>Bachelor Tourisme</t>
        </is>
      </c>
      <c r="D61" s="17" t="inlineStr">
        <is>
          <t>BAC</t>
        </is>
      </c>
      <c r="E61" s="17" t="inlineStr">
        <is>
          <t>B3</t>
        </is>
      </c>
      <c r="F61" s="17" t="inlineStr">
        <is>
          <t>Alternance</t>
        </is>
      </c>
      <c r="G61" s="38" t="n">
        <v>0</v>
      </c>
      <c r="H61" s="38" t="n">
        <v>0</v>
      </c>
      <c r="I61" s="38" t="n">
        <v>0</v>
      </c>
      <c r="J61" s="38" t="n">
        <v>0</v>
      </c>
      <c r="K61" s="38" t="n">
        <v>0</v>
      </c>
      <c r="L61" s="38" t="n">
        <v>35</v>
      </c>
      <c r="M61" s="38" t="n">
        <v>35</v>
      </c>
      <c r="N61" s="38" t="n">
        <v>37</v>
      </c>
      <c r="O61" s="38" t="n">
        <v>2</v>
      </c>
      <c r="P61" s="39" t="n">
        <v>7350</v>
      </c>
      <c r="Q61" s="40" t="n">
        <v>0.95</v>
      </c>
      <c r="R61" s="40" t="n">
        <v>0</v>
      </c>
      <c r="S61" s="40" t="n">
        <v>0</v>
      </c>
      <c r="T61" s="40" t="n">
        <v>0</v>
      </c>
    </row>
  </sheetData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8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9" customWidth="1" min="5" max="5"/>
    <col width="13" customWidth="1" min="6" max="6"/>
    <col width="13" customWidth="1" min="7" max="7"/>
    <col width="9" customWidth="1" min="8" max="8"/>
    <col width="13" customWidth="1" min="9" max="9"/>
    <col width="14" customWidth="1" min="10" max="10"/>
    <col width="13" customWidth="1" min="11" max="11"/>
    <col width="13" customWidth="1" min="12" max="12"/>
    <col width="11" customWidth="1" min="13" max="13"/>
  </cols>
  <sheetData>
    <row r="1" ht="22" customHeight="1">
      <c r="A1" s="1" t="inlineStr">
        <is>
          <t>MOTEUR D'ACQUISITION (campus) — leads = socle organique (fixe) + part payante (budget → rendement décroissant ^r)</t>
        </is>
      </c>
    </row>
    <row r="2" ht="16" customHeight="1">
      <c r="A2" s="7" t="inlineStr">
        <is>
          <t>Organiques = site, salons, Parcoursup, bouche-à-oreille (indépendants du budget). Payants actifs = payants réf × (Budget actif/Budget réf)^rendement. Total = organiques + payants.</t>
        </is>
      </c>
    </row>
    <row r="3" ht="30" customHeight="1">
      <c r="A3" s="10" t="inlineStr">
        <is>
          <t>Marque</t>
        </is>
      </c>
      <c r="B3" s="10" t="inlineStr">
        <is>
          <t>Ville</t>
        </is>
      </c>
      <c r="C3" s="10" t="inlineStr">
        <is>
          <t>clé</t>
        </is>
      </c>
      <c r="D3" s="10" t="inlineStr">
        <is>
          <t>Σ Leads hist</t>
        </is>
      </c>
      <c r="E3" s="10" t="inlineStr">
        <is>
          <t>Part org.</t>
        </is>
      </c>
      <c r="F3" s="10" t="inlineStr">
        <is>
          <t>Leads organiques</t>
        </is>
      </c>
      <c r="G3" s="10" t="inlineStr">
        <is>
          <t>Leads payants réf</t>
        </is>
      </c>
      <c r="H3" s="10" t="inlineStr">
        <is>
          <t>CPL réf</t>
        </is>
      </c>
      <c r="I3" s="10" t="inlineStr">
        <is>
          <t>Budget payant réf</t>
        </is>
      </c>
      <c r="J3" s="10" t="inlineStr">
        <is>
          <t>Budget payant actif</t>
        </is>
      </c>
      <c r="K3" s="10" t="inlineStr">
        <is>
          <t>Leads payants actif</t>
        </is>
      </c>
      <c r="L3" s="10" t="inlineStr">
        <is>
          <t>Leads actif total</t>
        </is>
      </c>
      <c r="M3" s="10" t="inlineStr">
        <is>
          <t>CPL effectif</t>
        </is>
      </c>
    </row>
    <row r="5">
      <c r="A5" s="17" t="inlineStr">
        <is>
          <t>MBway</t>
        </is>
      </c>
      <c r="B5" s="18" t="inlineStr">
        <is>
          <t>Paris</t>
        </is>
      </c>
      <c r="C5" s="20">
        <f>A5&amp;"|"&amp;B5</f>
        <v/>
      </c>
      <c r="D5" s="24">
        <f>SUMIFS('02_Base'!$H$4:$H$61,'02_Base'!$A$4:$A$61,"MBway",'02_Base'!$B$4:$B$61,"Paris",'02_Base'!$G$4:$G$61,1)</f>
        <v/>
      </c>
      <c r="E5" s="41">
        <f>'01_Cadrage'!$H$23</f>
        <v/>
      </c>
      <c r="F5" s="24">
        <f>D5*E5</f>
        <v/>
      </c>
      <c r="G5" s="24">
        <f>D5*(1-E5)</f>
        <v/>
      </c>
      <c r="H5" s="42" t="n">
        <v>54</v>
      </c>
      <c r="I5" s="15">
        <f>ROUND(G5*H5,0)</f>
        <v/>
      </c>
      <c r="J5" s="13">
        <f>I5*(1+'01_Cadrage'!$H$14)</f>
        <v/>
      </c>
      <c r="K5" s="22">
        <f>G5*(J5/I5)^'01_Cadrage'!$H$22</f>
        <v/>
      </c>
      <c r="L5" s="22">
        <f>F5+K5</f>
        <v/>
      </c>
      <c r="M5" s="15">
        <f>IFERROR(J5/K5,0)</f>
        <v/>
      </c>
    </row>
    <row r="6">
      <c r="A6" s="17" t="inlineStr">
        <is>
          <t>MBway</t>
        </is>
      </c>
      <c r="B6" s="18" t="inlineStr">
        <is>
          <t>Lyon</t>
        </is>
      </c>
      <c r="C6" s="20">
        <f>A6&amp;"|"&amp;B6</f>
        <v/>
      </c>
      <c r="D6" s="24">
        <f>SUMIFS('02_Base'!$H$4:$H$61,'02_Base'!$A$4:$A$61,"MBway",'02_Base'!$B$4:$B$61,"Lyon",'02_Base'!$G$4:$G$61,1)</f>
        <v/>
      </c>
      <c r="E6" s="41">
        <f>'01_Cadrage'!$H$23</f>
        <v/>
      </c>
      <c r="F6" s="24">
        <f>D6*E6</f>
        <v/>
      </c>
      <c r="G6" s="24">
        <f>D6*(1-E6)</f>
        <v/>
      </c>
      <c r="H6" s="42" t="n">
        <v>44</v>
      </c>
      <c r="I6" s="15">
        <f>ROUND(G6*H6,0)</f>
        <v/>
      </c>
      <c r="J6" s="13">
        <f>I6*(1+'01_Cadrage'!$H$14)</f>
        <v/>
      </c>
      <c r="K6" s="22">
        <f>G6*(J6/I6)^'01_Cadrage'!$H$22</f>
        <v/>
      </c>
      <c r="L6" s="22">
        <f>F6+K6</f>
        <v/>
      </c>
      <c r="M6" s="15">
        <f>IFERROR(J6/K6,0)</f>
        <v/>
      </c>
    </row>
    <row r="7">
      <c r="A7" s="17" t="inlineStr">
        <is>
          <t>MBway</t>
        </is>
      </c>
      <c r="B7" s="18" t="inlineStr">
        <is>
          <t>Nantes</t>
        </is>
      </c>
      <c r="C7" s="20">
        <f>A7&amp;"|"&amp;B7</f>
        <v/>
      </c>
      <c r="D7" s="24">
        <f>SUMIFS('02_Base'!$H$4:$H$61,'02_Base'!$A$4:$A$61,"MBway",'02_Base'!$B$4:$B$61,"Nantes",'02_Base'!$G$4:$G$61,1)</f>
        <v/>
      </c>
      <c r="E7" s="41">
        <f>'01_Cadrage'!$H$23</f>
        <v/>
      </c>
      <c r="F7" s="24">
        <f>D7*E7</f>
        <v/>
      </c>
      <c r="G7" s="24">
        <f>D7*(1-E7)</f>
        <v/>
      </c>
      <c r="H7" s="42" t="n">
        <v>40</v>
      </c>
      <c r="I7" s="15">
        <f>ROUND(G7*H7,0)</f>
        <v/>
      </c>
      <c r="J7" s="13">
        <f>I7*(1+'01_Cadrage'!$H$14)</f>
        <v/>
      </c>
      <c r="K7" s="22">
        <f>G7*(J7/I7)^'01_Cadrage'!$H$22</f>
        <v/>
      </c>
      <c r="L7" s="22">
        <f>F7+K7</f>
        <v/>
      </c>
      <c r="M7" s="15">
        <f>IFERROR(J7/K7,0)</f>
        <v/>
      </c>
    </row>
    <row r="8">
      <c r="A8" s="17" t="inlineStr">
        <is>
          <t>MBway</t>
        </is>
      </c>
      <c r="B8" s="18" t="inlineStr">
        <is>
          <t>Bordeaux</t>
        </is>
      </c>
      <c r="C8" s="20">
        <f>A8&amp;"|"&amp;B8</f>
        <v/>
      </c>
      <c r="D8" s="24">
        <f>SUMIFS('02_Base'!$H$4:$H$61,'02_Base'!$A$4:$A$61,"MBway",'02_Base'!$B$4:$B$61,"Bordeaux",'02_Base'!$G$4:$G$61,1)</f>
        <v/>
      </c>
      <c r="E8" s="41">
        <f>'01_Cadrage'!$H$23</f>
        <v/>
      </c>
      <c r="F8" s="24">
        <f>D8*E8</f>
        <v/>
      </c>
      <c r="G8" s="24">
        <f>D8*(1-E8)</f>
        <v/>
      </c>
      <c r="H8" s="42" t="n">
        <v>38</v>
      </c>
      <c r="I8" s="15">
        <f>ROUND(G8*H8,0)</f>
        <v/>
      </c>
      <c r="J8" s="13">
        <f>I8*(1+'01_Cadrage'!$H$14)</f>
        <v/>
      </c>
      <c r="K8" s="22">
        <f>G8*(J8/I8)^'01_Cadrage'!$H$22</f>
        <v/>
      </c>
      <c r="L8" s="22">
        <f>F8+K8</f>
        <v/>
      </c>
      <c r="M8" s="15">
        <f>IFERROR(J8/K8,0)</f>
        <v/>
      </c>
    </row>
    <row r="9">
      <c r="A9" s="17" t="inlineStr">
        <is>
          <t>ISCOM</t>
        </is>
      </c>
      <c r="B9" s="18" t="inlineStr">
        <is>
          <t>Paris</t>
        </is>
      </c>
      <c r="C9" s="20">
        <f>A9&amp;"|"&amp;B9</f>
        <v/>
      </c>
      <c r="D9" s="24">
        <f>SUMIFS('02_Base'!$H$4:$H$61,'02_Base'!$A$4:$A$61,"ISCOM",'02_Base'!$B$4:$B$61,"Paris",'02_Base'!$G$4:$G$61,1)</f>
        <v/>
      </c>
      <c r="E9" s="41">
        <f>'01_Cadrage'!$H$23</f>
        <v/>
      </c>
      <c r="F9" s="24">
        <f>D9*E9</f>
        <v/>
      </c>
      <c r="G9" s="24">
        <f>D9*(1-E9)</f>
        <v/>
      </c>
      <c r="H9" s="42" t="n">
        <v>54</v>
      </c>
      <c r="I9" s="15">
        <f>ROUND(G9*H9,0)</f>
        <v/>
      </c>
      <c r="J9" s="13">
        <f>I9*(1+'01_Cadrage'!$H$14)</f>
        <v/>
      </c>
      <c r="K9" s="22">
        <f>G9*(J9/I9)^'01_Cadrage'!$H$22</f>
        <v/>
      </c>
      <c r="L9" s="22">
        <f>F9+K9</f>
        <v/>
      </c>
      <c r="M9" s="15">
        <f>IFERROR(J9/K9,0)</f>
        <v/>
      </c>
    </row>
    <row r="10">
      <c r="A10" s="17" t="inlineStr">
        <is>
          <t>ISCOM</t>
        </is>
      </c>
      <c r="B10" s="18" t="inlineStr">
        <is>
          <t>Lille</t>
        </is>
      </c>
      <c r="C10" s="20">
        <f>A10&amp;"|"&amp;B10</f>
        <v/>
      </c>
      <c r="D10" s="24">
        <f>SUMIFS('02_Base'!$H$4:$H$61,'02_Base'!$A$4:$A$61,"ISCOM",'02_Base'!$B$4:$B$61,"Lille",'02_Base'!$G$4:$G$61,1)</f>
        <v/>
      </c>
      <c r="E10" s="41">
        <f>'01_Cadrage'!$H$23</f>
        <v/>
      </c>
      <c r="F10" s="24">
        <f>D10*E10</f>
        <v/>
      </c>
      <c r="G10" s="24">
        <f>D10*(1-E10)</f>
        <v/>
      </c>
      <c r="H10" s="42" t="n">
        <v>40</v>
      </c>
      <c r="I10" s="15">
        <f>ROUND(G10*H10,0)</f>
        <v/>
      </c>
      <c r="J10" s="13">
        <f>I10*(1+'01_Cadrage'!$H$14)</f>
        <v/>
      </c>
      <c r="K10" s="22">
        <f>G10*(J10/I10)^'01_Cadrage'!$H$22</f>
        <v/>
      </c>
      <c r="L10" s="22">
        <f>F10+K10</f>
        <v/>
      </c>
      <c r="M10" s="15">
        <f>IFERROR(J10/K10,0)</f>
        <v/>
      </c>
    </row>
    <row r="11">
      <c r="A11" s="17" t="inlineStr">
        <is>
          <t>ISCOM</t>
        </is>
      </c>
      <c r="B11" s="18" t="inlineStr">
        <is>
          <t>Toulouse</t>
        </is>
      </c>
      <c r="C11" s="20">
        <f>A11&amp;"|"&amp;B11</f>
        <v/>
      </c>
      <c r="D11" s="24">
        <f>SUMIFS('02_Base'!$H$4:$H$61,'02_Base'!$A$4:$A$61,"ISCOM",'02_Base'!$B$4:$B$61,"Toulouse",'02_Base'!$G$4:$G$61,1)</f>
        <v/>
      </c>
      <c r="E11" s="41">
        <f>'01_Cadrage'!$H$23</f>
        <v/>
      </c>
      <c r="F11" s="24">
        <f>D11*E11</f>
        <v/>
      </c>
      <c r="G11" s="24">
        <f>D11*(1-E11)</f>
        <v/>
      </c>
      <c r="H11" s="42" t="n">
        <v>38</v>
      </c>
      <c r="I11" s="15">
        <f>ROUND(G11*H11,0)</f>
        <v/>
      </c>
      <c r="J11" s="13">
        <f>I11*(1+'01_Cadrage'!$H$14)</f>
        <v/>
      </c>
      <c r="K11" s="22">
        <f>G11*(J11/I11)^'01_Cadrage'!$H$22</f>
        <v/>
      </c>
      <c r="L11" s="22">
        <f>F11+K11</f>
        <v/>
      </c>
      <c r="M11" s="15">
        <f>IFERROR(J11/K11,0)</f>
        <v/>
      </c>
    </row>
    <row r="12">
      <c r="A12" s="17" t="inlineStr">
        <is>
          <t>Ipac Bachelor Factory</t>
        </is>
      </c>
      <c r="B12" s="18" t="inlineStr">
        <is>
          <t>Nantes</t>
        </is>
      </c>
      <c r="C12" s="20">
        <f>A12&amp;"|"&amp;B12</f>
        <v/>
      </c>
      <c r="D12" s="24">
        <f>SUMIFS('02_Base'!$H$4:$H$61,'02_Base'!$A$4:$A$61,"Ipac Bachelor Factory",'02_Base'!$B$4:$B$61,"Nantes",'02_Base'!$G$4:$G$61,1)</f>
        <v/>
      </c>
      <c r="E12" s="41">
        <f>'01_Cadrage'!$H$23</f>
        <v/>
      </c>
      <c r="F12" s="24">
        <f>D12*E12</f>
        <v/>
      </c>
      <c r="G12" s="24">
        <f>D12*(1-E12)</f>
        <v/>
      </c>
      <c r="H12" s="42" t="n">
        <v>40</v>
      </c>
      <c r="I12" s="15">
        <f>ROUND(G12*H12,0)</f>
        <v/>
      </c>
      <c r="J12" s="13">
        <f>I12*(1+'01_Cadrage'!$H$14)</f>
        <v/>
      </c>
      <c r="K12" s="22">
        <f>G12*(J12/I12)^'01_Cadrage'!$H$22</f>
        <v/>
      </c>
      <c r="L12" s="22">
        <f>F12+K12</f>
        <v/>
      </c>
      <c r="M12" s="15">
        <f>IFERROR(J12/K12,0)</f>
        <v/>
      </c>
    </row>
    <row r="13">
      <c r="A13" s="17" t="inlineStr">
        <is>
          <t>Ipac Bachelor Factory</t>
        </is>
      </c>
      <c r="B13" s="18" t="inlineStr">
        <is>
          <t>Rennes</t>
        </is>
      </c>
      <c r="C13" s="20">
        <f>A13&amp;"|"&amp;B13</f>
        <v/>
      </c>
      <c r="D13" s="24">
        <f>SUMIFS('02_Base'!$H$4:$H$61,'02_Base'!$A$4:$A$61,"Ipac Bachelor Factory",'02_Base'!$B$4:$B$61,"Rennes",'02_Base'!$G$4:$G$61,1)</f>
        <v/>
      </c>
      <c r="E13" s="41">
        <f>'01_Cadrage'!$H$23</f>
        <v/>
      </c>
      <c r="F13" s="24">
        <f>D13*E13</f>
        <v/>
      </c>
      <c r="G13" s="24">
        <f>D13*(1-E13)</f>
        <v/>
      </c>
      <c r="H13" s="42" t="n">
        <v>36</v>
      </c>
      <c r="I13" s="15">
        <f>ROUND(G13*H13,0)</f>
        <v/>
      </c>
      <c r="J13" s="13">
        <f>I13*(1+'01_Cadrage'!$H$14)</f>
        <v/>
      </c>
      <c r="K13" s="22">
        <f>G13*(J13/I13)^'01_Cadrage'!$H$22</f>
        <v/>
      </c>
      <c r="L13" s="22">
        <f>F13+K13</f>
        <v/>
      </c>
      <c r="M13" s="15">
        <f>IFERROR(J13/K13,0)</f>
        <v/>
      </c>
    </row>
    <row r="14">
      <c r="A14" s="17" t="inlineStr">
        <is>
          <t>Ipac Bachelor Factory</t>
        </is>
      </c>
      <c r="B14" s="18" t="inlineStr">
        <is>
          <t>Montpellier</t>
        </is>
      </c>
      <c r="C14" s="20">
        <f>A14&amp;"|"&amp;B14</f>
        <v/>
      </c>
      <c r="D14" s="24">
        <f>SUMIFS('02_Base'!$H$4:$H$61,'02_Base'!$A$4:$A$61,"Ipac Bachelor Factory",'02_Base'!$B$4:$B$61,"Montpellier",'02_Base'!$G$4:$G$61,1)</f>
        <v/>
      </c>
      <c r="E14" s="41">
        <f>'01_Cadrage'!$H$23</f>
        <v/>
      </c>
      <c r="F14" s="24">
        <f>D14*E14</f>
        <v/>
      </c>
      <c r="G14" s="24">
        <f>D14*(1-E14)</f>
        <v/>
      </c>
      <c r="H14" s="42" t="n">
        <v>36</v>
      </c>
      <c r="I14" s="15">
        <f>ROUND(G14*H14,0)</f>
        <v/>
      </c>
      <c r="J14" s="13">
        <f>I14*(1+'01_Cadrage'!$H$14)</f>
        <v/>
      </c>
      <c r="K14" s="22">
        <f>G14*(J14/I14)^'01_Cadrage'!$H$22</f>
        <v/>
      </c>
      <c r="L14" s="22">
        <f>F14+K14</f>
        <v/>
      </c>
      <c r="M14" s="15">
        <f>IFERROR(J14/K14,0)</f>
        <v/>
      </c>
    </row>
    <row r="15">
      <c r="A15" s="17" t="inlineStr">
        <is>
          <t>Pigier</t>
        </is>
      </c>
      <c r="B15" s="18" t="inlineStr">
        <is>
          <t>Lyon</t>
        </is>
      </c>
      <c r="C15" s="20">
        <f>A15&amp;"|"&amp;B15</f>
        <v/>
      </c>
      <c r="D15" s="24">
        <f>SUMIFS('02_Base'!$H$4:$H$61,'02_Base'!$A$4:$A$61,"Pigier",'02_Base'!$B$4:$B$61,"Lyon",'02_Base'!$G$4:$G$61,1)</f>
        <v/>
      </c>
      <c r="E15" s="41">
        <f>'01_Cadrage'!$H$23</f>
        <v/>
      </c>
      <c r="F15" s="24">
        <f>D15*E15</f>
        <v/>
      </c>
      <c r="G15" s="24">
        <f>D15*(1-E15)</f>
        <v/>
      </c>
      <c r="H15" s="42" t="n">
        <v>44</v>
      </c>
      <c r="I15" s="15">
        <f>ROUND(G15*H15,0)</f>
        <v/>
      </c>
      <c r="J15" s="13">
        <f>I15*(1+'01_Cadrage'!$H$14)</f>
        <v/>
      </c>
      <c r="K15" s="22">
        <f>G15*(J15/I15)^'01_Cadrage'!$H$22</f>
        <v/>
      </c>
      <c r="L15" s="22">
        <f>F15+K15</f>
        <v/>
      </c>
      <c r="M15" s="15">
        <f>IFERROR(J15/K15,0)</f>
        <v/>
      </c>
    </row>
    <row r="16">
      <c r="A16" s="17" t="inlineStr">
        <is>
          <t>Pigier</t>
        </is>
      </c>
      <c r="B16" s="18" t="inlineStr">
        <is>
          <t>Bordeaux</t>
        </is>
      </c>
      <c r="C16" s="20">
        <f>A16&amp;"|"&amp;B16</f>
        <v/>
      </c>
      <c r="D16" s="24">
        <f>SUMIFS('02_Base'!$H$4:$H$61,'02_Base'!$A$4:$A$61,"Pigier",'02_Base'!$B$4:$B$61,"Bordeaux",'02_Base'!$G$4:$G$61,1)</f>
        <v/>
      </c>
      <c r="E16" s="41">
        <f>'01_Cadrage'!$H$23</f>
        <v/>
      </c>
      <c r="F16" s="24">
        <f>D16*E16</f>
        <v/>
      </c>
      <c r="G16" s="24">
        <f>D16*(1-E16)</f>
        <v/>
      </c>
      <c r="H16" s="42" t="n">
        <v>38</v>
      </c>
      <c r="I16" s="15">
        <f>ROUND(G16*H16,0)</f>
        <v/>
      </c>
      <c r="J16" s="13">
        <f>I16*(1+'01_Cadrage'!$H$14)</f>
        <v/>
      </c>
      <c r="K16" s="22">
        <f>G16*(J16/I16)^'01_Cadrage'!$H$22</f>
        <v/>
      </c>
      <c r="L16" s="22">
        <f>F16+K16</f>
        <v/>
      </c>
      <c r="M16" s="15">
        <f>IFERROR(J16/K16,0)</f>
        <v/>
      </c>
    </row>
    <row r="17">
      <c r="A17" s="17" t="inlineStr">
        <is>
          <t>Tunon</t>
        </is>
      </c>
      <c r="B17" s="18" t="inlineStr">
        <is>
          <t>Paris</t>
        </is>
      </c>
      <c r="C17" s="20">
        <f>A17&amp;"|"&amp;B17</f>
        <v/>
      </c>
      <c r="D17" s="24">
        <f>SUMIFS('02_Base'!$H$4:$H$61,'02_Base'!$A$4:$A$61,"Tunon",'02_Base'!$B$4:$B$61,"Paris",'02_Base'!$G$4:$G$61,1)</f>
        <v/>
      </c>
      <c r="E17" s="41">
        <f>'01_Cadrage'!$H$23</f>
        <v/>
      </c>
      <c r="F17" s="24">
        <f>D17*E17</f>
        <v/>
      </c>
      <c r="G17" s="24">
        <f>D17*(1-E17)</f>
        <v/>
      </c>
      <c r="H17" s="42" t="n">
        <v>54</v>
      </c>
      <c r="I17" s="15">
        <f>ROUND(G17*H17,0)</f>
        <v/>
      </c>
      <c r="J17" s="13">
        <f>I17*(1+'01_Cadrage'!$H$14)</f>
        <v/>
      </c>
      <c r="K17" s="22">
        <f>G17*(J17/I17)^'01_Cadrage'!$H$22</f>
        <v/>
      </c>
      <c r="L17" s="22">
        <f>F17+K17</f>
        <v/>
      </c>
      <c r="M17" s="15">
        <f>IFERROR(J17/K17,0)</f>
        <v/>
      </c>
    </row>
    <row r="18">
      <c r="A18" s="17" t="inlineStr">
        <is>
          <t>Tunon</t>
        </is>
      </c>
      <c r="B18" s="18" t="inlineStr">
        <is>
          <t>Lyon</t>
        </is>
      </c>
      <c r="C18" s="20">
        <f>A18&amp;"|"&amp;B18</f>
        <v/>
      </c>
      <c r="D18" s="24">
        <f>SUMIFS('02_Base'!$H$4:$H$61,'02_Base'!$A$4:$A$61,"Tunon",'02_Base'!$B$4:$B$61,"Lyon",'02_Base'!$G$4:$G$61,1)</f>
        <v/>
      </c>
      <c r="E18" s="41">
        <f>'01_Cadrage'!$H$23</f>
        <v/>
      </c>
      <c r="F18" s="24">
        <f>D18*E18</f>
        <v/>
      </c>
      <c r="G18" s="24">
        <f>D18*(1-E18)</f>
        <v/>
      </c>
      <c r="H18" s="42" t="n">
        <v>44</v>
      </c>
      <c r="I18" s="15">
        <f>ROUND(G18*H18,0)</f>
        <v/>
      </c>
      <c r="J18" s="13">
        <f>I18*(1+'01_Cadrage'!$H$14)</f>
        <v/>
      </c>
      <c r="K18" s="22">
        <f>G18*(J18/I18)^'01_Cadrage'!$H$22</f>
        <v/>
      </c>
      <c r="L18" s="22">
        <f>F18+K18</f>
        <v/>
      </c>
      <c r="M18" s="15">
        <f>IFERROR(J18/K18,0)</f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70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17" customWidth="1" min="3" max="3"/>
    <col width="6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</cols>
  <sheetData>
    <row r="1" ht="22" customHeight="1">
      <c r="A1" s="1" t="inlineStr">
        <is>
          <t>MOTEUR DE CA (cellule) — leads → candidatures → admis → inscrits → effectif → CA (taux mesurés)</t>
        </is>
      </c>
    </row>
    <row r="3" ht="30" customHeight="1">
      <c r="A3" s="10" t="inlineStr">
        <is>
          <t>Marque</t>
        </is>
      </c>
      <c r="B3" s="10" t="inlineStr">
        <is>
          <t>Ville</t>
        </is>
      </c>
      <c r="C3" s="10" t="inlineStr">
        <is>
          <t>Programme</t>
        </is>
      </c>
      <c r="D3" s="10" t="inlineStr">
        <is>
          <t>Année</t>
        </is>
      </c>
      <c r="E3" s="10" t="inlineStr">
        <is>
          <t>Mod.</t>
        </is>
      </c>
      <c r="F3" s="10" t="inlineStr">
        <is>
          <t>Entrée</t>
        </is>
      </c>
      <c r="G3" s="10" t="inlineStr">
        <is>
          <t>Leads hist</t>
        </is>
      </c>
      <c r="H3" s="10" t="inlineStr">
        <is>
          <t>Cand hist</t>
        </is>
      </c>
      <c r="I3" s="10" t="inlineStr">
        <is>
          <t>Nouv hist</t>
        </is>
      </c>
      <c r="J3" s="10" t="inlineStr">
        <is>
          <t>Réins hist</t>
        </is>
      </c>
      <c r="K3" s="10" t="inlineStr">
        <is>
          <t>Eff hist</t>
        </is>
      </c>
      <c r="L3" s="10" t="inlineStr">
        <is>
          <t>Eff. inf.</t>
        </is>
      </c>
      <c r="M3" s="10" t="inlineStr">
        <is>
          <t>Revenu/étu</t>
        </is>
      </c>
      <c r="N3" s="10" t="inlineStr">
        <is>
          <t>Passage</t>
        </is>
      </c>
      <c r="O3" s="10" t="inlineStr">
        <is>
          <t>T.L→C</t>
        </is>
      </c>
      <c r="P3" s="10" t="inlineStr">
        <is>
          <t>T.C→A</t>
        </is>
      </c>
      <c r="Q3" s="10" t="inlineStr">
        <is>
          <t>Yield</t>
        </is>
      </c>
      <c r="R3" s="10" t="inlineStr">
        <is>
          <t>Part leads</t>
        </is>
      </c>
      <c r="S3" s="10" t="inlineStr">
        <is>
          <t>Leads campus</t>
        </is>
      </c>
      <c r="T3" s="10" t="inlineStr">
        <is>
          <t>Leads cellule</t>
        </is>
      </c>
      <c r="U3" s="10" t="inlineStr">
        <is>
          <t>Candidatures</t>
        </is>
      </c>
      <c r="V3" s="10" t="inlineStr">
        <is>
          <t>Admis</t>
        </is>
      </c>
      <c r="W3" s="10" t="inlineStr">
        <is>
          <t>Nouveaux</t>
        </is>
      </c>
      <c r="X3" s="10" t="inlineStr">
        <is>
          <t>Réinscrits</t>
        </is>
      </c>
      <c r="Y3" s="10" t="inlineStr">
        <is>
          <t>Effectif</t>
        </is>
      </c>
      <c r="Z3" s="10" t="inlineStr">
        <is>
          <t>Revenu actif</t>
        </is>
      </c>
      <c r="AA3" s="10" t="inlineStr">
        <is>
          <t>CA</t>
        </is>
      </c>
    </row>
    <row r="4">
      <c r="A4" s="17">
        <f>'02_Base'!A4</f>
        <v/>
      </c>
      <c r="B4" s="18">
        <f>'02_Base'!B4</f>
        <v/>
      </c>
      <c r="C4" s="17">
        <f>'02_Base'!C4</f>
        <v/>
      </c>
      <c r="D4" s="18">
        <f>'02_Base'!E4</f>
        <v/>
      </c>
      <c r="E4" s="18">
        <f>'02_Base'!F4</f>
        <v/>
      </c>
      <c r="F4" s="38">
        <f>'02_Base'!G4</f>
        <v/>
      </c>
      <c r="G4" s="38">
        <f>'02_Base'!H4</f>
        <v/>
      </c>
      <c r="H4" s="38">
        <f>'02_Base'!I4</f>
        <v/>
      </c>
      <c r="I4" s="38">
        <f>'02_Base'!K4</f>
        <v/>
      </c>
      <c r="J4" s="38">
        <f>'02_Base'!L4</f>
        <v/>
      </c>
      <c r="K4" s="38">
        <f>'02_Base'!M4</f>
        <v/>
      </c>
      <c r="L4" s="38">
        <f>'02_Base'!N4</f>
        <v/>
      </c>
      <c r="M4" s="39">
        <f>'02_Base'!P4</f>
        <v/>
      </c>
      <c r="N4" s="40">
        <f>'02_Base'!Q4</f>
        <v/>
      </c>
      <c r="O4" s="40">
        <f>'02_Base'!R4</f>
        <v/>
      </c>
      <c r="P4" s="40">
        <f>'02_Base'!S4</f>
        <v/>
      </c>
      <c r="Q4" s="40">
        <f>'02_Base'!T4</f>
        <v/>
      </c>
      <c r="R4" s="41">
        <f>IF(F4=1,IFERROR(G4/INDEX('03_Campagnes'!$D$5:$D$18,MATCH(A4&amp;"|"&amp;B4,'03_Campagnes'!$C$5:$C$18,0)),0),0)</f>
        <v/>
      </c>
      <c r="S4" s="24">
        <f>INDEX('03_Campagnes'!$L$5:$L$18,MATCH(A4&amp;"|"&amp;B4,'03_Campagnes'!$C$5:$C$18,0))</f>
        <v/>
      </c>
      <c r="T4" s="24">
        <f>S4*R4</f>
        <v/>
      </c>
      <c r="U4" s="24">
        <f>IF(F4=1,T4*(O4+'01_Cadrage'!$H$16),0)</f>
        <v/>
      </c>
      <c r="V4" s="24">
        <f>U4*P4</f>
        <v/>
      </c>
      <c r="W4" s="22">
        <f>IF(F4=1,V4*(Q4+'01_Cadrage'!$H$17),0)</f>
        <v/>
      </c>
      <c r="X4" s="24">
        <f>IF(F4=1,0,L4*(N4+'01_Cadrage'!$H$18))</f>
        <v/>
      </c>
      <c r="Y4" s="22">
        <f>W4+X4</f>
        <v/>
      </c>
      <c r="Z4" s="15">
        <f>M4*(1+'01_Cadrage'!$H$15*INDEX('01_Cadrage'!$L$7:$L$20,MATCH(A4&amp;"|"&amp;B4,'01_Cadrage'!$M$7:$M$20,0)))</f>
        <v/>
      </c>
      <c r="AA4" s="13">
        <f>Y4*Z4+W4*'01_Cadrage'!$H$24</f>
        <v/>
      </c>
    </row>
    <row r="5">
      <c r="A5" s="17">
        <f>'02_Base'!A5</f>
        <v/>
      </c>
      <c r="B5" s="18">
        <f>'02_Base'!B5</f>
        <v/>
      </c>
      <c r="C5" s="17">
        <f>'02_Base'!C5</f>
        <v/>
      </c>
      <c r="D5" s="18">
        <f>'02_Base'!E5</f>
        <v/>
      </c>
      <c r="E5" s="18">
        <f>'02_Base'!F5</f>
        <v/>
      </c>
      <c r="F5" s="38">
        <f>'02_Base'!G5</f>
        <v/>
      </c>
      <c r="G5" s="38">
        <f>'02_Base'!H5</f>
        <v/>
      </c>
      <c r="H5" s="38">
        <f>'02_Base'!I5</f>
        <v/>
      </c>
      <c r="I5" s="38">
        <f>'02_Base'!K5</f>
        <v/>
      </c>
      <c r="J5" s="38">
        <f>'02_Base'!L5</f>
        <v/>
      </c>
      <c r="K5" s="38">
        <f>'02_Base'!M5</f>
        <v/>
      </c>
      <c r="L5" s="38">
        <f>'02_Base'!N5</f>
        <v/>
      </c>
      <c r="M5" s="39">
        <f>'02_Base'!P5</f>
        <v/>
      </c>
      <c r="N5" s="40">
        <f>'02_Base'!Q5</f>
        <v/>
      </c>
      <c r="O5" s="40">
        <f>'02_Base'!R5</f>
        <v/>
      </c>
      <c r="P5" s="40">
        <f>'02_Base'!S5</f>
        <v/>
      </c>
      <c r="Q5" s="40">
        <f>'02_Base'!T5</f>
        <v/>
      </c>
      <c r="R5" s="41">
        <f>IF(F5=1,IFERROR(G5/INDEX('03_Campagnes'!$D$5:$D$18,MATCH(A5&amp;"|"&amp;B5,'03_Campagnes'!$C$5:$C$18,0)),0),0)</f>
        <v/>
      </c>
      <c r="S5" s="24">
        <f>INDEX('03_Campagnes'!$L$5:$L$18,MATCH(A5&amp;"|"&amp;B5,'03_Campagnes'!$C$5:$C$18,0))</f>
        <v/>
      </c>
      <c r="T5" s="24">
        <f>S5*R5</f>
        <v/>
      </c>
      <c r="U5" s="24">
        <f>IF(F5=1,T5*(O5+'01_Cadrage'!$H$16),0)</f>
        <v/>
      </c>
      <c r="V5" s="24">
        <f>U5*P5</f>
        <v/>
      </c>
      <c r="W5" s="22">
        <f>IF(F5=1,V5*(Q5+'01_Cadrage'!$H$17),0)</f>
        <v/>
      </c>
      <c r="X5" s="24">
        <f>IF(F5=1,0,L5*(N5+'01_Cadrage'!$H$18))</f>
        <v/>
      </c>
      <c r="Y5" s="22">
        <f>W5+X5</f>
        <v/>
      </c>
      <c r="Z5" s="15">
        <f>M5*(1+'01_Cadrage'!$H$15*INDEX('01_Cadrage'!$L$7:$L$20,MATCH(A5&amp;"|"&amp;B5,'01_Cadrage'!$M$7:$M$20,0)))</f>
        <v/>
      </c>
      <c r="AA5" s="13">
        <f>Y5*Z5+W5*'01_Cadrage'!$H$24</f>
        <v/>
      </c>
    </row>
    <row r="6">
      <c r="A6" s="17">
        <f>'02_Base'!A6</f>
        <v/>
      </c>
      <c r="B6" s="18">
        <f>'02_Base'!B6</f>
        <v/>
      </c>
      <c r="C6" s="17">
        <f>'02_Base'!C6</f>
        <v/>
      </c>
      <c r="D6" s="18">
        <f>'02_Base'!E6</f>
        <v/>
      </c>
      <c r="E6" s="18">
        <f>'02_Base'!F6</f>
        <v/>
      </c>
      <c r="F6" s="38">
        <f>'02_Base'!G6</f>
        <v/>
      </c>
      <c r="G6" s="38">
        <f>'02_Base'!H6</f>
        <v/>
      </c>
      <c r="H6" s="38">
        <f>'02_Base'!I6</f>
        <v/>
      </c>
      <c r="I6" s="38">
        <f>'02_Base'!K6</f>
        <v/>
      </c>
      <c r="J6" s="38">
        <f>'02_Base'!L6</f>
        <v/>
      </c>
      <c r="K6" s="38">
        <f>'02_Base'!M6</f>
        <v/>
      </c>
      <c r="L6" s="38">
        <f>'02_Base'!N6</f>
        <v/>
      </c>
      <c r="M6" s="39">
        <f>'02_Base'!P6</f>
        <v/>
      </c>
      <c r="N6" s="40">
        <f>'02_Base'!Q6</f>
        <v/>
      </c>
      <c r="O6" s="40">
        <f>'02_Base'!R6</f>
        <v/>
      </c>
      <c r="P6" s="40">
        <f>'02_Base'!S6</f>
        <v/>
      </c>
      <c r="Q6" s="40">
        <f>'02_Base'!T6</f>
        <v/>
      </c>
      <c r="R6" s="41">
        <f>IF(F6=1,IFERROR(G6/INDEX('03_Campagnes'!$D$5:$D$18,MATCH(A6&amp;"|"&amp;B6,'03_Campagnes'!$C$5:$C$18,0)),0),0)</f>
        <v/>
      </c>
      <c r="S6" s="24">
        <f>INDEX('03_Campagnes'!$L$5:$L$18,MATCH(A6&amp;"|"&amp;B6,'03_Campagnes'!$C$5:$C$18,0))</f>
        <v/>
      </c>
      <c r="T6" s="24">
        <f>S6*R6</f>
        <v/>
      </c>
      <c r="U6" s="24">
        <f>IF(F6=1,T6*(O6+'01_Cadrage'!$H$16),0)</f>
        <v/>
      </c>
      <c r="V6" s="24">
        <f>U6*P6</f>
        <v/>
      </c>
      <c r="W6" s="22">
        <f>IF(F6=1,V6*(Q6+'01_Cadrage'!$H$17),0)</f>
        <v/>
      </c>
      <c r="X6" s="24">
        <f>IF(F6=1,0,L6*(N6+'01_Cadrage'!$H$18))</f>
        <v/>
      </c>
      <c r="Y6" s="22">
        <f>W6+X6</f>
        <v/>
      </c>
      <c r="Z6" s="15">
        <f>M6*(1+'01_Cadrage'!$H$15*INDEX('01_Cadrage'!$L$7:$L$20,MATCH(A6&amp;"|"&amp;B6,'01_Cadrage'!$M$7:$M$20,0)))</f>
        <v/>
      </c>
      <c r="AA6" s="13">
        <f>Y6*Z6+W6*'01_Cadrage'!$H$24</f>
        <v/>
      </c>
    </row>
    <row r="7">
      <c r="A7" s="17">
        <f>'02_Base'!A7</f>
        <v/>
      </c>
      <c r="B7" s="18">
        <f>'02_Base'!B7</f>
        <v/>
      </c>
      <c r="C7" s="17">
        <f>'02_Base'!C7</f>
        <v/>
      </c>
      <c r="D7" s="18">
        <f>'02_Base'!E7</f>
        <v/>
      </c>
      <c r="E7" s="18">
        <f>'02_Base'!F7</f>
        <v/>
      </c>
      <c r="F7" s="38">
        <f>'02_Base'!G7</f>
        <v/>
      </c>
      <c r="G7" s="38">
        <f>'02_Base'!H7</f>
        <v/>
      </c>
      <c r="H7" s="38">
        <f>'02_Base'!I7</f>
        <v/>
      </c>
      <c r="I7" s="38">
        <f>'02_Base'!K7</f>
        <v/>
      </c>
      <c r="J7" s="38">
        <f>'02_Base'!L7</f>
        <v/>
      </c>
      <c r="K7" s="38">
        <f>'02_Base'!M7</f>
        <v/>
      </c>
      <c r="L7" s="38">
        <f>'02_Base'!N7</f>
        <v/>
      </c>
      <c r="M7" s="39">
        <f>'02_Base'!P7</f>
        <v/>
      </c>
      <c r="N7" s="40">
        <f>'02_Base'!Q7</f>
        <v/>
      </c>
      <c r="O7" s="40">
        <f>'02_Base'!R7</f>
        <v/>
      </c>
      <c r="P7" s="40">
        <f>'02_Base'!S7</f>
        <v/>
      </c>
      <c r="Q7" s="40">
        <f>'02_Base'!T7</f>
        <v/>
      </c>
      <c r="R7" s="41">
        <f>IF(F7=1,IFERROR(G7/INDEX('03_Campagnes'!$D$5:$D$18,MATCH(A7&amp;"|"&amp;B7,'03_Campagnes'!$C$5:$C$18,0)),0),0)</f>
        <v/>
      </c>
      <c r="S7" s="24">
        <f>INDEX('03_Campagnes'!$L$5:$L$18,MATCH(A7&amp;"|"&amp;B7,'03_Campagnes'!$C$5:$C$18,0))</f>
        <v/>
      </c>
      <c r="T7" s="24">
        <f>S7*R7</f>
        <v/>
      </c>
      <c r="U7" s="24">
        <f>IF(F7=1,T7*(O7+'01_Cadrage'!$H$16),0)</f>
        <v/>
      </c>
      <c r="V7" s="24">
        <f>U7*P7</f>
        <v/>
      </c>
      <c r="W7" s="22">
        <f>IF(F7=1,V7*(Q7+'01_Cadrage'!$H$17),0)</f>
        <v/>
      </c>
      <c r="X7" s="24">
        <f>IF(F7=1,0,L7*(N7+'01_Cadrage'!$H$18))</f>
        <v/>
      </c>
      <c r="Y7" s="22">
        <f>W7+X7</f>
        <v/>
      </c>
      <c r="Z7" s="15">
        <f>M7*(1+'01_Cadrage'!$H$15*INDEX('01_Cadrage'!$L$7:$L$20,MATCH(A7&amp;"|"&amp;B7,'01_Cadrage'!$M$7:$M$20,0)))</f>
        <v/>
      </c>
      <c r="AA7" s="13">
        <f>Y7*Z7+W7*'01_Cadrage'!$H$24</f>
        <v/>
      </c>
    </row>
    <row r="8">
      <c r="A8" s="17">
        <f>'02_Base'!A8</f>
        <v/>
      </c>
      <c r="B8" s="18">
        <f>'02_Base'!B8</f>
        <v/>
      </c>
      <c r="C8" s="17">
        <f>'02_Base'!C8</f>
        <v/>
      </c>
      <c r="D8" s="18">
        <f>'02_Base'!E8</f>
        <v/>
      </c>
      <c r="E8" s="18">
        <f>'02_Base'!F8</f>
        <v/>
      </c>
      <c r="F8" s="38">
        <f>'02_Base'!G8</f>
        <v/>
      </c>
      <c r="G8" s="38">
        <f>'02_Base'!H8</f>
        <v/>
      </c>
      <c r="H8" s="38">
        <f>'02_Base'!I8</f>
        <v/>
      </c>
      <c r="I8" s="38">
        <f>'02_Base'!K8</f>
        <v/>
      </c>
      <c r="J8" s="38">
        <f>'02_Base'!L8</f>
        <v/>
      </c>
      <c r="K8" s="38">
        <f>'02_Base'!M8</f>
        <v/>
      </c>
      <c r="L8" s="38">
        <f>'02_Base'!N8</f>
        <v/>
      </c>
      <c r="M8" s="39">
        <f>'02_Base'!P8</f>
        <v/>
      </c>
      <c r="N8" s="40">
        <f>'02_Base'!Q8</f>
        <v/>
      </c>
      <c r="O8" s="40">
        <f>'02_Base'!R8</f>
        <v/>
      </c>
      <c r="P8" s="40">
        <f>'02_Base'!S8</f>
        <v/>
      </c>
      <c r="Q8" s="40">
        <f>'02_Base'!T8</f>
        <v/>
      </c>
      <c r="R8" s="41">
        <f>IF(F8=1,IFERROR(G8/INDEX('03_Campagnes'!$D$5:$D$18,MATCH(A8&amp;"|"&amp;B8,'03_Campagnes'!$C$5:$C$18,0)),0),0)</f>
        <v/>
      </c>
      <c r="S8" s="24">
        <f>INDEX('03_Campagnes'!$L$5:$L$18,MATCH(A8&amp;"|"&amp;B8,'03_Campagnes'!$C$5:$C$18,0))</f>
        <v/>
      </c>
      <c r="T8" s="24">
        <f>S8*R8</f>
        <v/>
      </c>
      <c r="U8" s="24">
        <f>IF(F8=1,T8*(O8+'01_Cadrage'!$H$16),0)</f>
        <v/>
      </c>
      <c r="V8" s="24">
        <f>U8*P8</f>
        <v/>
      </c>
      <c r="W8" s="22">
        <f>IF(F8=1,V8*(Q8+'01_Cadrage'!$H$17),0)</f>
        <v/>
      </c>
      <c r="X8" s="24">
        <f>IF(F8=1,0,L8*(N8+'01_Cadrage'!$H$18))</f>
        <v/>
      </c>
      <c r="Y8" s="22">
        <f>W8+X8</f>
        <v/>
      </c>
      <c r="Z8" s="15">
        <f>M8*(1+'01_Cadrage'!$H$15*INDEX('01_Cadrage'!$L$7:$L$20,MATCH(A8&amp;"|"&amp;B8,'01_Cadrage'!$M$7:$M$20,0)))</f>
        <v/>
      </c>
      <c r="AA8" s="13">
        <f>Y8*Z8+W8*'01_Cadrage'!$H$24</f>
        <v/>
      </c>
    </row>
    <row r="9">
      <c r="A9" s="17">
        <f>'02_Base'!A9</f>
        <v/>
      </c>
      <c r="B9" s="18">
        <f>'02_Base'!B9</f>
        <v/>
      </c>
      <c r="C9" s="17">
        <f>'02_Base'!C9</f>
        <v/>
      </c>
      <c r="D9" s="18">
        <f>'02_Base'!E9</f>
        <v/>
      </c>
      <c r="E9" s="18">
        <f>'02_Base'!F9</f>
        <v/>
      </c>
      <c r="F9" s="38">
        <f>'02_Base'!G9</f>
        <v/>
      </c>
      <c r="G9" s="38">
        <f>'02_Base'!H9</f>
        <v/>
      </c>
      <c r="H9" s="38">
        <f>'02_Base'!I9</f>
        <v/>
      </c>
      <c r="I9" s="38">
        <f>'02_Base'!K9</f>
        <v/>
      </c>
      <c r="J9" s="38">
        <f>'02_Base'!L9</f>
        <v/>
      </c>
      <c r="K9" s="38">
        <f>'02_Base'!M9</f>
        <v/>
      </c>
      <c r="L9" s="38">
        <f>'02_Base'!N9</f>
        <v/>
      </c>
      <c r="M9" s="39">
        <f>'02_Base'!P9</f>
        <v/>
      </c>
      <c r="N9" s="40">
        <f>'02_Base'!Q9</f>
        <v/>
      </c>
      <c r="O9" s="40">
        <f>'02_Base'!R9</f>
        <v/>
      </c>
      <c r="P9" s="40">
        <f>'02_Base'!S9</f>
        <v/>
      </c>
      <c r="Q9" s="40">
        <f>'02_Base'!T9</f>
        <v/>
      </c>
      <c r="R9" s="41">
        <f>IF(F9=1,IFERROR(G9/INDEX('03_Campagnes'!$D$5:$D$18,MATCH(A9&amp;"|"&amp;B9,'03_Campagnes'!$C$5:$C$18,0)),0),0)</f>
        <v/>
      </c>
      <c r="S9" s="24">
        <f>INDEX('03_Campagnes'!$L$5:$L$18,MATCH(A9&amp;"|"&amp;B9,'03_Campagnes'!$C$5:$C$18,0))</f>
        <v/>
      </c>
      <c r="T9" s="24">
        <f>S9*R9</f>
        <v/>
      </c>
      <c r="U9" s="24">
        <f>IF(F9=1,T9*(O9+'01_Cadrage'!$H$16),0)</f>
        <v/>
      </c>
      <c r="V9" s="24">
        <f>U9*P9</f>
        <v/>
      </c>
      <c r="W9" s="22">
        <f>IF(F9=1,V9*(Q9+'01_Cadrage'!$H$17),0)</f>
        <v/>
      </c>
      <c r="X9" s="24">
        <f>IF(F9=1,0,L9*(N9+'01_Cadrage'!$H$18))</f>
        <v/>
      </c>
      <c r="Y9" s="22">
        <f>W9+X9</f>
        <v/>
      </c>
      <c r="Z9" s="15">
        <f>M9*(1+'01_Cadrage'!$H$15*INDEX('01_Cadrage'!$L$7:$L$20,MATCH(A9&amp;"|"&amp;B9,'01_Cadrage'!$M$7:$M$20,0)))</f>
        <v/>
      </c>
      <c r="AA9" s="13">
        <f>Y9*Z9+W9*'01_Cadrage'!$H$24</f>
        <v/>
      </c>
    </row>
    <row r="10">
      <c r="A10" s="17">
        <f>'02_Base'!A10</f>
        <v/>
      </c>
      <c r="B10" s="18">
        <f>'02_Base'!B10</f>
        <v/>
      </c>
      <c r="C10" s="17">
        <f>'02_Base'!C10</f>
        <v/>
      </c>
      <c r="D10" s="18">
        <f>'02_Base'!E10</f>
        <v/>
      </c>
      <c r="E10" s="18">
        <f>'02_Base'!F10</f>
        <v/>
      </c>
      <c r="F10" s="38">
        <f>'02_Base'!G10</f>
        <v/>
      </c>
      <c r="G10" s="38">
        <f>'02_Base'!H10</f>
        <v/>
      </c>
      <c r="H10" s="38">
        <f>'02_Base'!I10</f>
        <v/>
      </c>
      <c r="I10" s="38">
        <f>'02_Base'!K10</f>
        <v/>
      </c>
      <c r="J10" s="38">
        <f>'02_Base'!L10</f>
        <v/>
      </c>
      <c r="K10" s="38">
        <f>'02_Base'!M10</f>
        <v/>
      </c>
      <c r="L10" s="38">
        <f>'02_Base'!N10</f>
        <v/>
      </c>
      <c r="M10" s="39">
        <f>'02_Base'!P10</f>
        <v/>
      </c>
      <c r="N10" s="40">
        <f>'02_Base'!Q10</f>
        <v/>
      </c>
      <c r="O10" s="40">
        <f>'02_Base'!R10</f>
        <v/>
      </c>
      <c r="P10" s="40">
        <f>'02_Base'!S10</f>
        <v/>
      </c>
      <c r="Q10" s="40">
        <f>'02_Base'!T10</f>
        <v/>
      </c>
      <c r="R10" s="41">
        <f>IF(F10=1,IFERROR(G10/INDEX('03_Campagnes'!$D$5:$D$18,MATCH(A10&amp;"|"&amp;B10,'03_Campagnes'!$C$5:$C$18,0)),0),0)</f>
        <v/>
      </c>
      <c r="S10" s="24">
        <f>INDEX('03_Campagnes'!$L$5:$L$18,MATCH(A10&amp;"|"&amp;B10,'03_Campagnes'!$C$5:$C$18,0))</f>
        <v/>
      </c>
      <c r="T10" s="24">
        <f>S10*R10</f>
        <v/>
      </c>
      <c r="U10" s="24">
        <f>IF(F10=1,T10*(O10+'01_Cadrage'!$H$16),0)</f>
        <v/>
      </c>
      <c r="V10" s="24">
        <f>U10*P10</f>
        <v/>
      </c>
      <c r="W10" s="22">
        <f>IF(F10=1,V10*(Q10+'01_Cadrage'!$H$17),0)</f>
        <v/>
      </c>
      <c r="X10" s="24">
        <f>IF(F10=1,0,L10*(N10+'01_Cadrage'!$H$18))</f>
        <v/>
      </c>
      <c r="Y10" s="22">
        <f>W10+X10</f>
        <v/>
      </c>
      <c r="Z10" s="15">
        <f>M10*(1+'01_Cadrage'!$H$15*INDEX('01_Cadrage'!$L$7:$L$20,MATCH(A10&amp;"|"&amp;B10,'01_Cadrage'!$M$7:$M$20,0)))</f>
        <v/>
      </c>
      <c r="AA10" s="13">
        <f>Y10*Z10+W10*'01_Cadrage'!$H$24</f>
        <v/>
      </c>
    </row>
    <row r="11">
      <c r="A11" s="17">
        <f>'02_Base'!A11</f>
        <v/>
      </c>
      <c r="B11" s="18">
        <f>'02_Base'!B11</f>
        <v/>
      </c>
      <c r="C11" s="17">
        <f>'02_Base'!C11</f>
        <v/>
      </c>
      <c r="D11" s="18">
        <f>'02_Base'!E11</f>
        <v/>
      </c>
      <c r="E11" s="18">
        <f>'02_Base'!F11</f>
        <v/>
      </c>
      <c r="F11" s="38">
        <f>'02_Base'!G11</f>
        <v/>
      </c>
      <c r="G11" s="38">
        <f>'02_Base'!H11</f>
        <v/>
      </c>
      <c r="H11" s="38">
        <f>'02_Base'!I11</f>
        <v/>
      </c>
      <c r="I11" s="38">
        <f>'02_Base'!K11</f>
        <v/>
      </c>
      <c r="J11" s="38">
        <f>'02_Base'!L11</f>
        <v/>
      </c>
      <c r="K11" s="38">
        <f>'02_Base'!M11</f>
        <v/>
      </c>
      <c r="L11" s="38">
        <f>'02_Base'!N11</f>
        <v/>
      </c>
      <c r="M11" s="39">
        <f>'02_Base'!P11</f>
        <v/>
      </c>
      <c r="N11" s="40">
        <f>'02_Base'!Q11</f>
        <v/>
      </c>
      <c r="O11" s="40">
        <f>'02_Base'!R11</f>
        <v/>
      </c>
      <c r="P11" s="40">
        <f>'02_Base'!S11</f>
        <v/>
      </c>
      <c r="Q11" s="40">
        <f>'02_Base'!T11</f>
        <v/>
      </c>
      <c r="R11" s="41">
        <f>IF(F11=1,IFERROR(G11/INDEX('03_Campagnes'!$D$5:$D$18,MATCH(A11&amp;"|"&amp;B11,'03_Campagnes'!$C$5:$C$18,0)),0),0)</f>
        <v/>
      </c>
      <c r="S11" s="24">
        <f>INDEX('03_Campagnes'!$L$5:$L$18,MATCH(A11&amp;"|"&amp;B11,'03_Campagnes'!$C$5:$C$18,0))</f>
        <v/>
      </c>
      <c r="T11" s="24">
        <f>S11*R11</f>
        <v/>
      </c>
      <c r="U11" s="24">
        <f>IF(F11=1,T11*(O11+'01_Cadrage'!$H$16),0)</f>
        <v/>
      </c>
      <c r="V11" s="24">
        <f>U11*P11</f>
        <v/>
      </c>
      <c r="W11" s="22">
        <f>IF(F11=1,V11*(Q11+'01_Cadrage'!$H$17),0)</f>
        <v/>
      </c>
      <c r="X11" s="24">
        <f>IF(F11=1,0,L11*(N11+'01_Cadrage'!$H$18))</f>
        <v/>
      </c>
      <c r="Y11" s="22">
        <f>W11+X11</f>
        <v/>
      </c>
      <c r="Z11" s="15">
        <f>M11*(1+'01_Cadrage'!$H$15*INDEX('01_Cadrage'!$L$7:$L$20,MATCH(A11&amp;"|"&amp;B11,'01_Cadrage'!$M$7:$M$20,0)))</f>
        <v/>
      </c>
      <c r="AA11" s="13">
        <f>Y11*Z11+W11*'01_Cadrage'!$H$24</f>
        <v/>
      </c>
    </row>
    <row r="12">
      <c r="A12" s="17">
        <f>'02_Base'!A12</f>
        <v/>
      </c>
      <c r="B12" s="18">
        <f>'02_Base'!B12</f>
        <v/>
      </c>
      <c r="C12" s="17">
        <f>'02_Base'!C12</f>
        <v/>
      </c>
      <c r="D12" s="18">
        <f>'02_Base'!E12</f>
        <v/>
      </c>
      <c r="E12" s="18">
        <f>'02_Base'!F12</f>
        <v/>
      </c>
      <c r="F12" s="38">
        <f>'02_Base'!G12</f>
        <v/>
      </c>
      <c r="G12" s="38">
        <f>'02_Base'!H12</f>
        <v/>
      </c>
      <c r="H12" s="38">
        <f>'02_Base'!I12</f>
        <v/>
      </c>
      <c r="I12" s="38">
        <f>'02_Base'!K12</f>
        <v/>
      </c>
      <c r="J12" s="38">
        <f>'02_Base'!L12</f>
        <v/>
      </c>
      <c r="K12" s="38">
        <f>'02_Base'!M12</f>
        <v/>
      </c>
      <c r="L12" s="38">
        <f>'02_Base'!N12</f>
        <v/>
      </c>
      <c r="M12" s="39">
        <f>'02_Base'!P12</f>
        <v/>
      </c>
      <c r="N12" s="40">
        <f>'02_Base'!Q12</f>
        <v/>
      </c>
      <c r="O12" s="40">
        <f>'02_Base'!R12</f>
        <v/>
      </c>
      <c r="P12" s="40">
        <f>'02_Base'!S12</f>
        <v/>
      </c>
      <c r="Q12" s="40">
        <f>'02_Base'!T12</f>
        <v/>
      </c>
      <c r="R12" s="41">
        <f>IF(F12=1,IFERROR(G12/INDEX('03_Campagnes'!$D$5:$D$18,MATCH(A12&amp;"|"&amp;B12,'03_Campagnes'!$C$5:$C$18,0)),0),0)</f>
        <v/>
      </c>
      <c r="S12" s="24">
        <f>INDEX('03_Campagnes'!$L$5:$L$18,MATCH(A12&amp;"|"&amp;B12,'03_Campagnes'!$C$5:$C$18,0))</f>
        <v/>
      </c>
      <c r="T12" s="24">
        <f>S12*R12</f>
        <v/>
      </c>
      <c r="U12" s="24">
        <f>IF(F12=1,T12*(O12+'01_Cadrage'!$H$16),0)</f>
        <v/>
      </c>
      <c r="V12" s="24">
        <f>U12*P12</f>
        <v/>
      </c>
      <c r="W12" s="22">
        <f>IF(F12=1,V12*(Q12+'01_Cadrage'!$H$17),0)</f>
        <v/>
      </c>
      <c r="X12" s="24">
        <f>IF(F12=1,0,L12*(N12+'01_Cadrage'!$H$18))</f>
        <v/>
      </c>
      <c r="Y12" s="22">
        <f>W12+X12</f>
        <v/>
      </c>
      <c r="Z12" s="15">
        <f>M12*(1+'01_Cadrage'!$H$15*INDEX('01_Cadrage'!$L$7:$L$20,MATCH(A12&amp;"|"&amp;B12,'01_Cadrage'!$M$7:$M$20,0)))</f>
        <v/>
      </c>
      <c r="AA12" s="13">
        <f>Y12*Z12+W12*'01_Cadrage'!$H$24</f>
        <v/>
      </c>
    </row>
    <row r="13">
      <c r="A13" s="17">
        <f>'02_Base'!A13</f>
        <v/>
      </c>
      <c r="B13" s="18">
        <f>'02_Base'!B13</f>
        <v/>
      </c>
      <c r="C13" s="17">
        <f>'02_Base'!C13</f>
        <v/>
      </c>
      <c r="D13" s="18">
        <f>'02_Base'!E13</f>
        <v/>
      </c>
      <c r="E13" s="18">
        <f>'02_Base'!F13</f>
        <v/>
      </c>
      <c r="F13" s="38">
        <f>'02_Base'!G13</f>
        <v/>
      </c>
      <c r="G13" s="38">
        <f>'02_Base'!H13</f>
        <v/>
      </c>
      <c r="H13" s="38">
        <f>'02_Base'!I13</f>
        <v/>
      </c>
      <c r="I13" s="38">
        <f>'02_Base'!K13</f>
        <v/>
      </c>
      <c r="J13" s="38">
        <f>'02_Base'!L13</f>
        <v/>
      </c>
      <c r="K13" s="38">
        <f>'02_Base'!M13</f>
        <v/>
      </c>
      <c r="L13" s="38">
        <f>'02_Base'!N13</f>
        <v/>
      </c>
      <c r="M13" s="39">
        <f>'02_Base'!P13</f>
        <v/>
      </c>
      <c r="N13" s="40">
        <f>'02_Base'!Q13</f>
        <v/>
      </c>
      <c r="O13" s="40">
        <f>'02_Base'!R13</f>
        <v/>
      </c>
      <c r="P13" s="40">
        <f>'02_Base'!S13</f>
        <v/>
      </c>
      <c r="Q13" s="40">
        <f>'02_Base'!T13</f>
        <v/>
      </c>
      <c r="R13" s="41">
        <f>IF(F13=1,IFERROR(G13/INDEX('03_Campagnes'!$D$5:$D$18,MATCH(A13&amp;"|"&amp;B13,'03_Campagnes'!$C$5:$C$18,0)),0),0)</f>
        <v/>
      </c>
      <c r="S13" s="24">
        <f>INDEX('03_Campagnes'!$L$5:$L$18,MATCH(A13&amp;"|"&amp;B13,'03_Campagnes'!$C$5:$C$18,0))</f>
        <v/>
      </c>
      <c r="T13" s="24">
        <f>S13*R13</f>
        <v/>
      </c>
      <c r="U13" s="24">
        <f>IF(F13=1,T13*(O13+'01_Cadrage'!$H$16),0)</f>
        <v/>
      </c>
      <c r="V13" s="24">
        <f>U13*P13</f>
        <v/>
      </c>
      <c r="W13" s="22">
        <f>IF(F13=1,V13*(Q13+'01_Cadrage'!$H$17),0)</f>
        <v/>
      </c>
      <c r="X13" s="24">
        <f>IF(F13=1,0,L13*(N13+'01_Cadrage'!$H$18))</f>
        <v/>
      </c>
      <c r="Y13" s="22">
        <f>W13+X13</f>
        <v/>
      </c>
      <c r="Z13" s="15">
        <f>M13*(1+'01_Cadrage'!$H$15*INDEX('01_Cadrage'!$L$7:$L$20,MATCH(A13&amp;"|"&amp;B13,'01_Cadrage'!$M$7:$M$20,0)))</f>
        <v/>
      </c>
      <c r="AA13" s="13">
        <f>Y13*Z13+W13*'01_Cadrage'!$H$24</f>
        <v/>
      </c>
    </row>
    <row r="14">
      <c r="A14" s="17">
        <f>'02_Base'!A14</f>
        <v/>
      </c>
      <c r="B14" s="18">
        <f>'02_Base'!B14</f>
        <v/>
      </c>
      <c r="C14" s="17">
        <f>'02_Base'!C14</f>
        <v/>
      </c>
      <c r="D14" s="18">
        <f>'02_Base'!E14</f>
        <v/>
      </c>
      <c r="E14" s="18">
        <f>'02_Base'!F14</f>
        <v/>
      </c>
      <c r="F14" s="38">
        <f>'02_Base'!G14</f>
        <v/>
      </c>
      <c r="G14" s="38">
        <f>'02_Base'!H14</f>
        <v/>
      </c>
      <c r="H14" s="38">
        <f>'02_Base'!I14</f>
        <v/>
      </c>
      <c r="I14" s="38">
        <f>'02_Base'!K14</f>
        <v/>
      </c>
      <c r="J14" s="38">
        <f>'02_Base'!L14</f>
        <v/>
      </c>
      <c r="K14" s="38">
        <f>'02_Base'!M14</f>
        <v/>
      </c>
      <c r="L14" s="38">
        <f>'02_Base'!N14</f>
        <v/>
      </c>
      <c r="M14" s="39">
        <f>'02_Base'!P14</f>
        <v/>
      </c>
      <c r="N14" s="40">
        <f>'02_Base'!Q14</f>
        <v/>
      </c>
      <c r="O14" s="40">
        <f>'02_Base'!R14</f>
        <v/>
      </c>
      <c r="P14" s="40">
        <f>'02_Base'!S14</f>
        <v/>
      </c>
      <c r="Q14" s="40">
        <f>'02_Base'!T14</f>
        <v/>
      </c>
      <c r="R14" s="41">
        <f>IF(F14=1,IFERROR(G14/INDEX('03_Campagnes'!$D$5:$D$18,MATCH(A14&amp;"|"&amp;B14,'03_Campagnes'!$C$5:$C$18,0)),0),0)</f>
        <v/>
      </c>
      <c r="S14" s="24">
        <f>INDEX('03_Campagnes'!$L$5:$L$18,MATCH(A14&amp;"|"&amp;B14,'03_Campagnes'!$C$5:$C$18,0))</f>
        <v/>
      </c>
      <c r="T14" s="24">
        <f>S14*R14</f>
        <v/>
      </c>
      <c r="U14" s="24">
        <f>IF(F14=1,T14*(O14+'01_Cadrage'!$H$16),0)</f>
        <v/>
      </c>
      <c r="V14" s="24">
        <f>U14*P14</f>
        <v/>
      </c>
      <c r="W14" s="22">
        <f>IF(F14=1,V14*(Q14+'01_Cadrage'!$H$17),0)</f>
        <v/>
      </c>
      <c r="X14" s="24">
        <f>IF(F14=1,0,L14*(N14+'01_Cadrage'!$H$18))</f>
        <v/>
      </c>
      <c r="Y14" s="22">
        <f>W14+X14</f>
        <v/>
      </c>
      <c r="Z14" s="15">
        <f>M14*(1+'01_Cadrage'!$H$15*INDEX('01_Cadrage'!$L$7:$L$20,MATCH(A14&amp;"|"&amp;B14,'01_Cadrage'!$M$7:$M$20,0)))</f>
        <v/>
      </c>
      <c r="AA14" s="13">
        <f>Y14*Z14+W14*'01_Cadrage'!$H$24</f>
        <v/>
      </c>
    </row>
    <row r="15">
      <c r="A15" s="17">
        <f>'02_Base'!A15</f>
        <v/>
      </c>
      <c r="B15" s="18">
        <f>'02_Base'!B15</f>
        <v/>
      </c>
      <c r="C15" s="17">
        <f>'02_Base'!C15</f>
        <v/>
      </c>
      <c r="D15" s="18">
        <f>'02_Base'!E15</f>
        <v/>
      </c>
      <c r="E15" s="18">
        <f>'02_Base'!F15</f>
        <v/>
      </c>
      <c r="F15" s="38">
        <f>'02_Base'!G15</f>
        <v/>
      </c>
      <c r="G15" s="38">
        <f>'02_Base'!H15</f>
        <v/>
      </c>
      <c r="H15" s="38">
        <f>'02_Base'!I15</f>
        <v/>
      </c>
      <c r="I15" s="38">
        <f>'02_Base'!K15</f>
        <v/>
      </c>
      <c r="J15" s="38">
        <f>'02_Base'!L15</f>
        <v/>
      </c>
      <c r="K15" s="38">
        <f>'02_Base'!M15</f>
        <v/>
      </c>
      <c r="L15" s="38">
        <f>'02_Base'!N15</f>
        <v/>
      </c>
      <c r="M15" s="39">
        <f>'02_Base'!P15</f>
        <v/>
      </c>
      <c r="N15" s="40">
        <f>'02_Base'!Q15</f>
        <v/>
      </c>
      <c r="O15" s="40">
        <f>'02_Base'!R15</f>
        <v/>
      </c>
      <c r="P15" s="40">
        <f>'02_Base'!S15</f>
        <v/>
      </c>
      <c r="Q15" s="40">
        <f>'02_Base'!T15</f>
        <v/>
      </c>
      <c r="R15" s="41">
        <f>IF(F15=1,IFERROR(G15/INDEX('03_Campagnes'!$D$5:$D$18,MATCH(A15&amp;"|"&amp;B15,'03_Campagnes'!$C$5:$C$18,0)),0),0)</f>
        <v/>
      </c>
      <c r="S15" s="24">
        <f>INDEX('03_Campagnes'!$L$5:$L$18,MATCH(A15&amp;"|"&amp;B15,'03_Campagnes'!$C$5:$C$18,0))</f>
        <v/>
      </c>
      <c r="T15" s="24">
        <f>S15*R15</f>
        <v/>
      </c>
      <c r="U15" s="24">
        <f>IF(F15=1,T15*(O15+'01_Cadrage'!$H$16),0)</f>
        <v/>
      </c>
      <c r="V15" s="24">
        <f>U15*P15</f>
        <v/>
      </c>
      <c r="W15" s="22">
        <f>IF(F15=1,V15*(Q15+'01_Cadrage'!$H$17),0)</f>
        <v/>
      </c>
      <c r="X15" s="24">
        <f>IF(F15=1,0,L15*(N15+'01_Cadrage'!$H$18))</f>
        <v/>
      </c>
      <c r="Y15" s="22">
        <f>W15+X15</f>
        <v/>
      </c>
      <c r="Z15" s="15">
        <f>M15*(1+'01_Cadrage'!$H$15*INDEX('01_Cadrage'!$L$7:$L$20,MATCH(A15&amp;"|"&amp;B15,'01_Cadrage'!$M$7:$M$20,0)))</f>
        <v/>
      </c>
      <c r="AA15" s="13">
        <f>Y15*Z15+W15*'01_Cadrage'!$H$24</f>
        <v/>
      </c>
    </row>
    <row r="16">
      <c r="A16" s="17">
        <f>'02_Base'!A16</f>
        <v/>
      </c>
      <c r="B16" s="18">
        <f>'02_Base'!B16</f>
        <v/>
      </c>
      <c r="C16" s="17">
        <f>'02_Base'!C16</f>
        <v/>
      </c>
      <c r="D16" s="18">
        <f>'02_Base'!E16</f>
        <v/>
      </c>
      <c r="E16" s="18">
        <f>'02_Base'!F16</f>
        <v/>
      </c>
      <c r="F16" s="38">
        <f>'02_Base'!G16</f>
        <v/>
      </c>
      <c r="G16" s="38">
        <f>'02_Base'!H16</f>
        <v/>
      </c>
      <c r="H16" s="38">
        <f>'02_Base'!I16</f>
        <v/>
      </c>
      <c r="I16" s="38">
        <f>'02_Base'!K16</f>
        <v/>
      </c>
      <c r="J16" s="38">
        <f>'02_Base'!L16</f>
        <v/>
      </c>
      <c r="K16" s="38">
        <f>'02_Base'!M16</f>
        <v/>
      </c>
      <c r="L16" s="38">
        <f>'02_Base'!N16</f>
        <v/>
      </c>
      <c r="M16" s="39">
        <f>'02_Base'!P16</f>
        <v/>
      </c>
      <c r="N16" s="40">
        <f>'02_Base'!Q16</f>
        <v/>
      </c>
      <c r="O16" s="40">
        <f>'02_Base'!R16</f>
        <v/>
      </c>
      <c r="P16" s="40">
        <f>'02_Base'!S16</f>
        <v/>
      </c>
      <c r="Q16" s="40">
        <f>'02_Base'!T16</f>
        <v/>
      </c>
      <c r="R16" s="41">
        <f>IF(F16=1,IFERROR(G16/INDEX('03_Campagnes'!$D$5:$D$18,MATCH(A16&amp;"|"&amp;B16,'03_Campagnes'!$C$5:$C$18,0)),0),0)</f>
        <v/>
      </c>
      <c r="S16" s="24">
        <f>INDEX('03_Campagnes'!$L$5:$L$18,MATCH(A16&amp;"|"&amp;B16,'03_Campagnes'!$C$5:$C$18,0))</f>
        <v/>
      </c>
      <c r="T16" s="24">
        <f>S16*R16</f>
        <v/>
      </c>
      <c r="U16" s="24">
        <f>IF(F16=1,T16*(O16+'01_Cadrage'!$H$16),0)</f>
        <v/>
      </c>
      <c r="V16" s="24">
        <f>U16*P16</f>
        <v/>
      </c>
      <c r="W16" s="22">
        <f>IF(F16=1,V16*(Q16+'01_Cadrage'!$H$17),0)</f>
        <v/>
      </c>
      <c r="X16" s="24">
        <f>IF(F16=1,0,L16*(N16+'01_Cadrage'!$H$18))</f>
        <v/>
      </c>
      <c r="Y16" s="22">
        <f>W16+X16</f>
        <v/>
      </c>
      <c r="Z16" s="15">
        <f>M16*(1+'01_Cadrage'!$H$15*INDEX('01_Cadrage'!$L$7:$L$20,MATCH(A16&amp;"|"&amp;B16,'01_Cadrage'!$M$7:$M$20,0)))</f>
        <v/>
      </c>
      <c r="AA16" s="13">
        <f>Y16*Z16+W16*'01_Cadrage'!$H$24</f>
        <v/>
      </c>
    </row>
    <row r="17">
      <c r="A17" s="17">
        <f>'02_Base'!A17</f>
        <v/>
      </c>
      <c r="B17" s="18">
        <f>'02_Base'!B17</f>
        <v/>
      </c>
      <c r="C17" s="17">
        <f>'02_Base'!C17</f>
        <v/>
      </c>
      <c r="D17" s="18">
        <f>'02_Base'!E17</f>
        <v/>
      </c>
      <c r="E17" s="18">
        <f>'02_Base'!F17</f>
        <v/>
      </c>
      <c r="F17" s="38">
        <f>'02_Base'!G17</f>
        <v/>
      </c>
      <c r="G17" s="38">
        <f>'02_Base'!H17</f>
        <v/>
      </c>
      <c r="H17" s="38">
        <f>'02_Base'!I17</f>
        <v/>
      </c>
      <c r="I17" s="38">
        <f>'02_Base'!K17</f>
        <v/>
      </c>
      <c r="J17" s="38">
        <f>'02_Base'!L17</f>
        <v/>
      </c>
      <c r="K17" s="38">
        <f>'02_Base'!M17</f>
        <v/>
      </c>
      <c r="L17" s="38">
        <f>'02_Base'!N17</f>
        <v/>
      </c>
      <c r="M17" s="39">
        <f>'02_Base'!P17</f>
        <v/>
      </c>
      <c r="N17" s="40">
        <f>'02_Base'!Q17</f>
        <v/>
      </c>
      <c r="O17" s="40">
        <f>'02_Base'!R17</f>
        <v/>
      </c>
      <c r="P17" s="40">
        <f>'02_Base'!S17</f>
        <v/>
      </c>
      <c r="Q17" s="40">
        <f>'02_Base'!T17</f>
        <v/>
      </c>
      <c r="R17" s="41">
        <f>IF(F17=1,IFERROR(G17/INDEX('03_Campagnes'!$D$5:$D$18,MATCH(A17&amp;"|"&amp;B17,'03_Campagnes'!$C$5:$C$18,0)),0),0)</f>
        <v/>
      </c>
      <c r="S17" s="24">
        <f>INDEX('03_Campagnes'!$L$5:$L$18,MATCH(A17&amp;"|"&amp;B17,'03_Campagnes'!$C$5:$C$18,0))</f>
        <v/>
      </c>
      <c r="T17" s="24">
        <f>S17*R17</f>
        <v/>
      </c>
      <c r="U17" s="24">
        <f>IF(F17=1,T17*(O17+'01_Cadrage'!$H$16),0)</f>
        <v/>
      </c>
      <c r="V17" s="24">
        <f>U17*P17</f>
        <v/>
      </c>
      <c r="W17" s="22">
        <f>IF(F17=1,V17*(Q17+'01_Cadrage'!$H$17),0)</f>
        <v/>
      </c>
      <c r="X17" s="24">
        <f>IF(F17=1,0,L17*(N17+'01_Cadrage'!$H$18))</f>
        <v/>
      </c>
      <c r="Y17" s="22">
        <f>W17+X17</f>
        <v/>
      </c>
      <c r="Z17" s="15">
        <f>M17*(1+'01_Cadrage'!$H$15*INDEX('01_Cadrage'!$L$7:$L$20,MATCH(A17&amp;"|"&amp;B17,'01_Cadrage'!$M$7:$M$20,0)))</f>
        <v/>
      </c>
      <c r="AA17" s="13">
        <f>Y17*Z17+W17*'01_Cadrage'!$H$24</f>
        <v/>
      </c>
    </row>
    <row r="18">
      <c r="A18" s="17">
        <f>'02_Base'!A18</f>
        <v/>
      </c>
      <c r="B18" s="18">
        <f>'02_Base'!B18</f>
        <v/>
      </c>
      <c r="C18" s="17">
        <f>'02_Base'!C18</f>
        <v/>
      </c>
      <c r="D18" s="18">
        <f>'02_Base'!E18</f>
        <v/>
      </c>
      <c r="E18" s="18">
        <f>'02_Base'!F18</f>
        <v/>
      </c>
      <c r="F18" s="38">
        <f>'02_Base'!G18</f>
        <v/>
      </c>
      <c r="G18" s="38">
        <f>'02_Base'!H18</f>
        <v/>
      </c>
      <c r="H18" s="38">
        <f>'02_Base'!I18</f>
        <v/>
      </c>
      <c r="I18" s="38">
        <f>'02_Base'!K18</f>
        <v/>
      </c>
      <c r="J18" s="38">
        <f>'02_Base'!L18</f>
        <v/>
      </c>
      <c r="K18" s="38">
        <f>'02_Base'!M18</f>
        <v/>
      </c>
      <c r="L18" s="38">
        <f>'02_Base'!N18</f>
        <v/>
      </c>
      <c r="M18" s="39">
        <f>'02_Base'!P18</f>
        <v/>
      </c>
      <c r="N18" s="40">
        <f>'02_Base'!Q18</f>
        <v/>
      </c>
      <c r="O18" s="40">
        <f>'02_Base'!R18</f>
        <v/>
      </c>
      <c r="P18" s="40">
        <f>'02_Base'!S18</f>
        <v/>
      </c>
      <c r="Q18" s="40">
        <f>'02_Base'!T18</f>
        <v/>
      </c>
      <c r="R18" s="41">
        <f>IF(F18=1,IFERROR(G18/INDEX('03_Campagnes'!$D$5:$D$18,MATCH(A18&amp;"|"&amp;B18,'03_Campagnes'!$C$5:$C$18,0)),0),0)</f>
        <v/>
      </c>
      <c r="S18" s="24">
        <f>INDEX('03_Campagnes'!$L$5:$L$18,MATCH(A18&amp;"|"&amp;B18,'03_Campagnes'!$C$5:$C$18,0))</f>
        <v/>
      </c>
      <c r="T18" s="24">
        <f>S18*R18</f>
        <v/>
      </c>
      <c r="U18" s="24">
        <f>IF(F18=1,T18*(O18+'01_Cadrage'!$H$16),0)</f>
        <v/>
      </c>
      <c r="V18" s="24">
        <f>U18*P18</f>
        <v/>
      </c>
      <c r="W18" s="22">
        <f>IF(F18=1,V18*(Q18+'01_Cadrage'!$H$17),0)</f>
        <v/>
      </c>
      <c r="X18" s="24">
        <f>IF(F18=1,0,L18*(N18+'01_Cadrage'!$H$18))</f>
        <v/>
      </c>
      <c r="Y18" s="22">
        <f>W18+X18</f>
        <v/>
      </c>
      <c r="Z18" s="15">
        <f>M18*(1+'01_Cadrage'!$H$15*INDEX('01_Cadrage'!$L$7:$L$20,MATCH(A18&amp;"|"&amp;B18,'01_Cadrage'!$M$7:$M$20,0)))</f>
        <v/>
      </c>
      <c r="AA18" s="13">
        <f>Y18*Z18+W18*'01_Cadrage'!$H$24</f>
        <v/>
      </c>
    </row>
    <row r="19">
      <c r="A19" s="17">
        <f>'02_Base'!A19</f>
        <v/>
      </c>
      <c r="B19" s="18">
        <f>'02_Base'!B19</f>
        <v/>
      </c>
      <c r="C19" s="17">
        <f>'02_Base'!C19</f>
        <v/>
      </c>
      <c r="D19" s="18">
        <f>'02_Base'!E19</f>
        <v/>
      </c>
      <c r="E19" s="18">
        <f>'02_Base'!F19</f>
        <v/>
      </c>
      <c r="F19" s="38">
        <f>'02_Base'!G19</f>
        <v/>
      </c>
      <c r="G19" s="38">
        <f>'02_Base'!H19</f>
        <v/>
      </c>
      <c r="H19" s="38">
        <f>'02_Base'!I19</f>
        <v/>
      </c>
      <c r="I19" s="38">
        <f>'02_Base'!K19</f>
        <v/>
      </c>
      <c r="J19" s="38">
        <f>'02_Base'!L19</f>
        <v/>
      </c>
      <c r="K19" s="38">
        <f>'02_Base'!M19</f>
        <v/>
      </c>
      <c r="L19" s="38">
        <f>'02_Base'!N19</f>
        <v/>
      </c>
      <c r="M19" s="39">
        <f>'02_Base'!P19</f>
        <v/>
      </c>
      <c r="N19" s="40">
        <f>'02_Base'!Q19</f>
        <v/>
      </c>
      <c r="O19" s="40">
        <f>'02_Base'!R19</f>
        <v/>
      </c>
      <c r="P19" s="40">
        <f>'02_Base'!S19</f>
        <v/>
      </c>
      <c r="Q19" s="40">
        <f>'02_Base'!T19</f>
        <v/>
      </c>
      <c r="R19" s="41">
        <f>IF(F19=1,IFERROR(G19/INDEX('03_Campagnes'!$D$5:$D$18,MATCH(A19&amp;"|"&amp;B19,'03_Campagnes'!$C$5:$C$18,0)),0),0)</f>
        <v/>
      </c>
      <c r="S19" s="24">
        <f>INDEX('03_Campagnes'!$L$5:$L$18,MATCH(A19&amp;"|"&amp;B19,'03_Campagnes'!$C$5:$C$18,0))</f>
        <v/>
      </c>
      <c r="T19" s="24">
        <f>S19*R19</f>
        <v/>
      </c>
      <c r="U19" s="24">
        <f>IF(F19=1,T19*(O19+'01_Cadrage'!$H$16),0)</f>
        <v/>
      </c>
      <c r="V19" s="24">
        <f>U19*P19</f>
        <v/>
      </c>
      <c r="W19" s="22">
        <f>IF(F19=1,V19*(Q19+'01_Cadrage'!$H$17),0)</f>
        <v/>
      </c>
      <c r="X19" s="24">
        <f>IF(F19=1,0,L19*(N19+'01_Cadrage'!$H$18))</f>
        <v/>
      </c>
      <c r="Y19" s="22">
        <f>W19+X19</f>
        <v/>
      </c>
      <c r="Z19" s="15">
        <f>M19*(1+'01_Cadrage'!$H$15*INDEX('01_Cadrage'!$L$7:$L$20,MATCH(A19&amp;"|"&amp;B19,'01_Cadrage'!$M$7:$M$20,0)))</f>
        <v/>
      </c>
      <c r="AA19" s="13">
        <f>Y19*Z19+W19*'01_Cadrage'!$H$24</f>
        <v/>
      </c>
    </row>
    <row r="20">
      <c r="A20" s="17">
        <f>'02_Base'!A20</f>
        <v/>
      </c>
      <c r="B20" s="18">
        <f>'02_Base'!B20</f>
        <v/>
      </c>
      <c r="C20" s="17">
        <f>'02_Base'!C20</f>
        <v/>
      </c>
      <c r="D20" s="18">
        <f>'02_Base'!E20</f>
        <v/>
      </c>
      <c r="E20" s="18">
        <f>'02_Base'!F20</f>
        <v/>
      </c>
      <c r="F20" s="38">
        <f>'02_Base'!G20</f>
        <v/>
      </c>
      <c r="G20" s="38">
        <f>'02_Base'!H20</f>
        <v/>
      </c>
      <c r="H20" s="38">
        <f>'02_Base'!I20</f>
        <v/>
      </c>
      <c r="I20" s="38">
        <f>'02_Base'!K20</f>
        <v/>
      </c>
      <c r="J20" s="38">
        <f>'02_Base'!L20</f>
        <v/>
      </c>
      <c r="K20" s="38">
        <f>'02_Base'!M20</f>
        <v/>
      </c>
      <c r="L20" s="38">
        <f>'02_Base'!N20</f>
        <v/>
      </c>
      <c r="M20" s="39">
        <f>'02_Base'!P20</f>
        <v/>
      </c>
      <c r="N20" s="40">
        <f>'02_Base'!Q20</f>
        <v/>
      </c>
      <c r="O20" s="40">
        <f>'02_Base'!R20</f>
        <v/>
      </c>
      <c r="P20" s="40">
        <f>'02_Base'!S20</f>
        <v/>
      </c>
      <c r="Q20" s="40">
        <f>'02_Base'!T20</f>
        <v/>
      </c>
      <c r="R20" s="41">
        <f>IF(F20=1,IFERROR(G20/INDEX('03_Campagnes'!$D$5:$D$18,MATCH(A20&amp;"|"&amp;B20,'03_Campagnes'!$C$5:$C$18,0)),0),0)</f>
        <v/>
      </c>
      <c r="S20" s="24">
        <f>INDEX('03_Campagnes'!$L$5:$L$18,MATCH(A20&amp;"|"&amp;B20,'03_Campagnes'!$C$5:$C$18,0))</f>
        <v/>
      </c>
      <c r="T20" s="24">
        <f>S20*R20</f>
        <v/>
      </c>
      <c r="U20" s="24">
        <f>IF(F20=1,T20*(O20+'01_Cadrage'!$H$16),0)</f>
        <v/>
      </c>
      <c r="V20" s="24">
        <f>U20*P20</f>
        <v/>
      </c>
      <c r="W20" s="22">
        <f>IF(F20=1,V20*(Q20+'01_Cadrage'!$H$17),0)</f>
        <v/>
      </c>
      <c r="X20" s="24">
        <f>IF(F20=1,0,L20*(N20+'01_Cadrage'!$H$18))</f>
        <v/>
      </c>
      <c r="Y20" s="22">
        <f>W20+X20</f>
        <v/>
      </c>
      <c r="Z20" s="15">
        <f>M20*(1+'01_Cadrage'!$H$15*INDEX('01_Cadrage'!$L$7:$L$20,MATCH(A20&amp;"|"&amp;B20,'01_Cadrage'!$M$7:$M$20,0)))</f>
        <v/>
      </c>
      <c r="AA20" s="13">
        <f>Y20*Z20+W20*'01_Cadrage'!$H$24</f>
        <v/>
      </c>
    </row>
    <row r="21">
      <c r="A21" s="17">
        <f>'02_Base'!A21</f>
        <v/>
      </c>
      <c r="B21" s="18">
        <f>'02_Base'!B21</f>
        <v/>
      </c>
      <c r="C21" s="17">
        <f>'02_Base'!C21</f>
        <v/>
      </c>
      <c r="D21" s="18">
        <f>'02_Base'!E21</f>
        <v/>
      </c>
      <c r="E21" s="18">
        <f>'02_Base'!F21</f>
        <v/>
      </c>
      <c r="F21" s="38">
        <f>'02_Base'!G21</f>
        <v/>
      </c>
      <c r="G21" s="38">
        <f>'02_Base'!H21</f>
        <v/>
      </c>
      <c r="H21" s="38">
        <f>'02_Base'!I21</f>
        <v/>
      </c>
      <c r="I21" s="38">
        <f>'02_Base'!K21</f>
        <v/>
      </c>
      <c r="J21" s="38">
        <f>'02_Base'!L21</f>
        <v/>
      </c>
      <c r="K21" s="38">
        <f>'02_Base'!M21</f>
        <v/>
      </c>
      <c r="L21" s="38">
        <f>'02_Base'!N21</f>
        <v/>
      </c>
      <c r="M21" s="39">
        <f>'02_Base'!P21</f>
        <v/>
      </c>
      <c r="N21" s="40">
        <f>'02_Base'!Q21</f>
        <v/>
      </c>
      <c r="O21" s="40">
        <f>'02_Base'!R21</f>
        <v/>
      </c>
      <c r="P21" s="40">
        <f>'02_Base'!S21</f>
        <v/>
      </c>
      <c r="Q21" s="40">
        <f>'02_Base'!T21</f>
        <v/>
      </c>
      <c r="R21" s="41">
        <f>IF(F21=1,IFERROR(G21/INDEX('03_Campagnes'!$D$5:$D$18,MATCH(A21&amp;"|"&amp;B21,'03_Campagnes'!$C$5:$C$18,0)),0),0)</f>
        <v/>
      </c>
      <c r="S21" s="24">
        <f>INDEX('03_Campagnes'!$L$5:$L$18,MATCH(A21&amp;"|"&amp;B21,'03_Campagnes'!$C$5:$C$18,0))</f>
        <v/>
      </c>
      <c r="T21" s="24">
        <f>S21*R21</f>
        <v/>
      </c>
      <c r="U21" s="24">
        <f>IF(F21=1,T21*(O21+'01_Cadrage'!$H$16),0)</f>
        <v/>
      </c>
      <c r="V21" s="24">
        <f>U21*P21</f>
        <v/>
      </c>
      <c r="W21" s="22">
        <f>IF(F21=1,V21*(Q21+'01_Cadrage'!$H$17),0)</f>
        <v/>
      </c>
      <c r="X21" s="24">
        <f>IF(F21=1,0,L21*(N21+'01_Cadrage'!$H$18))</f>
        <v/>
      </c>
      <c r="Y21" s="22">
        <f>W21+X21</f>
        <v/>
      </c>
      <c r="Z21" s="15">
        <f>M21*(1+'01_Cadrage'!$H$15*INDEX('01_Cadrage'!$L$7:$L$20,MATCH(A21&amp;"|"&amp;B21,'01_Cadrage'!$M$7:$M$20,0)))</f>
        <v/>
      </c>
      <c r="AA21" s="13">
        <f>Y21*Z21+W21*'01_Cadrage'!$H$24</f>
        <v/>
      </c>
    </row>
    <row r="22">
      <c r="A22" s="17">
        <f>'02_Base'!A22</f>
        <v/>
      </c>
      <c r="B22" s="18">
        <f>'02_Base'!B22</f>
        <v/>
      </c>
      <c r="C22" s="17">
        <f>'02_Base'!C22</f>
        <v/>
      </c>
      <c r="D22" s="18">
        <f>'02_Base'!E22</f>
        <v/>
      </c>
      <c r="E22" s="18">
        <f>'02_Base'!F22</f>
        <v/>
      </c>
      <c r="F22" s="38">
        <f>'02_Base'!G22</f>
        <v/>
      </c>
      <c r="G22" s="38">
        <f>'02_Base'!H22</f>
        <v/>
      </c>
      <c r="H22" s="38">
        <f>'02_Base'!I22</f>
        <v/>
      </c>
      <c r="I22" s="38">
        <f>'02_Base'!K22</f>
        <v/>
      </c>
      <c r="J22" s="38">
        <f>'02_Base'!L22</f>
        <v/>
      </c>
      <c r="K22" s="38">
        <f>'02_Base'!M22</f>
        <v/>
      </c>
      <c r="L22" s="38">
        <f>'02_Base'!N22</f>
        <v/>
      </c>
      <c r="M22" s="39">
        <f>'02_Base'!P22</f>
        <v/>
      </c>
      <c r="N22" s="40">
        <f>'02_Base'!Q22</f>
        <v/>
      </c>
      <c r="O22" s="40">
        <f>'02_Base'!R22</f>
        <v/>
      </c>
      <c r="P22" s="40">
        <f>'02_Base'!S22</f>
        <v/>
      </c>
      <c r="Q22" s="40">
        <f>'02_Base'!T22</f>
        <v/>
      </c>
      <c r="R22" s="41">
        <f>IF(F22=1,IFERROR(G22/INDEX('03_Campagnes'!$D$5:$D$18,MATCH(A22&amp;"|"&amp;B22,'03_Campagnes'!$C$5:$C$18,0)),0),0)</f>
        <v/>
      </c>
      <c r="S22" s="24">
        <f>INDEX('03_Campagnes'!$L$5:$L$18,MATCH(A22&amp;"|"&amp;B22,'03_Campagnes'!$C$5:$C$18,0))</f>
        <v/>
      </c>
      <c r="T22" s="24">
        <f>S22*R22</f>
        <v/>
      </c>
      <c r="U22" s="24">
        <f>IF(F22=1,T22*(O22+'01_Cadrage'!$H$16),0)</f>
        <v/>
      </c>
      <c r="V22" s="24">
        <f>U22*P22</f>
        <v/>
      </c>
      <c r="W22" s="22">
        <f>IF(F22=1,V22*(Q22+'01_Cadrage'!$H$17),0)</f>
        <v/>
      </c>
      <c r="X22" s="24">
        <f>IF(F22=1,0,L22*(N22+'01_Cadrage'!$H$18))</f>
        <v/>
      </c>
      <c r="Y22" s="22">
        <f>W22+X22</f>
        <v/>
      </c>
      <c r="Z22" s="15">
        <f>M22*(1+'01_Cadrage'!$H$15*INDEX('01_Cadrage'!$L$7:$L$20,MATCH(A22&amp;"|"&amp;B22,'01_Cadrage'!$M$7:$M$20,0)))</f>
        <v/>
      </c>
      <c r="AA22" s="13">
        <f>Y22*Z22+W22*'01_Cadrage'!$H$24</f>
        <v/>
      </c>
    </row>
    <row r="23">
      <c r="A23" s="17">
        <f>'02_Base'!A23</f>
        <v/>
      </c>
      <c r="B23" s="18">
        <f>'02_Base'!B23</f>
        <v/>
      </c>
      <c r="C23" s="17">
        <f>'02_Base'!C23</f>
        <v/>
      </c>
      <c r="D23" s="18">
        <f>'02_Base'!E23</f>
        <v/>
      </c>
      <c r="E23" s="18">
        <f>'02_Base'!F23</f>
        <v/>
      </c>
      <c r="F23" s="38">
        <f>'02_Base'!G23</f>
        <v/>
      </c>
      <c r="G23" s="38">
        <f>'02_Base'!H23</f>
        <v/>
      </c>
      <c r="H23" s="38">
        <f>'02_Base'!I23</f>
        <v/>
      </c>
      <c r="I23" s="38">
        <f>'02_Base'!K23</f>
        <v/>
      </c>
      <c r="J23" s="38">
        <f>'02_Base'!L23</f>
        <v/>
      </c>
      <c r="K23" s="38">
        <f>'02_Base'!M23</f>
        <v/>
      </c>
      <c r="L23" s="38">
        <f>'02_Base'!N23</f>
        <v/>
      </c>
      <c r="M23" s="39">
        <f>'02_Base'!P23</f>
        <v/>
      </c>
      <c r="N23" s="40">
        <f>'02_Base'!Q23</f>
        <v/>
      </c>
      <c r="O23" s="40">
        <f>'02_Base'!R23</f>
        <v/>
      </c>
      <c r="P23" s="40">
        <f>'02_Base'!S23</f>
        <v/>
      </c>
      <c r="Q23" s="40">
        <f>'02_Base'!T23</f>
        <v/>
      </c>
      <c r="R23" s="41">
        <f>IF(F23=1,IFERROR(G23/INDEX('03_Campagnes'!$D$5:$D$18,MATCH(A23&amp;"|"&amp;B23,'03_Campagnes'!$C$5:$C$18,0)),0),0)</f>
        <v/>
      </c>
      <c r="S23" s="24">
        <f>INDEX('03_Campagnes'!$L$5:$L$18,MATCH(A23&amp;"|"&amp;B23,'03_Campagnes'!$C$5:$C$18,0))</f>
        <v/>
      </c>
      <c r="T23" s="24">
        <f>S23*R23</f>
        <v/>
      </c>
      <c r="U23" s="24">
        <f>IF(F23=1,T23*(O23+'01_Cadrage'!$H$16),0)</f>
        <v/>
      </c>
      <c r="V23" s="24">
        <f>U23*P23</f>
        <v/>
      </c>
      <c r="W23" s="22">
        <f>IF(F23=1,V23*(Q23+'01_Cadrage'!$H$17),0)</f>
        <v/>
      </c>
      <c r="X23" s="24">
        <f>IF(F23=1,0,L23*(N23+'01_Cadrage'!$H$18))</f>
        <v/>
      </c>
      <c r="Y23" s="22">
        <f>W23+X23</f>
        <v/>
      </c>
      <c r="Z23" s="15">
        <f>M23*(1+'01_Cadrage'!$H$15*INDEX('01_Cadrage'!$L$7:$L$20,MATCH(A23&amp;"|"&amp;B23,'01_Cadrage'!$M$7:$M$20,0)))</f>
        <v/>
      </c>
      <c r="AA23" s="13">
        <f>Y23*Z23+W23*'01_Cadrage'!$H$24</f>
        <v/>
      </c>
    </row>
    <row r="24">
      <c r="A24" s="17">
        <f>'02_Base'!A24</f>
        <v/>
      </c>
      <c r="B24" s="18">
        <f>'02_Base'!B24</f>
        <v/>
      </c>
      <c r="C24" s="17">
        <f>'02_Base'!C24</f>
        <v/>
      </c>
      <c r="D24" s="18">
        <f>'02_Base'!E24</f>
        <v/>
      </c>
      <c r="E24" s="18">
        <f>'02_Base'!F24</f>
        <v/>
      </c>
      <c r="F24" s="38">
        <f>'02_Base'!G24</f>
        <v/>
      </c>
      <c r="G24" s="38">
        <f>'02_Base'!H24</f>
        <v/>
      </c>
      <c r="H24" s="38">
        <f>'02_Base'!I24</f>
        <v/>
      </c>
      <c r="I24" s="38">
        <f>'02_Base'!K24</f>
        <v/>
      </c>
      <c r="J24" s="38">
        <f>'02_Base'!L24</f>
        <v/>
      </c>
      <c r="K24" s="38">
        <f>'02_Base'!M24</f>
        <v/>
      </c>
      <c r="L24" s="38">
        <f>'02_Base'!N24</f>
        <v/>
      </c>
      <c r="M24" s="39">
        <f>'02_Base'!P24</f>
        <v/>
      </c>
      <c r="N24" s="40">
        <f>'02_Base'!Q24</f>
        <v/>
      </c>
      <c r="O24" s="40">
        <f>'02_Base'!R24</f>
        <v/>
      </c>
      <c r="P24" s="40">
        <f>'02_Base'!S24</f>
        <v/>
      </c>
      <c r="Q24" s="40">
        <f>'02_Base'!T24</f>
        <v/>
      </c>
      <c r="R24" s="41">
        <f>IF(F24=1,IFERROR(G24/INDEX('03_Campagnes'!$D$5:$D$18,MATCH(A24&amp;"|"&amp;B24,'03_Campagnes'!$C$5:$C$18,0)),0),0)</f>
        <v/>
      </c>
      <c r="S24" s="24">
        <f>INDEX('03_Campagnes'!$L$5:$L$18,MATCH(A24&amp;"|"&amp;B24,'03_Campagnes'!$C$5:$C$18,0))</f>
        <v/>
      </c>
      <c r="T24" s="24">
        <f>S24*R24</f>
        <v/>
      </c>
      <c r="U24" s="24">
        <f>IF(F24=1,T24*(O24+'01_Cadrage'!$H$16),0)</f>
        <v/>
      </c>
      <c r="V24" s="24">
        <f>U24*P24</f>
        <v/>
      </c>
      <c r="W24" s="22">
        <f>IF(F24=1,V24*(Q24+'01_Cadrage'!$H$17),0)</f>
        <v/>
      </c>
      <c r="X24" s="24">
        <f>IF(F24=1,0,L24*(N24+'01_Cadrage'!$H$18))</f>
        <v/>
      </c>
      <c r="Y24" s="22">
        <f>W24+X24</f>
        <v/>
      </c>
      <c r="Z24" s="15">
        <f>M24*(1+'01_Cadrage'!$H$15*INDEX('01_Cadrage'!$L$7:$L$20,MATCH(A24&amp;"|"&amp;B24,'01_Cadrage'!$M$7:$M$20,0)))</f>
        <v/>
      </c>
      <c r="AA24" s="13">
        <f>Y24*Z24+W24*'01_Cadrage'!$H$24</f>
        <v/>
      </c>
    </row>
    <row r="25">
      <c r="A25" s="17">
        <f>'02_Base'!A25</f>
        <v/>
      </c>
      <c r="B25" s="18">
        <f>'02_Base'!B25</f>
        <v/>
      </c>
      <c r="C25" s="17">
        <f>'02_Base'!C25</f>
        <v/>
      </c>
      <c r="D25" s="18">
        <f>'02_Base'!E25</f>
        <v/>
      </c>
      <c r="E25" s="18">
        <f>'02_Base'!F25</f>
        <v/>
      </c>
      <c r="F25" s="38">
        <f>'02_Base'!G25</f>
        <v/>
      </c>
      <c r="G25" s="38">
        <f>'02_Base'!H25</f>
        <v/>
      </c>
      <c r="H25" s="38">
        <f>'02_Base'!I25</f>
        <v/>
      </c>
      <c r="I25" s="38">
        <f>'02_Base'!K25</f>
        <v/>
      </c>
      <c r="J25" s="38">
        <f>'02_Base'!L25</f>
        <v/>
      </c>
      <c r="K25" s="38">
        <f>'02_Base'!M25</f>
        <v/>
      </c>
      <c r="L25" s="38">
        <f>'02_Base'!N25</f>
        <v/>
      </c>
      <c r="M25" s="39">
        <f>'02_Base'!P25</f>
        <v/>
      </c>
      <c r="N25" s="40">
        <f>'02_Base'!Q25</f>
        <v/>
      </c>
      <c r="O25" s="40">
        <f>'02_Base'!R25</f>
        <v/>
      </c>
      <c r="P25" s="40">
        <f>'02_Base'!S25</f>
        <v/>
      </c>
      <c r="Q25" s="40">
        <f>'02_Base'!T25</f>
        <v/>
      </c>
      <c r="R25" s="41">
        <f>IF(F25=1,IFERROR(G25/INDEX('03_Campagnes'!$D$5:$D$18,MATCH(A25&amp;"|"&amp;B25,'03_Campagnes'!$C$5:$C$18,0)),0),0)</f>
        <v/>
      </c>
      <c r="S25" s="24">
        <f>INDEX('03_Campagnes'!$L$5:$L$18,MATCH(A25&amp;"|"&amp;B25,'03_Campagnes'!$C$5:$C$18,0))</f>
        <v/>
      </c>
      <c r="T25" s="24">
        <f>S25*R25</f>
        <v/>
      </c>
      <c r="U25" s="24">
        <f>IF(F25=1,T25*(O25+'01_Cadrage'!$H$16),0)</f>
        <v/>
      </c>
      <c r="V25" s="24">
        <f>U25*P25</f>
        <v/>
      </c>
      <c r="W25" s="22">
        <f>IF(F25=1,V25*(Q25+'01_Cadrage'!$H$17),0)</f>
        <v/>
      </c>
      <c r="X25" s="24">
        <f>IF(F25=1,0,L25*(N25+'01_Cadrage'!$H$18))</f>
        <v/>
      </c>
      <c r="Y25" s="22">
        <f>W25+X25</f>
        <v/>
      </c>
      <c r="Z25" s="15">
        <f>M25*(1+'01_Cadrage'!$H$15*INDEX('01_Cadrage'!$L$7:$L$20,MATCH(A25&amp;"|"&amp;B25,'01_Cadrage'!$M$7:$M$20,0)))</f>
        <v/>
      </c>
      <c r="AA25" s="13">
        <f>Y25*Z25+W25*'01_Cadrage'!$H$24</f>
        <v/>
      </c>
    </row>
    <row r="26">
      <c r="A26" s="17">
        <f>'02_Base'!A26</f>
        <v/>
      </c>
      <c r="B26" s="18">
        <f>'02_Base'!B26</f>
        <v/>
      </c>
      <c r="C26" s="17">
        <f>'02_Base'!C26</f>
        <v/>
      </c>
      <c r="D26" s="18">
        <f>'02_Base'!E26</f>
        <v/>
      </c>
      <c r="E26" s="18">
        <f>'02_Base'!F26</f>
        <v/>
      </c>
      <c r="F26" s="38">
        <f>'02_Base'!G26</f>
        <v/>
      </c>
      <c r="G26" s="38">
        <f>'02_Base'!H26</f>
        <v/>
      </c>
      <c r="H26" s="38">
        <f>'02_Base'!I26</f>
        <v/>
      </c>
      <c r="I26" s="38">
        <f>'02_Base'!K26</f>
        <v/>
      </c>
      <c r="J26" s="38">
        <f>'02_Base'!L26</f>
        <v/>
      </c>
      <c r="K26" s="38">
        <f>'02_Base'!M26</f>
        <v/>
      </c>
      <c r="L26" s="38">
        <f>'02_Base'!N26</f>
        <v/>
      </c>
      <c r="M26" s="39">
        <f>'02_Base'!P26</f>
        <v/>
      </c>
      <c r="N26" s="40">
        <f>'02_Base'!Q26</f>
        <v/>
      </c>
      <c r="O26" s="40">
        <f>'02_Base'!R26</f>
        <v/>
      </c>
      <c r="P26" s="40">
        <f>'02_Base'!S26</f>
        <v/>
      </c>
      <c r="Q26" s="40">
        <f>'02_Base'!T26</f>
        <v/>
      </c>
      <c r="R26" s="41">
        <f>IF(F26=1,IFERROR(G26/INDEX('03_Campagnes'!$D$5:$D$18,MATCH(A26&amp;"|"&amp;B26,'03_Campagnes'!$C$5:$C$18,0)),0),0)</f>
        <v/>
      </c>
      <c r="S26" s="24">
        <f>INDEX('03_Campagnes'!$L$5:$L$18,MATCH(A26&amp;"|"&amp;B26,'03_Campagnes'!$C$5:$C$18,0))</f>
        <v/>
      </c>
      <c r="T26" s="24">
        <f>S26*R26</f>
        <v/>
      </c>
      <c r="U26" s="24">
        <f>IF(F26=1,T26*(O26+'01_Cadrage'!$H$16),0)</f>
        <v/>
      </c>
      <c r="V26" s="24">
        <f>U26*P26</f>
        <v/>
      </c>
      <c r="W26" s="22">
        <f>IF(F26=1,V26*(Q26+'01_Cadrage'!$H$17),0)</f>
        <v/>
      </c>
      <c r="X26" s="24">
        <f>IF(F26=1,0,L26*(N26+'01_Cadrage'!$H$18))</f>
        <v/>
      </c>
      <c r="Y26" s="22">
        <f>W26+X26</f>
        <v/>
      </c>
      <c r="Z26" s="15">
        <f>M26*(1+'01_Cadrage'!$H$15*INDEX('01_Cadrage'!$L$7:$L$20,MATCH(A26&amp;"|"&amp;B26,'01_Cadrage'!$M$7:$M$20,0)))</f>
        <v/>
      </c>
      <c r="AA26" s="13">
        <f>Y26*Z26+W26*'01_Cadrage'!$H$24</f>
        <v/>
      </c>
    </row>
    <row r="27">
      <c r="A27" s="17">
        <f>'02_Base'!A27</f>
        <v/>
      </c>
      <c r="B27" s="18">
        <f>'02_Base'!B27</f>
        <v/>
      </c>
      <c r="C27" s="17">
        <f>'02_Base'!C27</f>
        <v/>
      </c>
      <c r="D27" s="18">
        <f>'02_Base'!E27</f>
        <v/>
      </c>
      <c r="E27" s="18">
        <f>'02_Base'!F27</f>
        <v/>
      </c>
      <c r="F27" s="38">
        <f>'02_Base'!G27</f>
        <v/>
      </c>
      <c r="G27" s="38">
        <f>'02_Base'!H27</f>
        <v/>
      </c>
      <c r="H27" s="38">
        <f>'02_Base'!I27</f>
        <v/>
      </c>
      <c r="I27" s="38">
        <f>'02_Base'!K27</f>
        <v/>
      </c>
      <c r="J27" s="38">
        <f>'02_Base'!L27</f>
        <v/>
      </c>
      <c r="K27" s="38">
        <f>'02_Base'!M27</f>
        <v/>
      </c>
      <c r="L27" s="38">
        <f>'02_Base'!N27</f>
        <v/>
      </c>
      <c r="M27" s="39">
        <f>'02_Base'!P27</f>
        <v/>
      </c>
      <c r="N27" s="40">
        <f>'02_Base'!Q27</f>
        <v/>
      </c>
      <c r="O27" s="40">
        <f>'02_Base'!R27</f>
        <v/>
      </c>
      <c r="P27" s="40">
        <f>'02_Base'!S27</f>
        <v/>
      </c>
      <c r="Q27" s="40">
        <f>'02_Base'!T27</f>
        <v/>
      </c>
      <c r="R27" s="41">
        <f>IF(F27=1,IFERROR(G27/INDEX('03_Campagnes'!$D$5:$D$18,MATCH(A27&amp;"|"&amp;B27,'03_Campagnes'!$C$5:$C$18,0)),0),0)</f>
        <v/>
      </c>
      <c r="S27" s="24">
        <f>INDEX('03_Campagnes'!$L$5:$L$18,MATCH(A27&amp;"|"&amp;B27,'03_Campagnes'!$C$5:$C$18,0))</f>
        <v/>
      </c>
      <c r="T27" s="24">
        <f>S27*R27</f>
        <v/>
      </c>
      <c r="U27" s="24">
        <f>IF(F27=1,T27*(O27+'01_Cadrage'!$H$16),0)</f>
        <v/>
      </c>
      <c r="V27" s="24">
        <f>U27*P27</f>
        <v/>
      </c>
      <c r="W27" s="22">
        <f>IF(F27=1,V27*(Q27+'01_Cadrage'!$H$17),0)</f>
        <v/>
      </c>
      <c r="X27" s="24">
        <f>IF(F27=1,0,L27*(N27+'01_Cadrage'!$H$18))</f>
        <v/>
      </c>
      <c r="Y27" s="22">
        <f>W27+X27</f>
        <v/>
      </c>
      <c r="Z27" s="15">
        <f>M27*(1+'01_Cadrage'!$H$15*INDEX('01_Cadrage'!$L$7:$L$20,MATCH(A27&amp;"|"&amp;B27,'01_Cadrage'!$M$7:$M$20,0)))</f>
        <v/>
      </c>
      <c r="AA27" s="13">
        <f>Y27*Z27+W27*'01_Cadrage'!$H$24</f>
        <v/>
      </c>
    </row>
    <row r="28">
      <c r="A28" s="17">
        <f>'02_Base'!A28</f>
        <v/>
      </c>
      <c r="B28" s="18">
        <f>'02_Base'!B28</f>
        <v/>
      </c>
      <c r="C28" s="17">
        <f>'02_Base'!C28</f>
        <v/>
      </c>
      <c r="D28" s="18">
        <f>'02_Base'!E28</f>
        <v/>
      </c>
      <c r="E28" s="18">
        <f>'02_Base'!F28</f>
        <v/>
      </c>
      <c r="F28" s="38">
        <f>'02_Base'!G28</f>
        <v/>
      </c>
      <c r="G28" s="38">
        <f>'02_Base'!H28</f>
        <v/>
      </c>
      <c r="H28" s="38">
        <f>'02_Base'!I28</f>
        <v/>
      </c>
      <c r="I28" s="38">
        <f>'02_Base'!K28</f>
        <v/>
      </c>
      <c r="J28" s="38">
        <f>'02_Base'!L28</f>
        <v/>
      </c>
      <c r="K28" s="38">
        <f>'02_Base'!M28</f>
        <v/>
      </c>
      <c r="L28" s="38">
        <f>'02_Base'!N28</f>
        <v/>
      </c>
      <c r="M28" s="39">
        <f>'02_Base'!P28</f>
        <v/>
      </c>
      <c r="N28" s="40">
        <f>'02_Base'!Q28</f>
        <v/>
      </c>
      <c r="O28" s="40">
        <f>'02_Base'!R28</f>
        <v/>
      </c>
      <c r="P28" s="40">
        <f>'02_Base'!S28</f>
        <v/>
      </c>
      <c r="Q28" s="40">
        <f>'02_Base'!T28</f>
        <v/>
      </c>
      <c r="R28" s="41">
        <f>IF(F28=1,IFERROR(G28/INDEX('03_Campagnes'!$D$5:$D$18,MATCH(A28&amp;"|"&amp;B28,'03_Campagnes'!$C$5:$C$18,0)),0),0)</f>
        <v/>
      </c>
      <c r="S28" s="24">
        <f>INDEX('03_Campagnes'!$L$5:$L$18,MATCH(A28&amp;"|"&amp;B28,'03_Campagnes'!$C$5:$C$18,0))</f>
        <v/>
      </c>
      <c r="T28" s="24">
        <f>S28*R28</f>
        <v/>
      </c>
      <c r="U28" s="24">
        <f>IF(F28=1,T28*(O28+'01_Cadrage'!$H$16),0)</f>
        <v/>
      </c>
      <c r="V28" s="24">
        <f>U28*P28</f>
        <v/>
      </c>
      <c r="W28" s="22">
        <f>IF(F28=1,V28*(Q28+'01_Cadrage'!$H$17),0)</f>
        <v/>
      </c>
      <c r="X28" s="24">
        <f>IF(F28=1,0,L28*(N28+'01_Cadrage'!$H$18))</f>
        <v/>
      </c>
      <c r="Y28" s="22">
        <f>W28+X28</f>
        <v/>
      </c>
      <c r="Z28" s="15">
        <f>M28*(1+'01_Cadrage'!$H$15*INDEX('01_Cadrage'!$L$7:$L$20,MATCH(A28&amp;"|"&amp;B28,'01_Cadrage'!$M$7:$M$20,0)))</f>
        <v/>
      </c>
      <c r="AA28" s="13">
        <f>Y28*Z28+W28*'01_Cadrage'!$H$24</f>
        <v/>
      </c>
    </row>
    <row r="29">
      <c r="A29" s="17">
        <f>'02_Base'!A29</f>
        <v/>
      </c>
      <c r="B29" s="18">
        <f>'02_Base'!B29</f>
        <v/>
      </c>
      <c r="C29" s="17">
        <f>'02_Base'!C29</f>
        <v/>
      </c>
      <c r="D29" s="18">
        <f>'02_Base'!E29</f>
        <v/>
      </c>
      <c r="E29" s="18">
        <f>'02_Base'!F29</f>
        <v/>
      </c>
      <c r="F29" s="38">
        <f>'02_Base'!G29</f>
        <v/>
      </c>
      <c r="G29" s="38">
        <f>'02_Base'!H29</f>
        <v/>
      </c>
      <c r="H29" s="38">
        <f>'02_Base'!I29</f>
        <v/>
      </c>
      <c r="I29" s="38">
        <f>'02_Base'!K29</f>
        <v/>
      </c>
      <c r="J29" s="38">
        <f>'02_Base'!L29</f>
        <v/>
      </c>
      <c r="K29" s="38">
        <f>'02_Base'!M29</f>
        <v/>
      </c>
      <c r="L29" s="38">
        <f>'02_Base'!N29</f>
        <v/>
      </c>
      <c r="M29" s="39">
        <f>'02_Base'!P29</f>
        <v/>
      </c>
      <c r="N29" s="40">
        <f>'02_Base'!Q29</f>
        <v/>
      </c>
      <c r="O29" s="40">
        <f>'02_Base'!R29</f>
        <v/>
      </c>
      <c r="P29" s="40">
        <f>'02_Base'!S29</f>
        <v/>
      </c>
      <c r="Q29" s="40">
        <f>'02_Base'!T29</f>
        <v/>
      </c>
      <c r="R29" s="41">
        <f>IF(F29=1,IFERROR(G29/INDEX('03_Campagnes'!$D$5:$D$18,MATCH(A29&amp;"|"&amp;B29,'03_Campagnes'!$C$5:$C$18,0)),0),0)</f>
        <v/>
      </c>
      <c r="S29" s="24">
        <f>INDEX('03_Campagnes'!$L$5:$L$18,MATCH(A29&amp;"|"&amp;B29,'03_Campagnes'!$C$5:$C$18,0))</f>
        <v/>
      </c>
      <c r="T29" s="24">
        <f>S29*R29</f>
        <v/>
      </c>
      <c r="U29" s="24">
        <f>IF(F29=1,T29*(O29+'01_Cadrage'!$H$16),0)</f>
        <v/>
      </c>
      <c r="V29" s="24">
        <f>U29*P29</f>
        <v/>
      </c>
      <c r="W29" s="22">
        <f>IF(F29=1,V29*(Q29+'01_Cadrage'!$H$17),0)</f>
        <v/>
      </c>
      <c r="X29" s="24">
        <f>IF(F29=1,0,L29*(N29+'01_Cadrage'!$H$18))</f>
        <v/>
      </c>
      <c r="Y29" s="22">
        <f>W29+X29</f>
        <v/>
      </c>
      <c r="Z29" s="15">
        <f>M29*(1+'01_Cadrage'!$H$15*INDEX('01_Cadrage'!$L$7:$L$20,MATCH(A29&amp;"|"&amp;B29,'01_Cadrage'!$M$7:$M$20,0)))</f>
        <v/>
      </c>
      <c r="AA29" s="13">
        <f>Y29*Z29+W29*'01_Cadrage'!$H$24</f>
        <v/>
      </c>
    </row>
    <row r="30">
      <c r="A30" s="17">
        <f>'02_Base'!A30</f>
        <v/>
      </c>
      <c r="B30" s="18">
        <f>'02_Base'!B30</f>
        <v/>
      </c>
      <c r="C30" s="17">
        <f>'02_Base'!C30</f>
        <v/>
      </c>
      <c r="D30" s="18">
        <f>'02_Base'!E30</f>
        <v/>
      </c>
      <c r="E30" s="18">
        <f>'02_Base'!F30</f>
        <v/>
      </c>
      <c r="F30" s="38">
        <f>'02_Base'!G30</f>
        <v/>
      </c>
      <c r="G30" s="38">
        <f>'02_Base'!H30</f>
        <v/>
      </c>
      <c r="H30" s="38">
        <f>'02_Base'!I30</f>
        <v/>
      </c>
      <c r="I30" s="38">
        <f>'02_Base'!K30</f>
        <v/>
      </c>
      <c r="J30" s="38">
        <f>'02_Base'!L30</f>
        <v/>
      </c>
      <c r="K30" s="38">
        <f>'02_Base'!M30</f>
        <v/>
      </c>
      <c r="L30" s="38">
        <f>'02_Base'!N30</f>
        <v/>
      </c>
      <c r="M30" s="39">
        <f>'02_Base'!P30</f>
        <v/>
      </c>
      <c r="N30" s="40">
        <f>'02_Base'!Q30</f>
        <v/>
      </c>
      <c r="O30" s="40">
        <f>'02_Base'!R30</f>
        <v/>
      </c>
      <c r="P30" s="40">
        <f>'02_Base'!S30</f>
        <v/>
      </c>
      <c r="Q30" s="40">
        <f>'02_Base'!T30</f>
        <v/>
      </c>
      <c r="R30" s="41">
        <f>IF(F30=1,IFERROR(G30/INDEX('03_Campagnes'!$D$5:$D$18,MATCH(A30&amp;"|"&amp;B30,'03_Campagnes'!$C$5:$C$18,0)),0),0)</f>
        <v/>
      </c>
      <c r="S30" s="24">
        <f>INDEX('03_Campagnes'!$L$5:$L$18,MATCH(A30&amp;"|"&amp;B30,'03_Campagnes'!$C$5:$C$18,0))</f>
        <v/>
      </c>
      <c r="T30" s="24">
        <f>S30*R30</f>
        <v/>
      </c>
      <c r="U30" s="24">
        <f>IF(F30=1,T30*(O30+'01_Cadrage'!$H$16),0)</f>
        <v/>
      </c>
      <c r="V30" s="24">
        <f>U30*P30</f>
        <v/>
      </c>
      <c r="W30" s="22">
        <f>IF(F30=1,V30*(Q30+'01_Cadrage'!$H$17),0)</f>
        <v/>
      </c>
      <c r="X30" s="24">
        <f>IF(F30=1,0,L30*(N30+'01_Cadrage'!$H$18))</f>
        <v/>
      </c>
      <c r="Y30" s="22">
        <f>W30+X30</f>
        <v/>
      </c>
      <c r="Z30" s="15">
        <f>M30*(1+'01_Cadrage'!$H$15*INDEX('01_Cadrage'!$L$7:$L$20,MATCH(A30&amp;"|"&amp;B30,'01_Cadrage'!$M$7:$M$20,0)))</f>
        <v/>
      </c>
      <c r="AA30" s="13">
        <f>Y30*Z30+W30*'01_Cadrage'!$H$24</f>
        <v/>
      </c>
    </row>
    <row r="31">
      <c r="A31" s="17">
        <f>'02_Base'!A31</f>
        <v/>
      </c>
      <c r="B31" s="18">
        <f>'02_Base'!B31</f>
        <v/>
      </c>
      <c r="C31" s="17">
        <f>'02_Base'!C31</f>
        <v/>
      </c>
      <c r="D31" s="18">
        <f>'02_Base'!E31</f>
        <v/>
      </c>
      <c r="E31" s="18">
        <f>'02_Base'!F31</f>
        <v/>
      </c>
      <c r="F31" s="38">
        <f>'02_Base'!G31</f>
        <v/>
      </c>
      <c r="G31" s="38">
        <f>'02_Base'!H31</f>
        <v/>
      </c>
      <c r="H31" s="38">
        <f>'02_Base'!I31</f>
        <v/>
      </c>
      <c r="I31" s="38">
        <f>'02_Base'!K31</f>
        <v/>
      </c>
      <c r="J31" s="38">
        <f>'02_Base'!L31</f>
        <v/>
      </c>
      <c r="K31" s="38">
        <f>'02_Base'!M31</f>
        <v/>
      </c>
      <c r="L31" s="38">
        <f>'02_Base'!N31</f>
        <v/>
      </c>
      <c r="M31" s="39">
        <f>'02_Base'!P31</f>
        <v/>
      </c>
      <c r="N31" s="40">
        <f>'02_Base'!Q31</f>
        <v/>
      </c>
      <c r="O31" s="40">
        <f>'02_Base'!R31</f>
        <v/>
      </c>
      <c r="P31" s="40">
        <f>'02_Base'!S31</f>
        <v/>
      </c>
      <c r="Q31" s="40">
        <f>'02_Base'!T31</f>
        <v/>
      </c>
      <c r="R31" s="41">
        <f>IF(F31=1,IFERROR(G31/INDEX('03_Campagnes'!$D$5:$D$18,MATCH(A31&amp;"|"&amp;B31,'03_Campagnes'!$C$5:$C$18,0)),0),0)</f>
        <v/>
      </c>
      <c r="S31" s="24">
        <f>INDEX('03_Campagnes'!$L$5:$L$18,MATCH(A31&amp;"|"&amp;B31,'03_Campagnes'!$C$5:$C$18,0))</f>
        <v/>
      </c>
      <c r="T31" s="24">
        <f>S31*R31</f>
        <v/>
      </c>
      <c r="U31" s="24">
        <f>IF(F31=1,T31*(O31+'01_Cadrage'!$H$16),0)</f>
        <v/>
      </c>
      <c r="V31" s="24">
        <f>U31*P31</f>
        <v/>
      </c>
      <c r="W31" s="22">
        <f>IF(F31=1,V31*(Q31+'01_Cadrage'!$H$17),0)</f>
        <v/>
      </c>
      <c r="X31" s="24">
        <f>IF(F31=1,0,L31*(N31+'01_Cadrage'!$H$18))</f>
        <v/>
      </c>
      <c r="Y31" s="22">
        <f>W31+X31</f>
        <v/>
      </c>
      <c r="Z31" s="15">
        <f>M31*(1+'01_Cadrage'!$H$15*INDEX('01_Cadrage'!$L$7:$L$20,MATCH(A31&amp;"|"&amp;B31,'01_Cadrage'!$M$7:$M$20,0)))</f>
        <v/>
      </c>
      <c r="AA31" s="13">
        <f>Y31*Z31+W31*'01_Cadrage'!$H$24</f>
        <v/>
      </c>
    </row>
    <row r="32">
      <c r="A32" s="17">
        <f>'02_Base'!A32</f>
        <v/>
      </c>
      <c r="B32" s="18">
        <f>'02_Base'!B32</f>
        <v/>
      </c>
      <c r="C32" s="17">
        <f>'02_Base'!C32</f>
        <v/>
      </c>
      <c r="D32" s="18">
        <f>'02_Base'!E32</f>
        <v/>
      </c>
      <c r="E32" s="18">
        <f>'02_Base'!F32</f>
        <v/>
      </c>
      <c r="F32" s="38">
        <f>'02_Base'!G32</f>
        <v/>
      </c>
      <c r="G32" s="38">
        <f>'02_Base'!H32</f>
        <v/>
      </c>
      <c r="H32" s="38">
        <f>'02_Base'!I32</f>
        <v/>
      </c>
      <c r="I32" s="38">
        <f>'02_Base'!K32</f>
        <v/>
      </c>
      <c r="J32" s="38">
        <f>'02_Base'!L32</f>
        <v/>
      </c>
      <c r="K32" s="38">
        <f>'02_Base'!M32</f>
        <v/>
      </c>
      <c r="L32" s="38">
        <f>'02_Base'!N32</f>
        <v/>
      </c>
      <c r="M32" s="39">
        <f>'02_Base'!P32</f>
        <v/>
      </c>
      <c r="N32" s="40">
        <f>'02_Base'!Q32</f>
        <v/>
      </c>
      <c r="O32" s="40">
        <f>'02_Base'!R32</f>
        <v/>
      </c>
      <c r="P32" s="40">
        <f>'02_Base'!S32</f>
        <v/>
      </c>
      <c r="Q32" s="40">
        <f>'02_Base'!T32</f>
        <v/>
      </c>
      <c r="R32" s="41">
        <f>IF(F32=1,IFERROR(G32/INDEX('03_Campagnes'!$D$5:$D$18,MATCH(A32&amp;"|"&amp;B32,'03_Campagnes'!$C$5:$C$18,0)),0),0)</f>
        <v/>
      </c>
      <c r="S32" s="24">
        <f>INDEX('03_Campagnes'!$L$5:$L$18,MATCH(A32&amp;"|"&amp;B32,'03_Campagnes'!$C$5:$C$18,0))</f>
        <v/>
      </c>
      <c r="T32" s="24">
        <f>S32*R32</f>
        <v/>
      </c>
      <c r="U32" s="24">
        <f>IF(F32=1,T32*(O32+'01_Cadrage'!$H$16),0)</f>
        <v/>
      </c>
      <c r="V32" s="24">
        <f>U32*P32</f>
        <v/>
      </c>
      <c r="W32" s="22">
        <f>IF(F32=1,V32*(Q32+'01_Cadrage'!$H$17),0)</f>
        <v/>
      </c>
      <c r="X32" s="24">
        <f>IF(F32=1,0,L32*(N32+'01_Cadrage'!$H$18))</f>
        <v/>
      </c>
      <c r="Y32" s="22">
        <f>W32+X32</f>
        <v/>
      </c>
      <c r="Z32" s="15">
        <f>M32*(1+'01_Cadrage'!$H$15*INDEX('01_Cadrage'!$L$7:$L$20,MATCH(A32&amp;"|"&amp;B32,'01_Cadrage'!$M$7:$M$20,0)))</f>
        <v/>
      </c>
      <c r="AA32" s="13">
        <f>Y32*Z32+W32*'01_Cadrage'!$H$24</f>
        <v/>
      </c>
    </row>
    <row r="33">
      <c r="A33" s="17">
        <f>'02_Base'!A33</f>
        <v/>
      </c>
      <c r="B33" s="18">
        <f>'02_Base'!B33</f>
        <v/>
      </c>
      <c r="C33" s="17">
        <f>'02_Base'!C33</f>
        <v/>
      </c>
      <c r="D33" s="18">
        <f>'02_Base'!E33</f>
        <v/>
      </c>
      <c r="E33" s="18">
        <f>'02_Base'!F33</f>
        <v/>
      </c>
      <c r="F33" s="38">
        <f>'02_Base'!G33</f>
        <v/>
      </c>
      <c r="G33" s="38">
        <f>'02_Base'!H33</f>
        <v/>
      </c>
      <c r="H33" s="38">
        <f>'02_Base'!I33</f>
        <v/>
      </c>
      <c r="I33" s="38">
        <f>'02_Base'!K33</f>
        <v/>
      </c>
      <c r="J33" s="38">
        <f>'02_Base'!L33</f>
        <v/>
      </c>
      <c r="K33" s="38">
        <f>'02_Base'!M33</f>
        <v/>
      </c>
      <c r="L33" s="38">
        <f>'02_Base'!N33</f>
        <v/>
      </c>
      <c r="M33" s="39">
        <f>'02_Base'!P33</f>
        <v/>
      </c>
      <c r="N33" s="40">
        <f>'02_Base'!Q33</f>
        <v/>
      </c>
      <c r="O33" s="40">
        <f>'02_Base'!R33</f>
        <v/>
      </c>
      <c r="P33" s="40">
        <f>'02_Base'!S33</f>
        <v/>
      </c>
      <c r="Q33" s="40">
        <f>'02_Base'!T33</f>
        <v/>
      </c>
      <c r="R33" s="41">
        <f>IF(F33=1,IFERROR(G33/INDEX('03_Campagnes'!$D$5:$D$18,MATCH(A33&amp;"|"&amp;B33,'03_Campagnes'!$C$5:$C$18,0)),0),0)</f>
        <v/>
      </c>
      <c r="S33" s="24">
        <f>INDEX('03_Campagnes'!$L$5:$L$18,MATCH(A33&amp;"|"&amp;B33,'03_Campagnes'!$C$5:$C$18,0))</f>
        <v/>
      </c>
      <c r="T33" s="24">
        <f>S33*R33</f>
        <v/>
      </c>
      <c r="U33" s="24">
        <f>IF(F33=1,T33*(O33+'01_Cadrage'!$H$16),0)</f>
        <v/>
      </c>
      <c r="V33" s="24">
        <f>U33*P33</f>
        <v/>
      </c>
      <c r="W33" s="22">
        <f>IF(F33=1,V33*(Q33+'01_Cadrage'!$H$17),0)</f>
        <v/>
      </c>
      <c r="X33" s="24">
        <f>IF(F33=1,0,L33*(N33+'01_Cadrage'!$H$18))</f>
        <v/>
      </c>
      <c r="Y33" s="22">
        <f>W33+X33</f>
        <v/>
      </c>
      <c r="Z33" s="15">
        <f>M33*(1+'01_Cadrage'!$H$15*INDEX('01_Cadrage'!$L$7:$L$20,MATCH(A33&amp;"|"&amp;B33,'01_Cadrage'!$M$7:$M$20,0)))</f>
        <v/>
      </c>
      <c r="AA33" s="13">
        <f>Y33*Z33+W33*'01_Cadrage'!$H$24</f>
        <v/>
      </c>
    </row>
    <row r="34">
      <c r="A34" s="17">
        <f>'02_Base'!A34</f>
        <v/>
      </c>
      <c r="B34" s="18">
        <f>'02_Base'!B34</f>
        <v/>
      </c>
      <c r="C34" s="17">
        <f>'02_Base'!C34</f>
        <v/>
      </c>
      <c r="D34" s="18">
        <f>'02_Base'!E34</f>
        <v/>
      </c>
      <c r="E34" s="18">
        <f>'02_Base'!F34</f>
        <v/>
      </c>
      <c r="F34" s="38">
        <f>'02_Base'!G34</f>
        <v/>
      </c>
      <c r="G34" s="38">
        <f>'02_Base'!H34</f>
        <v/>
      </c>
      <c r="H34" s="38">
        <f>'02_Base'!I34</f>
        <v/>
      </c>
      <c r="I34" s="38">
        <f>'02_Base'!K34</f>
        <v/>
      </c>
      <c r="J34" s="38">
        <f>'02_Base'!L34</f>
        <v/>
      </c>
      <c r="K34" s="38">
        <f>'02_Base'!M34</f>
        <v/>
      </c>
      <c r="L34" s="38">
        <f>'02_Base'!N34</f>
        <v/>
      </c>
      <c r="M34" s="39">
        <f>'02_Base'!P34</f>
        <v/>
      </c>
      <c r="N34" s="40">
        <f>'02_Base'!Q34</f>
        <v/>
      </c>
      <c r="O34" s="40">
        <f>'02_Base'!R34</f>
        <v/>
      </c>
      <c r="P34" s="40">
        <f>'02_Base'!S34</f>
        <v/>
      </c>
      <c r="Q34" s="40">
        <f>'02_Base'!T34</f>
        <v/>
      </c>
      <c r="R34" s="41">
        <f>IF(F34=1,IFERROR(G34/INDEX('03_Campagnes'!$D$5:$D$18,MATCH(A34&amp;"|"&amp;B34,'03_Campagnes'!$C$5:$C$18,0)),0),0)</f>
        <v/>
      </c>
      <c r="S34" s="24">
        <f>INDEX('03_Campagnes'!$L$5:$L$18,MATCH(A34&amp;"|"&amp;B34,'03_Campagnes'!$C$5:$C$18,0))</f>
        <v/>
      </c>
      <c r="T34" s="24">
        <f>S34*R34</f>
        <v/>
      </c>
      <c r="U34" s="24">
        <f>IF(F34=1,T34*(O34+'01_Cadrage'!$H$16),0)</f>
        <v/>
      </c>
      <c r="V34" s="24">
        <f>U34*P34</f>
        <v/>
      </c>
      <c r="W34" s="22">
        <f>IF(F34=1,V34*(Q34+'01_Cadrage'!$H$17),0)</f>
        <v/>
      </c>
      <c r="X34" s="24">
        <f>IF(F34=1,0,L34*(N34+'01_Cadrage'!$H$18))</f>
        <v/>
      </c>
      <c r="Y34" s="22">
        <f>W34+X34</f>
        <v/>
      </c>
      <c r="Z34" s="15">
        <f>M34*(1+'01_Cadrage'!$H$15*INDEX('01_Cadrage'!$L$7:$L$20,MATCH(A34&amp;"|"&amp;B34,'01_Cadrage'!$M$7:$M$20,0)))</f>
        <v/>
      </c>
      <c r="AA34" s="13">
        <f>Y34*Z34+W34*'01_Cadrage'!$H$24</f>
        <v/>
      </c>
    </row>
    <row r="35">
      <c r="A35" s="17">
        <f>'02_Base'!A35</f>
        <v/>
      </c>
      <c r="B35" s="18">
        <f>'02_Base'!B35</f>
        <v/>
      </c>
      <c r="C35" s="17">
        <f>'02_Base'!C35</f>
        <v/>
      </c>
      <c r="D35" s="18">
        <f>'02_Base'!E35</f>
        <v/>
      </c>
      <c r="E35" s="18">
        <f>'02_Base'!F35</f>
        <v/>
      </c>
      <c r="F35" s="38">
        <f>'02_Base'!G35</f>
        <v/>
      </c>
      <c r="G35" s="38">
        <f>'02_Base'!H35</f>
        <v/>
      </c>
      <c r="H35" s="38">
        <f>'02_Base'!I35</f>
        <v/>
      </c>
      <c r="I35" s="38">
        <f>'02_Base'!K35</f>
        <v/>
      </c>
      <c r="J35" s="38">
        <f>'02_Base'!L35</f>
        <v/>
      </c>
      <c r="K35" s="38">
        <f>'02_Base'!M35</f>
        <v/>
      </c>
      <c r="L35" s="38">
        <f>'02_Base'!N35</f>
        <v/>
      </c>
      <c r="M35" s="39">
        <f>'02_Base'!P35</f>
        <v/>
      </c>
      <c r="N35" s="40">
        <f>'02_Base'!Q35</f>
        <v/>
      </c>
      <c r="O35" s="40">
        <f>'02_Base'!R35</f>
        <v/>
      </c>
      <c r="P35" s="40">
        <f>'02_Base'!S35</f>
        <v/>
      </c>
      <c r="Q35" s="40">
        <f>'02_Base'!T35</f>
        <v/>
      </c>
      <c r="R35" s="41">
        <f>IF(F35=1,IFERROR(G35/INDEX('03_Campagnes'!$D$5:$D$18,MATCH(A35&amp;"|"&amp;B35,'03_Campagnes'!$C$5:$C$18,0)),0),0)</f>
        <v/>
      </c>
      <c r="S35" s="24">
        <f>INDEX('03_Campagnes'!$L$5:$L$18,MATCH(A35&amp;"|"&amp;B35,'03_Campagnes'!$C$5:$C$18,0))</f>
        <v/>
      </c>
      <c r="T35" s="24">
        <f>S35*R35</f>
        <v/>
      </c>
      <c r="U35" s="24">
        <f>IF(F35=1,T35*(O35+'01_Cadrage'!$H$16),0)</f>
        <v/>
      </c>
      <c r="V35" s="24">
        <f>U35*P35</f>
        <v/>
      </c>
      <c r="W35" s="22">
        <f>IF(F35=1,V35*(Q35+'01_Cadrage'!$H$17),0)</f>
        <v/>
      </c>
      <c r="X35" s="24">
        <f>IF(F35=1,0,L35*(N35+'01_Cadrage'!$H$18))</f>
        <v/>
      </c>
      <c r="Y35" s="22">
        <f>W35+X35</f>
        <v/>
      </c>
      <c r="Z35" s="15">
        <f>M35*(1+'01_Cadrage'!$H$15*INDEX('01_Cadrage'!$L$7:$L$20,MATCH(A35&amp;"|"&amp;B35,'01_Cadrage'!$M$7:$M$20,0)))</f>
        <v/>
      </c>
      <c r="AA35" s="13">
        <f>Y35*Z35+W35*'01_Cadrage'!$H$24</f>
        <v/>
      </c>
    </row>
    <row r="36">
      <c r="A36" s="17">
        <f>'02_Base'!A36</f>
        <v/>
      </c>
      <c r="B36" s="18">
        <f>'02_Base'!B36</f>
        <v/>
      </c>
      <c r="C36" s="17">
        <f>'02_Base'!C36</f>
        <v/>
      </c>
      <c r="D36" s="18">
        <f>'02_Base'!E36</f>
        <v/>
      </c>
      <c r="E36" s="18">
        <f>'02_Base'!F36</f>
        <v/>
      </c>
      <c r="F36" s="38">
        <f>'02_Base'!G36</f>
        <v/>
      </c>
      <c r="G36" s="38">
        <f>'02_Base'!H36</f>
        <v/>
      </c>
      <c r="H36" s="38">
        <f>'02_Base'!I36</f>
        <v/>
      </c>
      <c r="I36" s="38">
        <f>'02_Base'!K36</f>
        <v/>
      </c>
      <c r="J36" s="38">
        <f>'02_Base'!L36</f>
        <v/>
      </c>
      <c r="K36" s="38">
        <f>'02_Base'!M36</f>
        <v/>
      </c>
      <c r="L36" s="38">
        <f>'02_Base'!N36</f>
        <v/>
      </c>
      <c r="M36" s="39">
        <f>'02_Base'!P36</f>
        <v/>
      </c>
      <c r="N36" s="40">
        <f>'02_Base'!Q36</f>
        <v/>
      </c>
      <c r="O36" s="40">
        <f>'02_Base'!R36</f>
        <v/>
      </c>
      <c r="P36" s="40">
        <f>'02_Base'!S36</f>
        <v/>
      </c>
      <c r="Q36" s="40">
        <f>'02_Base'!T36</f>
        <v/>
      </c>
      <c r="R36" s="41">
        <f>IF(F36=1,IFERROR(G36/INDEX('03_Campagnes'!$D$5:$D$18,MATCH(A36&amp;"|"&amp;B36,'03_Campagnes'!$C$5:$C$18,0)),0),0)</f>
        <v/>
      </c>
      <c r="S36" s="24">
        <f>INDEX('03_Campagnes'!$L$5:$L$18,MATCH(A36&amp;"|"&amp;B36,'03_Campagnes'!$C$5:$C$18,0))</f>
        <v/>
      </c>
      <c r="T36" s="24">
        <f>S36*R36</f>
        <v/>
      </c>
      <c r="U36" s="24">
        <f>IF(F36=1,T36*(O36+'01_Cadrage'!$H$16),0)</f>
        <v/>
      </c>
      <c r="V36" s="24">
        <f>U36*P36</f>
        <v/>
      </c>
      <c r="W36" s="22">
        <f>IF(F36=1,V36*(Q36+'01_Cadrage'!$H$17),0)</f>
        <v/>
      </c>
      <c r="X36" s="24">
        <f>IF(F36=1,0,L36*(N36+'01_Cadrage'!$H$18))</f>
        <v/>
      </c>
      <c r="Y36" s="22">
        <f>W36+X36</f>
        <v/>
      </c>
      <c r="Z36" s="15">
        <f>M36*(1+'01_Cadrage'!$H$15*INDEX('01_Cadrage'!$L$7:$L$20,MATCH(A36&amp;"|"&amp;B36,'01_Cadrage'!$M$7:$M$20,0)))</f>
        <v/>
      </c>
      <c r="AA36" s="13">
        <f>Y36*Z36+W36*'01_Cadrage'!$H$24</f>
        <v/>
      </c>
    </row>
    <row r="37">
      <c r="A37" s="17">
        <f>'02_Base'!A37</f>
        <v/>
      </c>
      <c r="B37" s="18">
        <f>'02_Base'!B37</f>
        <v/>
      </c>
      <c r="C37" s="17">
        <f>'02_Base'!C37</f>
        <v/>
      </c>
      <c r="D37" s="18">
        <f>'02_Base'!E37</f>
        <v/>
      </c>
      <c r="E37" s="18">
        <f>'02_Base'!F37</f>
        <v/>
      </c>
      <c r="F37" s="38">
        <f>'02_Base'!G37</f>
        <v/>
      </c>
      <c r="G37" s="38">
        <f>'02_Base'!H37</f>
        <v/>
      </c>
      <c r="H37" s="38">
        <f>'02_Base'!I37</f>
        <v/>
      </c>
      <c r="I37" s="38">
        <f>'02_Base'!K37</f>
        <v/>
      </c>
      <c r="J37" s="38">
        <f>'02_Base'!L37</f>
        <v/>
      </c>
      <c r="K37" s="38">
        <f>'02_Base'!M37</f>
        <v/>
      </c>
      <c r="L37" s="38">
        <f>'02_Base'!N37</f>
        <v/>
      </c>
      <c r="M37" s="39">
        <f>'02_Base'!P37</f>
        <v/>
      </c>
      <c r="N37" s="40">
        <f>'02_Base'!Q37</f>
        <v/>
      </c>
      <c r="O37" s="40">
        <f>'02_Base'!R37</f>
        <v/>
      </c>
      <c r="P37" s="40">
        <f>'02_Base'!S37</f>
        <v/>
      </c>
      <c r="Q37" s="40">
        <f>'02_Base'!T37</f>
        <v/>
      </c>
      <c r="R37" s="41">
        <f>IF(F37=1,IFERROR(G37/INDEX('03_Campagnes'!$D$5:$D$18,MATCH(A37&amp;"|"&amp;B37,'03_Campagnes'!$C$5:$C$18,0)),0),0)</f>
        <v/>
      </c>
      <c r="S37" s="24">
        <f>INDEX('03_Campagnes'!$L$5:$L$18,MATCH(A37&amp;"|"&amp;B37,'03_Campagnes'!$C$5:$C$18,0))</f>
        <v/>
      </c>
      <c r="T37" s="24">
        <f>S37*R37</f>
        <v/>
      </c>
      <c r="U37" s="24">
        <f>IF(F37=1,T37*(O37+'01_Cadrage'!$H$16),0)</f>
        <v/>
      </c>
      <c r="V37" s="24">
        <f>U37*P37</f>
        <v/>
      </c>
      <c r="W37" s="22">
        <f>IF(F37=1,V37*(Q37+'01_Cadrage'!$H$17),0)</f>
        <v/>
      </c>
      <c r="X37" s="24">
        <f>IF(F37=1,0,L37*(N37+'01_Cadrage'!$H$18))</f>
        <v/>
      </c>
      <c r="Y37" s="22">
        <f>W37+X37</f>
        <v/>
      </c>
      <c r="Z37" s="15">
        <f>M37*(1+'01_Cadrage'!$H$15*INDEX('01_Cadrage'!$L$7:$L$20,MATCH(A37&amp;"|"&amp;B37,'01_Cadrage'!$M$7:$M$20,0)))</f>
        <v/>
      </c>
      <c r="AA37" s="13">
        <f>Y37*Z37+W37*'01_Cadrage'!$H$24</f>
        <v/>
      </c>
    </row>
    <row r="38">
      <c r="A38" s="17">
        <f>'02_Base'!A38</f>
        <v/>
      </c>
      <c r="B38" s="18">
        <f>'02_Base'!B38</f>
        <v/>
      </c>
      <c r="C38" s="17">
        <f>'02_Base'!C38</f>
        <v/>
      </c>
      <c r="D38" s="18">
        <f>'02_Base'!E38</f>
        <v/>
      </c>
      <c r="E38" s="18">
        <f>'02_Base'!F38</f>
        <v/>
      </c>
      <c r="F38" s="38">
        <f>'02_Base'!G38</f>
        <v/>
      </c>
      <c r="G38" s="38">
        <f>'02_Base'!H38</f>
        <v/>
      </c>
      <c r="H38" s="38">
        <f>'02_Base'!I38</f>
        <v/>
      </c>
      <c r="I38" s="38">
        <f>'02_Base'!K38</f>
        <v/>
      </c>
      <c r="J38" s="38">
        <f>'02_Base'!L38</f>
        <v/>
      </c>
      <c r="K38" s="38">
        <f>'02_Base'!M38</f>
        <v/>
      </c>
      <c r="L38" s="38">
        <f>'02_Base'!N38</f>
        <v/>
      </c>
      <c r="M38" s="39">
        <f>'02_Base'!P38</f>
        <v/>
      </c>
      <c r="N38" s="40">
        <f>'02_Base'!Q38</f>
        <v/>
      </c>
      <c r="O38" s="40">
        <f>'02_Base'!R38</f>
        <v/>
      </c>
      <c r="P38" s="40">
        <f>'02_Base'!S38</f>
        <v/>
      </c>
      <c r="Q38" s="40">
        <f>'02_Base'!T38</f>
        <v/>
      </c>
      <c r="R38" s="41">
        <f>IF(F38=1,IFERROR(G38/INDEX('03_Campagnes'!$D$5:$D$18,MATCH(A38&amp;"|"&amp;B38,'03_Campagnes'!$C$5:$C$18,0)),0),0)</f>
        <v/>
      </c>
      <c r="S38" s="24">
        <f>INDEX('03_Campagnes'!$L$5:$L$18,MATCH(A38&amp;"|"&amp;B38,'03_Campagnes'!$C$5:$C$18,0))</f>
        <v/>
      </c>
      <c r="T38" s="24">
        <f>S38*R38</f>
        <v/>
      </c>
      <c r="U38" s="24">
        <f>IF(F38=1,T38*(O38+'01_Cadrage'!$H$16),0)</f>
        <v/>
      </c>
      <c r="V38" s="24">
        <f>U38*P38</f>
        <v/>
      </c>
      <c r="W38" s="22">
        <f>IF(F38=1,V38*(Q38+'01_Cadrage'!$H$17),0)</f>
        <v/>
      </c>
      <c r="X38" s="24">
        <f>IF(F38=1,0,L38*(N38+'01_Cadrage'!$H$18))</f>
        <v/>
      </c>
      <c r="Y38" s="22">
        <f>W38+X38</f>
        <v/>
      </c>
      <c r="Z38" s="15">
        <f>M38*(1+'01_Cadrage'!$H$15*INDEX('01_Cadrage'!$L$7:$L$20,MATCH(A38&amp;"|"&amp;B38,'01_Cadrage'!$M$7:$M$20,0)))</f>
        <v/>
      </c>
      <c r="AA38" s="13">
        <f>Y38*Z38+W38*'01_Cadrage'!$H$24</f>
        <v/>
      </c>
    </row>
    <row r="39">
      <c r="A39" s="17">
        <f>'02_Base'!A39</f>
        <v/>
      </c>
      <c r="B39" s="18">
        <f>'02_Base'!B39</f>
        <v/>
      </c>
      <c r="C39" s="17">
        <f>'02_Base'!C39</f>
        <v/>
      </c>
      <c r="D39" s="18">
        <f>'02_Base'!E39</f>
        <v/>
      </c>
      <c r="E39" s="18">
        <f>'02_Base'!F39</f>
        <v/>
      </c>
      <c r="F39" s="38">
        <f>'02_Base'!G39</f>
        <v/>
      </c>
      <c r="G39" s="38">
        <f>'02_Base'!H39</f>
        <v/>
      </c>
      <c r="H39" s="38">
        <f>'02_Base'!I39</f>
        <v/>
      </c>
      <c r="I39" s="38">
        <f>'02_Base'!K39</f>
        <v/>
      </c>
      <c r="J39" s="38">
        <f>'02_Base'!L39</f>
        <v/>
      </c>
      <c r="K39" s="38">
        <f>'02_Base'!M39</f>
        <v/>
      </c>
      <c r="L39" s="38">
        <f>'02_Base'!N39</f>
        <v/>
      </c>
      <c r="M39" s="39">
        <f>'02_Base'!P39</f>
        <v/>
      </c>
      <c r="N39" s="40">
        <f>'02_Base'!Q39</f>
        <v/>
      </c>
      <c r="O39" s="40">
        <f>'02_Base'!R39</f>
        <v/>
      </c>
      <c r="P39" s="40">
        <f>'02_Base'!S39</f>
        <v/>
      </c>
      <c r="Q39" s="40">
        <f>'02_Base'!T39</f>
        <v/>
      </c>
      <c r="R39" s="41">
        <f>IF(F39=1,IFERROR(G39/INDEX('03_Campagnes'!$D$5:$D$18,MATCH(A39&amp;"|"&amp;B39,'03_Campagnes'!$C$5:$C$18,0)),0),0)</f>
        <v/>
      </c>
      <c r="S39" s="24">
        <f>INDEX('03_Campagnes'!$L$5:$L$18,MATCH(A39&amp;"|"&amp;B39,'03_Campagnes'!$C$5:$C$18,0))</f>
        <v/>
      </c>
      <c r="T39" s="24">
        <f>S39*R39</f>
        <v/>
      </c>
      <c r="U39" s="24">
        <f>IF(F39=1,T39*(O39+'01_Cadrage'!$H$16),0)</f>
        <v/>
      </c>
      <c r="V39" s="24">
        <f>U39*P39</f>
        <v/>
      </c>
      <c r="W39" s="22">
        <f>IF(F39=1,V39*(Q39+'01_Cadrage'!$H$17),0)</f>
        <v/>
      </c>
      <c r="X39" s="24">
        <f>IF(F39=1,0,L39*(N39+'01_Cadrage'!$H$18))</f>
        <v/>
      </c>
      <c r="Y39" s="22">
        <f>W39+X39</f>
        <v/>
      </c>
      <c r="Z39" s="15">
        <f>M39*(1+'01_Cadrage'!$H$15*INDEX('01_Cadrage'!$L$7:$L$20,MATCH(A39&amp;"|"&amp;B39,'01_Cadrage'!$M$7:$M$20,0)))</f>
        <v/>
      </c>
      <c r="AA39" s="13">
        <f>Y39*Z39+W39*'01_Cadrage'!$H$24</f>
        <v/>
      </c>
    </row>
    <row r="40">
      <c r="A40" s="17">
        <f>'02_Base'!A40</f>
        <v/>
      </c>
      <c r="B40" s="18">
        <f>'02_Base'!B40</f>
        <v/>
      </c>
      <c r="C40" s="17">
        <f>'02_Base'!C40</f>
        <v/>
      </c>
      <c r="D40" s="18">
        <f>'02_Base'!E40</f>
        <v/>
      </c>
      <c r="E40" s="18">
        <f>'02_Base'!F40</f>
        <v/>
      </c>
      <c r="F40" s="38">
        <f>'02_Base'!G40</f>
        <v/>
      </c>
      <c r="G40" s="38">
        <f>'02_Base'!H40</f>
        <v/>
      </c>
      <c r="H40" s="38">
        <f>'02_Base'!I40</f>
        <v/>
      </c>
      <c r="I40" s="38">
        <f>'02_Base'!K40</f>
        <v/>
      </c>
      <c r="J40" s="38">
        <f>'02_Base'!L40</f>
        <v/>
      </c>
      <c r="K40" s="38">
        <f>'02_Base'!M40</f>
        <v/>
      </c>
      <c r="L40" s="38">
        <f>'02_Base'!N40</f>
        <v/>
      </c>
      <c r="M40" s="39">
        <f>'02_Base'!P40</f>
        <v/>
      </c>
      <c r="N40" s="40">
        <f>'02_Base'!Q40</f>
        <v/>
      </c>
      <c r="O40" s="40">
        <f>'02_Base'!R40</f>
        <v/>
      </c>
      <c r="P40" s="40">
        <f>'02_Base'!S40</f>
        <v/>
      </c>
      <c r="Q40" s="40">
        <f>'02_Base'!T40</f>
        <v/>
      </c>
      <c r="R40" s="41">
        <f>IF(F40=1,IFERROR(G40/INDEX('03_Campagnes'!$D$5:$D$18,MATCH(A40&amp;"|"&amp;B40,'03_Campagnes'!$C$5:$C$18,0)),0),0)</f>
        <v/>
      </c>
      <c r="S40" s="24">
        <f>INDEX('03_Campagnes'!$L$5:$L$18,MATCH(A40&amp;"|"&amp;B40,'03_Campagnes'!$C$5:$C$18,0))</f>
        <v/>
      </c>
      <c r="T40" s="24">
        <f>S40*R40</f>
        <v/>
      </c>
      <c r="U40" s="24">
        <f>IF(F40=1,T40*(O40+'01_Cadrage'!$H$16),0)</f>
        <v/>
      </c>
      <c r="V40" s="24">
        <f>U40*P40</f>
        <v/>
      </c>
      <c r="W40" s="22">
        <f>IF(F40=1,V40*(Q40+'01_Cadrage'!$H$17),0)</f>
        <v/>
      </c>
      <c r="X40" s="24">
        <f>IF(F40=1,0,L40*(N40+'01_Cadrage'!$H$18))</f>
        <v/>
      </c>
      <c r="Y40" s="22">
        <f>W40+X40</f>
        <v/>
      </c>
      <c r="Z40" s="15">
        <f>M40*(1+'01_Cadrage'!$H$15*INDEX('01_Cadrage'!$L$7:$L$20,MATCH(A40&amp;"|"&amp;B40,'01_Cadrage'!$M$7:$M$20,0)))</f>
        <v/>
      </c>
      <c r="AA40" s="13">
        <f>Y40*Z40+W40*'01_Cadrage'!$H$24</f>
        <v/>
      </c>
    </row>
    <row r="41">
      <c r="A41" s="17">
        <f>'02_Base'!A41</f>
        <v/>
      </c>
      <c r="B41" s="18">
        <f>'02_Base'!B41</f>
        <v/>
      </c>
      <c r="C41" s="17">
        <f>'02_Base'!C41</f>
        <v/>
      </c>
      <c r="D41" s="18">
        <f>'02_Base'!E41</f>
        <v/>
      </c>
      <c r="E41" s="18">
        <f>'02_Base'!F41</f>
        <v/>
      </c>
      <c r="F41" s="38">
        <f>'02_Base'!G41</f>
        <v/>
      </c>
      <c r="G41" s="38">
        <f>'02_Base'!H41</f>
        <v/>
      </c>
      <c r="H41" s="38">
        <f>'02_Base'!I41</f>
        <v/>
      </c>
      <c r="I41" s="38">
        <f>'02_Base'!K41</f>
        <v/>
      </c>
      <c r="J41" s="38">
        <f>'02_Base'!L41</f>
        <v/>
      </c>
      <c r="K41" s="38">
        <f>'02_Base'!M41</f>
        <v/>
      </c>
      <c r="L41" s="38">
        <f>'02_Base'!N41</f>
        <v/>
      </c>
      <c r="M41" s="39">
        <f>'02_Base'!P41</f>
        <v/>
      </c>
      <c r="N41" s="40">
        <f>'02_Base'!Q41</f>
        <v/>
      </c>
      <c r="O41" s="40">
        <f>'02_Base'!R41</f>
        <v/>
      </c>
      <c r="P41" s="40">
        <f>'02_Base'!S41</f>
        <v/>
      </c>
      <c r="Q41" s="40">
        <f>'02_Base'!T41</f>
        <v/>
      </c>
      <c r="R41" s="41">
        <f>IF(F41=1,IFERROR(G41/INDEX('03_Campagnes'!$D$5:$D$18,MATCH(A41&amp;"|"&amp;B41,'03_Campagnes'!$C$5:$C$18,0)),0),0)</f>
        <v/>
      </c>
      <c r="S41" s="24">
        <f>INDEX('03_Campagnes'!$L$5:$L$18,MATCH(A41&amp;"|"&amp;B41,'03_Campagnes'!$C$5:$C$18,0))</f>
        <v/>
      </c>
      <c r="T41" s="24">
        <f>S41*R41</f>
        <v/>
      </c>
      <c r="U41" s="24">
        <f>IF(F41=1,T41*(O41+'01_Cadrage'!$H$16),0)</f>
        <v/>
      </c>
      <c r="V41" s="24">
        <f>U41*P41</f>
        <v/>
      </c>
      <c r="W41" s="22">
        <f>IF(F41=1,V41*(Q41+'01_Cadrage'!$H$17),0)</f>
        <v/>
      </c>
      <c r="X41" s="24">
        <f>IF(F41=1,0,L41*(N41+'01_Cadrage'!$H$18))</f>
        <v/>
      </c>
      <c r="Y41" s="22">
        <f>W41+X41</f>
        <v/>
      </c>
      <c r="Z41" s="15">
        <f>M41*(1+'01_Cadrage'!$H$15*INDEX('01_Cadrage'!$L$7:$L$20,MATCH(A41&amp;"|"&amp;B41,'01_Cadrage'!$M$7:$M$20,0)))</f>
        <v/>
      </c>
      <c r="AA41" s="13">
        <f>Y41*Z41+W41*'01_Cadrage'!$H$24</f>
        <v/>
      </c>
    </row>
    <row r="42">
      <c r="A42" s="17">
        <f>'02_Base'!A42</f>
        <v/>
      </c>
      <c r="B42" s="18">
        <f>'02_Base'!B42</f>
        <v/>
      </c>
      <c r="C42" s="17">
        <f>'02_Base'!C42</f>
        <v/>
      </c>
      <c r="D42" s="18">
        <f>'02_Base'!E42</f>
        <v/>
      </c>
      <c r="E42" s="18">
        <f>'02_Base'!F42</f>
        <v/>
      </c>
      <c r="F42" s="38">
        <f>'02_Base'!G42</f>
        <v/>
      </c>
      <c r="G42" s="38">
        <f>'02_Base'!H42</f>
        <v/>
      </c>
      <c r="H42" s="38">
        <f>'02_Base'!I42</f>
        <v/>
      </c>
      <c r="I42" s="38">
        <f>'02_Base'!K42</f>
        <v/>
      </c>
      <c r="J42" s="38">
        <f>'02_Base'!L42</f>
        <v/>
      </c>
      <c r="K42" s="38">
        <f>'02_Base'!M42</f>
        <v/>
      </c>
      <c r="L42" s="38">
        <f>'02_Base'!N42</f>
        <v/>
      </c>
      <c r="M42" s="39">
        <f>'02_Base'!P42</f>
        <v/>
      </c>
      <c r="N42" s="40">
        <f>'02_Base'!Q42</f>
        <v/>
      </c>
      <c r="O42" s="40">
        <f>'02_Base'!R42</f>
        <v/>
      </c>
      <c r="P42" s="40">
        <f>'02_Base'!S42</f>
        <v/>
      </c>
      <c r="Q42" s="40">
        <f>'02_Base'!T42</f>
        <v/>
      </c>
      <c r="R42" s="41">
        <f>IF(F42=1,IFERROR(G42/INDEX('03_Campagnes'!$D$5:$D$18,MATCH(A42&amp;"|"&amp;B42,'03_Campagnes'!$C$5:$C$18,0)),0),0)</f>
        <v/>
      </c>
      <c r="S42" s="24">
        <f>INDEX('03_Campagnes'!$L$5:$L$18,MATCH(A42&amp;"|"&amp;B42,'03_Campagnes'!$C$5:$C$18,0))</f>
        <v/>
      </c>
      <c r="T42" s="24">
        <f>S42*R42</f>
        <v/>
      </c>
      <c r="U42" s="24">
        <f>IF(F42=1,T42*(O42+'01_Cadrage'!$H$16),0)</f>
        <v/>
      </c>
      <c r="V42" s="24">
        <f>U42*P42</f>
        <v/>
      </c>
      <c r="W42" s="22">
        <f>IF(F42=1,V42*(Q42+'01_Cadrage'!$H$17),0)</f>
        <v/>
      </c>
      <c r="X42" s="24">
        <f>IF(F42=1,0,L42*(N42+'01_Cadrage'!$H$18))</f>
        <v/>
      </c>
      <c r="Y42" s="22">
        <f>W42+X42</f>
        <v/>
      </c>
      <c r="Z42" s="15">
        <f>M42*(1+'01_Cadrage'!$H$15*INDEX('01_Cadrage'!$L$7:$L$20,MATCH(A42&amp;"|"&amp;B42,'01_Cadrage'!$M$7:$M$20,0)))</f>
        <v/>
      </c>
      <c r="AA42" s="13">
        <f>Y42*Z42+W42*'01_Cadrage'!$H$24</f>
        <v/>
      </c>
    </row>
    <row r="43">
      <c r="A43" s="17">
        <f>'02_Base'!A43</f>
        <v/>
      </c>
      <c r="B43" s="18">
        <f>'02_Base'!B43</f>
        <v/>
      </c>
      <c r="C43" s="17">
        <f>'02_Base'!C43</f>
        <v/>
      </c>
      <c r="D43" s="18">
        <f>'02_Base'!E43</f>
        <v/>
      </c>
      <c r="E43" s="18">
        <f>'02_Base'!F43</f>
        <v/>
      </c>
      <c r="F43" s="38">
        <f>'02_Base'!G43</f>
        <v/>
      </c>
      <c r="G43" s="38">
        <f>'02_Base'!H43</f>
        <v/>
      </c>
      <c r="H43" s="38">
        <f>'02_Base'!I43</f>
        <v/>
      </c>
      <c r="I43" s="38">
        <f>'02_Base'!K43</f>
        <v/>
      </c>
      <c r="J43" s="38">
        <f>'02_Base'!L43</f>
        <v/>
      </c>
      <c r="K43" s="38">
        <f>'02_Base'!M43</f>
        <v/>
      </c>
      <c r="L43" s="38">
        <f>'02_Base'!N43</f>
        <v/>
      </c>
      <c r="M43" s="39">
        <f>'02_Base'!P43</f>
        <v/>
      </c>
      <c r="N43" s="40">
        <f>'02_Base'!Q43</f>
        <v/>
      </c>
      <c r="O43" s="40">
        <f>'02_Base'!R43</f>
        <v/>
      </c>
      <c r="P43" s="40">
        <f>'02_Base'!S43</f>
        <v/>
      </c>
      <c r="Q43" s="40">
        <f>'02_Base'!T43</f>
        <v/>
      </c>
      <c r="R43" s="41">
        <f>IF(F43=1,IFERROR(G43/INDEX('03_Campagnes'!$D$5:$D$18,MATCH(A43&amp;"|"&amp;B43,'03_Campagnes'!$C$5:$C$18,0)),0),0)</f>
        <v/>
      </c>
      <c r="S43" s="24">
        <f>INDEX('03_Campagnes'!$L$5:$L$18,MATCH(A43&amp;"|"&amp;B43,'03_Campagnes'!$C$5:$C$18,0))</f>
        <v/>
      </c>
      <c r="T43" s="24">
        <f>S43*R43</f>
        <v/>
      </c>
      <c r="U43" s="24">
        <f>IF(F43=1,T43*(O43+'01_Cadrage'!$H$16),0)</f>
        <v/>
      </c>
      <c r="V43" s="24">
        <f>U43*P43</f>
        <v/>
      </c>
      <c r="W43" s="22">
        <f>IF(F43=1,V43*(Q43+'01_Cadrage'!$H$17),0)</f>
        <v/>
      </c>
      <c r="X43" s="24">
        <f>IF(F43=1,0,L43*(N43+'01_Cadrage'!$H$18))</f>
        <v/>
      </c>
      <c r="Y43" s="22">
        <f>W43+X43</f>
        <v/>
      </c>
      <c r="Z43" s="15">
        <f>M43*(1+'01_Cadrage'!$H$15*INDEX('01_Cadrage'!$L$7:$L$20,MATCH(A43&amp;"|"&amp;B43,'01_Cadrage'!$M$7:$M$20,0)))</f>
        <v/>
      </c>
      <c r="AA43" s="13">
        <f>Y43*Z43+W43*'01_Cadrage'!$H$24</f>
        <v/>
      </c>
    </row>
    <row r="44">
      <c r="A44" s="17">
        <f>'02_Base'!A44</f>
        <v/>
      </c>
      <c r="B44" s="18">
        <f>'02_Base'!B44</f>
        <v/>
      </c>
      <c r="C44" s="17">
        <f>'02_Base'!C44</f>
        <v/>
      </c>
      <c r="D44" s="18">
        <f>'02_Base'!E44</f>
        <v/>
      </c>
      <c r="E44" s="18">
        <f>'02_Base'!F44</f>
        <v/>
      </c>
      <c r="F44" s="38">
        <f>'02_Base'!G44</f>
        <v/>
      </c>
      <c r="G44" s="38">
        <f>'02_Base'!H44</f>
        <v/>
      </c>
      <c r="H44" s="38">
        <f>'02_Base'!I44</f>
        <v/>
      </c>
      <c r="I44" s="38">
        <f>'02_Base'!K44</f>
        <v/>
      </c>
      <c r="J44" s="38">
        <f>'02_Base'!L44</f>
        <v/>
      </c>
      <c r="K44" s="38">
        <f>'02_Base'!M44</f>
        <v/>
      </c>
      <c r="L44" s="38">
        <f>'02_Base'!N44</f>
        <v/>
      </c>
      <c r="M44" s="39">
        <f>'02_Base'!P44</f>
        <v/>
      </c>
      <c r="N44" s="40">
        <f>'02_Base'!Q44</f>
        <v/>
      </c>
      <c r="O44" s="40">
        <f>'02_Base'!R44</f>
        <v/>
      </c>
      <c r="P44" s="40">
        <f>'02_Base'!S44</f>
        <v/>
      </c>
      <c r="Q44" s="40">
        <f>'02_Base'!T44</f>
        <v/>
      </c>
      <c r="R44" s="41">
        <f>IF(F44=1,IFERROR(G44/INDEX('03_Campagnes'!$D$5:$D$18,MATCH(A44&amp;"|"&amp;B44,'03_Campagnes'!$C$5:$C$18,0)),0),0)</f>
        <v/>
      </c>
      <c r="S44" s="24">
        <f>INDEX('03_Campagnes'!$L$5:$L$18,MATCH(A44&amp;"|"&amp;B44,'03_Campagnes'!$C$5:$C$18,0))</f>
        <v/>
      </c>
      <c r="T44" s="24">
        <f>S44*R44</f>
        <v/>
      </c>
      <c r="U44" s="24">
        <f>IF(F44=1,T44*(O44+'01_Cadrage'!$H$16),0)</f>
        <v/>
      </c>
      <c r="V44" s="24">
        <f>U44*P44</f>
        <v/>
      </c>
      <c r="W44" s="22">
        <f>IF(F44=1,V44*(Q44+'01_Cadrage'!$H$17),0)</f>
        <v/>
      </c>
      <c r="X44" s="24">
        <f>IF(F44=1,0,L44*(N44+'01_Cadrage'!$H$18))</f>
        <v/>
      </c>
      <c r="Y44" s="22">
        <f>W44+X44</f>
        <v/>
      </c>
      <c r="Z44" s="15">
        <f>M44*(1+'01_Cadrage'!$H$15*INDEX('01_Cadrage'!$L$7:$L$20,MATCH(A44&amp;"|"&amp;B44,'01_Cadrage'!$M$7:$M$20,0)))</f>
        <v/>
      </c>
      <c r="AA44" s="13">
        <f>Y44*Z44+W44*'01_Cadrage'!$H$24</f>
        <v/>
      </c>
    </row>
    <row r="45">
      <c r="A45" s="17">
        <f>'02_Base'!A45</f>
        <v/>
      </c>
      <c r="B45" s="18">
        <f>'02_Base'!B45</f>
        <v/>
      </c>
      <c r="C45" s="17">
        <f>'02_Base'!C45</f>
        <v/>
      </c>
      <c r="D45" s="18">
        <f>'02_Base'!E45</f>
        <v/>
      </c>
      <c r="E45" s="18">
        <f>'02_Base'!F45</f>
        <v/>
      </c>
      <c r="F45" s="38">
        <f>'02_Base'!G45</f>
        <v/>
      </c>
      <c r="G45" s="38">
        <f>'02_Base'!H45</f>
        <v/>
      </c>
      <c r="H45" s="38">
        <f>'02_Base'!I45</f>
        <v/>
      </c>
      <c r="I45" s="38">
        <f>'02_Base'!K45</f>
        <v/>
      </c>
      <c r="J45" s="38">
        <f>'02_Base'!L45</f>
        <v/>
      </c>
      <c r="K45" s="38">
        <f>'02_Base'!M45</f>
        <v/>
      </c>
      <c r="L45" s="38">
        <f>'02_Base'!N45</f>
        <v/>
      </c>
      <c r="M45" s="39">
        <f>'02_Base'!P45</f>
        <v/>
      </c>
      <c r="N45" s="40">
        <f>'02_Base'!Q45</f>
        <v/>
      </c>
      <c r="O45" s="40">
        <f>'02_Base'!R45</f>
        <v/>
      </c>
      <c r="P45" s="40">
        <f>'02_Base'!S45</f>
        <v/>
      </c>
      <c r="Q45" s="40">
        <f>'02_Base'!T45</f>
        <v/>
      </c>
      <c r="R45" s="41">
        <f>IF(F45=1,IFERROR(G45/INDEX('03_Campagnes'!$D$5:$D$18,MATCH(A45&amp;"|"&amp;B45,'03_Campagnes'!$C$5:$C$18,0)),0),0)</f>
        <v/>
      </c>
      <c r="S45" s="24">
        <f>INDEX('03_Campagnes'!$L$5:$L$18,MATCH(A45&amp;"|"&amp;B45,'03_Campagnes'!$C$5:$C$18,0))</f>
        <v/>
      </c>
      <c r="T45" s="24">
        <f>S45*R45</f>
        <v/>
      </c>
      <c r="U45" s="24">
        <f>IF(F45=1,T45*(O45+'01_Cadrage'!$H$16),0)</f>
        <v/>
      </c>
      <c r="V45" s="24">
        <f>U45*P45</f>
        <v/>
      </c>
      <c r="W45" s="22">
        <f>IF(F45=1,V45*(Q45+'01_Cadrage'!$H$17),0)</f>
        <v/>
      </c>
      <c r="X45" s="24">
        <f>IF(F45=1,0,L45*(N45+'01_Cadrage'!$H$18))</f>
        <v/>
      </c>
      <c r="Y45" s="22">
        <f>W45+X45</f>
        <v/>
      </c>
      <c r="Z45" s="15">
        <f>M45*(1+'01_Cadrage'!$H$15*INDEX('01_Cadrage'!$L$7:$L$20,MATCH(A45&amp;"|"&amp;B45,'01_Cadrage'!$M$7:$M$20,0)))</f>
        <v/>
      </c>
      <c r="AA45" s="13">
        <f>Y45*Z45+W45*'01_Cadrage'!$H$24</f>
        <v/>
      </c>
    </row>
    <row r="46">
      <c r="A46" s="17">
        <f>'02_Base'!A46</f>
        <v/>
      </c>
      <c r="B46" s="18">
        <f>'02_Base'!B46</f>
        <v/>
      </c>
      <c r="C46" s="17">
        <f>'02_Base'!C46</f>
        <v/>
      </c>
      <c r="D46" s="18">
        <f>'02_Base'!E46</f>
        <v/>
      </c>
      <c r="E46" s="18">
        <f>'02_Base'!F46</f>
        <v/>
      </c>
      <c r="F46" s="38">
        <f>'02_Base'!G46</f>
        <v/>
      </c>
      <c r="G46" s="38">
        <f>'02_Base'!H46</f>
        <v/>
      </c>
      <c r="H46" s="38">
        <f>'02_Base'!I46</f>
        <v/>
      </c>
      <c r="I46" s="38">
        <f>'02_Base'!K46</f>
        <v/>
      </c>
      <c r="J46" s="38">
        <f>'02_Base'!L46</f>
        <v/>
      </c>
      <c r="K46" s="38">
        <f>'02_Base'!M46</f>
        <v/>
      </c>
      <c r="L46" s="38">
        <f>'02_Base'!N46</f>
        <v/>
      </c>
      <c r="M46" s="39">
        <f>'02_Base'!P46</f>
        <v/>
      </c>
      <c r="N46" s="40">
        <f>'02_Base'!Q46</f>
        <v/>
      </c>
      <c r="O46" s="40">
        <f>'02_Base'!R46</f>
        <v/>
      </c>
      <c r="P46" s="40">
        <f>'02_Base'!S46</f>
        <v/>
      </c>
      <c r="Q46" s="40">
        <f>'02_Base'!T46</f>
        <v/>
      </c>
      <c r="R46" s="41">
        <f>IF(F46=1,IFERROR(G46/INDEX('03_Campagnes'!$D$5:$D$18,MATCH(A46&amp;"|"&amp;B46,'03_Campagnes'!$C$5:$C$18,0)),0),0)</f>
        <v/>
      </c>
      <c r="S46" s="24">
        <f>INDEX('03_Campagnes'!$L$5:$L$18,MATCH(A46&amp;"|"&amp;B46,'03_Campagnes'!$C$5:$C$18,0))</f>
        <v/>
      </c>
      <c r="T46" s="24">
        <f>S46*R46</f>
        <v/>
      </c>
      <c r="U46" s="24">
        <f>IF(F46=1,T46*(O46+'01_Cadrage'!$H$16),0)</f>
        <v/>
      </c>
      <c r="V46" s="24">
        <f>U46*P46</f>
        <v/>
      </c>
      <c r="W46" s="22">
        <f>IF(F46=1,V46*(Q46+'01_Cadrage'!$H$17),0)</f>
        <v/>
      </c>
      <c r="X46" s="24">
        <f>IF(F46=1,0,L46*(N46+'01_Cadrage'!$H$18))</f>
        <v/>
      </c>
      <c r="Y46" s="22">
        <f>W46+X46</f>
        <v/>
      </c>
      <c r="Z46" s="15">
        <f>M46*(1+'01_Cadrage'!$H$15*INDEX('01_Cadrage'!$L$7:$L$20,MATCH(A46&amp;"|"&amp;B46,'01_Cadrage'!$M$7:$M$20,0)))</f>
        <v/>
      </c>
      <c r="AA46" s="13">
        <f>Y46*Z46+W46*'01_Cadrage'!$H$24</f>
        <v/>
      </c>
    </row>
    <row r="47">
      <c r="A47" s="17">
        <f>'02_Base'!A47</f>
        <v/>
      </c>
      <c r="B47" s="18">
        <f>'02_Base'!B47</f>
        <v/>
      </c>
      <c r="C47" s="17">
        <f>'02_Base'!C47</f>
        <v/>
      </c>
      <c r="D47" s="18">
        <f>'02_Base'!E47</f>
        <v/>
      </c>
      <c r="E47" s="18">
        <f>'02_Base'!F47</f>
        <v/>
      </c>
      <c r="F47" s="38">
        <f>'02_Base'!G47</f>
        <v/>
      </c>
      <c r="G47" s="38">
        <f>'02_Base'!H47</f>
        <v/>
      </c>
      <c r="H47" s="38">
        <f>'02_Base'!I47</f>
        <v/>
      </c>
      <c r="I47" s="38">
        <f>'02_Base'!K47</f>
        <v/>
      </c>
      <c r="J47" s="38">
        <f>'02_Base'!L47</f>
        <v/>
      </c>
      <c r="K47" s="38">
        <f>'02_Base'!M47</f>
        <v/>
      </c>
      <c r="L47" s="38">
        <f>'02_Base'!N47</f>
        <v/>
      </c>
      <c r="M47" s="39">
        <f>'02_Base'!P47</f>
        <v/>
      </c>
      <c r="N47" s="40">
        <f>'02_Base'!Q47</f>
        <v/>
      </c>
      <c r="O47" s="40">
        <f>'02_Base'!R47</f>
        <v/>
      </c>
      <c r="P47" s="40">
        <f>'02_Base'!S47</f>
        <v/>
      </c>
      <c r="Q47" s="40">
        <f>'02_Base'!T47</f>
        <v/>
      </c>
      <c r="R47" s="41">
        <f>IF(F47=1,IFERROR(G47/INDEX('03_Campagnes'!$D$5:$D$18,MATCH(A47&amp;"|"&amp;B47,'03_Campagnes'!$C$5:$C$18,0)),0),0)</f>
        <v/>
      </c>
      <c r="S47" s="24">
        <f>INDEX('03_Campagnes'!$L$5:$L$18,MATCH(A47&amp;"|"&amp;B47,'03_Campagnes'!$C$5:$C$18,0))</f>
        <v/>
      </c>
      <c r="T47" s="24">
        <f>S47*R47</f>
        <v/>
      </c>
      <c r="U47" s="24">
        <f>IF(F47=1,T47*(O47+'01_Cadrage'!$H$16),0)</f>
        <v/>
      </c>
      <c r="V47" s="24">
        <f>U47*P47</f>
        <v/>
      </c>
      <c r="W47" s="22">
        <f>IF(F47=1,V47*(Q47+'01_Cadrage'!$H$17),0)</f>
        <v/>
      </c>
      <c r="X47" s="24">
        <f>IF(F47=1,0,L47*(N47+'01_Cadrage'!$H$18))</f>
        <v/>
      </c>
      <c r="Y47" s="22">
        <f>W47+X47</f>
        <v/>
      </c>
      <c r="Z47" s="15">
        <f>M47*(1+'01_Cadrage'!$H$15*INDEX('01_Cadrage'!$L$7:$L$20,MATCH(A47&amp;"|"&amp;B47,'01_Cadrage'!$M$7:$M$20,0)))</f>
        <v/>
      </c>
      <c r="AA47" s="13">
        <f>Y47*Z47+W47*'01_Cadrage'!$H$24</f>
        <v/>
      </c>
    </row>
    <row r="48">
      <c r="A48" s="17">
        <f>'02_Base'!A48</f>
        <v/>
      </c>
      <c r="B48" s="18">
        <f>'02_Base'!B48</f>
        <v/>
      </c>
      <c r="C48" s="17">
        <f>'02_Base'!C48</f>
        <v/>
      </c>
      <c r="D48" s="18">
        <f>'02_Base'!E48</f>
        <v/>
      </c>
      <c r="E48" s="18">
        <f>'02_Base'!F48</f>
        <v/>
      </c>
      <c r="F48" s="38">
        <f>'02_Base'!G48</f>
        <v/>
      </c>
      <c r="G48" s="38">
        <f>'02_Base'!H48</f>
        <v/>
      </c>
      <c r="H48" s="38">
        <f>'02_Base'!I48</f>
        <v/>
      </c>
      <c r="I48" s="38">
        <f>'02_Base'!K48</f>
        <v/>
      </c>
      <c r="J48" s="38">
        <f>'02_Base'!L48</f>
        <v/>
      </c>
      <c r="K48" s="38">
        <f>'02_Base'!M48</f>
        <v/>
      </c>
      <c r="L48" s="38">
        <f>'02_Base'!N48</f>
        <v/>
      </c>
      <c r="M48" s="39">
        <f>'02_Base'!P48</f>
        <v/>
      </c>
      <c r="N48" s="40">
        <f>'02_Base'!Q48</f>
        <v/>
      </c>
      <c r="O48" s="40">
        <f>'02_Base'!R48</f>
        <v/>
      </c>
      <c r="P48" s="40">
        <f>'02_Base'!S48</f>
        <v/>
      </c>
      <c r="Q48" s="40">
        <f>'02_Base'!T48</f>
        <v/>
      </c>
      <c r="R48" s="41">
        <f>IF(F48=1,IFERROR(G48/INDEX('03_Campagnes'!$D$5:$D$18,MATCH(A48&amp;"|"&amp;B48,'03_Campagnes'!$C$5:$C$18,0)),0),0)</f>
        <v/>
      </c>
      <c r="S48" s="24">
        <f>INDEX('03_Campagnes'!$L$5:$L$18,MATCH(A48&amp;"|"&amp;B48,'03_Campagnes'!$C$5:$C$18,0))</f>
        <v/>
      </c>
      <c r="T48" s="24">
        <f>S48*R48</f>
        <v/>
      </c>
      <c r="U48" s="24">
        <f>IF(F48=1,T48*(O48+'01_Cadrage'!$H$16),0)</f>
        <v/>
      </c>
      <c r="V48" s="24">
        <f>U48*P48</f>
        <v/>
      </c>
      <c r="W48" s="22">
        <f>IF(F48=1,V48*(Q48+'01_Cadrage'!$H$17),0)</f>
        <v/>
      </c>
      <c r="X48" s="24">
        <f>IF(F48=1,0,L48*(N48+'01_Cadrage'!$H$18))</f>
        <v/>
      </c>
      <c r="Y48" s="22">
        <f>W48+X48</f>
        <v/>
      </c>
      <c r="Z48" s="15">
        <f>M48*(1+'01_Cadrage'!$H$15*INDEX('01_Cadrage'!$L$7:$L$20,MATCH(A48&amp;"|"&amp;B48,'01_Cadrage'!$M$7:$M$20,0)))</f>
        <v/>
      </c>
      <c r="AA48" s="13">
        <f>Y48*Z48+W48*'01_Cadrage'!$H$24</f>
        <v/>
      </c>
    </row>
    <row r="49">
      <c r="A49" s="17">
        <f>'02_Base'!A49</f>
        <v/>
      </c>
      <c r="B49" s="18">
        <f>'02_Base'!B49</f>
        <v/>
      </c>
      <c r="C49" s="17">
        <f>'02_Base'!C49</f>
        <v/>
      </c>
      <c r="D49" s="18">
        <f>'02_Base'!E49</f>
        <v/>
      </c>
      <c r="E49" s="18">
        <f>'02_Base'!F49</f>
        <v/>
      </c>
      <c r="F49" s="38">
        <f>'02_Base'!G49</f>
        <v/>
      </c>
      <c r="G49" s="38">
        <f>'02_Base'!H49</f>
        <v/>
      </c>
      <c r="H49" s="38">
        <f>'02_Base'!I49</f>
        <v/>
      </c>
      <c r="I49" s="38">
        <f>'02_Base'!K49</f>
        <v/>
      </c>
      <c r="J49" s="38">
        <f>'02_Base'!L49</f>
        <v/>
      </c>
      <c r="K49" s="38">
        <f>'02_Base'!M49</f>
        <v/>
      </c>
      <c r="L49" s="38">
        <f>'02_Base'!N49</f>
        <v/>
      </c>
      <c r="M49" s="39">
        <f>'02_Base'!P49</f>
        <v/>
      </c>
      <c r="N49" s="40">
        <f>'02_Base'!Q49</f>
        <v/>
      </c>
      <c r="O49" s="40">
        <f>'02_Base'!R49</f>
        <v/>
      </c>
      <c r="P49" s="40">
        <f>'02_Base'!S49</f>
        <v/>
      </c>
      <c r="Q49" s="40">
        <f>'02_Base'!T49</f>
        <v/>
      </c>
      <c r="R49" s="41">
        <f>IF(F49=1,IFERROR(G49/INDEX('03_Campagnes'!$D$5:$D$18,MATCH(A49&amp;"|"&amp;B49,'03_Campagnes'!$C$5:$C$18,0)),0),0)</f>
        <v/>
      </c>
      <c r="S49" s="24">
        <f>INDEX('03_Campagnes'!$L$5:$L$18,MATCH(A49&amp;"|"&amp;B49,'03_Campagnes'!$C$5:$C$18,0))</f>
        <v/>
      </c>
      <c r="T49" s="24">
        <f>S49*R49</f>
        <v/>
      </c>
      <c r="U49" s="24">
        <f>IF(F49=1,T49*(O49+'01_Cadrage'!$H$16),0)</f>
        <v/>
      </c>
      <c r="V49" s="24">
        <f>U49*P49</f>
        <v/>
      </c>
      <c r="W49" s="22">
        <f>IF(F49=1,V49*(Q49+'01_Cadrage'!$H$17),0)</f>
        <v/>
      </c>
      <c r="X49" s="24">
        <f>IF(F49=1,0,L49*(N49+'01_Cadrage'!$H$18))</f>
        <v/>
      </c>
      <c r="Y49" s="22">
        <f>W49+X49</f>
        <v/>
      </c>
      <c r="Z49" s="15">
        <f>M49*(1+'01_Cadrage'!$H$15*INDEX('01_Cadrage'!$L$7:$L$20,MATCH(A49&amp;"|"&amp;B49,'01_Cadrage'!$M$7:$M$20,0)))</f>
        <v/>
      </c>
      <c r="AA49" s="13">
        <f>Y49*Z49+W49*'01_Cadrage'!$H$24</f>
        <v/>
      </c>
    </row>
    <row r="50">
      <c r="A50" s="17">
        <f>'02_Base'!A50</f>
        <v/>
      </c>
      <c r="B50" s="18">
        <f>'02_Base'!B50</f>
        <v/>
      </c>
      <c r="C50" s="17">
        <f>'02_Base'!C50</f>
        <v/>
      </c>
      <c r="D50" s="18">
        <f>'02_Base'!E50</f>
        <v/>
      </c>
      <c r="E50" s="18">
        <f>'02_Base'!F50</f>
        <v/>
      </c>
      <c r="F50" s="38">
        <f>'02_Base'!G50</f>
        <v/>
      </c>
      <c r="G50" s="38">
        <f>'02_Base'!H50</f>
        <v/>
      </c>
      <c r="H50" s="38">
        <f>'02_Base'!I50</f>
        <v/>
      </c>
      <c r="I50" s="38">
        <f>'02_Base'!K50</f>
        <v/>
      </c>
      <c r="J50" s="38">
        <f>'02_Base'!L50</f>
        <v/>
      </c>
      <c r="K50" s="38">
        <f>'02_Base'!M50</f>
        <v/>
      </c>
      <c r="L50" s="38">
        <f>'02_Base'!N50</f>
        <v/>
      </c>
      <c r="M50" s="39">
        <f>'02_Base'!P50</f>
        <v/>
      </c>
      <c r="N50" s="40">
        <f>'02_Base'!Q50</f>
        <v/>
      </c>
      <c r="O50" s="40">
        <f>'02_Base'!R50</f>
        <v/>
      </c>
      <c r="P50" s="40">
        <f>'02_Base'!S50</f>
        <v/>
      </c>
      <c r="Q50" s="40">
        <f>'02_Base'!T50</f>
        <v/>
      </c>
      <c r="R50" s="41">
        <f>IF(F50=1,IFERROR(G50/INDEX('03_Campagnes'!$D$5:$D$18,MATCH(A50&amp;"|"&amp;B50,'03_Campagnes'!$C$5:$C$18,0)),0),0)</f>
        <v/>
      </c>
      <c r="S50" s="24">
        <f>INDEX('03_Campagnes'!$L$5:$L$18,MATCH(A50&amp;"|"&amp;B50,'03_Campagnes'!$C$5:$C$18,0))</f>
        <v/>
      </c>
      <c r="T50" s="24">
        <f>S50*R50</f>
        <v/>
      </c>
      <c r="U50" s="24">
        <f>IF(F50=1,T50*(O50+'01_Cadrage'!$H$16),0)</f>
        <v/>
      </c>
      <c r="V50" s="24">
        <f>U50*P50</f>
        <v/>
      </c>
      <c r="W50" s="22">
        <f>IF(F50=1,V50*(Q50+'01_Cadrage'!$H$17),0)</f>
        <v/>
      </c>
      <c r="X50" s="24">
        <f>IF(F50=1,0,L50*(N50+'01_Cadrage'!$H$18))</f>
        <v/>
      </c>
      <c r="Y50" s="22">
        <f>W50+X50</f>
        <v/>
      </c>
      <c r="Z50" s="15">
        <f>M50*(1+'01_Cadrage'!$H$15*INDEX('01_Cadrage'!$L$7:$L$20,MATCH(A50&amp;"|"&amp;B50,'01_Cadrage'!$M$7:$M$20,0)))</f>
        <v/>
      </c>
      <c r="AA50" s="13">
        <f>Y50*Z50+W50*'01_Cadrage'!$H$24</f>
        <v/>
      </c>
    </row>
    <row r="51">
      <c r="A51" s="17">
        <f>'02_Base'!A51</f>
        <v/>
      </c>
      <c r="B51" s="18">
        <f>'02_Base'!B51</f>
        <v/>
      </c>
      <c r="C51" s="17">
        <f>'02_Base'!C51</f>
        <v/>
      </c>
      <c r="D51" s="18">
        <f>'02_Base'!E51</f>
        <v/>
      </c>
      <c r="E51" s="18">
        <f>'02_Base'!F51</f>
        <v/>
      </c>
      <c r="F51" s="38">
        <f>'02_Base'!G51</f>
        <v/>
      </c>
      <c r="G51" s="38">
        <f>'02_Base'!H51</f>
        <v/>
      </c>
      <c r="H51" s="38">
        <f>'02_Base'!I51</f>
        <v/>
      </c>
      <c r="I51" s="38">
        <f>'02_Base'!K51</f>
        <v/>
      </c>
      <c r="J51" s="38">
        <f>'02_Base'!L51</f>
        <v/>
      </c>
      <c r="K51" s="38">
        <f>'02_Base'!M51</f>
        <v/>
      </c>
      <c r="L51" s="38">
        <f>'02_Base'!N51</f>
        <v/>
      </c>
      <c r="M51" s="39">
        <f>'02_Base'!P51</f>
        <v/>
      </c>
      <c r="N51" s="40">
        <f>'02_Base'!Q51</f>
        <v/>
      </c>
      <c r="O51" s="40">
        <f>'02_Base'!R51</f>
        <v/>
      </c>
      <c r="P51" s="40">
        <f>'02_Base'!S51</f>
        <v/>
      </c>
      <c r="Q51" s="40">
        <f>'02_Base'!T51</f>
        <v/>
      </c>
      <c r="R51" s="41">
        <f>IF(F51=1,IFERROR(G51/INDEX('03_Campagnes'!$D$5:$D$18,MATCH(A51&amp;"|"&amp;B51,'03_Campagnes'!$C$5:$C$18,0)),0),0)</f>
        <v/>
      </c>
      <c r="S51" s="24">
        <f>INDEX('03_Campagnes'!$L$5:$L$18,MATCH(A51&amp;"|"&amp;B51,'03_Campagnes'!$C$5:$C$18,0))</f>
        <v/>
      </c>
      <c r="T51" s="24">
        <f>S51*R51</f>
        <v/>
      </c>
      <c r="U51" s="24">
        <f>IF(F51=1,T51*(O51+'01_Cadrage'!$H$16),0)</f>
        <v/>
      </c>
      <c r="V51" s="24">
        <f>U51*P51</f>
        <v/>
      </c>
      <c r="W51" s="22">
        <f>IF(F51=1,V51*(Q51+'01_Cadrage'!$H$17),0)</f>
        <v/>
      </c>
      <c r="X51" s="24">
        <f>IF(F51=1,0,L51*(N51+'01_Cadrage'!$H$18))</f>
        <v/>
      </c>
      <c r="Y51" s="22">
        <f>W51+X51</f>
        <v/>
      </c>
      <c r="Z51" s="15">
        <f>M51*(1+'01_Cadrage'!$H$15*INDEX('01_Cadrage'!$L$7:$L$20,MATCH(A51&amp;"|"&amp;B51,'01_Cadrage'!$M$7:$M$20,0)))</f>
        <v/>
      </c>
      <c r="AA51" s="13">
        <f>Y51*Z51+W51*'01_Cadrage'!$H$24</f>
        <v/>
      </c>
    </row>
    <row r="52">
      <c r="A52" s="17">
        <f>'02_Base'!A52</f>
        <v/>
      </c>
      <c r="B52" s="18">
        <f>'02_Base'!B52</f>
        <v/>
      </c>
      <c r="C52" s="17">
        <f>'02_Base'!C52</f>
        <v/>
      </c>
      <c r="D52" s="18">
        <f>'02_Base'!E52</f>
        <v/>
      </c>
      <c r="E52" s="18">
        <f>'02_Base'!F52</f>
        <v/>
      </c>
      <c r="F52" s="38">
        <f>'02_Base'!G52</f>
        <v/>
      </c>
      <c r="G52" s="38">
        <f>'02_Base'!H52</f>
        <v/>
      </c>
      <c r="H52" s="38">
        <f>'02_Base'!I52</f>
        <v/>
      </c>
      <c r="I52" s="38">
        <f>'02_Base'!K52</f>
        <v/>
      </c>
      <c r="J52" s="38">
        <f>'02_Base'!L52</f>
        <v/>
      </c>
      <c r="K52" s="38">
        <f>'02_Base'!M52</f>
        <v/>
      </c>
      <c r="L52" s="38">
        <f>'02_Base'!N52</f>
        <v/>
      </c>
      <c r="M52" s="39">
        <f>'02_Base'!P52</f>
        <v/>
      </c>
      <c r="N52" s="40">
        <f>'02_Base'!Q52</f>
        <v/>
      </c>
      <c r="O52" s="40">
        <f>'02_Base'!R52</f>
        <v/>
      </c>
      <c r="P52" s="40">
        <f>'02_Base'!S52</f>
        <v/>
      </c>
      <c r="Q52" s="40">
        <f>'02_Base'!T52</f>
        <v/>
      </c>
      <c r="R52" s="41">
        <f>IF(F52=1,IFERROR(G52/INDEX('03_Campagnes'!$D$5:$D$18,MATCH(A52&amp;"|"&amp;B52,'03_Campagnes'!$C$5:$C$18,0)),0),0)</f>
        <v/>
      </c>
      <c r="S52" s="24">
        <f>INDEX('03_Campagnes'!$L$5:$L$18,MATCH(A52&amp;"|"&amp;B52,'03_Campagnes'!$C$5:$C$18,0))</f>
        <v/>
      </c>
      <c r="T52" s="24">
        <f>S52*R52</f>
        <v/>
      </c>
      <c r="U52" s="24">
        <f>IF(F52=1,T52*(O52+'01_Cadrage'!$H$16),0)</f>
        <v/>
      </c>
      <c r="V52" s="24">
        <f>U52*P52</f>
        <v/>
      </c>
      <c r="W52" s="22">
        <f>IF(F52=1,V52*(Q52+'01_Cadrage'!$H$17),0)</f>
        <v/>
      </c>
      <c r="X52" s="24">
        <f>IF(F52=1,0,L52*(N52+'01_Cadrage'!$H$18))</f>
        <v/>
      </c>
      <c r="Y52" s="22">
        <f>W52+X52</f>
        <v/>
      </c>
      <c r="Z52" s="15">
        <f>M52*(1+'01_Cadrage'!$H$15*INDEX('01_Cadrage'!$L$7:$L$20,MATCH(A52&amp;"|"&amp;B52,'01_Cadrage'!$M$7:$M$20,0)))</f>
        <v/>
      </c>
      <c r="AA52" s="13">
        <f>Y52*Z52+W52*'01_Cadrage'!$H$24</f>
        <v/>
      </c>
    </row>
    <row r="53">
      <c r="A53" s="17">
        <f>'02_Base'!A53</f>
        <v/>
      </c>
      <c r="B53" s="18">
        <f>'02_Base'!B53</f>
        <v/>
      </c>
      <c r="C53" s="17">
        <f>'02_Base'!C53</f>
        <v/>
      </c>
      <c r="D53" s="18">
        <f>'02_Base'!E53</f>
        <v/>
      </c>
      <c r="E53" s="18">
        <f>'02_Base'!F53</f>
        <v/>
      </c>
      <c r="F53" s="38">
        <f>'02_Base'!G53</f>
        <v/>
      </c>
      <c r="G53" s="38">
        <f>'02_Base'!H53</f>
        <v/>
      </c>
      <c r="H53" s="38">
        <f>'02_Base'!I53</f>
        <v/>
      </c>
      <c r="I53" s="38">
        <f>'02_Base'!K53</f>
        <v/>
      </c>
      <c r="J53" s="38">
        <f>'02_Base'!L53</f>
        <v/>
      </c>
      <c r="K53" s="38">
        <f>'02_Base'!M53</f>
        <v/>
      </c>
      <c r="L53" s="38">
        <f>'02_Base'!N53</f>
        <v/>
      </c>
      <c r="M53" s="39">
        <f>'02_Base'!P53</f>
        <v/>
      </c>
      <c r="N53" s="40">
        <f>'02_Base'!Q53</f>
        <v/>
      </c>
      <c r="O53" s="40">
        <f>'02_Base'!R53</f>
        <v/>
      </c>
      <c r="P53" s="40">
        <f>'02_Base'!S53</f>
        <v/>
      </c>
      <c r="Q53" s="40">
        <f>'02_Base'!T53</f>
        <v/>
      </c>
      <c r="R53" s="41">
        <f>IF(F53=1,IFERROR(G53/INDEX('03_Campagnes'!$D$5:$D$18,MATCH(A53&amp;"|"&amp;B53,'03_Campagnes'!$C$5:$C$18,0)),0),0)</f>
        <v/>
      </c>
      <c r="S53" s="24">
        <f>INDEX('03_Campagnes'!$L$5:$L$18,MATCH(A53&amp;"|"&amp;B53,'03_Campagnes'!$C$5:$C$18,0))</f>
        <v/>
      </c>
      <c r="T53" s="24">
        <f>S53*R53</f>
        <v/>
      </c>
      <c r="U53" s="24">
        <f>IF(F53=1,T53*(O53+'01_Cadrage'!$H$16),0)</f>
        <v/>
      </c>
      <c r="V53" s="24">
        <f>U53*P53</f>
        <v/>
      </c>
      <c r="W53" s="22">
        <f>IF(F53=1,V53*(Q53+'01_Cadrage'!$H$17),0)</f>
        <v/>
      </c>
      <c r="X53" s="24">
        <f>IF(F53=1,0,L53*(N53+'01_Cadrage'!$H$18))</f>
        <v/>
      </c>
      <c r="Y53" s="22">
        <f>W53+X53</f>
        <v/>
      </c>
      <c r="Z53" s="15">
        <f>M53*(1+'01_Cadrage'!$H$15*INDEX('01_Cadrage'!$L$7:$L$20,MATCH(A53&amp;"|"&amp;B53,'01_Cadrage'!$M$7:$M$20,0)))</f>
        <v/>
      </c>
      <c r="AA53" s="13">
        <f>Y53*Z53+W53*'01_Cadrage'!$H$24</f>
        <v/>
      </c>
    </row>
    <row r="54">
      <c r="A54" s="17">
        <f>'02_Base'!A54</f>
        <v/>
      </c>
      <c r="B54" s="18">
        <f>'02_Base'!B54</f>
        <v/>
      </c>
      <c r="C54" s="17">
        <f>'02_Base'!C54</f>
        <v/>
      </c>
      <c r="D54" s="18">
        <f>'02_Base'!E54</f>
        <v/>
      </c>
      <c r="E54" s="18">
        <f>'02_Base'!F54</f>
        <v/>
      </c>
      <c r="F54" s="38">
        <f>'02_Base'!G54</f>
        <v/>
      </c>
      <c r="G54" s="38">
        <f>'02_Base'!H54</f>
        <v/>
      </c>
      <c r="H54" s="38">
        <f>'02_Base'!I54</f>
        <v/>
      </c>
      <c r="I54" s="38">
        <f>'02_Base'!K54</f>
        <v/>
      </c>
      <c r="J54" s="38">
        <f>'02_Base'!L54</f>
        <v/>
      </c>
      <c r="K54" s="38">
        <f>'02_Base'!M54</f>
        <v/>
      </c>
      <c r="L54" s="38">
        <f>'02_Base'!N54</f>
        <v/>
      </c>
      <c r="M54" s="39">
        <f>'02_Base'!P54</f>
        <v/>
      </c>
      <c r="N54" s="40">
        <f>'02_Base'!Q54</f>
        <v/>
      </c>
      <c r="O54" s="40">
        <f>'02_Base'!R54</f>
        <v/>
      </c>
      <c r="P54" s="40">
        <f>'02_Base'!S54</f>
        <v/>
      </c>
      <c r="Q54" s="40">
        <f>'02_Base'!T54</f>
        <v/>
      </c>
      <c r="R54" s="41">
        <f>IF(F54=1,IFERROR(G54/INDEX('03_Campagnes'!$D$5:$D$18,MATCH(A54&amp;"|"&amp;B54,'03_Campagnes'!$C$5:$C$18,0)),0),0)</f>
        <v/>
      </c>
      <c r="S54" s="24">
        <f>INDEX('03_Campagnes'!$L$5:$L$18,MATCH(A54&amp;"|"&amp;B54,'03_Campagnes'!$C$5:$C$18,0))</f>
        <v/>
      </c>
      <c r="T54" s="24">
        <f>S54*R54</f>
        <v/>
      </c>
      <c r="U54" s="24">
        <f>IF(F54=1,T54*(O54+'01_Cadrage'!$H$16),0)</f>
        <v/>
      </c>
      <c r="V54" s="24">
        <f>U54*P54</f>
        <v/>
      </c>
      <c r="W54" s="22">
        <f>IF(F54=1,V54*(Q54+'01_Cadrage'!$H$17),0)</f>
        <v/>
      </c>
      <c r="X54" s="24">
        <f>IF(F54=1,0,L54*(N54+'01_Cadrage'!$H$18))</f>
        <v/>
      </c>
      <c r="Y54" s="22">
        <f>W54+X54</f>
        <v/>
      </c>
      <c r="Z54" s="15">
        <f>M54*(1+'01_Cadrage'!$H$15*INDEX('01_Cadrage'!$L$7:$L$20,MATCH(A54&amp;"|"&amp;B54,'01_Cadrage'!$M$7:$M$20,0)))</f>
        <v/>
      </c>
      <c r="AA54" s="13">
        <f>Y54*Z54+W54*'01_Cadrage'!$H$24</f>
        <v/>
      </c>
    </row>
    <row r="55">
      <c r="A55" s="17">
        <f>'02_Base'!A55</f>
        <v/>
      </c>
      <c r="B55" s="18">
        <f>'02_Base'!B55</f>
        <v/>
      </c>
      <c r="C55" s="17">
        <f>'02_Base'!C55</f>
        <v/>
      </c>
      <c r="D55" s="18">
        <f>'02_Base'!E55</f>
        <v/>
      </c>
      <c r="E55" s="18">
        <f>'02_Base'!F55</f>
        <v/>
      </c>
      <c r="F55" s="38">
        <f>'02_Base'!G55</f>
        <v/>
      </c>
      <c r="G55" s="38">
        <f>'02_Base'!H55</f>
        <v/>
      </c>
      <c r="H55" s="38">
        <f>'02_Base'!I55</f>
        <v/>
      </c>
      <c r="I55" s="38">
        <f>'02_Base'!K55</f>
        <v/>
      </c>
      <c r="J55" s="38">
        <f>'02_Base'!L55</f>
        <v/>
      </c>
      <c r="K55" s="38">
        <f>'02_Base'!M55</f>
        <v/>
      </c>
      <c r="L55" s="38">
        <f>'02_Base'!N55</f>
        <v/>
      </c>
      <c r="M55" s="39">
        <f>'02_Base'!P55</f>
        <v/>
      </c>
      <c r="N55" s="40">
        <f>'02_Base'!Q55</f>
        <v/>
      </c>
      <c r="O55" s="40">
        <f>'02_Base'!R55</f>
        <v/>
      </c>
      <c r="P55" s="40">
        <f>'02_Base'!S55</f>
        <v/>
      </c>
      <c r="Q55" s="40">
        <f>'02_Base'!T55</f>
        <v/>
      </c>
      <c r="R55" s="41">
        <f>IF(F55=1,IFERROR(G55/INDEX('03_Campagnes'!$D$5:$D$18,MATCH(A55&amp;"|"&amp;B55,'03_Campagnes'!$C$5:$C$18,0)),0),0)</f>
        <v/>
      </c>
      <c r="S55" s="24">
        <f>INDEX('03_Campagnes'!$L$5:$L$18,MATCH(A55&amp;"|"&amp;B55,'03_Campagnes'!$C$5:$C$18,0))</f>
        <v/>
      </c>
      <c r="T55" s="24">
        <f>S55*R55</f>
        <v/>
      </c>
      <c r="U55" s="24">
        <f>IF(F55=1,T55*(O55+'01_Cadrage'!$H$16),0)</f>
        <v/>
      </c>
      <c r="V55" s="24">
        <f>U55*P55</f>
        <v/>
      </c>
      <c r="W55" s="22">
        <f>IF(F55=1,V55*(Q55+'01_Cadrage'!$H$17),0)</f>
        <v/>
      </c>
      <c r="X55" s="24">
        <f>IF(F55=1,0,L55*(N55+'01_Cadrage'!$H$18))</f>
        <v/>
      </c>
      <c r="Y55" s="22">
        <f>W55+X55</f>
        <v/>
      </c>
      <c r="Z55" s="15">
        <f>M55*(1+'01_Cadrage'!$H$15*INDEX('01_Cadrage'!$L$7:$L$20,MATCH(A55&amp;"|"&amp;B55,'01_Cadrage'!$M$7:$M$20,0)))</f>
        <v/>
      </c>
      <c r="AA55" s="13">
        <f>Y55*Z55+W55*'01_Cadrage'!$H$24</f>
        <v/>
      </c>
    </row>
    <row r="56">
      <c r="A56" s="17">
        <f>'02_Base'!A56</f>
        <v/>
      </c>
      <c r="B56" s="18">
        <f>'02_Base'!B56</f>
        <v/>
      </c>
      <c r="C56" s="17">
        <f>'02_Base'!C56</f>
        <v/>
      </c>
      <c r="D56" s="18">
        <f>'02_Base'!E56</f>
        <v/>
      </c>
      <c r="E56" s="18">
        <f>'02_Base'!F56</f>
        <v/>
      </c>
      <c r="F56" s="38">
        <f>'02_Base'!G56</f>
        <v/>
      </c>
      <c r="G56" s="38">
        <f>'02_Base'!H56</f>
        <v/>
      </c>
      <c r="H56" s="38">
        <f>'02_Base'!I56</f>
        <v/>
      </c>
      <c r="I56" s="38">
        <f>'02_Base'!K56</f>
        <v/>
      </c>
      <c r="J56" s="38">
        <f>'02_Base'!L56</f>
        <v/>
      </c>
      <c r="K56" s="38">
        <f>'02_Base'!M56</f>
        <v/>
      </c>
      <c r="L56" s="38">
        <f>'02_Base'!N56</f>
        <v/>
      </c>
      <c r="M56" s="39">
        <f>'02_Base'!P56</f>
        <v/>
      </c>
      <c r="N56" s="40">
        <f>'02_Base'!Q56</f>
        <v/>
      </c>
      <c r="O56" s="40">
        <f>'02_Base'!R56</f>
        <v/>
      </c>
      <c r="P56" s="40">
        <f>'02_Base'!S56</f>
        <v/>
      </c>
      <c r="Q56" s="40">
        <f>'02_Base'!T56</f>
        <v/>
      </c>
      <c r="R56" s="41">
        <f>IF(F56=1,IFERROR(G56/INDEX('03_Campagnes'!$D$5:$D$18,MATCH(A56&amp;"|"&amp;B56,'03_Campagnes'!$C$5:$C$18,0)),0),0)</f>
        <v/>
      </c>
      <c r="S56" s="24">
        <f>INDEX('03_Campagnes'!$L$5:$L$18,MATCH(A56&amp;"|"&amp;B56,'03_Campagnes'!$C$5:$C$18,0))</f>
        <v/>
      </c>
      <c r="T56" s="24">
        <f>S56*R56</f>
        <v/>
      </c>
      <c r="U56" s="24">
        <f>IF(F56=1,T56*(O56+'01_Cadrage'!$H$16),0)</f>
        <v/>
      </c>
      <c r="V56" s="24">
        <f>U56*P56</f>
        <v/>
      </c>
      <c r="W56" s="22">
        <f>IF(F56=1,V56*(Q56+'01_Cadrage'!$H$17),0)</f>
        <v/>
      </c>
      <c r="X56" s="24">
        <f>IF(F56=1,0,L56*(N56+'01_Cadrage'!$H$18))</f>
        <v/>
      </c>
      <c r="Y56" s="22">
        <f>W56+X56</f>
        <v/>
      </c>
      <c r="Z56" s="15">
        <f>M56*(1+'01_Cadrage'!$H$15*INDEX('01_Cadrage'!$L$7:$L$20,MATCH(A56&amp;"|"&amp;B56,'01_Cadrage'!$M$7:$M$20,0)))</f>
        <v/>
      </c>
      <c r="AA56" s="13">
        <f>Y56*Z56+W56*'01_Cadrage'!$H$24</f>
        <v/>
      </c>
    </row>
    <row r="57">
      <c r="A57" s="17">
        <f>'02_Base'!A57</f>
        <v/>
      </c>
      <c r="B57" s="18">
        <f>'02_Base'!B57</f>
        <v/>
      </c>
      <c r="C57" s="17">
        <f>'02_Base'!C57</f>
        <v/>
      </c>
      <c r="D57" s="18">
        <f>'02_Base'!E57</f>
        <v/>
      </c>
      <c r="E57" s="18">
        <f>'02_Base'!F57</f>
        <v/>
      </c>
      <c r="F57" s="38">
        <f>'02_Base'!G57</f>
        <v/>
      </c>
      <c r="G57" s="38">
        <f>'02_Base'!H57</f>
        <v/>
      </c>
      <c r="H57" s="38">
        <f>'02_Base'!I57</f>
        <v/>
      </c>
      <c r="I57" s="38">
        <f>'02_Base'!K57</f>
        <v/>
      </c>
      <c r="J57" s="38">
        <f>'02_Base'!L57</f>
        <v/>
      </c>
      <c r="K57" s="38">
        <f>'02_Base'!M57</f>
        <v/>
      </c>
      <c r="L57" s="38">
        <f>'02_Base'!N57</f>
        <v/>
      </c>
      <c r="M57" s="39">
        <f>'02_Base'!P57</f>
        <v/>
      </c>
      <c r="N57" s="40">
        <f>'02_Base'!Q57</f>
        <v/>
      </c>
      <c r="O57" s="40">
        <f>'02_Base'!R57</f>
        <v/>
      </c>
      <c r="P57" s="40">
        <f>'02_Base'!S57</f>
        <v/>
      </c>
      <c r="Q57" s="40">
        <f>'02_Base'!T57</f>
        <v/>
      </c>
      <c r="R57" s="41">
        <f>IF(F57=1,IFERROR(G57/INDEX('03_Campagnes'!$D$5:$D$18,MATCH(A57&amp;"|"&amp;B57,'03_Campagnes'!$C$5:$C$18,0)),0),0)</f>
        <v/>
      </c>
      <c r="S57" s="24">
        <f>INDEX('03_Campagnes'!$L$5:$L$18,MATCH(A57&amp;"|"&amp;B57,'03_Campagnes'!$C$5:$C$18,0))</f>
        <v/>
      </c>
      <c r="T57" s="24">
        <f>S57*R57</f>
        <v/>
      </c>
      <c r="U57" s="24">
        <f>IF(F57=1,T57*(O57+'01_Cadrage'!$H$16),0)</f>
        <v/>
      </c>
      <c r="V57" s="24">
        <f>U57*P57</f>
        <v/>
      </c>
      <c r="W57" s="22">
        <f>IF(F57=1,V57*(Q57+'01_Cadrage'!$H$17),0)</f>
        <v/>
      </c>
      <c r="X57" s="24">
        <f>IF(F57=1,0,L57*(N57+'01_Cadrage'!$H$18))</f>
        <v/>
      </c>
      <c r="Y57" s="22">
        <f>W57+X57</f>
        <v/>
      </c>
      <c r="Z57" s="15">
        <f>M57*(1+'01_Cadrage'!$H$15*INDEX('01_Cadrage'!$L$7:$L$20,MATCH(A57&amp;"|"&amp;B57,'01_Cadrage'!$M$7:$M$20,0)))</f>
        <v/>
      </c>
      <c r="AA57" s="13">
        <f>Y57*Z57+W57*'01_Cadrage'!$H$24</f>
        <v/>
      </c>
    </row>
    <row r="58">
      <c r="A58" s="17">
        <f>'02_Base'!A58</f>
        <v/>
      </c>
      <c r="B58" s="18">
        <f>'02_Base'!B58</f>
        <v/>
      </c>
      <c r="C58" s="17">
        <f>'02_Base'!C58</f>
        <v/>
      </c>
      <c r="D58" s="18">
        <f>'02_Base'!E58</f>
        <v/>
      </c>
      <c r="E58" s="18">
        <f>'02_Base'!F58</f>
        <v/>
      </c>
      <c r="F58" s="38">
        <f>'02_Base'!G58</f>
        <v/>
      </c>
      <c r="G58" s="38">
        <f>'02_Base'!H58</f>
        <v/>
      </c>
      <c r="H58" s="38">
        <f>'02_Base'!I58</f>
        <v/>
      </c>
      <c r="I58" s="38">
        <f>'02_Base'!K58</f>
        <v/>
      </c>
      <c r="J58" s="38">
        <f>'02_Base'!L58</f>
        <v/>
      </c>
      <c r="K58" s="38">
        <f>'02_Base'!M58</f>
        <v/>
      </c>
      <c r="L58" s="38">
        <f>'02_Base'!N58</f>
        <v/>
      </c>
      <c r="M58" s="39">
        <f>'02_Base'!P58</f>
        <v/>
      </c>
      <c r="N58" s="40">
        <f>'02_Base'!Q58</f>
        <v/>
      </c>
      <c r="O58" s="40">
        <f>'02_Base'!R58</f>
        <v/>
      </c>
      <c r="P58" s="40">
        <f>'02_Base'!S58</f>
        <v/>
      </c>
      <c r="Q58" s="40">
        <f>'02_Base'!T58</f>
        <v/>
      </c>
      <c r="R58" s="41">
        <f>IF(F58=1,IFERROR(G58/INDEX('03_Campagnes'!$D$5:$D$18,MATCH(A58&amp;"|"&amp;B58,'03_Campagnes'!$C$5:$C$18,0)),0),0)</f>
        <v/>
      </c>
      <c r="S58" s="24">
        <f>INDEX('03_Campagnes'!$L$5:$L$18,MATCH(A58&amp;"|"&amp;B58,'03_Campagnes'!$C$5:$C$18,0))</f>
        <v/>
      </c>
      <c r="T58" s="24">
        <f>S58*R58</f>
        <v/>
      </c>
      <c r="U58" s="24">
        <f>IF(F58=1,T58*(O58+'01_Cadrage'!$H$16),0)</f>
        <v/>
      </c>
      <c r="V58" s="24">
        <f>U58*P58</f>
        <v/>
      </c>
      <c r="W58" s="22">
        <f>IF(F58=1,V58*(Q58+'01_Cadrage'!$H$17),0)</f>
        <v/>
      </c>
      <c r="X58" s="24">
        <f>IF(F58=1,0,L58*(N58+'01_Cadrage'!$H$18))</f>
        <v/>
      </c>
      <c r="Y58" s="22">
        <f>W58+X58</f>
        <v/>
      </c>
      <c r="Z58" s="15">
        <f>M58*(1+'01_Cadrage'!$H$15*INDEX('01_Cadrage'!$L$7:$L$20,MATCH(A58&amp;"|"&amp;B58,'01_Cadrage'!$M$7:$M$20,0)))</f>
        <v/>
      </c>
      <c r="AA58" s="13">
        <f>Y58*Z58+W58*'01_Cadrage'!$H$24</f>
        <v/>
      </c>
    </row>
    <row r="59">
      <c r="A59" s="17">
        <f>'02_Base'!A59</f>
        <v/>
      </c>
      <c r="B59" s="18">
        <f>'02_Base'!B59</f>
        <v/>
      </c>
      <c r="C59" s="17">
        <f>'02_Base'!C59</f>
        <v/>
      </c>
      <c r="D59" s="18">
        <f>'02_Base'!E59</f>
        <v/>
      </c>
      <c r="E59" s="18">
        <f>'02_Base'!F59</f>
        <v/>
      </c>
      <c r="F59" s="38">
        <f>'02_Base'!G59</f>
        <v/>
      </c>
      <c r="G59" s="38">
        <f>'02_Base'!H59</f>
        <v/>
      </c>
      <c r="H59" s="38">
        <f>'02_Base'!I59</f>
        <v/>
      </c>
      <c r="I59" s="38">
        <f>'02_Base'!K59</f>
        <v/>
      </c>
      <c r="J59" s="38">
        <f>'02_Base'!L59</f>
        <v/>
      </c>
      <c r="K59" s="38">
        <f>'02_Base'!M59</f>
        <v/>
      </c>
      <c r="L59" s="38">
        <f>'02_Base'!N59</f>
        <v/>
      </c>
      <c r="M59" s="39">
        <f>'02_Base'!P59</f>
        <v/>
      </c>
      <c r="N59" s="40">
        <f>'02_Base'!Q59</f>
        <v/>
      </c>
      <c r="O59" s="40">
        <f>'02_Base'!R59</f>
        <v/>
      </c>
      <c r="P59" s="40">
        <f>'02_Base'!S59</f>
        <v/>
      </c>
      <c r="Q59" s="40">
        <f>'02_Base'!T59</f>
        <v/>
      </c>
      <c r="R59" s="41">
        <f>IF(F59=1,IFERROR(G59/INDEX('03_Campagnes'!$D$5:$D$18,MATCH(A59&amp;"|"&amp;B59,'03_Campagnes'!$C$5:$C$18,0)),0),0)</f>
        <v/>
      </c>
      <c r="S59" s="24">
        <f>INDEX('03_Campagnes'!$L$5:$L$18,MATCH(A59&amp;"|"&amp;B59,'03_Campagnes'!$C$5:$C$18,0))</f>
        <v/>
      </c>
      <c r="T59" s="24">
        <f>S59*R59</f>
        <v/>
      </c>
      <c r="U59" s="24">
        <f>IF(F59=1,T59*(O59+'01_Cadrage'!$H$16),0)</f>
        <v/>
      </c>
      <c r="V59" s="24">
        <f>U59*P59</f>
        <v/>
      </c>
      <c r="W59" s="22">
        <f>IF(F59=1,V59*(Q59+'01_Cadrage'!$H$17),0)</f>
        <v/>
      </c>
      <c r="X59" s="24">
        <f>IF(F59=1,0,L59*(N59+'01_Cadrage'!$H$18))</f>
        <v/>
      </c>
      <c r="Y59" s="22">
        <f>W59+X59</f>
        <v/>
      </c>
      <c r="Z59" s="15">
        <f>M59*(1+'01_Cadrage'!$H$15*INDEX('01_Cadrage'!$L$7:$L$20,MATCH(A59&amp;"|"&amp;B59,'01_Cadrage'!$M$7:$M$20,0)))</f>
        <v/>
      </c>
      <c r="AA59" s="13">
        <f>Y59*Z59+W59*'01_Cadrage'!$H$24</f>
        <v/>
      </c>
    </row>
    <row r="60">
      <c r="A60" s="17">
        <f>'02_Base'!A60</f>
        <v/>
      </c>
      <c r="B60" s="18">
        <f>'02_Base'!B60</f>
        <v/>
      </c>
      <c r="C60" s="17">
        <f>'02_Base'!C60</f>
        <v/>
      </c>
      <c r="D60" s="18">
        <f>'02_Base'!E60</f>
        <v/>
      </c>
      <c r="E60" s="18">
        <f>'02_Base'!F60</f>
        <v/>
      </c>
      <c r="F60" s="38">
        <f>'02_Base'!G60</f>
        <v/>
      </c>
      <c r="G60" s="38">
        <f>'02_Base'!H60</f>
        <v/>
      </c>
      <c r="H60" s="38">
        <f>'02_Base'!I60</f>
        <v/>
      </c>
      <c r="I60" s="38">
        <f>'02_Base'!K60</f>
        <v/>
      </c>
      <c r="J60" s="38">
        <f>'02_Base'!L60</f>
        <v/>
      </c>
      <c r="K60" s="38">
        <f>'02_Base'!M60</f>
        <v/>
      </c>
      <c r="L60" s="38">
        <f>'02_Base'!N60</f>
        <v/>
      </c>
      <c r="M60" s="39">
        <f>'02_Base'!P60</f>
        <v/>
      </c>
      <c r="N60" s="40">
        <f>'02_Base'!Q60</f>
        <v/>
      </c>
      <c r="O60" s="40">
        <f>'02_Base'!R60</f>
        <v/>
      </c>
      <c r="P60" s="40">
        <f>'02_Base'!S60</f>
        <v/>
      </c>
      <c r="Q60" s="40">
        <f>'02_Base'!T60</f>
        <v/>
      </c>
      <c r="R60" s="41">
        <f>IF(F60=1,IFERROR(G60/INDEX('03_Campagnes'!$D$5:$D$18,MATCH(A60&amp;"|"&amp;B60,'03_Campagnes'!$C$5:$C$18,0)),0),0)</f>
        <v/>
      </c>
      <c r="S60" s="24">
        <f>INDEX('03_Campagnes'!$L$5:$L$18,MATCH(A60&amp;"|"&amp;B60,'03_Campagnes'!$C$5:$C$18,0))</f>
        <v/>
      </c>
      <c r="T60" s="24">
        <f>S60*R60</f>
        <v/>
      </c>
      <c r="U60" s="24">
        <f>IF(F60=1,T60*(O60+'01_Cadrage'!$H$16),0)</f>
        <v/>
      </c>
      <c r="V60" s="24">
        <f>U60*P60</f>
        <v/>
      </c>
      <c r="W60" s="22">
        <f>IF(F60=1,V60*(Q60+'01_Cadrage'!$H$17),0)</f>
        <v/>
      </c>
      <c r="X60" s="24">
        <f>IF(F60=1,0,L60*(N60+'01_Cadrage'!$H$18))</f>
        <v/>
      </c>
      <c r="Y60" s="22">
        <f>W60+X60</f>
        <v/>
      </c>
      <c r="Z60" s="15">
        <f>M60*(1+'01_Cadrage'!$H$15*INDEX('01_Cadrage'!$L$7:$L$20,MATCH(A60&amp;"|"&amp;B60,'01_Cadrage'!$M$7:$M$20,0)))</f>
        <v/>
      </c>
      <c r="AA60" s="13">
        <f>Y60*Z60+W60*'01_Cadrage'!$H$24</f>
        <v/>
      </c>
    </row>
    <row r="61">
      <c r="A61" s="17">
        <f>'02_Base'!A61</f>
        <v/>
      </c>
      <c r="B61" s="18">
        <f>'02_Base'!B61</f>
        <v/>
      </c>
      <c r="C61" s="17">
        <f>'02_Base'!C61</f>
        <v/>
      </c>
      <c r="D61" s="18">
        <f>'02_Base'!E61</f>
        <v/>
      </c>
      <c r="E61" s="18">
        <f>'02_Base'!F61</f>
        <v/>
      </c>
      <c r="F61" s="38">
        <f>'02_Base'!G61</f>
        <v/>
      </c>
      <c r="G61" s="38">
        <f>'02_Base'!H61</f>
        <v/>
      </c>
      <c r="H61" s="38">
        <f>'02_Base'!I61</f>
        <v/>
      </c>
      <c r="I61" s="38">
        <f>'02_Base'!K61</f>
        <v/>
      </c>
      <c r="J61" s="38">
        <f>'02_Base'!L61</f>
        <v/>
      </c>
      <c r="K61" s="38">
        <f>'02_Base'!M61</f>
        <v/>
      </c>
      <c r="L61" s="38">
        <f>'02_Base'!N61</f>
        <v/>
      </c>
      <c r="M61" s="39">
        <f>'02_Base'!P61</f>
        <v/>
      </c>
      <c r="N61" s="40">
        <f>'02_Base'!Q61</f>
        <v/>
      </c>
      <c r="O61" s="40">
        <f>'02_Base'!R61</f>
        <v/>
      </c>
      <c r="P61" s="40">
        <f>'02_Base'!S61</f>
        <v/>
      </c>
      <c r="Q61" s="40">
        <f>'02_Base'!T61</f>
        <v/>
      </c>
      <c r="R61" s="41">
        <f>IF(F61=1,IFERROR(G61/INDEX('03_Campagnes'!$D$5:$D$18,MATCH(A61&amp;"|"&amp;B61,'03_Campagnes'!$C$5:$C$18,0)),0),0)</f>
        <v/>
      </c>
      <c r="S61" s="24">
        <f>INDEX('03_Campagnes'!$L$5:$L$18,MATCH(A61&amp;"|"&amp;B61,'03_Campagnes'!$C$5:$C$18,0))</f>
        <v/>
      </c>
      <c r="T61" s="24">
        <f>S61*R61</f>
        <v/>
      </c>
      <c r="U61" s="24">
        <f>IF(F61=1,T61*(O61+'01_Cadrage'!$H$16),0)</f>
        <v/>
      </c>
      <c r="V61" s="24">
        <f>U61*P61</f>
        <v/>
      </c>
      <c r="W61" s="22">
        <f>IF(F61=1,V61*(Q61+'01_Cadrage'!$H$17),0)</f>
        <v/>
      </c>
      <c r="X61" s="24">
        <f>IF(F61=1,0,L61*(N61+'01_Cadrage'!$H$18))</f>
        <v/>
      </c>
      <c r="Y61" s="22">
        <f>W61+X61</f>
        <v/>
      </c>
      <c r="Z61" s="15">
        <f>M61*(1+'01_Cadrage'!$H$15*INDEX('01_Cadrage'!$L$7:$L$20,MATCH(A61&amp;"|"&amp;B61,'01_Cadrage'!$M$7:$M$20,0)))</f>
        <v/>
      </c>
      <c r="AA61" s="13">
        <f>Y61*Z61+W61*'01_Cadrage'!$H$24</f>
        <v/>
      </c>
    </row>
    <row r="62">
      <c r="A62" s="43" t="inlineStr">
        <is>
          <t>TOTAL</t>
        </is>
      </c>
      <c r="B62" s="44" t="inlineStr">
        <is>
          <t> </t>
        </is>
      </c>
      <c r="C62" s="44" t="inlineStr">
        <is>
          <t> </t>
        </is>
      </c>
      <c r="D62" s="44" t="inlineStr">
        <is>
          <t> </t>
        </is>
      </c>
      <c r="E62" s="44" t="inlineStr">
        <is>
          <t> </t>
        </is>
      </c>
      <c r="F62" s="45">
        <f>SUM(F4:F61)</f>
        <v/>
      </c>
      <c r="G62" s="45">
        <f>SUM(G4:G61)</f>
        <v/>
      </c>
      <c r="H62" s="45">
        <f>SUM(H4:H61)</f>
        <v/>
      </c>
      <c r="I62" s="45">
        <f>SUM(I4:I61)</f>
        <v/>
      </c>
      <c r="T62" s="45">
        <f>SUM(T4:T61)</f>
        <v/>
      </c>
      <c r="U62" s="45">
        <f>SUM(U4:U61)</f>
        <v/>
      </c>
      <c r="V62" s="45">
        <f>SUM(V4:V61)</f>
        <v/>
      </c>
      <c r="W62" s="45">
        <f>SUM(W4:W61)</f>
        <v/>
      </c>
      <c r="X62" s="45">
        <f>SUM(X4:X61)</f>
        <v/>
      </c>
      <c r="Y62" s="45">
        <f>SUM(Y4:Y61)</f>
        <v/>
      </c>
      <c r="AA62" s="46">
        <f>SUM(AA4:AA61)</f>
        <v/>
      </c>
    </row>
    <row r="64" ht="20" customHeight="1">
      <c r="A64" s="3" t="inlineStr">
        <is>
          <t>Guide de lecture — de gauche à droite :</t>
        </is>
      </c>
      <c r="B64" s="4" t="n"/>
      <c r="C64" s="4" t="n"/>
      <c r="D64" s="4" t="n"/>
      <c r="E64" s="4" t="n"/>
      <c r="F64" s="4" t="n"/>
      <c r="G64" s="4" t="n"/>
      <c r="H64" s="4" t="n"/>
    </row>
    <row r="65">
      <c r="A65" s="47" t="inlineStr">
        <is>
          <t>A–F</t>
        </is>
      </c>
      <c r="B65" s="6" t="inlineStr">
        <is>
          <t>Identité : marque, ville, programme, année, modalité, entrée (1=on recrute)</t>
        </is>
      </c>
    </row>
    <row r="66">
      <c r="A66" s="47" t="inlineStr">
        <is>
          <t>G–Q</t>
        </is>
      </c>
      <c r="B66" s="6" t="inlineStr">
        <is>
          <t>Reprise base + taux mesurés : leads/cand/nouv hist, revenu, passage, taux funnel (L→C, C→A, yield)</t>
        </is>
      </c>
    </row>
    <row r="67">
      <c r="A67" s="47" t="inlineStr">
        <is>
          <t>R–T</t>
        </is>
      </c>
      <c r="B67" s="6" t="inlineStr">
        <is>
          <t>Acquisition : part de leads (mix réel) × leads campus = leads de la cellule</t>
        </is>
      </c>
    </row>
    <row r="68">
      <c r="A68" s="47" t="inlineStr">
        <is>
          <t>U–W</t>
        </is>
      </c>
      <c r="B68" s="6" t="inlineStr">
        <is>
          <t>Funnel mesuré : candidatures → admis → NOUVEAUX inscrits</t>
        </is>
      </c>
    </row>
    <row r="69">
      <c r="A69" s="47" t="inlineStr">
        <is>
          <t>X–Y</t>
        </is>
      </c>
      <c r="B69" s="6" t="inlineStr">
        <is>
          <t>Cohorte : réinscrits (eff. inférieur × passage) → EFFECTIF</t>
        </is>
      </c>
    </row>
    <row r="70">
      <c r="A70" s="47" t="inlineStr">
        <is>
          <t>Z–AA</t>
        </is>
      </c>
      <c r="B70" s="6" t="inlineStr">
        <is>
          <t>Prix &amp; CA : revenu actif (hausse×coeff) → CHIFFRE D'AFFAIRES</t>
        </is>
      </c>
    </row>
  </sheetData>
  <mergeCells count="8">
    <mergeCell ref="B66:H66"/>
    <mergeCell ref="B65:H65"/>
    <mergeCell ref="B68:H68"/>
    <mergeCell ref="A64:H64"/>
    <mergeCell ref="B69:H69"/>
    <mergeCell ref="B70:H70"/>
    <mergeCell ref="A1:AA1"/>
    <mergeCell ref="B67:H6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2026-08-18T00:40:10Z</dcterms:created>
  <dcterms:modified xsi:type="dcterms:W3CDTF">2026-08-18T00:40:11Z</dcterms:modified>
</cp:coreProperties>
</file>