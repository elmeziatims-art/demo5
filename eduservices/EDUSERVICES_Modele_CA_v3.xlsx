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  <sheet name="12_Simulateu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35">
        <f>'04_Moteur'!$AA$62</f>
        <v/>
      </c>
      <c r="B3" s="36" t="n"/>
      <c r="C3" s="37" t="n"/>
      <c r="D3" s="38">
        <f>'07_PnL'!$G$33</f>
        <v/>
      </c>
      <c r="E3" s="36" t="n"/>
      <c r="F3" s="37" t="n"/>
      <c r="G3" s="39">
        <f>IFERROR('07_PnL'!$G$33/'04_Moteur'!$AA$62,0)</f>
        <v/>
      </c>
      <c r="H3" s="37" t="n"/>
      <c r="I3" s="40">
        <f>'04_Moteur'!$Y$62</f>
        <v/>
      </c>
      <c r="J3" s="37" t="n"/>
    </row>
    <row r="4" ht="15" customHeight="1">
      <c r="A4" s="41" t="inlineStr">
        <is>
          <t>CHIFFRE D'AFFAIRES (budget construit)</t>
        </is>
      </c>
      <c r="B4" s="36" t="n"/>
      <c r="C4" s="37" t="n"/>
      <c r="D4" s="42" t="inlineStr">
        <is>
          <t>EBITDA (budget)</t>
        </is>
      </c>
      <c r="E4" s="36" t="n"/>
      <c r="F4" s="37" t="n"/>
      <c r="G4" s="43" t="inlineStr">
        <is>
          <t>Marge EBITDA</t>
        </is>
      </c>
      <c r="H4" s="37" t="n"/>
      <c r="I4" s="44" t="inlineStr">
        <is>
          <t>Effectif</t>
        </is>
      </c>
      <c r="J4" s="37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12" t="inlineStr">
        <is>
          <t>① Groupe → Marque</t>
        </is>
      </c>
      <c r="B7" s="36" t="n"/>
      <c r="C7" s="37" t="n"/>
      <c r="D7" s="9" t="inlineStr">
        <is>
          <t>Chiffre d'affaires</t>
        </is>
      </c>
      <c r="E7" s="37" t="n"/>
    </row>
    <row r="8">
      <c r="A8" s="12" t="inlineStr">
        <is>
          <t>② Marque → Campus</t>
        </is>
      </c>
      <c r="B8" s="36" t="n"/>
      <c r="C8" s="37" t="n"/>
      <c r="D8" s="9" t="inlineStr">
        <is>
          <t>Effectif</t>
        </is>
      </c>
      <c r="E8" s="37" t="n"/>
    </row>
    <row r="9">
      <c r="A9" s="12" t="inlineStr">
        <is>
          <t>③ Campus → Classe</t>
        </is>
      </c>
      <c r="B9" s="36" t="n"/>
      <c r="C9" s="37" t="n"/>
      <c r="D9" s="9" t="inlineStr">
        <is>
          <t>Nombre de classes</t>
        </is>
      </c>
      <c r="E9" s="37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 ht="30" customHeight="1">
      <c r="A14" s="11" t="inlineStr">
        <is>
          <t>Marque</t>
        </is>
      </c>
      <c r="B14" s="11" t="inlineStr">
        <is>
          <t>Ville</t>
        </is>
      </c>
      <c r="C14" s="11" t="inlineStr">
        <is>
          <t>clé</t>
        </is>
      </c>
      <c r="D14" s="11" t="inlineStr">
        <is>
          <t>CAC marginal</t>
        </is>
      </c>
      <c r="E14" s="11" t="inlineStr">
        <is>
          <t>Croiss. leads</t>
        </is>
      </c>
      <c r="F14" s="11" t="inlineStr">
        <is>
          <t>Intensité mkt</t>
        </is>
      </c>
      <c r="G14" s="11" t="inlineStr">
        <is>
          <t>Cap éff.</t>
        </is>
      </c>
      <c r="H14" s="11" t="inlineStr">
        <is>
          <t>Cap mom.</t>
        </is>
      </c>
      <c r="I14" s="11" t="inlineStr">
        <is>
          <t>Cap pot.</t>
        </is>
      </c>
      <c r="J14" s="11" t="inlineStr">
        <is>
          <t>🔵 Cap retenu</t>
        </is>
      </c>
    </row>
    <row r="15">
      <c r="A15" s="17" t="inlineStr">
        <is>
          <t>MBway</t>
        </is>
      </c>
      <c r="B15" s="45" t="inlineStr">
        <is>
          <t>Paris</t>
        </is>
      </c>
      <c r="C15" s="46">
        <f>A15&amp;"|"&amp;B15</f>
        <v/>
      </c>
      <c r="D15" s="15">
        <f>IFERROR(INDEX('03_Campagnes'!$P$4:$P$17,MATCH(C15,'03_Campagnes'!$C$4:$C$17,0)),0)</f>
        <v/>
      </c>
      <c r="E15" s="47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7">
        <f>IFERROR(INDEX('03_Campagnes'!$G$4:$G$17,MATCH(C15,'03_Campagnes'!$C$4:$C$17,0))/SUMIFS('02_Socle'!$U$4:$U$61,'02_Socle'!$A$4:$A$61,A15,'02_Socle'!$B$4:$B$61,B15),0)</f>
        <v/>
      </c>
      <c r="G15" s="48">
        <f>IFERROR((1/D15)/(SUMPRODUCT(1/$D$15:$D$28)/COUNT($D$15:$D$28)),0)</f>
        <v/>
      </c>
      <c r="H15" s="48">
        <f>IFERROR(E15/(SUM($E$15:$E$28)/COUNT($E$15:$E$28)),0)</f>
        <v/>
      </c>
      <c r="I15" s="48">
        <f>IFERROR((1/F15)/(SUMPRODUCT(1/$F$15:$F$28)/COUNT($F$15:$F$28)),0)</f>
        <v/>
      </c>
      <c r="J15" s="18" t="n">
        <v>1</v>
      </c>
    </row>
    <row r="16">
      <c r="A16" s="17" t="inlineStr">
        <is>
          <t>MBway</t>
        </is>
      </c>
      <c r="B16" s="45" t="inlineStr">
        <is>
          <t>Lyon</t>
        </is>
      </c>
      <c r="C16" s="46">
        <f>A16&amp;"|"&amp;B16</f>
        <v/>
      </c>
      <c r="D16" s="15">
        <f>IFERROR(INDEX('03_Campagnes'!$P$4:$P$17,MATCH(C16,'03_Campagnes'!$C$4:$C$17,0)),0)</f>
        <v/>
      </c>
      <c r="E16" s="47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7">
        <f>IFERROR(INDEX('03_Campagnes'!$G$4:$G$17,MATCH(C16,'03_Campagnes'!$C$4:$C$17,0))/SUMIFS('02_Socle'!$U$4:$U$61,'02_Socle'!$A$4:$A$61,A16,'02_Socle'!$B$4:$B$61,B16),0)</f>
        <v/>
      </c>
      <c r="G16" s="48">
        <f>IFERROR((1/D16)/(SUMPRODUCT(1/$D$15:$D$28)/COUNT($D$15:$D$28)),0)</f>
        <v/>
      </c>
      <c r="H16" s="48">
        <f>IFERROR(E16/(SUM($E$15:$E$28)/COUNT($E$15:$E$28)),0)</f>
        <v/>
      </c>
      <c r="I16" s="48">
        <f>IFERROR((1/F16)/(SUMPRODUCT(1/$F$15:$F$28)/COUNT($F$15:$F$28)),0)</f>
        <v/>
      </c>
      <c r="J16" s="18" t="n">
        <v>1</v>
      </c>
    </row>
    <row r="17">
      <c r="A17" s="17" t="inlineStr">
        <is>
          <t>MBway</t>
        </is>
      </c>
      <c r="B17" s="45" t="inlineStr">
        <is>
          <t>Nantes</t>
        </is>
      </c>
      <c r="C17" s="46">
        <f>A17&amp;"|"&amp;B17</f>
        <v/>
      </c>
      <c r="D17" s="15">
        <f>IFERROR(INDEX('03_Campagnes'!$P$4:$P$17,MATCH(C17,'03_Campagnes'!$C$4:$C$17,0)),0)</f>
        <v/>
      </c>
      <c r="E17" s="47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7">
        <f>IFERROR(INDEX('03_Campagnes'!$G$4:$G$17,MATCH(C17,'03_Campagnes'!$C$4:$C$17,0))/SUMIFS('02_Socle'!$U$4:$U$61,'02_Socle'!$A$4:$A$61,A17,'02_Socle'!$B$4:$B$61,B17),0)</f>
        <v/>
      </c>
      <c r="G17" s="48">
        <f>IFERROR((1/D17)/(SUMPRODUCT(1/$D$15:$D$28)/COUNT($D$15:$D$28)),0)</f>
        <v/>
      </c>
      <c r="H17" s="48">
        <f>IFERROR(E17/(SUM($E$15:$E$28)/COUNT($E$15:$E$28)),0)</f>
        <v/>
      </c>
      <c r="I17" s="48">
        <f>IFERROR((1/F17)/(SUMPRODUCT(1/$F$15:$F$28)/COUNT($F$15:$F$28)),0)</f>
        <v/>
      </c>
      <c r="J17" s="18" t="n">
        <v>1</v>
      </c>
    </row>
    <row r="18">
      <c r="A18" s="17" t="inlineStr">
        <is>
          <t>MBway</t>
        </is>
      </c>
      <c r="B18" s="45" t="inlineStr">
        <is>
          <t>Bordeaux</t>
        </is>
      </c>
      <c r="C18" s="46">
        <f>A18&amp;"|"&amp;B18</f>
        <v/>
      </c>
      <c r="D18" s="15">
        <f>IFERROR(INDEX('03_Campagnes'!$P$4:$P$17,MATCH(C18,'03_Campagnes'!$C$4:$C$17,0)),0)</f>
        <v/>
      </c>
      <c r="E18" s="47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7">
        <f>IFERROR(INDEX('03_Campagnes'!$G$4:$G$17,MATCH(C18,'03_Campagnes'!$C$4:$C$17,0))/SUMIFS('02_Socle'!$U$4:$U$61,'02_Socle'!$A$4:$A$61,A18,'02_Socle'!$B$4:$B$61,B18),0)</f>
        <v/>
      </c>
      <c r="G18" s="48">
        <f>IFERROR((1/D18)/(SUMPRODUCT(1/$D$15:$D$28)/COUNT($D$15:$D$28)),0)</f>
        <v/>
      </c>
      <c r="H18" s="48">
        <f>IFERROR(E18/(SUM($E$15:$E$28)/COUNT($E$15:$E$28)),0)</f>
        <v/>
      </c>
      <c r="I18" s="48">
        <f>IFERROR((1/F18)/(SUMPRODUCT(1/$F$15:$F$28)/COUNT($F$15:$F$28)),0)</f>
        <v/>
      </c>
      <c r="J18" s="18" t="n">
        <v>1</v>
      </c>
    </row>
    <row r="19">
      <c r="A19" s="17" t="inlineStr">
        <is>
          <t>ISCOM</t>
        </is>
      </c>
      <c r="B19" s="45" t="inlineStr">
        <is>
          <t>Paris</t>
        </is>
      </c>
      <c r="C19" s="46">
        <f>A19&amp;"|"&amp;B19</f>
        <v/>
      </c>
      <c r="D19" s="15">
        <f>IFERROR(INDEX('03_Campagnes'!$P$4:$P$17,MATCH(C19,'03_Campagnes'!$C$4:$C$17,0)),0)</f>
        <v/>
      </c>
      <c r="E19" s="47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7">
        <f>IFERROR(INDEX('03_Campagnes'!$G$4:$G$17,MATCH(C19,'03_Campagnes'!$C$4:$C$17,0))/SUMIFS('02_Socle'!$U$4:$U$61,'02_Socle'!$A$4:$A$61,A19,'02_Socle'!$B$4:$B$61,B19),0)</f>
        <v/>
      </c>
      <c r="G19" s="48">
        <f>IFERROR((1/D19)/(SUMPRODUCT(1/$D$15:$D$28)/COUNT($D$15:$D$28)),0)</f>
        <v/>
      </c>
      <c r="H19" s="48">
        <f>IFERROR(E19/(SUM($E$15:$E$28)/COUNT($E$15:$E$28)),0)</f>
        <v/>
      </c>
      <c r="I19" s="48">
        <f>IFERROR((1/F19)/(SUMPRODUCT(1/$F$15:$F$28)/COUNT($F$15:$F$28)),0)</f>
        <v/>
      </c>
      <c r="J19" s="18" t="n">
        <v>1</v>
      </c>
    </row>
    <row r="20">
      <c r="A20" s="17" t="inlineStr">
        <is>
          <t>ISCOM</t>
        </is>
      </c>
      <c r="B20" s="45" t="inlineStr">
        <is>
          <t>Lille</t>
        </is>
      </c>
      <c r="C20" s="46">
        <f>A20&amp;"|"&amp;B20</f>
        <v/>
      </c>
      <c r="D20" s="15">
        <f>IFERROR(INDEX('03_Campagnes'!$P$4:$P$17,MATCH(C20,'03_Campagnes'!$C$4:$C$17,0)),0)</f>
        <v/>
      </c>
      <c r="E20" s="47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7">
        <f>IFERROR(INDEX('03_Campagnes'!$G$4:$G$17,MATCH(C20,'03_Campagnes'!$C$4:$C$17,0))/SUMIFS('02_Socle'!$U$4:$U$61,'02_Socle'!$A$4:$A$61,A20,'02_Socle'!$B$4:$B$61,B20),0)</f>
        <v/>
      </c>
      <c r="G20" s="48">
        <f>IFERROR((1/D20)/(SUMPRODUCT(1/$D$15:$D$28)/COUNT($D$15:$D$28)),0)</f>
        <v/>
      </c>
      <c r="H20" s="48">
        <f>IFERROR(E20/(SUM($E$15:$E$28)/COUNT($E$15:$E$28)),0)</f>
        <v/>
      </c>
      <c r="I20" s="48">
        <f>IFERROR((1/F20)/(SUMPRODUCT(1/$F$15:$F$28)/COUNT($F$15:$F$28)),0)</f>
        <v/>
      </c>
      <c r="J20" s="18" t="n">
        <v>1</v>
      </c>
    </row>
    <row r="21">
      <c r="A21" s="17" t="inlineStr">
        <is>
          <t>ISCOM</t>
        </is>
      </c>
      <c r="B21" s="45" t="inlineStr">
        <is>
          <t>Toulouse</t>
        </is>
      </c>
      <c r="C21" s="46">
        <f>A21&amp;"|"&amp;B21</f>
        <v/>
      </c>
      <c r="D21" s="15">
        <f>IFERROR(INDEX('03_Campagnes'!$P$4:$P$17,MATCH(C21,'03_Campagnes'!$C$4:$C$17,0)),0)</f>
        <v/>
      </c>
      <c r="E21" s="47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7">
        <f>IFERROR(INDEX('03_Campagnes'!$G$4:$G$17,MATCH(C21,'03_Campagnes'!$C$4:$C$17,0))/SUMIFS('02_Socle'!$U$4:$U$61,'02_Socle'!$A$4:$A$61,A21,'02_Socle'!$B$4:$B$61,B21),0)</f>
        <v/>
      </c>
      <c r="G21" s="48">
        <f>IFERROR((1/D21)/(SUMPRODUCT(1/$D$15:$D$28)/COUNT($D$15:$D$28)),0)</f>
        <v/>
      </c>
      <c r="H21" s="48">
        <f>IFERROR(E21/(SUM($E$15:$E$28)/COUNT($E$15:$E$28)),0)</f>
        <v/>
      </c>
      <c r="I21" s="48">
        <f>IFERROR((1/F21)/(SUMPRODUCT(1/$F$15:$F$28)/COUNT($F$15:$F$28)),0)</f>
        <v/>
      </c>
      <c r="J21" s="18" t="n">
        <v>1</v>
      </c>
    </row>
    <row r="22">
      <c r="A22" s="17" t="inlineStr">
        <is>
          <t>Ipac Bachelor Factory</t>
        </is>
      </c>
      <c r="B22" s="45" t="inlineStr">
        <is>
          <t>Nantes</t>
        </is>
      </c>
      <c r="C22" s="46">
        <f>A22&amp;"|"&amp;B22</f>
        <v/>
      </c>
      <c r="D22" s="15">
        <f>IFERROR(INDEX('03_Campagnes'!$P$4:$P$17,MATCH(C22,'03_Campagnes'!$C$4:$C$17,0)),0)</f>
        <v/>
      </c>
      <c r="E22" s="47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7">
        <f>IFERROR(INDEX('03_Campagnes'!$G$4:$G$17,MATCH(C22,'03_Campagnes'!$C$4:$C$17,0))/SUMIFS('02_Socle'!$U$4:$U$61,'02_Socle'!$A$4:$A$61,A22,'02_Socle'!$B$4:$B$61,B22),0)</f>
        <v/>
      </c>
      <c r="G22" s="48">
        <f>IFERROR((1/D22)/(SUMPRODUCT(1/$D$15:$D$28)/COUNT($D$15:$D$28)),0)</f>
        <v/>
      </c>
      <c r="H22" s="48">
        <f>IFERROR(E22/(SUM($E$15:$E$28)/COUNT($E$15:$E$28)),0)</f>
        <v/>
      </c>
      <c r="I22" s="48">
        <f>IFERROR((1/F22)/(SUMPRODUCT(1/$F$15:$F$28)/COUNT($F$15:$F$28)),0)</f>
        <v/>
      </c>
      <c r="J22" s="18" t="n">
        <v>1</v>
      </c>
    </row>
    <row r="23">
      <c r="A23" s="17" t="inlineStr">
        <is>
          <t>Ipac Bachelor Factory</t>
        </is>
      </c>
      <c r="B23" s="45" t="inlineStr">
        <is>
          <t>Rennes</t>
        </is>
      </c>
      <c r="C23" s="46">
        <f>A23&amp;"|"&amp;B23</f>
        <v/>
      </c>
      <c r="D23" s="15">
        <f>IFERROR(INDEX('03_Campagnes'!$P$4:$P$17,MATCH(C23,'03_Campagnes'!$C$4:$C$17,0)),0)</f>
        <v/>
      </c>
      <c r="E23" s="47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7">
        <f>IFERROR(INDEX('03_Campagnes'!$G$4:$G$17,MATCH(C23,'03_Campagnes'!$C$4:$C$17,0))/SUMIFS('02_Socle'!$U$4:$U$61,'02_Socle'!$A$4:$A$61,A23,'02_Socle'!$B$4:$B$61,B23),0)</f>
        <v/>
      </c>
      <c r="G23" s="48">
        <f>IFERROR((1/D23)/(SUMPRODUCT(1/$D$15:$D$28)/COUNT($D$15:$D$28)),0)</f>
        <v/>
      </c>
      <c r="H23" s="48">
        <f>IFERROR(E23/(SUM($E$15:$E$28)/COUNT($E$15:$E$28)),0)</f>
        <v/>
      </c>
      <c r="I23" s="48">
        <f>IFERROR((1/F23)/(SUMPRODUCT(1/$F$15:$F$28)/COUNT($F$15:$F$28)),0)</f>
        <v/>
      </c>
      <c r="J23" s="18" t="n">
        <v>1</v>
      </c>
    </row>
    <row r="24">
      <c r="A24" s="17" t="inlineStr">
        <is>
          <t>Ipac Bachelor Factory</t>
        </is>
      </c>
      <c r="B24" s="45" t="inlineStr">
        <is>
          <t>Montpellier</t>
        </is>
      </c>
      <c r="C24" s="46">
        <f>A24&amp;"|"&amp;B24</f>
        <v/>
      </c>
      <c r="D24" s="15">
        <f>IFERROR(INDEX('03_Campagnes'!$P$4:$P$17,MATCH(C24,'03_Campagnes'!$C$4:$C$17,0)),0)</f>
        <v/>
      </c>
      <c r="E24" s="47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7">
        <f>IFERROR(INDEX('03_Campagnes'!$G$4:$G$17,MATCH(C24,'03_Campagnes'!$C$4:$C$17,0))/SUMIFS('02_Socle'!$U$4:$U$61,'02_Socle'!$A$4:$A$61,A24,'02_Socle'!$B$4:$B$61,B24),0)</f>
        <v/>
      </c>
      <c r="G24" s="48">
        <f>IFERROR((1/D24)/(SUMPRODUCT(1/$D$15:$D$28)/COUNT($D$15:$D$28)),0)</f>
        <v/>
      </c>
      <c r="H24" s="48">
        <f>IFERROR(E24/(SUM($E$15:$E$28)/COUNT($E$15:$E$28)),0)</f>
        <v/>
      </c>
      <c r="I24" s="48">
        <f>IFERROR((1/F24)/(SUMPRODUCT(1/$F$15:$F$28)/COUNT($F$15:$F$28)),0)</f>
        <v/>
      </c>
      <c r="J24" s="18" t="n">
        <v>1</v>
      </c>
    </row>
    <row r="25">
      <c r="A25" s="17" t="inlineStr">
        <is>
          <t>Pigier</t>
        </is>
      </c>
      <c r="B25" s="45" t="inlineStr">
        <is>
          <t>Lyon</t>
        </is>
      </c>
      <c r="C25" s="46">
        <f>A25&amp;"|"&amp;B25</f>
        <v/>
      </c>
      <c r="D25" s="15">
        <f>IFERROR(INDEX('03_Campagnes'!$P$4:$P$17,MATCH(C25,'03_Campagnes'!$C$4:$C$17,0)),0)</f>
        <v/>
      </c>
      <c r="E25" s="47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7">
        <f>IFERROR(INDEX('03_Campagnes'!$G$4:$G$17,MATCH(C25,'03_Campagnes'!$C$4:$C$17,0))/SUMIFS('02_Socle'!$U$4:$U$61,'02_Socle'!$A$4:$A$61,A25,'02_Socle'!$B$4:$B$61,B25),0)</f>
        <v/>
      </c>
      <c r="G25" s="48">
        <f>IFERROR((1/D25)/(SUMPRODUCT(1/$D$15:$D$28)/COUNT($D$15:$D$28)),0)</f>
        <v/>
      </c>
      <c r="H25" s="48">
        <f>IFERROR(E25/(SUM($E$15:$E$28)/COUNT($E$15:$E$28)),0)</f>
        <v/>
      </c>
      <c r="I25" s="48">
        <f>IFERROR((1/F25)/(SUMPRODUCT(1/$F$15:$F$28)/COUNT($F$15:$F$28)),0)</f>
        <v/>
      </c>
      <c r="J25" s="18" t="n">
        <v>1</v>
      </c>
    </row>
    <row r="26">
      <c r="A26" s="17" t="inlineStr">
        <is>
          <t>Pigier</t>
        </is>
      </c>
      <c r="B26" s="45" t="inlineStr">
        <is>
          <t>Bordeaux</t>
        </is>
      </c>
      <c r="C26" s="46">
        <f>A26&amp;"|"&amp;B26</f>
        <v/>
      </c>
      <c r="D26" s="15">
        <f>IFERROR(INDEX('03_Campagnes'!$P$4:$P$17,MATCH(C26,'03_Campagnes'!$C$4:$C$17,0)),0)</f>
        <v/>
      </c>
      <c r="E26" s="47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7">
        <f>IFERROR(INDEX('03_Campagnes'!$G$4:$G$17,MATCH(C26,'03_Campagnes'!$C$4:$C$17,0))/SUMIFS('02_Socle'!$U$4:$U$61,'02_Socle'!$A$4:$A$61,A26,'02_Socle'!$B$4:$B$61,B26),0)</f>
        <v/>
      </c>
      <c r="G26" s="48">
        <f>IFERROR((1/D26)/(SUMPRODUCT(1/$D$15:$D$28)/COUNT($D$15:$D$28)),0)</f>
        <v/>
      </c>
      <c r="H26" s="48">
        <f>IFERROR(E26/(SUM($E$15:$E$28)/COUNT($E$15:$E$28)),0)</f>
        <v/>
      </c>
      <c r="I26" s="48">
        <f>IFERROR((1/F26)/(SUMPRODUCT(1/$F$15:$F$28)/COUNT($F$15:$F$28)),0)</f>
        <v/>
      </c>
      <c r="J26" s="18" t="n">
        <v>1</v>
      </c>
    </row>
    <row r="27">
      <c r="A27" s="17" t="inlineStr">
        <is>
          <t>Tunon</t>
        </is>
      </c>
      <c r="B27" s="45" t="inlineStr">
        <is>
          <t>Paris</t>
        </is>
      </c>
      <c r="C27" s="46">
        <f>A27&amp;"|"&amp;B27</f>
        <v/>
      </c>
      <c r="D27" s="15">
        <f>IFERROR(INDEX('03_Campagnes'!$P$4:$P$17,MATCH(C27,'03_Campagnes'!$C$4:$C$17,0)),0)</f>
        <v/>
      </c>
      <c r="E27" s="47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7">
        <f>IFERROR(INDEX('03_Campagnes'!$G$4:$G$17,MATCH(C27,'03_Campagnes'!$C$4:$C$17,0))/SUMIFS('02_Socle'!$U$4:$U$61,'02_Socle'!$A$4:$A$61,A27,'02_Socle'!$B$4:$B$61,B27),0)</f>
        <v/>
      </c>
      <c r="G27" s="48">
        <f>IFERROR((1/D27)/(SUMPRODUCT(1/$D$15:$D$28)/COUNT($D$15:$D$28)),0)</f>
        <v/>
      </c>
      <c r="H27" s="48">
        <f>IFERROR(E27/(SUM($E$15:$E$28)/COUNT($E$15:$E$28)),0)</f>
        <v/>
      </c>
      <c r="I27" s="48">
        <f>IFERROR((1/F27)/(SUMPRODUCT(1/$F$15:$F$28)/COUNT($F$15:$F$28)),0)</f>
        <v/>
      </c>
      <c r="J27" s="18" t="n">
        <v>1</v>
      </c>
    </row>
    <row r="28">
      <c r="A28" s="17" t="inlineStr">
        <is>
          <t>Tunon</t>
        </is>
      </c>
      <c r="B28" s="45" t="inlineStr">
        <is>
          <t>Lyon</t>
        </is>
      </c>
      <c r="C28" s="46">
        <f>A28&amp;"|"&amp;B28</f>
        <v/>
      </c>
      <c r="D28" s="15">
        <f>IFERROR(INDEX('03_Campagnes'!$P$4:$P$17,MATCH(C28,'03_Campagnes'!$C$4:$C$17,0)),0)</f>
        <v/>
      </c>
      <c r="E28" s="47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7">
        <f>IFERROR(INDEX('03_Campagnes'!$G$4:$G$17,MATCH(C28,'03_Campagnes'!$C$4:$C$17,0))/SUMIFS('02_Socle'!$U$4:$U$61,'02_Socle'!$A$4:$A$61,A28,'02_Socle'!$B$4:$B$61,B28),0)</f>
        <v/>
      </c>
      <c r="G28" s="48">
        <f>IFERROR((1/D28)/(SUMPRODUCT(1/$D$15:$D$28)/COUNT($D$15:$D$28)),0)</f>
        <v/>
      </c>
      <c r="H28" s="48">
        <f>IFERROR(E28/(SUM($E$15:$E$28)/COUNT($E$15:$E$28)),0)</f>
        <v/>
      </c>
      <c r="I28" s="48">
        <f>IFERROR((1/F28)/(SUMPRODUCT(1/$F$15:$F$28)/COUNT($F$15:$F$28)),0)</f>
        <v/>
      </c>
      <c r="J28" s="18" t="n">
        <v>1</v>
      </c>
    </row>
    <row r="30" ht="44" customHeight="1">
      <c r="A30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constante). Sources : CAC &amp; budget = 03_Campagnes, croissance = 02_Socle (historique), CA = 02_Socle.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11" t="inlineStr">
        <is>
          <t>Marque</t>
        </is>
      </c>
      <c r="B34" s="11" t="inlineStr">
        <is>
          <t>Ville</t>
        </is>
      </c>
      <c r="C34" s="11" t="inlineStr">
        <is>
          <t>CA réf</t>
        </is>
      </c>
      <c r="D34" s="11" t="inlineStr">
        <is>
          <t>🎯 CA cible</t>
        </is>
      </c>
      <c r="E34" s="11" t="inlineStr">
        <is>
          <t>🔧 CA construit</t>
        </is>
      </c>
      <c r="F34" s="11" t="inlineStr">
        <is>
          <t>Écart</t>
        </is>
      </c>
      <c r="G34" s="11" t="inlineStr">
        <is>
          <t>Effectif</t>
        </is>
      </c>
      <c r="H34" s="11" t="inlineStr">
        <is>
          <t>EBITDA</t>
        </is>
      </c>
      <c r="I34" s="11" t="inlineStr">
        <is>
          <t>Marge %</t>
        </is>
      </c>
    </row>
    <row r="35">
      <c r="A35" s="17" t="inlineStr">
        <is>
          <t>MBway</t>
        </is>
      </c>
      <c r="B35" s="45" t="inlineStr">
        <is>
          <t>Paris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47">
        <f>IFERROR(H35/C35,0)</f>
        <v/>
      </c>
    </row>
    <row r="36">
      <c r="A36" s="17" t="inlineStr">
        <is>
          <t>MBway</t>
        </is>
      </c>
      <c r="B36" s="45" t="inlineStr">
        <is>
          <t>Lyon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47">
        <f>IFERROR(H36/C36,0)</f>
        <v/>
      </c>
    </row>
    <row r="37">
      <c r="A37" s="17" t="inlineStr">
        <is>
          <t>MBway</t>
        </is>
      </c>
      <c r="B37" s="45" t="inlineStr">
        <is>
          <t>Nantes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47">
        <f>IFERROR(H37/C37,0)</f>
        <v/>
      </c>
    </row>
    <row r="38">
      <c r="A38" s="17" t="inlineStr">
        <is>
          <t>MBway</t>
        </is>
      </c>
      <c r="B38" s="45" t="inlineStr">
        <is>
          <t>Bordeaux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47">
        <f>IFERROR(H38/C38,0)</f>
        <v/>
      </c>
    </row>
    <row r="39">
      <c r="A39" s="17" t="inlineStr">
        <is>
          <t>ISCOM</t>
        </is>
      </c>
      <c r="B39" s="45" t="inlineStr">
        <is>
          <t>Paris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47">
        <f>IFERROR(H39/C39,0)</f>
        <v/>
      </c>
    </row>
    <row r="40">
      <c r="A40" s="17" t="inlineStr">
        <is>
          <t>ISCOM</t>
        </is>
      </c>
      <c r="B40" s="45" t="inlineStr">
        <is>
          <t>Lille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47">
        <f>IFERROR(H40/C40,0)</f>
        <v/>
      </c>
    </row>
    <row r="41">
      <c r="A41" s="17" t="inlineStr">
        <is>
          <t>ISCOM</t>
        </is>
      </c>
      <c r="B41" s="45" t="inlineStr">
        <is>
          <t>Toulouse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47">
        <f>IFERROR(H41/C41,0)</f>
        <v/>
      </c>
    </row>
    <row r="42">
      <c r="A42" s="17" t="inlineStr">
        <is>
          <t>Ipac Bachelor Factory</t>
        </is>
      </c>
      <c r="B42" s="45" t="inlineStr">
        <is>
          <t>Nantes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47">
        <f>IFERROR(H42/C42,0)</f>
        <v/>
      </c>
    </row>
    <row r="43">
      <c r="A43" s="17" t="inlineStr">
        <is>
          <t>Ipac Bachelor Factory</t>
        </is>
      </c>
      <c r="B43" s="45" t="inlineStr">
        <is>
          <t>Rennes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47">
        <f>IFERROR(H43/C43,0)</f>
        <v/>
      </c>
    </row>
    <row r="44">
      <c r="A44" s="17" t="inlineStr">
        <is>
          <t>Ipac Bachelor Factory</t>
        </is>
      </c>
      <c r="B44" s="45" t="inlineStr">
        <is>
          <t>Montpellier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47">
        <f>IFERROR(H44/C44,0)</f>
        <v/>
      </c>
    </row>
    <row r="45">
      <c r="A45" s="17" t="inlineStr">
        <is>
          <t>Pigier</t>
        </is>
      </c>
      <c r="B45" s="45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47">
        <f>IFERROR(H45/C45,0)</f>
        <v/>
      </c>
    </row>
    <row r="46">
      <c r="A46" s="17" t="inlineStr">
        <is>
          <t>Pigier</t>
        </is>
      </c>
      <c r="B46" s="45" t="inlineStr">
        <is>
          <t>Bordeaux</t>
        </is>
      </c>
      <c r="C46" s="15">
        <f>SUMIFS('02_Socle'!$U$4:$U$61,'02_Socle'!$A$4:$A$61,A46,'02_Socle'!$B$4:$B$61,B46)</f>
        <v/>
      </c>
      <c r="D46" s="14">
        <f>SUMIFS('04_Moteur'!$AJ$4:$AJ$61,'04_Moteur'!$A$4:$A$61,A46,'04_Moteur'!$B$4:$B$61,B46)</f>
        <v/>
      </c>
      <c r="E46" s="14">
        <f>SUMIFS('04_Moteur'!$AA$4:$AA$61,'04_Moteur'!$A$4:$A$61,A46,'04_Moteur'!$B$4:$B$61,B46)</f>
        <v/>
      </c>
      <c r="F46" s="15">
        <f>E46-D46</f>
        <v/>
      </c>
      <c r="G46" s="23">
        <f>SUMIFS('04_Moteur'!$Y$4:$Y$61,'04_Moteur'!$A$4:$A$61,A46,'04_Moteur'!$B$4:$B$61,B46)</f>
        <v/>
      </c>
      <c r="H46" s="14">
        <f>SUMIFS('10_Allocation'!$F$8:$F$65,'10_Allocation'!$A$8:$A$65,A46,'10_Allocation'!$B$8:$B$65,B46)-SUMIFS('10_Allocation'!$L$8:$L$65,'10_Allocation'!$A$8:$A$65,A46,'10_Allocation'!$B$8:$B$65,B46)</f>
        <v/>
      </c>
      <c r="I46" s="47">
        <f>IFERROR(H46/C46,0)</f>
        <v/>
      </c>
    </row>
    <row r="47">
      <c r="A47" s="17" t="inlineStr">
        <is>
          <t>Tunon</t>
        </is>
      </c>
      <c r="B47" s="45" t="inlineStr">
        <is>
          <t>Paris</t>
        </is>
      </c>
      <c r="C47" s="15">
        <f>SUMIFS('02_Socle'!$U$4:$U$61,'02_Socle'!$A$4:$A$61,A47,'02_Socle'!$B$4:$B$61,B47)</f>
        <v/>
      </c>
      <c r="D47" s="14">
        <f>SUMIFS('04_Moteur'!$AJ$4:$AJ$61,'04_Moteur'!$A$4:$A$61,A47,'04_Moteur'!$B$4:$B$61,B47)</f>
        <v/>
      </c>
      <c r="E47" s="14">
        <f>SUMIFS('04_Moteur'!$AA$4:$AA$61,'04_Moteur'!$A$4:$A$61,A47,'04_Moteur'!$B$4:$B$61,B47)</f>
        <v/>
      </c>
      <c r="F47" s="15">
        <f>E47-D47</f>
        <v/>
      </c>
      <c r="G47" s="23">
        <f>SUMIFS('04_Moteur'!$Y$4:$Y$61,'04_Moteur'!$A$4:$A$61,A47,'04_Moteur'!$B$4:$B$61,B47)</f>
        <v/>
      </c>
      <c r="H47" s="14">
        <f>SUMIFS('10_Allocation'!$F$8:$F$65,'10_Allocation'!$A$8:$A$65,A47,'10_Allocation'!$B$8:$B$65,B47)-SUMIFS('10_Allocation'!$L$8:$L$65,'10_Allocation'!$A$8:$A$65,A47,'10_Allocation'!$B$8:$B$65,B47)</f>
        <v/>
      </c>
      <c r="I47" s="47">
        <f>IFERROR(H47/C47,0)</f>
        <v/>
      </c>
    </row>
    <row r="48">
      <c r="A48" s="17" t="inlineStr">
        <is>
          <t>Tunon</t>
        </is>
      </c>
      <c r="B48" s="45" t="inlineStr">
        <is>
          <t>Lyon</t>
        </is>
      </c>
      <c r="C48" s="15">
        <f>SUMIFS('02_Socle'!$U$4:$U$61,'02_Socle'!$A$4:$A$61,A48,'02_Socle'!$B$4:$B$61,B48)</f>
        <v/>
      </c>
      <c r="D48" s="14">
        <f>SUMIFS('04_Moteur'!$AJ$4:$AJ$61,'04_Moteur'!$A$4:$A$61,A48,'04_Moteur'!$B$4:$B$61,B48)</f>
        <v/>
      </c>
      <c r="E48" s="14">
        <f>SUMIFS('04_Moteur'!$AA$4:$AA$61,'04_Moteur'!$A$4:$A$61,A48,'04_Moteur'!$B$4:$B$61,B48)</f>
        <v/>
      </c>
      <c r="F48" s="15">
        <f>E48-D48</f>
        <v/>
      </c>
      <c r="G48" s="23">
        <f>SUMIFS('04_Moteur'!$Y$4:$Y$61,'04_Moteur'!$A$4:$A$61,A48,'04_Moteur'!$B$4:$B$61,B48)</f>
        <v/>
      </c>
      <c r="H48" s="14">
        <f>SUMIFS('10_Allocation'!$F$8:$F$65,'10_Allocation'!$A$8:$A$65,A48,'10_Allocation'!$B$8:$B$65,B48)-SUMIFS('10_Allocation'!$L$8:$L$65,'10_Allocation'!$A$8:$A$65,A48,'10_Allocation'!$B$8:$B$65,B48)</f>
        <v/>
      </c>
      <c r="I48" s="47">
        <f>IFERROR(H48/C48,0)</f>
        <v/>
      </c>
    </row>
    <row r="49">
      <c r="A49" s="49" t="inlineStr">
        <is>
          <t>TOTAL GROUPE</t>
        </is>
      </c>
      <c r="B49" s="50" t="inlineStr">
        <is>
          <t> </t>
        </is>
      </c>
      <c r="C49" s="51">
        <f>SUM(C35:C48)</f>
        <v/>
      </c>
      <c r="D49" s="51">
        <f>SUM(D35:D48)</f>
        <v/>
      </c>
      <c r="E49" s="51">
        <f>SUM(E35:E48)</f>
        <v/>
      </c>
      <c r="F49" s="51">
        <f>SUM(F35:F48)</f>
        <v/>
      </c>
      <c r="G49" s="52">
        <f>SUM(G35:G48)</f>
        <v/>
      </c>
      <c r="H49" s="51">
        <f>SUM(H35:H48)</f>
        <v/>
      </c>
      <c r="I49" s="53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36" t="n"/>
      <c r="D55" s="36" t="n"/>
      <c r="E55" s="36" t="n"/>
      <c r="F55" s="36" t="n"/>
      <c r="G55" s="36" t="n"/>
      <c r="H55" s="36" t="n"/>
      <c r="I55" s="37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36" t="n"/>
      <c r="D56" s="36" t="n"/>
      <c r="E56" s="36" t="n"/>
      <c r="F56" s="36" t="n"/>
      <c r="G56" s="36" t="n"/>
      <c r="H56" s="36" t="n"/>
      <c r="I56" s="37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36" t="n"/>
      <c r="D57" s="36" t="n"/>
      <c r="E57" s="36" t="n"/>
      <c r="F57" s="36" t="n"/>
      <c r="G57" s="36" t="n"/>
      <c r="H57" s="36" t="n"/>
      <c r="I57" s="37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36" t="n"/>
      <c r="D58" s="36" t="n"/>
      <c r="E58" s="36" t="n"/>
      <c r="F58" s="36" t="n"/>
      <c r="G58" s="36" t="n"/>
      <c r="H58" s="36" t="n"/>
      <c r="I58" s="37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36" t="n"/>
      <c r="D59" s="36" t="n"/>
      <c r="E59" s="36" t="n"/>
      <c r="F59" s="36" t="n"/>
      <c r="G59" s="36" t="n"/>
      <c r="H59" s="36" t="n"/>
      <c r="I59" s="37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36" t="n"/>
      <c r="D60" s="36" t="n"/>
      <c r="E60" s="36" t="n"/>
      <c r="F60" s="36" t="n"/>
      <c r="G60" s="36" t="n"/>
      <c r="H60" s="36" t="n"/>
      <c r="I60" s="37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36" t="n"/>
      <c r="D61" s="36" t="n"/>
      <c r="E61" s="36" t="n"/>
      <c r="F61" s="36" t="n"/>
      <c r="G61" s="36" t="n"/>
      <c r="H61" s="36" t="n"/>
      <c r="I61" s="37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36" t="n"/>
      <c r="D62" s="36" t="n"/>
      <c r="E62" s="36" t="n"/>
      <c r="F62" s="36" t="n"/>
      <c r="G62" s="36" t="n"/>
      <c r="H62" s="36" t="n"/>
      <c r="I62" s="37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36" t="n"/>
      <c r="D63" s="36" t="n"/>
      <c r="E63" s="36" t="n"/>
      <c r="F63" s="36" t="n"/>
      <c r="G63" s="36" t="n"/>
      <c r="H63" s="36" t="n"/>
      <c r="I63" s="37" t="n"/>
    </row>
  </sheetData>
  <mergeCells count="31">
    <mergeCell ref="A11:J12"/>
    <mergeCell ref="B62:I62"/>
    <mergeCell ref="A30:J31"/>
    <mergeCell ref="B59:I59"/>
    <mergeCell ref="A3:C3"/>
    <mergeCell ref="A13:J13"/>
    <mergeCell ref="B56:I56"/>
    <mergeCell ref="B58:I58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35:E48">
    <cfRule type="dataBar" priority="2">
      <dataBar>
        <cfvo type="min"/>
        <cfvo type="max"/>
        <color rgb="005B9BD5"/>
      </dataBar>
    </cfRule>
  </conditionalFormatting>
  <conditionalFormatting sqref="H35:H48">
    <cfRule type="dataBar" priority="3">
      <dataBar>
        <cfvo type="min"/>
        <cfvo type="max"/>
        <color rgb="0070AD47"/>
      </dataBar>
    </cfRule>
  </conditionalFormatting>
  <conditionalFormatting sqref="I35:I4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54" t="n">
        <v>1</v>
      </c>
      <c r="H4" s="54" t="n">
        <v>646</v>
      </c>
      <c r="I4" s="54" t="n">
        <v>181</v>
      </c>
      <c r="J4" s="54" t="n">
        <v>130</v>
      </c>
      <c r="K4" s="54" t="n">
        <v>78</v>
      </c>
      <c r="L4" s="54" t="n">
        <v>0</v>
      </c>
      <c r="M4" s="54" t="n">
        <v>78</v>
      </c>
      <c r="N4" s="54" t="n">
        <v>0</v>
      </c>
      <c r="O4" s="54" t="n">
        <v>3</v>
      </c>
      <c r="P4" s="55" t="n">
        <v>8400</v>
      </c>
      <c r="Q4" s="47">
        <f>IFERROR(M4/N4,0)</f>
        <v/>
      </c>
      <c r="R4" s="47">
        <f>IFERROR(I4/H4,0)</f>
        <v/>
      </c>
      <c r="S4" s="47">
        <f>IFERROR(J4/I4,0)</f>
        <v/>
      </c>
      <c r="T4" s="47">
        <f>IFERROR(K4/J4,0)</f>
        <v/>
      </c>
      <c r="U4" s="56">
        <f>M4*P4+K4*V4</f>
        <v/>
      </c>
      <c r="V4" s="55" t="n">
        <v>90</v>
      </c>
      <c r="W4" s="54" t="n">
        <v>232</v>
      </c>
      <c r="X4" s="54" t="n">
        <v>414</v>
      </c>
      <c r="Y4" s="57">
        <f>W4+X4</f>
        <v/>
      </c>
      <c r="Z4" s="55" t="n">
        <v>22326</v>
      </c>
      <c r="AA4" s="55" t="n">
        <v>21185</v>
      </c>
      <c r="AB4" s="45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54" t="n">
        <v>0</v>
      </c>
      <c r="H5" s="54" t="n">
        <v>0</v>
      </c>
      <c r="I5" s="54" t="n">
        <v>0</v>
      </c>
      <c r="J5" s="54" t="n">
        <v>0</v>
      </c>
      <c r="K5" s="54" t="n">
        <v>0</v>
      </c>
      <c r="L5" s="54" t="n">
        <v>76</v>
      </c>
      <c r="M5" s="54" t="n">
        <v>76</v>
      </c>
      <c r="N5" s="54" t="n">
        <v>78</v>
      </c>
      <c r="O5" s="54" t="n">
        <v>3</v>
      </c>
      <c r="P5" s="55" t="n">
        <v>7840</v>
      </c>
      <c r="Q5" s="47">
        <f>IFERROR(M5/N5,0)</f>
        <v/>
      </c>
      <c r="R5" s="47">
        <f>IFERROR(I5/H5,0)</f>
        <v/>
      </c>
      <c r="S5" s="47">
        <f>IFERROR(J5/I5,0)</f>
        <v/>
      </c>
      <c r="T5" s="47">
        <f>IFERROR(K5/J5,0)</f>
        <v/>
      </c>
      <c r="U5" s="56">
        <f>M5*P5+K5*V5</f>
        <v/>
      </c>
      <c r="V5" s="55" t="n">
        <v>90</v>
      </c>
      <c r="W5" s="54" t="n">
        <v>0</v>
      </c>
      <c r="X5" s="54" t="n">
        <v>0</v>
      </c>
      <c r="Y5" s="57">
        <f>W5+X5</f>
        <v/>
      </c>
      <c r="Z5" s="55" t="n">
        <v>0</v>
      </c>
      <c r="AA5" s="55" t="n">
        <v>0</v>
      </c>
      <c r="AB5" s="45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54" t="n">
        <v>0</v>
      </c>
      <c r="H6" s="54" t="n">
        <v>0</v>
      </c>
      <c r="I6" s="54" t="n">
        <v>0</v>
      </c>
      <c r="J6" s="54" t="n">
        <v>0</v>
      </c>
      <c r="K6" s="54" t="n">
        <v>0</v>
      </c>
      <c r="L6" s="54" t="n">
        <v>74</v>
      </c>
      <c r="M6" s="54" t="n">
        <v>74</v>
      </c>
      <c r="N6" s="54" t="n">
        <v>76</v>
      </c>
      <c r="O6" s="54" t="n">
        <v>3</v>
      </c>
      <c r="P6" s="55" t="n">
        <v>7840</v>
      </c>
      <c r="Q6" s="47">
        <f>IFERROR(M6/N6,0)</f>
        <v/>
      </c>
      <c r="R6" s="47">
        <f>IFERROR(I6/H6,0)</f>
        <v/>
      </c>
      <c r="S6" s="47">
        <f>IFERROR(J6/I6,0)</f>
        <v/>
      </c>
      <c r="T6" s="47">
        <f>IFERROR(K6/J6,0)</f>
        <v/>
      </c>
      <c r="U6" s="56">
        <f>M6*P6+K6*V6</f>
        <v/>
      </c>
      <c r="V6" s="55" t="n">
        <v>90</v>
      </c>
      <c r="W6" s="54" t="n">
        <v>0</v>
      </c>
      <c r="X6" s="54" t="n">
        <v>0</v>
      </c>
      <c r="Y6" s="57">
        <f>W6+X6</f>
        <v/>
      </c>
      <c r="Z6" s="55" t="n">
        <v>0</v>
      </c>
      <c r="AA6" s="55" t="n">
        <v>0</v>
      </c>
      <c r="AB6" s="45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54" t="n">
        <v>1</v>
      </c>
      <c r="H7" s="54" t="n">
        <v>1330</v>
      </c>
      <c r="I7" s="54" t="n">
        <v>266</v>
      </c>
      <c r="J7" s="54" t="n">
        <v>186</v>
      </c>
      <c r="K7" s="54" t="n">
        <v>78</v>
      </c>
      <c r="L7" s="54" t="n">
        <v>0</v>
      </c>
      <c r="M7" s="54" t="n">
        <v>78</v>
      </c>
      <c r="N7" s="54" t="n">
        <v>0</v>
      </c>
      <c r="O7" s="54" t="n">
        <v>3</v>
      </c>
      <c r="P7" s="55" t="n">
        <v>8400</v>
      </c>
      <c r="Q7" s="47">
        <f>IFERROR(M7/N7,0)</f>
        <v/>
      </c>
      <c r="R7" s="47">
        <f>IFERROR(I7/H7,0)</f>
        <v/>
      </c>
      <c r="S7" s="47">
        <f>IFERROR(J7/I7,0)</f>
        <v/>
      </c>
      <c r="T7" s="47">
        <f>IFERROR(K7/J7,0)</f>
        <v/>
      </c>
      <c r="U7" s="56">
        <f>M7*P7+K7*V7</f>
        <v/>
      </c>
      <c r="V7" s="55" t="n">
        <v>90</v>
      </c>
      <c r="W7" s="54" t="n">
        <v>479</v>
      </c>
      <c r="X7" s="54" t="n">
        <v>851</v>
      </c>
      <c r="Y7" s="57">
        <f>W7+X7</f>
        <v/>
      </c>
      <c r="Z7" s="55" t="n">
        <v>45965</v>
      </c>
      <c r="AA7" s="55" t="n">
        <v>43615</v>
      </c>
      <c r="AB7" s="45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54" t="n">
        <v>0</v>
      </c>
      <c r="H8" s="54" t="n">
        <v>0</v>
      </c>
      <c r="I8" s="54" t="n">
        <v>0</v>
      </c>
      <c r="J8" s="54" t="n">
        <v>0</v>
      </c>
      <c r="K8" s="54" t="n">
        <v>0</v>
      </c>
      <c r="L8" s="54" t="n">
        <v>76</v>
      </c>
      <c r="M8" s="54" t="n">
        <v>76</v>
      </c>
      <c r="N8" s="54" t="n">
        <v>78</v>
      </c>
      <c r="O8" s="54" t="n">
        <v>3</v>
      </c>
      <c r="P8" s="55" t="n">
        <v>8400</v>
      </c>
      <c r="Q8" s="47">
        <f>IFERROR(M8/N8,0)</f>
        <v/>
      </c>
      <c r="R8" s="47">
        <f>IFERROR(I8/H8,0)</f>
        <v/>
      </c>
      <c r="S8" s="47">
        <f>IFERROR(J8/I8,0)</f>
        <v/>
      </c>
      <c r="T8" s="47">
        <f>IFERROR(K8/J8,0)</f>
        <v/>
      </c>
      <c r="U8" s="56">
        <f>M8*P8+K8*V8</f>
        <v/>
      </c>
      <c r="V8" s="55" t="n">
        <v>90</v>
      </c>
      <c r="W8" s="54" t="n">
        <v>0</v>
      </c>
      <c r="X8" s="54" t="n">
        <v>0</v>
      </c>
      <c r="Y8" s="57">
        <f>W8+X8</f>
        <v/>
      </c>
      <c r="Z8" s="55" t="n">
        <v>0</v>
      </c>
      <c r="AA8" s="55" t="n">
        <v>0</v>
      </c>
      <c r="AB8" s="45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54" t="n">
        <v>1</v>
      </c>
      <c r="H9" s="54" t="n">
        <v>546</v>
      </c>
      <c r="I9" s="54" t="n">
        <v>153</v>
      </c>
      <c r="J9" s="54" t="n">
        <v>110</v>
      </c>
      <c r="K9" s="54" t="n">
        <v>66</v>
      </c>
      <c r="L9" s="54" t="n">
        <v>0</v>
      </c>
      <c r="M9" s="54" t="n">
        <v>66</v>
      </c>
      <c r="N9" s="54" t="n">
        <v>0</v>
      </c>
      <c r="O9" s="54" t="n">
        <v>3</v>
      </c>
      <c r="P9" s="55" t="n">
        <v>7875</v>
      </c>
      <c r="Q9" s="47">
        <f>IFERROR(M9/N9,0)</f>
        <v/>
      </c>
      <c r="R9" s="47">
        <f>IFERROR(I9/H9,0)</f>
        <v/>
      </c>
      <c r="S9" s="47">
        <f>IFERROR(J9/I9,0)</f>
        <v/>
      </c>
      <c r="T9" s="47">
        <f>IFERROR(K9/J9,0)</f>
        <v/>
      </c>
      <c r="U9" s="56">
        <f>M9*P9+K9*V9</f>
        <v/>
      </c>
      <c r="V9" s="55" t="n">
        <v>90</v>
      </c>
      <c r="W9" s="54" t="n">
        <v>235</v>
      </c>
      <c r="X9" s="54" t="n">
        <v>311</v>
      </c>
      <c r="Y9" s="57">
        <f>W9+X9</f>
        <v/>
      </c>
      <c r="Z9" s="55" t="n">
        <v>13694</v>
      </c>
      <c r="AA9" s="55" t="n">
        <v>21386</v>
      </c>
      <c r="AB9" s="45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54" t="n">
        <v>0</v>
      </c>
      <c r="H10" s="54" t="n">
        <v>0</v>
      </c>
      <c r="I10" s="54" t="n">
        <v>0</v>
      </c>
      <c r="J10" s="54" t="n">
        <v>0</v>
      </c>
      <c r="K10" s="54" t="n">
        <v>0</v>
      </c>
      <c r="L10" s="54" t="n">
        <v>64</v>
      </c>
      <c r="M10" s="54" t="n">
        <v>64</v>
      </c>
      <c r="N10" s="54" t="n">
        <v>66</v>
      </c>
      <c r="O10" s="54" t="n">
        <v>2</v>
      </c>
      <c r="P10" s="55" t="n">
        <v>7350</v>
      </c>
      <c r="Q10" s="47">
        <f>IFERROR(M10/N10,0)</f>
        <v/>
      </c>
      <c r="R10" s="47">
        <f>IFERROR(I10/H10,0)</f>
        <v/>
      </c>
      <c r="S10" s="47">
        <f>IFERROR(J10/I10,0)</f>
        <v/>
      </c>
      <c r="T10" s="47">
        <f>IFERROR(K10/J10,0)</f>
        <v/>
      </c>
      <c r="U10" s="56">
        <f>M10*P10+K10*V10</f>
        <v/>
      </c>
      <c r="V10" s="55" t="n">
        <v>90</v>
      </c>
      <c r="W10" s="54" t="n">
        <v>0</v>
      </c>
      <c r="X10" s="54" t="n">
        <v>0</v>
      </c>
      <c r="Y10" s="57">
        <f>W10+X10</f>
        <v/>
      </c>
      <c r="Z10" s="55" t="n">
        <v>0</v>
      </c>
      <c r="AA10" s="55" t="n">
        <v>0</v>
      </c>
      <c r="AB10" s="45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54" t="n">
        <v>0</v>
      </c>
      <c r="H11" s="54" t="n">
        <v>0</v>
      </c>
      <c r="I11" s="54" t="n">
        <v>0</v>
      </c>
      <c r="J11" s="54" t="n">
        <v>0</v>
      </c>
      <c r="K11" s="54" t="n">
        <v>0</v>
      </c>
      <c r="L11" s="54" t="n">
        <v>63</v>
      </c>
      <c r="M11" s="54" t="n">
        <v>63</v>
      </c>
      <c r="N11" s="54" t="n">
        <v>64</v>
      </c>
      <c r="O11" s="54" t="n">
        <v>2</v>
      </c>
      <c r="P11" s="55" t="n">
        <v>7350</v>
      </c>
      <c r="Q11" s="47">
        <f>IFERROR(M11/N11,0)</f>
        <v/>
      </c>
      <c r="R11" s="47">
        <f>IFERROR(I11/H11,0)</f>
        <v/>
      </c>
      <c r="S11" s="47">
        <f>IFERROR(J11/I11,0)</f>
        <v/>
      </c>
      <c r="T11" s="47">
        <f>IFERROR(K11/J11,0)</f>
        <v/>
      </c>
      <c r="U11" s="56">
        <f>M11*P11+K11*V11</f>
        <v/>
      </c>
      <c r="V11" s="55" t="n">
        <v>90</v>
      </c>
      <c r="W11" s="54" t="n">
        <v>0</v>
      </c>
      <c r="X11" s="54" t="n">
        <v>0</v>
      </c>
      <c r="Y11" s="57">
        <f>W11+X11</f>
        <v/>
      </c>
      <c r="Z11" s="55" t="n">
        <v>0</v>
      </c>
      <c r="AA11" s="55" t="n">
        <v>0</v>
      </c>
      <c r="AB11" s="45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54" t="n">
        <v>1</v>
      </c>
      <c r="H12" s="54" t="n">
        <v>1120</v>
      </c>
      <c r="I12" s="54" t="n">
        <v>224</v>
      </c>
      <c r="J12" s="54" t="n">
        <v>157</v>
      </c>
      <c r="K12" s="54" t="n">
        <v>66</v>
      </c>
      <c r="L12" s="54" t="n">
        <v>0</v>
      </c>
      <c r="M12" s="54" t="n">
        <v>66</v>
      </c>
      <c r="N12" s="54" t="n">
        <v>0</v>
      </c>
      <c r="O12" s="54" t="n">
        <v>3</v>
      </c>
      <c r="P12" s="55" t="n">
        <v>7875</v>
      </c>
      <c r="Q12" s="47">
        <f>IFERROR(M12/N12,0)</f>
        <v/>
      </c>
      <c r="R12" s="47">
        <f>IFERROR(I12/H12,0)</f>
        <v/>
      </c>
      <c r="S12" s="47">
        <f>IFERROR(J12/I12,0)</f>
        <v/>
      </c>
      <c r="T12" s="47">
        <f>IFERROR(K12/J12,0)</f>
        <v/>
      </c>
      <c r="U12" s="56">
        <f>M12*P12+K12*V12</f>
        <v/>
      </c>
      <c r="V12" s="55" t="n">
        <v>90</v>
      </c>
      <c r="W12" s="54" t="n">
        <v>481</v>
      </c>
      <c r="X12" s="54" t="n">
        <v>639</v>
      </c>
      <c r="Y12" s="57">
        <f>W12+X12</f>
        <v/>
      </c>
      <c r="Z12" s="55" t="n">
        <v>28089</v>
      </c>
      <c r="AA12" s="55" t="n">
        <v>43869</v>
      </c>
      <c r="AB12" s="45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54" t="n">
        <v>0</v>
      </c>
      <c r="H13" s="54" t="n">
        <v>0</v>
      </c>
      <c r="I13" s="54" t="n">
        <v>0</v>
      </c>
      <c r="J13" s="54" t="n">
        <v>0</v>
      </c>
      <c r="K13" s="54" t="n">
        <v>0</v>
      </c>
      <c r="L13" s="54" t="n">
        <v>65</v>
      </c>
      <c r="M13" s="54" t="n">
        <v>65</v>
      </c>
      <c r="N13" s="54" t="n">
        <v>66</v>
      </c>
      <c r="O13" s="54" t="n">
        <v>3</v>
      </c>
      <c r="P13" s="55" t="n">
        <v>7875</v>
      </c>
      <c r="Q13" s="47">
        <f>IFERROR(M13/N13,0)</f>
        <v/>
      </c>
      <c r="R13" s="47">
        <f>IFERROR(I13/H13,0)</f>
        <v/>
      </c>
      <c r="S13" s="47">
        <f>IFERROR(J13/I13,0)</f>
        <v/>
      </c>
      <c r="T13" s="47">
        <f>IFERROR(K13/J13,0)</f>
        <v/>
      </c>
      <c r="U13" s="56">
        <f>M13*P13+K13*V13</f>
        <v/>
      </c>
      <c r="V13" s="55" t="n">
        <v>90</v>
      </c>
      <c r="W13" s="54" t="n">
        <v>0</v>
      </c>
      <c r="X13" s="54" t="n">
        <v>0</v>
      </c>
      <c r="Y13" s="57">
        <f>W13+X13</f>
        <v/>
      </c>
      <c r="Z13" s="55" t="n">
        <v>0</v>
      </c>
      <c r="AA13" s="55" t="n">
        <v>0</v>
      </c>
      <c r="AB13" s="45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54" t="n">
        <v>1</v>
      </c>
      <c r="H14" s="54" t="n">
        <v>496</v>
      </c>
      <c r="I14" s="54" t="n">
        <v>139</v>
      </c>
      <c r="J14" s="54" t="n">
        <v>100</v>
      </c>
      <c r="K14" s="54" t="n">
        <v>60</v>
      </c>
      <c r="L14" s="54" t="n">
        <v>0</v>
      </c>
      <c r="M14" s="54" t="n">
        <v>60</v>
      </c>
      <c r="N14" s="54" t="n">
        <v>0</v>
      </c>
      <c r="O14" s="54" t="n">
        <v>2</v>
      </c>
      <c r="P14" s="55" t="n">
        <v>7500</v>
      </c>
      <c r="Q14" s="47">
        <f>IFERROR(M14/N14,0)</f>
        <v/>
      </c>
      <c r="R14" s="47">
        <f>IFERROR(I14/H14,0)</f>
        <v/>
      </c>
      <c r="S14" s="47">
        <f>IFERROR(J14/I14,0)</f>
        <v/>
      </c>
      <c r="T14" s="47">
        <f>IFERROR(K14/J14,0)</f>
        <v/>
      </c>
      <c r="U14" s="56">
        <f>M14*P14+K14*V14</f>
        <v/>
      </c>
      <c r="V14" s="55" t="n">
        <v>90</v>
      </c>
      <c r="W14" s="54" t="n">
        <v>238</v>
      </c>
      <c r="X14" s="54" t="n">
        <v>258</v>
      </c>
      <c r="Y14" s="57">
        <f>W14+X14</f>
        <v/>
      </c>
      <c r="Z14" s="55" t="n">
        <v>10317</v>
      </c>
      <c r="AA14" s="55" t="n">
        <v>21708</v>
      </c>
      <c r="AB14" s="45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54" t="n">
        <v>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58</v>
      </c>
      <c r="M15" s="54" t="n">
        <v>58</v>
      </c>
      <c r="N15" s="54" t="n">
        <v>60</v>
      </c>
      <c r="O15" s="54" t="n">
        <v>2</v>
      </c>
      <c r="P15" s="55" t="n">
        <v>7000</v>
      </c>
      <c r="Q15" s="47">
        <f>IFERROR(M15/N15,0)</f>
        <v/>
      </c>
      <c r="R15" s="47">
        <f>IFERROR(I15/H15,0)</f>
        <v/>
      </c>
      <c r="S15" s="47">
        <f>IFERROR(J15/I15,0)</f>
        <v/>
      </c>
      <c r="T15" s="47">
        <f>IFERROR(K15/J15,0)</f>
        <v/>
      </c>
      <c r="U15" s="56">
        <f>M15*P15+K15*V15</f>
        <v/>
      </c>
      <c r="V15" s="55" t="n">
        <v>90</v>
      </c>
      <c r="W15" s="54" t="n">
        <v>0</v>
      </c>
      <c r="X15" s="54" t="n">
        <v>0</v>
      </c>
      <c r="Y15" s="57">
        <f>W15+X15</f>
        <v/>
      </c>
      <c r="Z15" s="55" t="n">
        <v>0</v>
      </c>
      <c r="AA15" s="55" t="n">
        <v>0</v>
      </c>
      <c r="AB15" s="45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54" t="n">
        <v>0</v>
      </c>
      <c r="H16" s="54" t="n">
        <v>0</v>
      </c>
      <c r="I16" s="54" t="n">
        <v>0</v>
      </c>
      <c r="J16" s="54" t="n">
        <v>0</v>
      </c>
      <c r="K16" s="54" t="n">
        <v>0</v>
      </c>
      <c r="L16" s="54" t="n">
        <v>57</v>
      </c>
      <c r="M16" s="54" t="n">
        <v>57</v>
      </c>
      <c r="N16" s="54" t="n">
        <v>58</v>
      </c>
      <c r="O16" s="54" t="n">
        <v>2</v>
      </c>
      <c r="P16" s="55" t="n">
        <v>7000</v>
      </c>
      <c r="Q16" s="47">
        <f>IFERROR(M16/N16,0)</f>
        <v/>
      </c>
      <c r="R16" s="47">
        <f>IFERROR(I16/H16,0)</f>
        <v/>
      </c>
      <c r="S16" s="47">
        <f>IFERROR(J16/I16,0)</f>
        <v/>
      </c>
      <c r="T16" s="47">
        <f>IFERROR(K16/J16,0)</f>
        <v/>
      </c>
      <c r="U16" s="56">
        <f>M16*P16+K16*V16</f>
        <v/>
      </c>
      <c r="V16" s="55" t="n">
        <v>90</v>
      </c>
      <c r="W16" s="54" t="n">
        <v>0</v>
      </c>
      <c r="X16" s="54" t="n">
        <v>0</v>
      </c>
      <c r="Y16" s="57">
        <f>W16+X16</f>
        <v/>
      </c>
      <c r="Z16" s="55" t="n">
        <v>0</v>
      </c>
      <c r="AA16" s="55" t="n">
        <v>0</v>
      </c>
      <c r="AB16" s="45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54" t="n">
        <v>1</v>
      </c>
      <c r="H17" s="54" t="n">
        <v>1020</v>
      </c>
      <c r="I17" s="54" t="n">
        <v>204</v>
      </c>
      <c r="J17" s="54" t="n">
        <v>143</v>
      </c>
      <c r="K17" s="54" t="n">
        <v>60</v>
      </c>
      <c r="L17" s="54" t="n">
        <v>0</v>
      </c>
      <c r="M17" s="54" t="n">
        <v>60</v>
      </c>
      <c r="N17" s="54" t="n">
        <v>0</v>
      </c>
      <c r="O17" s="54" t="n">
        <v>3</v>
      </c>
      <c r="P17" s="55" t="n">
        <v>7500</v>
      </c>
      <c r="Q17" s="47">
        <f>IFERROR(M17/N17,0)</f>
        <v/>
      </c>
      <c r="R17" s="47">
        <f>IFERROR(I17/H17,0)</f>
        <v/>
      </c>
      <c r="S17" s="47">
        <f>IFERROR(J17/I17,0)</f>
        <v/>
      </c>
      <c r="T17" s="47">
        <f>IFERROR(K17/J17,0)</f>
        <v/>
      </c>
      <c r="U17" s="56">
        <f>M17*P17+K17*V17</f>
        <v/>
      </c>
      <c r="V17" s="55" t="n">
        <v>90</v>
      </c>
      <c r="W17" s="54" t="n">
        <v>490</v>
      </c>
      <c r="X17" s="54" t="n">
        <v>530</v>
      </c>
      <c r="Y17" s="57">
        <f>W17+X17</f>
        <v/>
      </c>
      <c r="Z17" s="55" t="n">
        <v>21216</v>
      </c>
      <c r="AA17" s="55" t="n">
        <v>44641</v>
      </c>
      <c r="AB17" s="45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59</v>
      </c>
      <c r="M18" s="54" t="n">
        <v>59</v>
      </c>
      <c r="N18" s="54" t="n">
        <v>60</v>
      </c>
      <c r="O18" s="54" t="n">
        <v>3</v>
      </c>
      <c r="P18" s="55" t="n">
        <v>7500</v>
      </c>
      <c r="Q18" s="47">
        <f>IFERROR(M18/N18,0)</f>
        <v/>
      </c>
      <c r="R18" s="47">
        <f>IFERROR(I18/H18,0)</f>
        <v/>
      </c>
      <c r="S18" s="47">
        <f>IFERROR(J18/I18,0)</f>
        <v/>
      </c>
      <c r="T18" s="47">
        <f>IFERROR(K18/J18,0)</f>
        <v/>
      </c>
      <c r="U18" s="56">
        <f>M18*P18+K18*V18</f>
        <v/>
      </c>
      <c r="V18" s="55" t="n">
        <v>90</v>
      </c>
      <c r="W18" s="54" t="n">
        <v>0</v>
      </c>
      <c r="X18" s="54" t="n">
        <v>0</v>
      </c>
      <c r="Y18" s="57">
        <f>W18+X18</f>
        <v/>
      </c>
      <c r="Z18" s="55" t="n">
        <v>0</v>
      </c>
      <c r="AA18" s="55" t="n">
        <v>0</v>
      </c>
      <c r="AB18" s="45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54" t="n">
        <v>1</v>
      </c>
      <c r="H19" s="54" t="n">
        <v>421</v>
      </c>
      <c r="I19" s="54" t="n">
        <v>118</v>
      </c>
      <c r="J19" s="54" t="n">
        <v>85</v>
      </c>
      <c r="K19" s="54" t="n">
        <v>51</v>
      </c>
      <c r="L19" s="54" t="n">
        <v>0</v>
      </c>
      <c r="M19" s="54" t="n">
        <v>51</v>
      </c>
      <c r="N19" s="54" t="n">
        <v>0</v>
      </c>
      <c r="O19" s="54" t="n">
        <v>2</v>
      </c>
      <c r="P19" s="55" t="n">
        <v>7275</v>
      </c>
      <c r="Q19" s="47">
        <f>IFERROR(M19/N19,0)</f>
        <v/>
      </c>
      <c r="R19" s="47">
        <f>IFERROR(I19/H19,0)</f>
        <v/>
      </c>
      <c r="S19" s="47">
        <f>IFERROR(J19/I19,0)</f>
        <v/>
      </c>
      <c r="T19" s="47">
        <f>IFERROR(K19/J19,0)</f>
        <v/>
      </c>
      <c r="U19" s="56">
        <f>M19*P19+K19*V19</f>
        <v/>
      </c>
      <c r="V19" s="55" t="n">
        <v>90</v>
      </c>
      <c r="W19" s="54" t="n">
        <v>206</v>
      </c>
      <c r="X19" s="54" t="n">
        <v>215</v>
      </c>
      <c r="Y19" s="57">
        <f>W19+X19</f>
        <v/>
      </c>
      <c r="Z19" s="55" t="n">
        <v>8159</v>
      </c>
      <c r="AA19" s="55" t="n">
        <v>18797</v>
      </c>
      <c r="AB19" s="45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49</v>
      </c>
      <c r="M20" s="54" t="n">
        <v>49</v>
      </c>
      <c r="N20" s="54" t="n">
        <v>51</v>
      </c>
      <c r="O20" s="54" t="n">
        <v>2</v>
      </c>
      <c r="P20" s="55" t="n">
        <v>6790</v>
      </c>
      <c r="Q20" s="47">
        <f>IFERROR(M20/N20,0)</f>
        <v/>
      </c>
      <c r="R20" s="47">
        <f>IFERROR(I20/H20,0)</f>
        <v/>
      </c>
      <c r="S20" s="47">
        <f>IFERROR(J20/I20,0)</f>
        <v/>
      </c>
      <c r="T20" s="47">
        <f>IFERROR(K20/J20,0)</f>
        <v/>
      </c>
      <c r="U20" s="56">
        <f>M20*P20+K20*V20</f>
        <v/>
      </c>
      <c r="V20" s="55" t="n">
        <v>90</v>
      </c>
      <c r="W20" s="54" t="n">
        <v>0</v>
      </c>
      <c r="X20" s="54" t="n">
        <v>0</v>
      </c>
      <c r="Y20" s="57">
        <f>W20+X20</f>
        <v/>
      </c>
      <c r="Z20" s="55" t="n">
        <v>0</v>
      </c>
      <c r="AA20" s="55" t="n">
        <v>0</v>
      </c>
      <c r="AB20" s="45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54" t="n">
        <v>0</v>
      </c>
      <c r="H21" s="54" t="n">
        <v>0</v>
      </c>
      <c r="I21" s="54" t="n">
        <v>0</v>
      </c>
      <c r="J21" s="54" t="n">
        <v>0</v>
      </c>
      <c r="K21" s="54" t="n">
        <v>0</v>
      </c>
      <c r="L21" s="54" t="n">
        <v>48</v>
      </c>
      <c r="M21" s="54" t="n">
        <v>48</v>
      </c>
      <c r="N21" s="54" t="n">
        <v>49</v>
      </c>
      <c r="O21" s="54" t="n">
        <v>2</v>
      </c>
      <c r="P21" s="55" t="n">
        <v>6790</v>
      </c>
      <c r="Q21" s="47">
        <f>IFERROR(M21/N21,0)</f>
        <v/>
      </c>
      <c r="R21" s="47">
        <f>IFERROR(I21/H21,0)</f>
        <v/>
      </c>
      <c r="S21" s="47">
        <f>IFERROR(J21/I21,0)</f>
        <v/>
      </c>
      <c r="T21" s="47">
        <f>IFERROR(K21/J21,0)</f>
        <v/>
      </c>
      <c r="U21" s="56">
        <f>M21*P21+K21*V21</f>
        <v/>
      </c>
      <c r="V21" s="55" t="n">
        <v>90</v>
      </c>
      <c r="W21" s="54" t="n">
        <v>0</v>
      </c>
      <c r="X21" s="54" t="n">
        <v>0</v>
      </c>
      <c r="Y21" s="57">
        <f>W21+X21</f>
        <v/>
      </c>
      <c r="Z21" s="55" t="n">
        <v>0</v>
      </c>
      <c r="AA21" s="55" t="n">
        <v>0</v>
      </c>
      <c r="AB21" s="45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54" t="n">
        <v>1</v>
      </c>
      <c r="H22" s="54" t="n">
        <v>865</v>
      </c>
      <c r="I22" s="54" t="n">
        <v>173</v>
      </c>
      <c r="J22" s="54" t="n">
        <v>121</v>
      </c>
      <c r="K22" s="54" t="n">
        <v>51</v>
      </c>
      <c r="L22" s="54" t="n">
        <v>0</v>
      </c>
      <c r="M22" s="54" t="n">
        <v>51</v>
      </c>
      <c r="N22" s="54" t="n">
        <v>0</v>
      </c>
      <c r="O22" s="54" t="n">
        <v>2</v>
      </c>
      <c r="P22" s="55" t="n">
        <v>7275</v>
      </c>
      <c r="Q22" s="47">
        <f>IFERROR(M22/N22,0)</f>
        <v/>
      </c>
      <c r="R22" s="47">
        <f>IFERROR(I22/H22,0)</f>
        <v/>
      </c>
      <c r="S22" s="47">
        <f>IFERROR(J22/I22,0)</f>
        <v/>
      </c>
      <c r="T22" s="47">
        <f>IFERROR(K22/J22,0)</f>
        <v/>
      </c>
      <c r="U22" s="56">
        <f>M22*P22+K22*V22</f>
        <v/>
      </c>
      <c r="V22" s="55" t="n">
        <v>90</v>
      </c>
      <c r="W22" s="54" t="n">
        <v>424</v>
      </c>
      <c r="X22" s="54" t="n">
        <v>441</v>
      </c>
      <c r="Y22" s="57">
        <f>W22+X22</f>
        <v/>
      </c>
      <c r="Z22" s="55" t="n">
        <v>16764</v>
      </c>
      <c r="AA22" s="55" t="n">
        <v>38621</v>
      </c>
      <c r="AB22" s="45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50</v>
      </c>
      <c r="M23" s="54" t="n">
        <v>50</v>
      </c>
      <c r="N23" s="54" t="n">
        <v>51</v>
      </c>
      <c r="O23" s="54" t="n">
        <v>2</v>
      </c>
      <c r="P23" s="55" t="n">
        <v>7275</v>
      </c>
      <c r="Q23" s="47">
        <f>IFERROR(M23/N23,0)</f>
        <v/>
      </c>
      <c r="R23" s="47">
        <f>IFERROR(I23/H23,0)</f>
        <v/>
      </c>
      <c r="S23" s="47">
        <f>IFERROR(J23/I23,0)</f>
        <v/>
      </c>
      <c r="T23" s="47">
        <f>IFERROR(K23/J23,0)</f>
        <v/>
      </c>
      <c r="U23" s="56">
        <f>M23*P23+K23*V23</f>
        <v/>
      </c>
      <c r="V23" s="55" t="n">
        <v>90</v>
      </c>
      <c r="W23" s="54" t="n">
        <v>0</v>
      </c>
      <c r="X23" s="54" t="n">
        <v>0</v>
      </c>
      <c r="Y23" s="57">
        <f>W23+X23</f>
        <v/>
      </c>
      <c r="Z23" s="55" t="n">
        <v>0</v>
      </c>
      <c r="AA23" s="55" t="n">
        <v>0</v>
      </c>
      <c r="AB23" s="45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54" t="n">
        <v>1</v>
      </c>
      <c r="H24" s="54" t="n">
        <v>596</v>
      </c>
      <c r="I24" s="54" t="n">
        <v>167</v>
      </c>
      <c r="J24" s="54" t="n">
        <v>120</v>
      </c>
      <c r="K24" s="54" t="n">
        <v>72</v>
      </c>
      <c r="L24" s="54" t="n">
        <v>0</v>
      </c>
      <c r="M24" s="54" t="n">
        <v>72</v>
      </c>
      <c r="N24" s="54" t="n">
        <v>0</v>
      </c>
      <c r="O24" s="54" t="n">
        <v>3</v>
      </c>
      <c r="P24" s="55" t="n">
        <v>8400</v>
      </c>
      <c r="Q24" s="47">
        <f>IFERROR(M24/N24,0)</f>
        <v/>
      </c>
      <c r="R24" s="47">
        <f>IFERROR(I24/H24,0)</f>
        <v/>
      </c>
      <c r="S24" s="47">
        <f>IFERROR(J24/I24,0)</f>
        <v/>
      </c>
      <c r="T24" s="47">
        <f>IFERROR(K24/J24,0)</f>
        <v/>
      </c>
      <c r="U24" s="56">
        <f>M24*P24+K24*V24</f>
        <v/>
      </c>
      <c r="V24" s="55" t="n">
        <v>90</v>
      </c>
      <c r="W24" s="54" t="n">
        <v>226</v>
      </c>
      <c r="X24" s="54" t="n">
        <v>370</v>
      </c>
      <c r="Y24" s="57">
        <f>W24+X24</f>
        <v/>
      </c>
      <c r="Z24" s="55" t="n">
        <v>19954</v>
      </c>
      <c r="AA24" s="55" t="n">
        <v>20639</v>
      </c>
      <c r="AB24" s="45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54" t="n">
        <v>0</v>
      </c>
      <c r="H25" s="54" t="n">
        <v>0</v>
      </c>
      <c r="I25" s="54" t="n">
        <v>0</v>
      </c>
      <c r="J25" s="54" t="n">
        <v>0</v>
      </c>
      <c r="K25" s="54" t="n">
        <v>0</v>
      </c>
      <c r="L25" s="54" t="n">
        <v>70</v>
      </c>
      <c r="M25" s="54" t="n">
        <v>70</v>
      </c>
      <c r="N25" s="54" t="n">
        <v>72</v>
      </c>
      <c r="O25" s="54" t="n">
        <v>3</v>
      </c>
      <c r="P25" s="55" t="n">
        <v>7840</v>
      </c>
      <c r="Q25" s="47">
        <f>IFERROR(M25/N25,0)</f>
        <v/>
      </c>
      <c r="R25" s="47">
        <f>IFERROR(I25/H25,0)</f>
        <v/>
      </c>
      <c r="S25" s="47">
        <f>IFERROR(J25/I25,0)</f>
        <v/>
      </c>
      <c r="T25" s="47">
        <f>IFERROR(K25/J25,0)</f>
        <v/>
      </c>
      <c r="U25" s="56">
        <f>M25*P25+K25*V25</f>
        <v/>
      </c>
      <c r="V25" s="55" t="n">
        <v>90</v>
      </c>
      <c r="W25" s="54" t="n">
        <v>0</v>
      </c>
      <c r="X25" s="54" t="n">
        <v>0</v>
      </c>
      <c r="Y25" s="57">
        <f>W25+X25</f>
        <v/>
      </c>
      <c r="Z25" s="55" t="n">
        <v>0</v>
      </c>
      <c r="AA25" s="55" t="n">
        <v>0</v>
      </c>
      <c r="AB25" s="45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54" t="n">
        <v>0</v>
      </c>
      <c r="H26" s="54" t="n">
        <v>0</v>
      </c>
      <c r="I26" s="54" t="n">
        <v>0</v>
      </c>
      <c r="J26" s="54" t="n">
        <v>0</v>
      </c>
      <c r="K26" s="54" t="n">
        <v>0</v>
      </c>
      <c r="L26" s="54" t="n">
        <v>69</v>
      </c>
      <c r="M26" s="54" t="n">
        <v>69</v>
      </c>
      <c r="N26" s="54" t="n">
        <v>70</v>
      </c>
      <c r="O26" s="54" t="n">
        <v>3</v>
      </c>
      <c r="P26" s="55" t="n">
        <v>7840</v>
      </c>
      <c r="Q26" s="47">
        <f>IFERROR(M26/N26,0)</f>
        <v/>
      </c>
      <c r="R26" s="47">
        <f>IFERROR(I26/H26,0)</f>
        <v/>
      </c>
      <c r="S26" s="47">
        <f>IFERROR(J26/I26,0)</f>
        <v/>
      </c>
      <c r="T26" s="47">
        <f>IFERROR(K26/J26,0)</f>
        <v/>
      </c>
      <c r="U26" s="56">
        <f>M26*P26+K26*V26</f>
        <v/>
      </c>
      <c r="V26" s="55" t="n">
        <v>90</v>
      </c>
      <c r="W26" s="54" t="n">
        <v>0</v>
      </c>
      <c r="X26" s="54" t="n">
        <v>0</v>
      </c>
      <c r="Y26" s="57">
        <f>W26+X26</f>
        <v/>
      </c>
      <c r="Z26" s="55" t="n">
        <v>0</v>
      </c>
      <c r="AA26" s="55" t="n">
        <v>0</v>
      </c>
      <c r="AB26" s="45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54" t="n">
        <v>1</v>
      </c>
      <c r="H27" s="54" t="n">
        <v>1220</v>
      </c>
      <c r="I27" s="54" t="n">
        <v>244</v>
      </c>
      <c r="J27" s="54" t="n">
        <v>171</v>
      </c>
      <c r="K27" s="54" t="n">
        <v>72</v>
      </c>
      <c r="L27" s="54" t="n">
        <v>0</v>
      </c>
      <c r="M27" s="54" t="n">
        <v>72</v>
      </c>
      <c r="N27" s="54" t="n">
        <v>0</v>
      </c>
      <c r="O27" s="54" t="n">
        <v>3</v>
      </c>
      <c r="P27" s="55" t="n">
        <v>8400</v>
      </c>
      <c r="Q27" s="47">
        <f>IFERROR(M27/N27,0)</f>
        <v/>
      </c>
      <c r="R27" s="47">
        <f>IFERROR(I27/H27,0)</f>
        <v/>
      </c>
      <c r="S27" s="47">
        <f>IFERROR(J27/I27,0)</f>
        <v/>
      </c>
      <c r="T27" s="47">
        <f>IFERROR(K27/J27,0)</f>
        <v/>
      </c>
      <c r="U27" s="56">
        <f>M27*P27+K27*V27</f>
        <v/>
      </c>
      <c r="V27" s="55" t="n">
        <v>90</v>
      </c>
      <c r="W27" s="54" t="n">
        <v>464</v>
      </c>
      <c r="X27" s="54" t="n">
        <v>756</v>
      </c>
      <c r="Y27" s="57">
        <f>W27+X27</f>
        <v/>
      </c>
      <c r="Z27" s="55" t="n">
        <v>40846</v>
      </c>
      <c r="AA27" s="55" t="n">
        <v>42247</v>
      </c>
      <c r="AB27" s="45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54" t="n">
        <v>0</v>
      </c>
      <c r="H28" s="54" t="n">
        <v>0</v>
      </c>
      <c r="I28" s="54" t="n">
        <v>0</v>
      </c>
      <c r="J28" s="54" t="n">
        <v>0</v>
      </c>
      <c r="K28" s="54" t="n">
        <v>0</v>
      </c>
      <c r="L28" s="54" t="n">
        <v>71</v>
      </c>
      <c r="M28" s="54" t="n">
        <v>71</v>
      </c>
      <c r="N28" s="54" t="n">
        <v>72</v>
      </c>
      <c r="O28" s="54" t="n">
        <v>3</v>
      </c>
      <c r="P28" s="55" t="n">
        <v>8400</v>
      </c>
      <c r="Q28" s="47">
        <f>IFERROR(M28/N28,0)</f>
        <v/>
      </c>
      <c r="R28" s="47">
        <f>IFERROR(I28/H28,0)</f>
        <v/>
      </c>
      <c r="S28" s="47">
        <f>IFERROR(J28/I28,0)</f>
        <v/>
      </c>
      <c r="T28" s="47">
        <f>IFERROR(K28/J28,0)</f>
        <v/>
      </c>
      <c r="U28" s="56">
        <f>M28*P28+K28*V28</f>
        <v/>
      </c>
      <c r="V28" s="55" t="n">
        <v>90</v>
      </c>
      <c r="W28" s="54" t="n">
        <v>0</v>
      </c>
      <c r="X28" s="54" t="n">
        <v>0</v>
      </c>
      <c r="Y28" s="57">
        <f>W28+X28</f>
        <v/>
      </c>
      <c r="Z28" s="55" t="n">
        <v>0</v>
      </c>
      <c r="AA28" s="55" t="n">
        <v>0</v>
      </c>
      <c r="AB28" s="45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54" t="n">
        <v>1</v>
      </c>
      <c r="H29" s="54" t="n">
        <v>411</v>
      </c>
      <c r="I29" s="54" t="n">
        <v>115</v>
      </c>
      <c r="J29" s="54" t="n">
        <v>83</v>
      </c>
      <c r="K29" s="54" t="n">
        <v>50</v>
      </c>
      <c r="L29" s="54" t="n">
        <v>0</v>
      </c>
      <c r="M29" s="54" t="n">
        <v>50</v>
      </c>
      <c r="N29" s="54" t="n">
        <v>0</v>
      </c>
      <c r="O29" s="54" t="n">
        <v>2</v>
      </c>
      <c r="P29" s="55" t="n">
        <v>7350</v>
      </c>
      <c r="Q29" s="47">
        <f>IFERROR(M29/N29,0)</f>
        <v/>
      </c>
      <c r="R29" s="47">
        <f>IFERROR(I29/H29,0)</f>
        <v/>
      </c>
      <c r="S29" s="47">
        <f>IFERROR(J29/I29,0)</f>
        <v/>
      </c>
      <c r="T29" s="47">
        <f>IFERROR(K29/J29,0)</f>
        <v/>
      </c>
      <c r="U29" s="56">
        <f>M29*P29+K29*V29</f>
        <v/>
      </c>
      <c r="V29" s="55" t="n">
        <v>90</v>
      </c>
      <c r="W29" s="54" t="n">
        <v>205</v>
      </c>
      <c r="X29" s="54" t="n">
        <v>205</v>
      </c>
      <c r="Y29" s="57">
        <f>W29+X29</f>
        <v/>
      </c>
      <c r="Z29" s="55" t="n">
        <v>8220</v>
      </c>
      <c r="AA29" s="55" t="n">
        <v>18714</v>
      </c>
      <c r="AB29" s="45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54" t="n">
        <v>0</v>
      </c>
      <c r="H30" s="54" t="n">
        <v>0</v>
      </c>
      <c r="I30" s="54" t="n">
        <v>0</v>
      </c>
      <c r="J30" s="54" t="n">
        <v>0</v>
      </c>
      <c r="K30" s="54" t="n">
        <v>0</v>
      </c>
      <c r="L30" s="54" t="n">
        <v>48</v>
      </c>
      <c r="M30" s="54" t="n">
        <v>48</v>
      </c>
      <c r="N30" s="54" t="n">
        <v>50</v>
      </c>
      <c r="O30" s="54" t="n">
        <v>2</v>
      </c>
      <c r="P30" s="55" t="n">
        <v>6860</v>
      </c>
      <c r="Q30" s="47">
        <f>IFERROR(M30/N30,0)</f>
        <v/>
      </c>
      <c r="R30" s="47">
        <f>IFERROR(I30/H30,0)</f>
        <v/>
      </c>
      <c r="S30" s="47">
        <f>IFERROR(J30/I30,0)</f>
        <v/>
      </c>
      <c r="T30" s="47">
        <f>IFERROR(K30/J30,0)</f>
        <v/>
      </c>
      <c r="U30" s="56">
        <f>M30*P30+K30*V30</f>
        <v/>
      </c>
      <c r="V30" s="55" t="n">
        <v>90</v>
      </c>
      <c r="W30" s="54" t="n">
        <v>0</v>
      </c>
      <c r="X30" s="54" t="n">
        <v>0</v>
      </c>
      <c r="Y30" s="57">
        <f>W30+X30</f>
        <v/>
      </c>
      <c r="Z30" s="55" t="n">
        <v>0</v>
      </c>
      <c r="AA30" s="55" t="n">
        <v>0</v>
      </c>
      <c r="AB30" s="45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54" t="n">
        <v>0</v>
      </c>
      <c r="H31" s="54" t="n">
        <v>0</v>
      </c>
      <c r="I31" s="54" t="n">
        <v>0</v>
      </c>
      <c r="J31" s="54" t="n">
        <v>0</v>
      </c>
      <c r="K31" s="54" t="n">
        <v>0</v>
      </c>
      <c r="L31" s="54" t="n">
        <v>47</v>
      </c>
      <c r="M31" s="54" t="n">
        <v>47</v>
      </c>
      <c r="N31" s="54" t="n">
        <v>48</v>
      </c>
      <c r="O31" s="54" t="n">
        <v>2</v>
      </c>
      <c r="P31" s="55" t="n">
        <v>6860</v>
      </c>
      <c r="Q31" s="47">
        <f>IFERROR(M31/N31,0)</f>
        <v/>
      </c>
      <c r="R31" s="47">
        <f>IFERROR(I31/H31,0)</f>
        <v/>
      </c>
      <c r="S31" s="47">
        <f>IFERROR(J31/I31,0)</f>
        <v/>
      </c>
      <c r="T31" s="47">
        <f>IFERROR(K31/J31,0)</f>
        <v/>
      </c>
      <c r="U31" s="56">
        <f>M31*P31+K31*V31</f>
        <v/>
      </c>
      <c r="V31" s="55" t="n">
        <v>90</v>
      </c>
      <c r="W31" s="54" t="n">
        <v>0</v>
      </c>
      <c r="X31" s="54" t="n">
        <v>0</v>
      </c>
      <c r="Y31" s="57">
        <f>W31+X31</f>
        <v/>
      </c>
      <c r="Z31" s="55" t="n">
        <v>0</v>
      </c>
      <c r="AA31" s="55" t="n">
        <v>0</v>
      </c>
      <c r="AB31" s="45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54" t="n">
        <v>1</v>
      </c>
      <c r="H32" s="54" t="n">
        <v>850</v>
      </c>
      <c r="I32" s="54" t="n">
        <v>170</v>
      </c>
      <c r="J32" s="54" t="n">
        <v>119</v>
      </c>
      <c r="K32" s="54" t="n">
        <v>50</v>
      </c>
      <c r="L32" s="54" t="n">
        <v>0</v>
      </c>
      <c r="M32" s="54" t="n">
        <v>50</v>
      </c>
      <c r="N32" s="54" t="n">
        <v>0</v>
      </c>
      <c r="O32" s="54" t="n">
        <v>2</v>
      </c>
      <c r="P32" s="55" t="n">
        <v>7350</v>
      </c>
      <c r="Q32" s="47">
        <f>IFERROR(M32/N32,0)</f>
        <v/>
      </c>
      <c r="R32" s="47">
        <f>IFERROR(I32/H32,0)</f>
        <v/>
      </c>
      <c r="S32" s="47">
        <f>IFERROR(J32/I32,0)</f>
        <v/>
      </c>
      <c r="T32" s="47">
        <f>IFERROR(K32/J32,0)</f>
        <v/>
      </c>
      <c r="U32" s="56">
        <f>M32*P32+K32*V32</f>
        <v/>
      </c>
      <c r="V32" s="55" t="n">
        <v>90</v>
      </c>
      <c r="W32" s="54" t="n">
        <v>425</v>
      </c>
      <c r="X32" s="54" t="n">
        <v>425</v>
      </c>
      <c r="Y32" s="57">
        <f>W32+X32</f>
        <v/>
      </c>
      <c r="Z32" s="55" t="n">
        <v>17000</v>
      </c>
      <c r="AA32" s="55" t="n">
        <v>38704</v>
      </c>
      <c r="AB32" s="45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54" t="n">
        <v>0</v>
      </c>
      <c r="H33" s="54" t="n">
        <v>0</v>
      </c>
      <c r="I33" s="54" t="n">
        <v>0</v>
      </c>
      <c r="J33" s="54" t="n">
        <v>0</v>
      </c>
      <c r="K33" s="54" t="n">
        <v>0</v>
      </c>
      <c r="L33" s="54" t="n">
        <v>49</v>
      </c>
      <c r="M33" s="54" t="n">
        <v>49</v>
      </c>
      <c r="N33" s="54" t="n">
        <v>50</v>
      </c>
      <c r="O33" s="54" t="n">
        <v>2</v>
      </c>
      <c r="P33" s="55" t="n">
        <v>7350</v>
      </c>
      <c r="Q33" s="47">
        <f>IFERROR(M33/N33,0)</f>
        <v/>
      </c>
      <c r="R33" s="47">
        <f>IFERROR(I33/H33,0)</f>
        <v/>
      </c>
      <c r="S33" s="47">
        <f>IFERROR(J33/I33,0)</f>
        <v/>
      </c>
      <c r="T33" s="47">
        <f>IFERROR(K33/J33,0)</f>
        <v/>
      </c>
      <c r="U33" s="56">
        <f>M33*P33+K33*V33</f>
        <v/>
      </c>
      <c r="V33" s="55" t="n">
        <v>90</v>
      </c>
      <c r="W33" s="54" t="n">
        <v>0</v>
      </c>
      <c r="X33" s="54" t="n">
        <v>0</v>
      </c>
      <c r="Y33" s="57">
        <f>W33+X33</f>
        <v/>
      </c>
      <c r="Z33" s="55" t="n">
        <v>0</v>
      </c>
      <c r="AA33" s="55" t="n">
        <v>0</v>
      </c>
      <c r="AB33" s="45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54" t="n">
        <v>1</v>
      </c>
      <c r="H34" s="54" t="n">
        <v>386</v>
      </c>
      <c r="I34" s="54" t="n">
        <v>108</v>
      </c>
      <c r="J34" s="54" t="n">
        <v>78</v>
      </c>
      <c r="K34" s="54" t="n">
        <v>47</v>
      </c>
      <c r="L34" s="54" t="n">
        <v>0</v>
      </c>
      <c r="M34" s="54" t="n">
        <v>47</v>
      </c>
      <c r="N34" s="54" t="n">
        <v>0</v>
      </c>
      <c r="O34" s="54" t="n">
        <v>2</v>
      </c>
      <c r="P34" s="55" t="n">
        <v>7200</v>
      </c>
      <c r="Q34" s="47">
        <f>IFERROR(M34/N34,0)</f>
        <v/>
      </c>
      <c r="R34" s="47">
        <f>IFERROR(I34/H34,0)</f>
        <v/>
      </c>
      <c r="S34" s="47">
        <f>IFERROR(J34/I34,0)</f>
        <v/>
      </c>
      <c r="T34" s="47">
        <f>IFERROR(K34/J34,0)</f>
        <v/>
      </c>
      <c r="U34" s="56">
        <f>M34*P34+K34*V34</f>
        <v/>
      </c>
      <c r="V34" s="55" t="n">
        <v>90</v>
      </c>
      <c r="W34" s="54" t="n">
        <v>197</v>
      </c>
      <c r="X34" s="54" t="n">
        <v>189</v>
      </c>
      <c r="Y34" s="57">
        <f>W34+X34</f>
        <v/>
      </c>
      <c r="Z34" s="55" t="n">
        <v>7187</v>
      </c>
      <c r="AA34" s="55" t="n">
        <v>17946</v>
      </c>
      <c r="AB34" s="45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54" t="n">
        <v>0</v>
      </c>
      <c r="H35" s="54" t="n">
        <v>0</v>
      </c>
      <c r="I35" s="54" t="n">
        <v>0</v>
      </c>
      <c r="J35" s="54" t="n">
        <v>0</v>
      </c>
      <c r="K35" s="54" t="n">
        <v>0</v>
      </c>
      <c r="L35" s="54" t="n">
        <v>46</v>
      </c>
      <c r="M35" s="54" t="n">
        <v>46</v>
      </c>
      <c r="N35" s="54" t="n">
        <v>47</v>
      </c>
      <c r="O35" s="54" t="n">
        <v>2</v>
      </c>
      <c r="P35" s="55" t="n">
        <v>6720</v>
      </c>
      <c r="Q35" s="47">
        <f>IFERROR(M35/N35,0)</f>
        <v/>
      </c>
      <c r="R35" s="47">
        <f>IFERROR(I35/H35,0)</f>
        <v/>
      </c>
      <c r="S35" s="47">
        <f>IFERROR(J35/I35,0)</f>
        <v/>
      </c>
      <c r="T35" s="47">
        <f>IFERROR(K35/J35,0)</f>
        <v/>
      </c>
      <c r="U35" s="56">
        <f>M35*P35+K35*V35</f>
        <v/>
      </c>
      <c r="V35" s="55" t="n">
        <v>90</v>
      </c>
      <c r="W35" s="54" t="n">
        <v>0</v>
      </c>
      <c r="X35" s="54" t="n">
        <v>0</v>
      </c>
      <c r="Y35" s="57">
        <f>W35+X35</f>
        <v/>
      </c>
      <c r="Z35" s="55" t="n">
        <v>0</v>
      </c>
      <c r="AA35" s="55" t="n">
        <v>0</v>
      </c>
      <c r="AB35" s="45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54" t="n">
        <v>0</v>
      </c>
      <c r="H36" s="54" t="n">
        <v>0</v>
      </c>
      <c r="I36" s="54" t="n">
        <v>0</v>
      </c>
      <c r="J36" s="54" t="n">
        <v>0</v>
      </c>
      <c r="K36" s="54" t="n">
        <v>0</v>
      </c>
      <c r="L36" s="54" t="n">
        <v>45</v>
      </c>
      <c r="M36" s="54" t="n">
        <v>45</v>
      </c>
      <c r="N36" s="54" t="n">
        <v>46</v>
      </c>
      <c r="O36" s="54" t="n">
        <v>2</v>
      </c>
      <c r="P36" s="55" t="n">
        <v>6720</v>
      </c>
      <c r="Q36" s="47">
        <f>IFERROR(M36/N36,0)</f>
        <v/>
      </c>
      <c r="R36" s="47">
        <f>IFERROR(I36/H36,0)</f>
        <v/>
      </c>
      <c r="S36" s="47">
        <f>IFERROR(J36/I36,0)</f>
        <v/>
      </c>
      <c r="T36" s="47">
        <f>IFERROR(K36/J36,0)</f>
        <v/>
      </c>
      <c r="U36" s="56">
        <f>M36*P36+K36*V36</f>
        <v/>
      </c>
      <c r="V36" s="55" t="n">
        <v>90</v>
      </c>
      <c r="W36" s="54" t="n">
        <v>0</v>
      </c>
      <c r="X36" s="54" t="n">
        <v>0</v>
      </c>
      <c r="Y36" s="57">
        <f>W36+X36</f>
        <v/>
      </c>
      <c r="Z36" s="55" t="n">
        <v>0</v>
      </c>
      <c r="AA36" s="55" t="n">
        <v>0</v>
      </c>
      <c r="AB36" s="45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54" t="n">
        <v>1</v>
      </c>
      <c r="H37" s="54" t="n">
        <v>800</v>
      </c>
      <c r="I37" s="54" t="n">
        <v>160</v>
      </c>
      <c r="J37" s="54" t="n">
        <v>112</v>
      </c>
      <c r="K37" s="54" t="n">
        <v>47</v>
      </c>
      <c r="L37" s="54" t="n">
        <v>0</v>
      </c>
      <c r="M37" s="54" t="n">
        <v>47</v>
      </c>
      <c r="N37" s="54" t="n">
        <v>0</v>
      </c>
      <c r="O37" s="54" t="n">
        <v>2</v>
      </c>
      <c r="P37" s="55" t="n">
        <v>7200</v>
      </c>
      <c r="Q37" s="47">
        <f>IFERROR(M37/N37,0)</f>
        <v/>
      </c>
      <c r="R37" s="47">
        <f>IFERROR(I37/H37,0)</f>
        <v/>
      </c>
      <c r="S37" s="47">
        <f>IFERROR(J37/I37,0)</f>
        <v/>
      </c>
      <c r="T37" s="47">
        <f>IFERROR(K37/J37,0)</f>
        <v/>
      </c>
      <c r="U37" s="56">
        <f>M37*P37+K37*V37</f>
        <v/>
      </c>
      <c r="V37" s="55" t="n">
        <v>90</v>
      </c>
      <c r="W37" s="54" t="n">
        <v>408</v>
      </c>
      <c r="X37" s="54" t="n">
        <v>392</v>
      </c>
      <c r="Y37" s="57">
        <f>W37+X37</f>
        <v/>
      </c>
      <c r="Z37" s="55" t="n">
        <v>14896</v>
      </c>
      <c r="AA37" s="55" t="n">
        <v>37193</v>
      </c>
      <c r="AB37" s="45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54" t="n">
        <v>0</v>
      </c>
      <c r="H38" s="54" t="n">
        <v>0</v>
      </c>
      <c r="I38" s="54" t="n">
        <v>0</v>
      </c>
      <c r="J38" s="54" t="n">
        <v>0</v>
      </c>
      <c r="K38" s="54" t="n">
        <v>0</v>
      </c>
      <c r="L38" s="54" t="n">
        <v>46</v>
      </c>
      <c r="M38" s="54" t="n">
        <v>46</v>
      </c>
      <c r="N38" s="54" t="n">
        <v>47</v>
      </c>
      <c r="O38" s="54" t="n">
        <v>2</v>
      </c>
      <c r="P38" s="55" t="n">
        <v>7200</v>
      </c>
      <c r="Q38" s="47">
        <f>IFERROR(M38/N38,0)</f>
        <v/>
      </c>
      <c r="R38" s="47">
        <f>IFERROR(I38/H38,0)</f>
        <v/>
      </c>
      <c r="S38" s="47">
        <f>IFERROR(J38/I38,0)</f>
        <v/>
      </c>
      <c r="T38" s="47">
        <f>IFERROR(K38/J38,0)</f>
        <v/>
      </c>
      <c r="U38" s="56">
        <f>M38*P38+K38*V38</f>
        <v/>
      </c>
      <c r="V38" s="55" t="n">
        <v>90</v>
      </c>
      <c r="W38" s="54" t="n">
        <v>0</v>
      </c>
      <c r="X38" s="54" t="n">
        <v>0</v>
      </c>
      <c r="Y38" s="57">
        <f>W38+X38</f>
        <v/>
      </c>
      <c r="Z38" s="55" t="n">
        <v>0</v>
      </c>
      <c r="AA38" s="55" t="n">
        <v>0</v>
      </c>
      <c r="AB38" s="45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54" t="n">
        <v>1</v>
      </c>
      <c r="H39" s="54" t="n">
        <v>850</v>
      </c>
      <c r="I39" s="54" t="n">
        <v>170</v>
      </c>
      <c r="J39" s="54" t="n">
        <v>119</v>
      </c>
      <c r="K39" s="54" t="n">
        <v>50</v>
      </c>
      <c r="L39" s="54" t="n">
        <v>0</v>
      </c>
      <c r="M39" s="54" t="n">
        <v>50</v>
      </c>
      <c r="N39" s="54" t="n">
        <v>0</v>
      </c>
      <c r="O39" s="54" t="n">
        <v>2</v>
      </c>
      <c r="P39" s="55" t="n">
        <v>7000</v>
      </c>
      <c r="Q39" s="47">
        <f>IFERROR(M39/N39,0)</f>
        <v/>
      </c>
      <c r="R39" s="47">
        <f>IFERROR(I39/H39,0)</f>
        <v/>
      </c>
      <c r="S39" s="47">
        <f>IFERROR(J39/I39,0)</f>
        <v/>
      </c>
      <c r="T39" s="47">
        <f>IFERROR(K39/J39,0)</f>
        <v/>
      </c>
      <c r="U39" s="56">
        <f>M39*P39+K39*V39</f>
        <v/>
      </c>
      <c r="V39" s="55" t="n">
        <v>90</v>
      </c>
      <c r="W39" s="54" t="n">
        <v>306</v>
      </c>
      <c r="X39" s="54" t="n">
        <v>544</v>
      </c>
      <c r="Y39" s="57">
        <f>W39+X39</f>
        <v/>
      </c>
      <c r="Z39" s="55" t="n">
        <v>21760</v>
      </c>
      <c r="AA39" s="55" t="n">
        <v>27889</v>
      </c>
      <c r="AB39" s="45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48</v>
      </c>
      <c r="M40" s="54" t="n">
        <v>48</v>
      </c>
      <c r="N40" s="54" t="n">
        <v>50</v>
      </c>
      <c r="O40" s="54" t="n">
        <v>2</v>
      </c>
      <c r="P40" s="55" t="n">
        <v>7000</v>
      </c>
      <c r="Q40" s="47">
        <f>IFERROR(M40/N40,0)</f>
        <v/>
      </c>
      <c r="R40" s="47">
        <f>IFERROR(I40/H40,0)</f>
        <v/>
      </c>
      <c r="S40" s="47">
        <f>IFERROR(J40/I40,0)</f>
        <v/>
      </c>
      <c r="T40" s="47">
        <f>IFERROR(K40/J40,0)</f>
        <v/>
      </c>
      <c r="U40" s="56">
        <f>M40*P40+K40*V40</f>
        <v/>
      </c>
      <c r="V40" s="55" t="n">
        <v>90</v>
      </c>
      <c r="W40" s="54" t="n">
        <v>0</v>
      </c>
      <c r="X40" s="54" t="n">
        <v>0</v>
      </c>
      <c r="Y40" s="57">
        <f>W40+X40</f>
        <v/>
      </c>
      <c r="Z40" s="55" t="n">
        <v>0</v>
      </c>
      <c r="AA40" s="55" t="n">
        <v>0</v>
      </c>
      <c r="AB40" s="45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54" t="n">
        <v>0</v>
      </c>
      <c r="H41" s="54" t="n">
        <v>0</v>
      </c>
      <c r="I41" s="54" t="n">
        <v>0</v>
      </c>
      <c r="J41" s="54" t="n">
        <v>0</v>
      </c>
      <c r="K41" s="54" t="n">
        <v>0</v>
      </c>
      <c r="L41" s="54" t="n">
        <v>47</v>
      </c>
      <c r="M41" s="54" t="n">
        <v>47</v>
      </c>
      <c r="N41" s="54" t="n">
        <v>48</v>
      </c>
      <c r="O41" s="54" t="n">
        <v>2</v>
      </c>
      <c r="P41" s="55" t="n">
        <v>7000</v>
      </c>
      <c r="Q41" s="47">
        <f>IFERROR(M41/N41,0)</f>
        <v/>
      </c>
      <c r="R41" s="47">
        <f>IFERROR(I41/H41,0)</f>
        <v/>
      </c>
      <c r="S41" s="47">
        <f>IFERROR(J41/I41,0)</f>
        <v/>
      </c>
      <c r="T41" s="47">
        <f>IFERROR(K41/J41,0)</f>
        <v/>
      </c>
      <c r="U41" s="56">
        <f>M41*P41+K41*V41</f>
        <v/>
      </c>
      <c r="V41" s="55" t="n">
        <v>90</v>
      </c>
      <c r="W41" s="54" t="n">
        <v>0</v>
      </c>
      <c r="X41" s="54" t="n">
        <v>0</v>
      </c>
      <c r="Y41" s="57">
        <f>W41+X41</f>
        <v/>
      </c>
      <c r="Z41" s="55" t="n">
        <v>0</v>
      </c>
      <c r="AA41" s="55" t="n">
        <v>0</v>
      </c>
      <c r="AB41" s="45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54" t="n">
        <v>1</v>
      </c>
      <c r="H42" s="54" t="n">
        <v>680</v>
      </c>
      <c r="I42" s="54" t="n">
        <v>136</v>
      </c>
      <c r="J42" s="54" t="n">
        <v>95</v>
      </c>
      <c r="K42" s="54" t="n">
        <v>40</v>
      </c>
      <c r="L42" s="54" t="n">
        <v>0</v>
      </c>
      <c r="M42" s="54" t="n">
        <v>40</v>
      </c>
      <c r="N42" s="54" t="n">
        <v>0</v>
      </c>
      <c r="O42" s="54" t="n">
        <v>2</v>
      </c>
      <c r="P42" s="55" t="n">
        <v>6650</v>
      </c>
      <c r="Q42" s="47">
        <f>IFERROR(M42/N42,0)</f>
        <v/>
      </c>
      <c r="R42" s="47">
        <f>IFERROR(I42/H42,0)</f>
        <v/>
      </c>
      <c r="S42" s="47">
        <f>IFERROR(J42/I42,0)</f>
        <v/>
      </c>
      <c r="T42" s="47">
        <f>IFERROR(K42/J42,0)</f>
        <v/>
      </c>
      <c r="U42" s="56">
        <f>M42*P42+K42*V42</f>
        <v/>
      </c>
      <c r="V42" s="55" t="n">
        <v>90</v>
      </c>
      <c r="W42" s="54" t="n">
        <v>265</v>
      </c>
      <c r="X42" s="54" t="n">
        <v>415</v>
      </c>
      <c r="Y42" s="57">
        <f>W42+X42</f>
        <v/>
      </c>
      <c r="Z42" s="55" t="n">
        <v>14933</v>
      </c>
      <c r="AA42" s="55" t="n">
        <v>24152</v>
      </c>
      <c r="AB42" s="45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54" t="n">
        <v>0</v>
      </c>
      <c r="H43" s="54" t="n">
        <v>0</v>
      </c>
      <c r="I43" s="54" t="n">
        <v>0</v>
      </c>
      <c r="J43" s="54" t="n">
        <v>0</v>
      </c>
      <c r="K43" s="54" t="n">
        <v>0</v>
      </c>
      <c r="L43" s="54" t="n">
        <v>39</v>
      </c>
      <c r="M43" s="54" t="n">
        <v>39</v>
      </c>
      <c r="N43" s="54" t="n">
        <v>40</v>
      </c>
      <c r="O43" s="54" t="n">
        <v>2</v>
      </c>
      <c r="P43" s="55" t="n">
        <v>6650</v>
      </c>
      <c r="Q43" s="47">
        <f>IFERROR(M43/N43,0)</f>
        <v/>
      </c>
      <c r="R43" s="47">
        <f>IFERROR(I43/H43,0)</f>
        <v/>
      </c>
      <c r="S43" s="47">
        <f>IFERROR(J43/I43,0)</f>
        <v/>
      </c>
      <c r="T43" s="47">
        <f>IFERROR(K43/J43,0)</f>
        <v/>
      </c>
      <c r="U43" s="56">
        <f>M43*P43+K43*V43</f>
        <v/>
      </c>
      <c r="V43" s="55" t="n">
        <v>90</v>
      </c>
      <c r="W43" s="54" t="n">
        <v>0</v>
      </c>
      <c r="X43" s="54" t="n">
        <v>0</v>
      </c>
      <c r="Y43" s="57">
        <f>W43+X43</f>
        <v/>
      </c>
      <c r="Z43" s="55" t="n">
        <v>0</v>
      </c>
      <c r="AA43" s="55" t="n">
        <v>0</v>
      </c>
      <c r="AB43" s="45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54" t="n">
        <v>0</v>
      </c>
      <c r="H44" s="54" t="n">
        <v>0</v>
      </c>
      <c r="I44" s="54" t="n">
        <v>0</v>
      </c>
      <c r="J44" s="54" t="n">
        <v>0</v>
      </c>
      <c r="K44" s="54" t="n">
        <v>0</v>
      </c>
      <c r="L44" s="54" t="n">
        <v>38</v>
      </c>
      <c r="M44" s="54" t="n">
        <v>38</v>
      </c>
      <c r="N44" s="54" t="n">
        <v>39</v>
      </c>
      <c r="O44" s="54" t="n">
        <v>2</v>
      </c>
      <c r="P44" s="55" t="n">
        <v>6650</v>
      </c>
      <c r="Q44" s="47">
        <f>IFERROR(M44/N44,0)</f>
        <v/>
      </c>
      <c r="R44" s="47">
        <f>IFERROR(I44/H44,0)</f>
        <v/>
      </c>
      <c r="S44" s="47">
        <f>IFERROR(J44/I44,0)</f>
        <v/>
      </c>
      <c r="T44" s="47">
        <f>IFERROR(K44/J44,0)</f>
        <v/>
      </c>
      <c r="U44" s="56">
        <f>M44*P44+K44*V44</f>
        <v/>
      </c>
      <c r="V44" s="55" t="n">
        <v>90</v>
      </c>
      <c r="W44" s="54" t="n">
        <v>0</v>
      </c>
      <c r="X44" s="54" t="n">
        <v>0</v>
      </c>
      <c r="Y44" s="57">
        <f>W44+X44</f>
        <v/>
      </c>
      <c r="Z44" s="55" t="n">
        <v>0</v>
      </c>
      <c r="AA44" s="55" t="n">
        <v>0</v>
      </c>
      <c r="AB44" s="45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54" t="n">
        <v>1</v>
      </c>
      <c r="H45" s="54" t="n">
        <v>680</v>
      </c>
      <c r="I45" s="54" t="n">
        <v>136</v>
      </c>
      <c r="J45" s="54" t="n">
        <v>95</v>
      </c>
      <c r="K45" s="54" t="n">
        <v>40</v>
      </c>
      <c r="L45" s="54" t="n">
        <v>0</v>
      </c>
      <c r="M45" s="54" t="n">
        <v>40</v>
      </c>
      <c r="N45" s="54" t="n">
        <v>0</v>
      </c>
      <c r="O45" s="54" t="n">
        <v>2</v>
      </c>
      <c r="P45" s="55" t="n">
        <v>6650</v>
      </c>
      <c r="Q45" s="47">
        <f>IFERROR(M45/N45,0)</f>
        <v/>
      </c>
      <c r="R45" s="47">
        <f>IFERROR(I45/H45,0)</f>
        <v/>
      </c>
      <c r="S45" s="47">
        <f>IFERROR(J45/I45,0)</f>
        <v/>
      </c>
      <c r="T45" s="47">
        <f>IFERROR(K45/J45,0)</f>
        <v/>
      </c>
      <c r="U45" s="56">
        <f>M45*P45+K45*V45</f>
        <v/>
      </c>
      <c r="V45" s="55" t="n">
        <v>90</v>
      </c>
      <c r="W45" s="54" t="n">
        <v>258</v>
      </c>
      <c r="X45" s="54" t="n">
        <v>422</v>
      </c>
      <c r="Y45" s="57">
        <f>W45+X45</f>
        <v/>
      </c>
      <c r="Z45" s="55" t="n">
        <v>15178</v>
      </c>
      <c r="AA45" s="55" t="n">
        <v>23514</v>
      </c>
      <c r="AB45" s="45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54" t="n">
        <v>0</v>
      </c>
      <c r="H46" s="54" t="n">
        <v>0</v>
      </c>
      <c r="I46" s="54" t="n">
        <v>0</v>
      </c>
      <c r="J46" s="54" t="n">
        <v>0</v>
      </c>
      <c r="K46" s="54" t="n">
        <v>0</v>
      </c>
      <c r="L46" s="54" t="n">
        <v>39</v>
      </c>
      <c r="M46" s="54" t="n">
        <v>39</v>
      </c>
      <c r="N46" s="54" t="n">
        <v>40</v>
      </c>
      <c r="O46" s="54" t="n">
        <v>2</v>
      </c>
      <c r="P46" s="55" t="n">
        <v>6650</v>
      </c>
      <c r="Q46" s="47">
        <f>IFERROR(M46/N46,0)</f>
        <v/>
      </c>
      <c r="R46" s="47">
        <f>IFERROR(I46/H46,0)</f>
        <v/>
      </c>
      <c r="S46" s="47">
        <f>IFERROR(J46/I46,0)</f>
        <v/>
      </c>
      <c r="T46" s="47">
        <f>IFERROR(K46/J46,0)</f>
        <v/>
      </c>
      <c r="U46" s="56">
        <f>M46*P46+K46*V46</f>
        <v/>
      </c>
      <c r="V46" s="55" t="n">
        <v>90</v>
      </c>
      <c r="W46" s="54" t="n">
        <v>0</v>
      </c>
      <c r="X46" s="54" t="n">
        <v>0</v>
      </c>
      <c r="Y46" s="57">
        <f>W46+X46</f>
        <v/>
      </c>
      <c r="Z46" s="55" t="n">
        <v>0</v>
      </c>
      <c r="AA46" s="55" t="n">
        <v>0</v>
      </c>
      <c r="AB46" s="45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54" t="n">
        <v>0</v>
      </c>
      <c r="H47" s="54" t="n">
        <v>0</v>
      </c>
      <c r="I47" s="54" t="n">
        <v>0</v>
      </c>
      <c r="J47" s="54" t="n">
        <v>0</v>
      </c>
      <c r="K47" s="54" t="n">
        <v>0</v>
      </c>
      <c r="L47" s="54" t="n">
        <v>38</v>
      </c>
      <c r="M47" s="54" t="n">
        <v>38</v>
      </c>
      <c r="N47" s="54" t="n">
        <v>39</v>
      </c>
      <c r="O47" s="54" t="n">
        <v>2</v>
      </c>
      <c r="P47" s="55" t="n">
        <v>6650</v>
      </c>
      <c r="Q47" s="47">
        <f>IFERROR(M47/N47,0)</f>
        <v/>
      </c>
      <c r="R47" s="47">
        <f>IFERROR(I47/H47,0)</f>
        <v/>
      </c>
      <c r="S47" s="47">
        <f>IFERROR(J47/I47,0)</f>
        <v/>
      </c>
      <c r="T47" s="47">
        <f>IFERROR(K47/J47,0)</f>
        <v/>
      </c>
      <c r="U47" s="56">
        <f>M47*P47+K47*V47</f>
        <v/>
      </c>
      <c r="V47" s="55" t="n">
        <v>90</v>
      </c>
      <c r="W47" s="54" t="n">
        <v>0</v>
      </c>
      <c r="X47" s="54" t="n">
        <v>0</v>
      </c>
      <c r="Y47" s="57">
        <f>W47+X47</f>
        <v/>
      </c>
      <c r="Z47" s="55" t="n">
        <v>0</v>
      </c>
      <c r="AA47" s="55" t="n">
        <v>0</v>
      </c>
      <c r="AB47" s="45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54" t="n">
        <v>1</v>
      </c>
      <c r="H48" s="54" t="n">
        <v>785</v>
      </c>
      <c r="I48" s="54" t="n">
        <v>157</v>
      </c>
      <c r="J48" s="54" t="n">
        <v>110</v>
      </c>
      <c r="K48" s="54" t="n">
        <v>46</v>
      </c>
      <c r="L48" s="54" t="n">
        <v>0</v>
      </c>
      <c r="M48" s="54" t="n">
        <v>46</v>
      </c>
      <c r="N48" s="54" t="n">
        <v>0</v>
      </c>
      <c r="O48" s="54" t="n">
        <v>2</v>
      </c>
      <c r="P48" s="55" t="n">
        <v>6300</v>
      </c>
      <c r="Q48" s="47">
        <f>IFERROR(M48/N48,0)</f>
        <v/>
      </c>
      <c r="R48" s="47">
        <f>IFERROR(I48/H48,0)</f>
        <v/>
      </c>
      <c r="S48" s="47">
        <f>IFERROR(J48/I48,0)</f>
        <v/>
      </c>
      <c r="T48" s="47">
        <f>IFERROR(K48/J48,0)</f>
        <v/>
      </c>
      <c r="U48" s="56">
        <f>M48*P48+K48*V48</f>
        <v/>
      </c>
      <c r="V48" s="55" t="n">
        <v>90</v>
      </c>
      <c r="W48" s="54" t="n">
        <v>369</v>
      </c>
      <c r="X48" s="54" t="n">
        <v>416</v>
      </c>
      <c r="Y48" s="57">
        <f>W48+X48</f>
        <v/>
      </c>
      <c r="Z48" s="55" t="n">
        <v>18306</v>
      </c>
      <c r="AA48" s="55" t="n">
        <v>33630</v>
      </c>
      <c r="AB48" s="45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54" t="n">
        <v>0</v>
      </c>
      <c r="H49" s="54" t="n">
        <v>0</v>
      </c>
      <c r="I49" s="54" t="n">
        <v>0</v>
      </c>
      <c r="J49" s="54" t="n">
        <v>0</v>
      </c>
      <c r="K49" s="54" t="n">
        <v>0</v>
      </c>
      <c r="L49" s="54" t="n">
        <v>45</v>
      </c>
      <c r="M49" s="54" t="n">
        <v>45</v>
      </c>
      <c r="N49" s="54" t="n">
        <v>46</v>
      </c>
      <c r="O49" s="54" t="n">
        <v>2</v>
      </c>
      <c r="P49" s="55" t="n">
        <v>6300</v>
      </c>
      <c r="Q49" s="47">
        <f>IFERROR(M49/N49,0)</f>
        <v/>
      </c>
      <c r="R49" s="47">
        <f>IFERROR(I49/H49,0)</f>
        <v/>
      </c>
      <c r="S49" s="47">
        <f>IFERROR(J49/I49,0)</f>
        <v/>
      </c>
      <c r="T49" s="47">
        <f>IFERROR(K49/J49,0)</f>
        <v/>
      </c>
      <c r="U49" s="56">
        <f>M49*P49+K49*V49</f>
        <v/>
      </c>
      <c r="V49" s="55" t="n">
        <v>90</v>
      </c>
      <c r="W49" s="54" t="n">
        <v>0</v>
      </c>
      <c r="X49" s="54" t="n">
        <v>0</v>
      </c>
      <c r="Y49" s="57">
        <f>W49+X49</f>
        <v/>
      </c>
      <c r="Z49" s="55" t="n">
        <v>0</v>
      </c>
      <c r="AA49" s="55" t="n">
        <v>0</v>
      </c>
      <c r="AB49" s="45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54" t="n">
        <v>1</v>
      </c>
      <c r="H50" s="54" t="n">
        <v>785</v>
      </c>
      <c r="I50" s="54" t="n">
        <v>157</v>
      </c>
      <c r="J50" s="54" t="n">
        <v>110</v>
      </c>
      <c r="K50" s="54" t="n">
        <v>46</v>
      </c>
      <c r="L50" s="54" t="n">
        <v>0</v>
      </c>
      <c r="M50" s="54" t="n">
        <v>46</v>
      </c>
      <c r="N50" s="54" t="n">
        <v>0</v>
      </c>
      <c r="O50" s="54" t="n">
        <v>2</v>
      </c>
      <c r="P50" s="55" t="n">
        <v>7350</v>
      </c>
      <c r="Q50" s="47">
        <f>IFERROR(M50/N50,0)</f>
        <v/>
      </c>
      <c r="R50" s="47">
        <f>IFERROR(I50/H50,0)</f>
        <v/>
      </c>
      <c r="S50" s="47">
        <f>IFERROR(J50/I50,0)</f>
        <v/>
      </c>
      <c r="T50" s="47">
        <f>IFERROR(K50/J50,0)</f>
        <v/>
      </c>
      <c r="U50" s="56">
        <f>M50*P50+K50*V50</f>
        <v/>
      </c>
      <c r="V50" s="55" t="n">
        <v>90</v>
      </c>
      <c r="W50" s="54" t="n">
        <v>369</v>
      </c>
      <c r="X50" s="54" t="n">
        <v>416</v>
      </c>
      <c r="Y50" s="57">
        <f>W50+X50</f>
        <v/>
      </c>
      <c r="Z50" s="55" t="n">
        <v>18306</v>
      </c>
      <c r="AA50" s="55" t="n">
        <v>33631</v>
      </c>
      <c r="AB50" s="45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54" t="n">
        <v>0</v>
      </c>
      <c r="H51" s="54" t="n">
        <v>0</v>
      </c>
      <c r="I51" s="54" t="n">
        <v>0</v>
      </c>
      <c r="J51" s="54" t="n">
        <v>0</v>
      </c>
      <c r="K51" s="54" t="n">
        <v>0</v>
      </c>
      <c r="L51" s="54" t="n">
        <v>45</v>
      </c>
      <c r="M51" s="54" t="n">
        <v>45</v>
      </c>
      <c r="N51" s="54" t="n">
        <v>46</v>
      </c>
      <c r="O51" s="54" t="n">
        <v>2</v>
      </c>
      <c r="P51" s="55" t="n">
        <v>7350</v>
      </c>
      <c r="Q51" s="47">
        <f>IFERROR(M51/N51,0)</f>
        <v/>
      </c>
      <c r="R51" s="47">
        <f>IFERROR(I51/H51,0)</f>
        <v/>
      </c>
      <c r="S51" s="47">
        <f>IFERROR(J51/I51,0)</f>
        <v/>
      </c>
      <c r="T51" s="47">
        <f>IFERROR(K51/J51,0)</f>
        <v/>
      </c>
      <c r="U51" s="56">
        <f>M51*P51+K51*V51</f>
        <v/>
      </c>
      <c r="V51" s="55" t="n">
        <v>90</v>
      </c>
      <c r="W51" s="54" t="n">
        <v>0</v>
      </c>
      <c r="X51" s="54" t="n">
        <v>0</v>
      </c>
      <c r="Y51" s="57">
        <f>W51+X51</f>
        <v/>
      </c>
      <c r="Z51" s="55" t="n">
        <v>0</v>
      </c>
      <c r="AA51" s="55" t="n">
        <v>0</v>
      </c>
      <c r="AB51" s="45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54" t="n">
        <v>1</v>
      </c>
      <c r="H52" s="54" t="n">
        <v>615</v>
      </c>
      <c r="I52" s="54" t="n">
        <v>123</v>
      </c>
      <c r="J52" s="54" t="n">
        <v>86</v>
      </c>
      <c r="K52" s="54" t="n">
        <v>36</v>
      </c>
      <c r="L52" s="54" t="n">
        <v>0</v>
      </c>
      <c r="M52" s="54" t="n">
        <v>36</v>
      </c>
      <c r="N52" s="54" t="n">
        <v>0</v>
      </c>
      <c r="O52" s="54" t="n">
        <v>2</v>
      </c>
      <c r="P52" s="55" t="n">
        <v>5820</v>
      </c>
      <c r="Q52" s="47">
        <f>IFERROR(M52/N52,0)</f>
        <v/>
      </c>
      <c r="R52" s="47">
        <f>IFERROR(I52/H52,0)</f>
        <v/>
      </c>
      <c r="S52" s="47">
        <f>IFERROR(J52/I52,0)</f>
        <v/>
      </c>
      <c r="T52" s="47">
        <f>IFERROR(K52/J52,0)</f>
        <v/>
      </c>
      <c r="U52" s="56">
        <f>M52*P52+K52*V52</f>
        <v/>
      </c>
      <c r="V52" s="55" t="n">
        <v>90</v>
      </c>
      <c r="W52" s="54" t="n">
        <v>326</v>
      </c>
      <c r="X52" s="54" t="n">
        <v>289</v>
      </c>
      <c r="Y52" s="57">
        <f>W52+X52</f>
        <v/>
      </c>
      <c r="Z52" s="55" t="n">
        <v>10984</v>
      </c>
      <c r="AA52" s="55" t="n">
        <v>29712</v>
      </c>
      <c r="AB52" s="45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54" t="n">
        <v>0</v>
      </c>
      <c r="H53" s="54" t="n">
        <v>0</v>
      </c>
      <c r="I53" s="54" t="n">
        <v>0</v>
      </c>
      <c r="J53" s="54" t="n">
        <v>0</v>
      </c>
      <c r="K53" s="54" t="n">
        <v>0</v>
      </c>
      <c r="L53" s="54" t="n">
        <v>35</v>
      </c>
      <c r="M53" s="54" t="n">
        <v>35</v>
      </c>
      <c r="N53" s="54" t="n">
        <v>36</v>
      </c>
      <c r="O53" s="54" t="n">
        <v>2</v>
      </c>
      <c r="P53" s="55" t="n">
        <v>5820</v>
      </c>
      <c r="Q53" s="47">
        <f>IFERROR(M53/N53,0)</f>
        <v/>
      </c>
      <c r="R53" s="47">
        <f>IFERROR(I53/H53,0)</f>
        <v/>
      </c>
      <c r="S53" s="47">
        <f>IFERROR(J53/I53,0)</f>
        <v/>
      </c>
      <c r="T53" s="47">
        <f>IFERROR(K53/J53,0)</f>
        <v/>
      </c>
      <c r="U53" s="56">
        <f>M53*P53+K53*V53</f>
        <v/>
      </c>
      <c r="V53" s="55" t="n">
        <v>90</v>
      </c>
      <c r="W53" s="54" t="n">
        <v>0</v>
      </c>
      <c r="X53" s="54" t="n">
        <v>0</v>
      </c>
      <c r="Y53" s="57">
        <f>W53+X53</f>
        <v/>
      </c>
      <c r="Z53" s="55" t="n">
        <v>0</v>
      </c>
      <c r="AA53" s="55" t="n">
        <v>0</v>
      </c>
      <c r="AB53" s="45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54" t="n">
        <v>1</v>
      </c>
      <c r="H54" s="54" t="n">
        <v>615</v>
      </c>
      <c r="I54" s="54" t="n">
        <v>123</v>
      </c>
      <c r="J54" s="54" t="n">
        <v>86</v>
      </c>
      <c r="K54" s="54" t="n">
        <v>36</v>
      </c>
      <c r="L54" s="54" t="n">
        <v>0</v>
      </c>
      <c r="M54" s="54" t="n">
        <v>36</v>
      </c>
      <c r="N54" s="54" t="n">
        <v>0</v>
      </c>
      <c r="O54" s="54" t="n">
        <v>2</v>
      </c>
      <c r="P54" s="55" t="n">
        <v>6790</v>
      </c>
      <c r="Q54" s="47">
        <f>IFERROR(M54/N54,0)</f>
        <v/>
      </c>
      <c r="R54" s="47">
        <f>IFERROR(I54/H54,0)</f>
        <v/>
      </c>
      <c r="S54" s="47">
        <f>IFERROR(J54/I54,0)</f>
        <v/>
      </c>
      <c r="T54" s="47">
        <f>IFERROR(K54/J54,0)</f>
        <v/>
      </c>
      <c r="U54" s="56">
        <f>M54*P54+K54*V54</f>
        <v/>
      </c>
      <c r="V54" s="55" t="n">
        <v>90</v>
      </c>
      <c r="W54" s="54" t="n">
        <v>326</v>
      </c>
      <c r="X54" s="54" t="n">
        <v>289</v>
      </c>
      <c r="Y54" s="57">
        <f>W54+X54</f>
        <v/>
      </c>
      <c r="Z54" s="55" t="n">
        <v>10984</v>
      </c>
      <c r="AA54" s="55" t="n">
        <v>29711</v>
      </c>
      <c r="AB54" s="45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54" t="n">
        <v>0</v>
      </c>
      <c r="H55" s="54" t="n">
        <v>0</v>
      </c>
      <c r="I55" s="54" t="n">
        <v>0</v>
      </c>
      <c r="J55" s="54" t="n">
        <v>0</v>
      </c>
      <c r="K55" s="54" t="n">
        <v>0</v>
      </c>
      <c r="L55" s="54" t="n">
        <v>35</v>
      </c>
      <c r="M55" s="54" t="n">
        <v>35</v>
      </c>
      <c r="N55" s="54" t="n">
        <v>36</v>
      </c>
      <c r="O55" s="54" t="n">
        <v>2</v>
      </c>
      <c r="P55" s="55" t="n">
        <v>6790</v>
      </c>
      <c r="Q55" s="47">
        <f>IFERROR(M55/N55,0)</f>
        <v/>
      </c>
      <c r="R55" s="47">
        <f>IFERROR(I55/H55,0)</f>
        <v/>
      </c>
      <c r="S55" s="47">
        <f>IFERROR(J55/I55,0)</f>
        <v/>
      </c>
      <c r="T55" s="47">
        <f>IFERROR(K55/J55,0)</f>
        <v/>
      </c>
      <c r="U55" s="56">
        <f>M55*P55+K55*V55</f>
        <v/>
      </c>
      <c r="V55" s="55" t="n">
        <v>90</v>
      </c>
      <c r="W55" s="54" t="n">
        <v>0</v>
      </c>
      <c r="X55" s="54" t="n">
        <v>0</v>
      </c>
      <c r="Y55" s="57">
        <f>W55+X55</f>
        <v/>
      </c>
      <c r="Z55" s="55" t="n">
        <v>0</v>
      </c>
      <c r="AA55" s="55" t="n">
        <v>0</v>
      </c>
      <c r="AB55" s="45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54" t="n">
        <v>1</v>
      </c>
      <c r="H56" s="54" t="n">
        <v>800</v>
      </c>
      <c r="I56" s="54" t="n">
        <v>160</v>
      </c>
      <c r="J56" s="54" t="n">
        <v>112</v>
      </c>
      <c r="K56" s="54" t="n">
        <v>47</v>
      </c>
      <c r="L56" s="54" t="n">
        <v>0</v>
      </c>
      <c r="M56" s="54" t="n">
        <v>47</v>
      </c>
      <c r="N56" s="54" t="n">
        <v>0</v>
      </c>
      <c r="O56" s="54" t="n">
        <v>2</v>
      </c>
      <c r="P56" s="55" t="n">
        <v>7840</v>
      </c>
      <c r="Q56" s="47">
        <f>IFERROR(M56/N56,0)</f>
        <v/>
      </c>
      <c r="R56" s="47">
        <f>IFERROR(I56/H56,0)</f>
        <v/>
      </c>
      <c r="S56" s="47">
        <f>IFERROR(J56/I56,0)</f>
        <v/>
      </c>
      <c r="T56" s="47">
        <f>IFERROR(K56/J56,0)</f>
        <v/>
      </c>
      <c r="U56" s="56">
        <f>M56*P56+K56*V56</f>
        <v/>
      </c>
      <c r="V56" s="55" t="n">
        <v>90</v>
      </c>
      <c r="W56" s="54" t="n">
        <v>240</v>
      </c>
      <c r="X56" s="54" t="n">
        <v>560</v>
      </c>
      <c r="Y56" s="57">
        <f>W56+X56</f>
        <v/>
      </c>
      <c r="Z56" s="55" t="n">
        <v>30240</v>
      </c>
      <c r="AA56" s="55" t="n">
        <v>21873</v>
      </c>
      <c r="AB56" s="45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54" t="n">
        <v>0</v>
      </c>
      <c r="H57" s="54" t="n">
        <v>0</v>
      </c>
      <c r="I57" s="54" t="n">
        <v>0</v>
      </c>
      <c r="J57" s="54" t="n">
        <v>0</v>
      </c>
      <c r="K57" s="54" t="n">
        <v>0</v>
      </c>
      <c r="L57" s="54" t="n">
        <v>46</v>
      </c>
      <c r="M57" s="54" t="n">
        <v>46</v>
      </c>
      <c r="N57" s="54" t="n">
        <v>47</v>
      </c>
      <c r="O57" s="54" t="n">
        <v>2</v>
      </c>
      <c r="P57" s="55" t="n">
        <v>7840</v>
      </c>
      <c r="Q57" s="47">
        <f>IFERROR(M57/N57,0)</f>
        <v/>
      </c>
      <c r="R57" s="47">
        <f>IFERROR(I57/H57,0)</f>
        <v/>
      </c>
      <c r="S57" s="47">
        <f>IFERROR(J57/I57,0)</f>
        <v/>
      </c>
      <c r="T57" s="47">
        <f>IFERROR(K57/J57,0)</f>
        <v/>
      </c>
      <c r="U57" s="56">
        <f>M57*P57+K57*V57</f>
        <v/>
      </c>
      <c r="V57" s="55" t="n">
        <v>90</v>
      </c>
      <c r="W57" s="54" t="n">
        <v>0</v>
      </c>
      <c r="X57" s="54" t="n">
        <v>0</v>
      </c>
      <c r="Y57" s="57">
        <f>W57+X57</f>
        <v/>
      </c>
      <c r="Z57" s="55" t="n">
        <v>0</v>
      </c>
      <c r="AA57" s="55" t="n">
        <v>0</v>
      </c>
      <c r="AB57" s="45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54" t="n">
        <v>0</v>
      </c>
      <c r="H58" s="54" t="n">
        <v>0</v>
      </c>
      <c r="I58" s="54" t="n">
        <v>0</v>
      </c>
      <c r="J58" s="54" t="n">
        <v>0</v>
      </c>
      <c r="K58" s="54" t="n">
        <v>0</v>
      </c>
      <c r="L58" s="54" t="n">
        <v>45</v>
      </c>
      <c r="M58" s="54" t="n">
        <v>45</v>
      </c>
      <c r="N58" s="54" t="n">
        <v>46</v>
      </c>
      <c r="O58" s="54" t="n">
        <v>2</v>
      </c>
      <c r="P58" s="55" t="n">
        <v>7840</v>
      </c>
      <c r="Q58" s="47">
        <f>IFERROR(M58/N58,0)</f>
        <v/>
      </c>
      <c r="R58" s="47">
        <f>IFERROR(I58/H58,0)</f>
        <v/>
      </c>
      <c r="S58" s="47">
        <f>IFERROR(J58/I58,0)</f>
        <v/>
      </c>
      <c r="T58" s="47">
        <f>IFERROR(K58/J58,0)</f>
        <v/>
      </c>
      <c r="U58" s="56">
        <f>M58*P58+K58*V58</f>
        <v/>
      </c>
      <c r="V58" s="55" t="n">
        <v>90</v>
      </c>
      <c r="W58" s="54" t="n">
        <v>0</v>
      </c>
      <c r="X58" s="54" t="n">
        <v>0</v>
      </c>
      <c r="Y58" s="57">
        <f>W58+X58</f>
        <v/>
      </c>
      <c r="Z58" s="55" t="n">
        <v>0</v>
      </c>
      <c r="AA58" s="55" t="n">
        <v>0</v>
      </c>
      <c r="AB58" s="45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54" t="n">
        <v>1</v>
      </c>
      <c r="H59" s="54" t="n">
        <v>680</v>
      </c>
      <c r="I59" s="54" t="n">
        <v>136</v>
      </c>
      <c r="J59" s="54" t="n">
        <v>95</v>
      </c>
      <c r="K59" s="54" t="n">
        <v>40</v>
      </c>
      <c r="L59" s="54" t="n">
        <v>0</v>
      </c>
      <c r="M59" s="54" t="n">
        <v>40</v>
      </c>
      <c r="N59" s="54" t="n">
        <v>0</v>
      </c>
      <c r="O59" s="54" t="n">
        <v>2</v>
      </c>
      <c r="P59" s="55" t="n">
        <v>7350</v>
      </c>
      <c r="Q59" s="47">
        <f>IFERROR(M59/N59,0)</f>
        <v/>
      </c>
      <c r="R59" s="47">
        <f>IFERROR(I59/H59,0)</f>
        <v/>
      </c>
      <c r="S59" s="47">
        <f>IFERROR(J59/I59,0)</f>
        <v/>
      </c>
      <c r="T59" s="47">
        <f>IFERROR(K59/J59,0)</f>
        <v/>
      </c>
      <c r="U59" s="56">
        <f>M59*P59+K59*V59</f>
        <v/>
      </c>
      <c r="V59" s="55" t="n">
        <v>90</v>
      </c>
      <c r="W59" s="54" t="n">
        <v>252</v>
      </c>
      <c r="X59" s="54" t="n">
        <v>428</v>
      </c>
      <c r="Y59" s="57">
        <f>W59+X59</f>
        <v/>
      </c>
      <c r="Z59" s="55" t="n">
        <v>18850</v>
      </c>
      <c r="AA59" s="55" t="n">
        <v>22967</v>
      </c>
      <c r="AB59" s="45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54" t="n">
        <v>0</v>
      </c>
      <c r="H60" s="54" t="n">
        <v>0</v>
      </c>
      <c r="I60" s="54" t="n">
        <v>0</v>
      </c>
      <c r="J60" s="54" t="n">
        <v>0</v>
      </c>
      <c r="K60" s="54" t="n">
        <v>0</v>
      </c>
      <c r="L60" s="54" t="n">
        <v>39</v>
      </c>
      <c r="M60" s="54" t="n">
        <v>39</v>
      </c>
      <c r="N60" s="54" t="n">
        <v>40</v>
      </c>
      <c r="O60" s="54" t="n">
        <v>2</v>
      </c>
      <c r="P60" s="55" t="n">
        <v>7350</v>
      </c>
      <c r="Q60" s="47">
        <f>IFERROR(M60/N60,0)</f>
        <v/>
      </c>
      <c r="R60" s="47">
        <f>IFERROR(I60/H60,0)</f>
        <v/>
      </c>
      <c r="S60" s="47">
        <f>IFERROR(J60/I60,0)</f>
        <v/>
      </c>
      <c r="T60" s="47">
        <f>IFERROR(K60/J60,0)</f>
        <v/>
      </c>
      <c r="U60" s="56">
        <f>M60*P60+K60*V60</f>
        <v/>
      </c>
      <c r="V60" s="55" t="n">
        <v>90</v>
      </c>
      <c r="W60" s="54" t="n">
        <v>0</v>
      </c>
      <c r="X60" s="54" t="n">
        <v>0</v>
      </c>
      <c r="Y60" s="57">
        <f>W60+X60</f>
        <v/>
      </c>
      <c r="Z60" s="55" t="n">
        <v>0</v>
      </c>
      <c r="AA60" s="55" t="n">
        <v>0</v>
      </c>
      <c r="AB60" s="45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54" t="n">
        <v>0</v>
      </c>
      <c r="H61" s="54" t="n">
        <v>0</v>
      </c>
      <c r="I61" s="54" t="n">
        <v>0</v>
      </c>
      <c r="J61" s="54" t="n">
        <v>0</v>
      </c>
      <c r="K61" s="54" t="n">
        <v>0</v>
      </c>
      <c r="L61" s="54" t="n">
        <v>38</v>
      </c>
      <c r="M61" s="54" t="n">
        <v>38</v>
      </c>
      <c r="N61" s="54" t="n">
        <v>39</v>
      </c>
      <c r="O61" s="54" t="n">
        <v>2</v>
      </c>
      <c r="P61" s="55" t="n">
        <v>7350</v>
      </c>
      <c r="Q61" s="47">
        <f>IFERROR(M61/N61,0)</f>
        <v/>
      </c>
      <c r="R61" s="47">
        <f>IFERROR(I61/H61,0)</f>
        <v/>
      </c>
      <c r="S61" s="47">
        <f>IFERROR(J61/I61,0)</f>
        <v/>
      </c>
      <c r="T61" s="47">
        <f>IFERROR(K61/J61,0)</f>
        <v/>
      </c>
      <c r="U61" s="56">
        <f>M61*P61+K61*V61</f>
        <v/>
      </c>
      <c r="V61" s="55" t="n">
        <v>90</v>
      </c>
      <c r="W61" s="54" t="n">
        <v>0</v>
      </c>
      <c r="X61" s="54" t="n">
        <v>0</v>
      </c>
      <c r="Y61" s="57">
        <f>W61+X61</f>
        <v/>
      </c>
      <c r="Z61" s="55" t="n">
        <v>0</v>
      </c>
      <c r="AA61" s="55" t="n">
        <v>0</v>
      </c>
      <c r="AB61" s="45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54" t="n">
        <v>1</v>
      </c>
      <c r="H62" s="54" t="n">
        <v>609</v>
      </c>
      <c r="I62" s="54" t="n">
        <v>171</v>
      </c>
      <c r="J62" s="54" t="n">
        <v>123</v>
      </c>
      <c r="K62" s="54" t="n">
        <v>74</v>
      </c>
      <c r="L62" s="54" t="n">
        <v>0</v>
      </c>
      <c r="M62" s="54" t="n">
        <v>74</v>
      </c>
      <c r="N62" s="54" t="n">
        <v>0</v>
      </c>
      <c r="O62" s="54" t="n">
        <v>3</v>
      </c>
      <c r="P62" s="55" t="n">
        <v>8400</v>
      </c>
      <c r="Q62" s="47">
        <f>IFERROR(M62/N62,0)</f>
        <v/>
      </c>
      <c r="R62" s="47">
        <f>IFERROR(I62/H62,0)</f>
        <v/>
      </c>
      <c r="S62" s="47">
        <f>IFERROR(J62/I62,0)</f>
        <v/>
      </c>
      <c r="T62" s="47">
        <f>IFERROR(K62/J62,0)</f>
        <v/>
      </c>
      <c r="U62" s="56">
        <f>M62*P62+K62*V62</f>
        <v/>
      </c>
      <c r="V62" s="55" t="n">
        <v>90</v>
      </c>
      <c r="W62" s="54" t="n">
        <v>217</v>
      </c>
      <c r="X62" s="54" t="n">
        <v>396</v>
      </c>
      <c r="Y62" s="57">
        <f>W62+X62</f>
        <v/>
      </c>
      <c r="Z62" s="55" t="n">
        <v>20296</v>
      </c>
      <c r="AA62" s="55" t="n">
        <v>17007</v>
      </c>
      <c r="AB62" s="45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54" t="n">
        <v>0</v>
      </c>
      <c r="H63" s="54" t="n">
        <v>0</v>
      </c>
      <c r="I63" s="54" t="n">
        <v>0</v>
      </c>
      <c r="J63" s="54" t="n">
        <v>0</v>
      </c>
      <c r="K63" s="54" t="n">
        <v>0</v>
      </c>
      <c r="L63" s="54" t="n">
        <v>72</v>
      </c>
      <c r="M63" s="54" t="n">
        <v>72</v>
      </c>
      <c r="N63" s="54" t="n">
        <v>74</v>
      </c>
      <c r="O63" s="54" t="n">
        <v>3</v>
      </c>
      <c r="P63" s="55" t="n">
        <v>7840</v>
      </c>
      <c r="Q63" s="47">
        <f>IFERROR(M63/N63,0)</f>
        <v/>
      </c>
      <c r="R63" s="47">
        <f>IFERROR(I63/H63,0)</f>
        <v/>
      </c>
      <c r="S63" s="47">
        <f>IFERROR(J63/I63,0)</f>
        <v/>
      </c>
      <c r="T63" s="47">
        <f>IFERROR(K63/J63,0)</f>
        <v/>
      </c>
      <c r="U63" s="56">
        <f>M63*P63+K63*V63</f>
        <v/>
      </c>
      <c r="V63" s="55" t="n">
        <v>90</v>
      </c>
      <c r="W63" s="54" t="n">
        <v>0</v>
      </c>
      <c r="X63" s="54" t="n">
        <v>0</v>
      </c>
      <c r="Y63" s="57">
        <f>W63+X63</f>
        <v/>
      </c>
      <c r="Z63" s="55" t="n">
        <v>0</v>
      </c>
      <c r="AA63" s="55" t="n">
        <v>0</v>
      </c>
      <c r="AB63" s="45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54" t="n">
        <v>0</v>
      </c>
      <c r="H64" s="54" t="n">
        <v>0</v>
      </c>
      <c r="I64" s="54" t="n">
        <v>0</v>
      </c>
      <c r="J64" s="54" t="n">
        <v>0</v>
      </c>
      <c r="K64" s="54" t="n">
        <v>0</v>
      </c>
      <c r="L64" s="54" t="n">
        <v>70</v>
      </c>
      <c r="M64" s="54" t="n">
        <v>70</v>
      </c>
      <c r="N64" s="54" t="n">
        <v>72</v>
      </c>
      <c r="O64" s="54" t="n">
        <v>3</v>
      </c>
      <c r="P64" s="55" t="n">
        <v>7840</v>
      </c>
      <c r="Q64" s="47">
        <f>IFERROR(M64/N64,0)</f>
        <v/>
      </c>
      <c r="R64" s="47">
        <f>IFERROR(I64/H64,0)</f>
        <v/>
      </c>
      <c r="S64" s="47">
        <f>IFERROR(J64/I64,0)</f>
        <v/>
      </c>
      <c r="T64" s="47">
        <f>IFERROR(K64/J64,0)</f>
        <v/>
      </c>
      <c r="U64" s="56">
        <f>M64*P64+K64*V64</f>
        <v/>
      </c>
      <c r="V64" s="55" t="n">
        <v>90</v>
      </c>
      <c r="W64" s="54" t="n">
        <v>0</v>
      </c>
      <c r="X64" s="54" t="n">
        <v>0</v>
      </c>
      <c r="Y64" s="57">
        <f>W64+X64</f>
        <v/>
      </c>
      <c r="Z64" s="55" t="n">
        <v>0</v>
      </c>
      <c r="AA64" s="55" t="n">
        <v>0</v>
      </c>
      <c r="AB64" s="45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54" t="n">
        <v>1</v>
      </c>
      <c r="H65" s="54" t="n">
        <v>1255</v>
      </c>
      <c r="I65" s="54" t="n">
        <v>251</v>
      </c>
      <c r="J65" s="54" t="n">
        <v>175</v>
      </c>
      <c r="K65" s="54" t="n">
        <v>74</v>
      </c>
      <c r="L65" s="54" t="n">
        <v>0</v>
      </c>
      <c r="M65" s="54" t="n">
        <v>74</v>
      </c>
      <c r="N65" s="54" t="n">
        <v>0</v>
      </c>
      <c r="O65" s="54" t="n">
        <v>3</v>
      </c>
      <c r="P65" s="55" t="n">
        <v>8400</v>
      </c>
      <c r="Q65" s="47">
        <f>IFERROR(M65/N65,0)</f>
        <v/>
      </c>
      <c r="R65" s="47">
        <f>IFERROR(I65/H65,0)</f>
        <v/>
      </c>
      <c r="S65" s="47">
        <f>IFERROR(J65/I65,0)</f>
        <v/>
      </c>
      <c r="T65" s="47">
        <f>IFERROR(K65/J65,0)</f>
        <v/>
      </c>
      <c r="U65" s="56">
        <f>M65*P65+K65*V65</f>
        <v/>
      </c>
      <c r="V65" s="55" t="n">
        <v>90</v>
      </c>
      <c r="W65" s="54" t="n">
        <v>448</v>
      </c>
      <c r="X65" s="54" t="n">
        <v>814</v>
      </c>
      <c r="Y65" s="57">
        <f>W65+X65</f>
        <v/>
      </c>
      <c r="Z65" s="55" t="n">
        <v>41786</v>
      </c>
      <c r="AA65" s="55" t="n">
        <v>35013</v>
      </c>
      <c r="AB65" s="45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54" t="n">
        <v>0</v>
      </c>
      <c r="H66" s="54" t="n">
        <v>0</v>
      </c>
      <c r="I66" s="54" t="n">
        <v>0</v>
      </c>
      <c r="J66" s="54" t="n">
        <v>0</v>
      </c>
      <c r="K66" s="54" t="n">
        <v>0</v>
      </c>
      <c r="L66" s="54" t="n">
        <v>72</v>
      </c>
      <c r="M66" s="54" t="n">
        <v>72</v>
      </c>
      <c r="N66" s="54" t="n">
        <v>74</v>
      </c>
      <c r="O66" s="54" t="n">
        <v>3</v>
      </c>
      <c r="P66" s="55" t="n">
        <v>8400</v>
      </c>
      <c r="Q66" s="47">
        <f>IFERROR(M66/N66,0)</f>
        <v/>
      </c>
      <c r="R66" s="47">
        <f>IFERROR(I66/H66,0)</f>
        <v/>
      </c>
      <c r="S66" s="47">
        <f>IFERROR(J66/I66,0)</f>
        <v/>
      </c>
      <c r="T66" s="47">
        <f>IFERROR(K66/J66,0)</f>
        <v/>
      </c>
      <c r="U66" s="56">
        <f>M66*P66+K66*V66</f>
        <v/>
      </c>
      <c r="V66" s="55" t="n">
        <v>90</v>
      </c>
      <c r="W66" s="54" t="n">
        <v>0</v>
      </c>
      <c r="X66" s="54" t="n">
        <v>0</v>
      </c>
      <c r="Y66" s="57">
        <f>W66+X66</f>
        <v/>
      </c>
      <c r="Z66" s="55" t="n">
        <v>0</v>
      </c>
      <c r="AA66" s="55" t="n">
        <v>0</v>
      </c>
      <c r="AB66" s="45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54" t="n">
        <v>1</v>
      </c>
      <c r="H67" s="54" t="n">
        <v>515</v>
      </c>
      <c r="I67" s="54" t="n">
        <v>144</v>
      </c>
      <c r="J67" s="54" t="n">
        <v>104</v>
      </c>
      <c r="K67" s="54" t="n">
        <v>62</v>
      </c>
      <c r="L67" s="54" t="n">
        <v>0</v>
      </c>
      <c r="M67" s="54" t="n">
        <v>62</v>
      </c>
      <c r="N67" s="54" t="n">
        <v>0</v>
      </c>
      <c r="O67" s="54" t="n">
        <v>3</v>
      </c>
      <c r="P67" s="55" t="n">
        <v>7875</v>
      </c>
      <c r="Q67" s="47">
        <f>IFERROR(M67/N67,0)</f>
        <v/>
      </c>
      <c r="R67" s="47">
        <f>IFERROR(I67/H67,0)</f>
        <v/>
      </c>
      <c r="S67" s="47">
        <f>IFERROR(J67/I67,0)</f>
        <v/>
      </c>
      <c r="T67" s="47">
        <f>IFERROR(K67/J67,0)</f>
        <v/>
      </c>
      <c r="U67" s="56">
        <f>M67*P67+K67*V67</f>
        <v/>
      </c>
      <c r="V67" s="55" t="n">
        <v>90</v>
      </c>
      <c r="W67" s="54" t="n">
        <v>220</v>
      </c>
      <c r="X67" s="54" t="n">
        <v>297</v>
      </c>
      <c r="Y67" s="57">
        <f>W67+X67</f>
        <v/>
      </c>
      <c r="Z67" s="55" t="n">
        <v>12449</v>
      </c>
      <c r="AA67" s="55" t="n">
        <v>17411</v>
      </c>
      <c r="AB67" s="45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54" t="n">
        <v>0</v>
      </c>
      <c r="H68" s="54" t="n">
        <v>0</v>
      </c>
      <c r="I68" s="54" t="n">
        <v>0</v>
      </c>
      <c r="J68" s="54" t="n">
        <v>0</v>
      </c>
      <c r="K68" s="54" t="n">
        <v>0</v>
      </c>
      <c r="L68" s="54" t="n">
        <v>60</v>
      </c>
      <c r="M68" s="54" t="n">
        <v>60</v>
      </c>
      <c r="N68" s="54" t="n">
        <v>62</v>
      </c>
      <c r="O68" s="54" t="n">
        <v>2</v>
      </c>
      <c r="P68" s="55" t="n">
        <v>7350</v>
      </c>
      <c r="Q68" s="47">
        <f>IFERROR(M68/N68,0)</f>
        <v/>
      </c>
      <c r="R68" s="47">
        <f>IFERROR(I68/H68,0)</f>
        <v/>
      </c>
      <c r="S68" s="47">
        <f>IFERROR(J68/I68,0)</f>
        <v/>
      </c>
      <c r="T68" s="47">
        <f>IFERROR(K68/J68,0)</f>
        <v/>
      </c>
      <c r="U68" s="56">
        <f>M68*P68+K68*V68</f>
        <v/>
      </c>
      <c r="V68" s="55" t="n">
        <v>90</v>
      </c>
      <c r="W68" s="54" t="n">
        <v>0</v>
      </c>
      <c r="X68" s="54" t="n">
        <v>0</v>
      </c>
      <c r="Y68" s="57">
        <f>W68+X68</f>
        <v/>
      </c>
      <c r="Z68" s="55" t="n">
        <v>0</v>
      </c>
      <c r="AA68" s="55" t="n">
        <v>0</v>
      </c>
      <c r="AB68" s="45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59</v>
      </c>
      <c r="M69" s="54" t="n">
        <v>59</v>
      </c>
      <c r="N69" s="54" t="n">
        <v>60</v>
      </c>
      <c r="O69" s="54" t="n">
        <v>2</v>
      </c>
      <c r="P69" s="55" t="n">
        <v>7350</v>
      </c>
      <c r="Q69" s="47">
        <f>IFERROR(M69/N69,0)</f>
        <v/>
      </c>
      <c r="R69" s="47">
        <f>IFERROR(I69/H69,0)</f>
        <v/>
      </c>
      <c r="S69" s="47">
        <f>IFERROR(J69/I69,0)</f>
        <v/>
      </c>
      <c r="T69" s="47">
        <f>IFERROR(K69/J69,0)</f>
        <v/>
      </c>
      <c r="U69" s="56">
        <f>M69*P69+K69*V69</f>
        <v/>
      </c>
      <c r="V69" s="55" t="n">
        <v>90</v>
      </c>
      <c r="W69" s="54" t="n">
        <v>0</v>
      </c>
      <c r="X69" s="54" t="n">
        <v>0</v>
      </c>
      <c r="Y69" s="57">
        <f>W69+X69</f>
        <v/>
      </c>
      <c r="Z69" s="55" t="n">
        <v>0</v>
      </c>
      <c r="AA69" s="55" t="n">
        <v>0</v>
      </c>
      <c r="AB69" s="45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54" t="n">
        <v>1</v>
      </c>
      <c r="H70" s="54" t="n">
        <v>1057</v>
      </c>
      <c r="I70" s="54" t="n">
        <v>211</v>
      </c>
      <c r="J70" s="54" t="n">
        <v>148</v>
      </c>
      <c r="K70" s="54" t="n">
        <v>62</v>
      </c>
      <c r="L70" s="54" t="n">
        <v>0</v>
      </c>
      <c r="M70" s="54" t="n">
        <v>62</v>
      </c>
      <c r="N70" s="54" t="n">
        <v>0</v>
      </c>
      <c r="O70" s="54" t="n">
        <v>3</v>
      </c>
      <c r="P70" s="55" t="n">
        <v>7875</v>
      </c>
      <c r="Q70" s="47">
        <f>IFERROR(M70/N70,0)</f>
        <v/>
      </c>
      <c r="R70" s="47">
        <f>IFERROR(I70/H70,0)</f>
        <v/>
      </c>
      <c r="S70" s="47">
        <f>IFERROR(J70/I70,0)</f>
        <v/>
      </c>
      <c r="T70" s="47">
        <f>IFERROR(K70/J70,0)</f>
        <v/>
      </c>
      <c r="U70" s="56">
        <f>M70*P70+K70*V70</f>
        <v/>
      </c>
      <c r="V70" s="55" t="n">
        <v>90</v>
      </c>
      <c r="W70" s="54" t="n">
        <v>450</v>
      </c>
      <c r="X70" s="54" t="n">
        <v>608</v>
      </c>
      <c r="Y70" s="57">
        <f>W70+X70</f>
        <v/>
      </c>
      <c r="Z70" s="55" t="n">
        <v>25536</v>
      </c>
      <c r="AA70" s="55" t="n">
        <v>35714</v>
      </c>
      <c r="AB70" s="45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54" t="n">
        <v>0</v>
      </c>
      <c r="H71" s="54" t="n">
        <v>0</v>
      </c>
      <c r="I71" s="54" t="n">
        <v>0</v>
      </c>
      <c r="J71" s="54" t="n">
        <v>0</v>
      </c>
      <c r="K71" s="54" t="n">
        <v>0</v>
      </c>
      <c r="L71" s="54" t="n">
        <v>61</v>
      </c>
      <c r="M71" s="54" t="n">
        <v>61</v>
      </c>
      <c r="N71" s="54" t="n">
        <v>62</v>
      </c>
      <c r="O71" s="54" t="n">
        <v>3</v>
      </c>
      <c r="P71" s="55" t="n">
        <v>7875</v>
      </c>
      <c r="Q71" s="47">
        <f>IFERROR(M71/N71,0)</f>
        <v/>
      </c>
      <c r="R71" s="47">
        <f>IFERROR(I71/H71,0)</f>
        <v/>
      </c>
      <c r="S71" s="47">
        <f>IFERROR(J71/I71,0)</f>
        <v/>
      </c>
      <c r="T71" s="47">
        <f>IFERROR(K71/J71,0)</f>
        <v/>
      </c>
      <c r="U71" s="56">
        <f>M71*P71+K71*V71</f>
        <v/>
      </c>
      <c r="V71" s="55" t="n">
        <v>90</v>
      </c>
      <c r="W71" s="54" t="n">
        <v>0</v>
      </c>
      <c r="X71" s="54" t="n">
        <v>0</v>
      </c>
      <c r="Y71" s="57">
        <f>W71+X71</f>
        <v/>
      </c>
      <c r="Z71" s="55" t="n">
        <v>0</v>
      </c>
      <c r="AA71" s="55" t="n">
        <v>0</v>
      </c>
      <c r="AB71" s="45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54" t="n">
        <v>1</v>
      </c>
      <c r="H72" s="54" t="n">
        <v>468</v>
      </c>
      <c r="I72" s="54" t="n">
        <v>131</v>
      </c>
      <c r="J72" s="54" t="n">
        <v>94</v>
      </c>
      <c r="K72" s="54" t="n">
        <v>57</v>
      </c>
      <c r="L72" s="54" t="n">
        <v>0</v>
      </c>
      <c r="M72" s="54" t="n">
        <v>57</v>
      </c>
      <c r="N72" s="54" t="n">
        <v>0</v>
      </c>
      <c r="O72" s="54" t="n">
        <v>2</v>
      </c>
      <c r="P72" s="55" t="n">
        <v>7500</v>
      </c>
      <c r="Q72" s="47">
        <f>IFERROR(M72/N72,0)</f>
        <v/>
      </c>
      <c r="R72" s="47">
        <f>IFERROR(I72/H72,0)</f>
        <v/>
      </c>
      <c r="S72" s="47">
        <f>IFERROR(J72/I72,0)</f>
        <v/>
      </c>
      <c r="T72" s="47">
        <f>IFERROR(K72/J72,0)</f>
        <v/>
      </c>
      <c r="U72" s="56">
        <f>M72*P72+K72*V72</f>
        <v/>
      </c>
      <c r="V72" s="55" t="n">
        <v>90</v>
      </c>
      <c r="W72" s="54" t="n">
        <v>222</v>
      </c>
      <c r="X72" s="54" t="n">
        <v>245</v>
      </c>
      <c r="Y72" s="57">
        <f>W72+X72</f>
        <v/>
      </c>
      <c r="Z72" s="55" t="n">
        <v>9379</v>
      </c>
      <c r="AA72" s="55" t="n">
        <v>17832</v>
      </c>
      <c r="AB72" s="45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54" t="n">
        <v>0</v>
      </c>
      <c r="H73" s="54" t="n">
        <v>0</v>
      </c>
      <c r="I73" s="54" t="n">
        <v>0</v>
      </c>
      <c r="J73" s="54" t="n">
        <v>0</v>
      </c>
      <c r="K73" s="54" t="n">
        <v>0</v>
      </c>
      <c r="L73" s="54" t="n">
        <v>55</v>
      </c>
      <c r="M73" s="54" t="n">
        <v>55</v>
      </c>
      <c r="N73" s="54" t="n">
        <v>57</v>
      </c>
      <c r="O73" s="54" t="n">
        <v>2</v>
      </c>
      <c r="P73" s="55" t="n">
        <v>7000</v>
      </c>
      <c r="Q73" s="47">
        <f>IFERROR(M73/N73,0)</f>
        <v/>
      </c>
      <c r="R73" s="47">
        <f>IFERROR(I73/H73,0)</f>
        <v/>
      </c>
      <c r="S73" s="47">
        <f>IFERROR(J73/I73,0)</f>
        <v/>
      </c>
      <c r="T73" s="47">
        <f>IFERROR(K73/J73,0)</f>
        <v/>
      </c>
      <c r="U73" s="56">
        <f>M73*P73+K73*V73</f>
        <v/>
      </c>
      <c r="V73" s="55" t="n">
        <v>90</v>
      </c>
      <c r="W73" s="54" t="n">
        <v>0</v>
      </c>
      <c r="X73" s="54" t="n">
        <v>0</v>
      </c>
      <c r="Y73" s="57">
        <f>W73+X73</f>
        <v/>
      </c>
      <c r="Z73" s="55" t="n">
        <v>0</v>
      </c>
      <c r="AA73" s="55" t="n">
        <v>0</v>
      </c>
      <c r="AB73" s="45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54" t="n">
        <v>0</v>
      </c>
      <c r="H74" s="54" t="n">
        <v>0</v>
      </c>
      <c r="I74" s="54" t="n">
        <v>0</v>
      </c>
      <c r="J74" s="54" t="n">
        <v>0</v>
      </c>
      <c r="K74" s="54" t="n">
        <v>0</v>
      </c>
      <c r="L74" s="54" t="n">
        <v>54</v>
      </c>
      <c r="M74" s="54" t="n">
        <v>54</v>
      </c>
      <c r="N74" s="54" t="n">
        <v>55</v>
      </c>
      <c r="O74" s="54" t="n">
        <v>2</v>
      </c>
      <c r="P74" s="55" t="n">
        <v>7000</v>
      </c>
      <c r="Q74" s="47">
        <f>IFERROR(M74/N74,0)</f>
        <v/>
      </c>
      <c r="R74" s="47">
        <f>IFERROR(I74/H74,0)</f>
        <v/>
      </c>
      <c r="S74" s="47">
        <f>IFERROR(J74/I74,0)</f>
        <v/>
      </c>
      <c r="T74" s="47">
        <f>IFERROR(K74/J74,0)</f>
        <v/>
      </c>
      <c r="U74" s="56">
        <f>M74*P74+K74*V74</f>
        <v/>
      </c>
      <c r="V74" s="55" t="n">
        <v>90</v>
      </c>
      <c r="W74" s="54" t="n">
        <v>0</v>
      </c>
      <c r="X74" s="54" t="n">
        <v>0</v>
      </c>
      <c r="Y74" s="57">
        <f>W74+X74</f>
        <v/>
      </c>
      <c r="Z74" s="55" t="n">
        <v>0</v>
      </c>
      <c r="AA74" s="55" t="n">
        <v>0</v>
      </c>
      <c r="AB74" s="45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54" t="n">
        <v>1</v>
      </c>
      <c r="H75" s="54" t="n">
        <v>962</v>
      </c>
      <c r="I75" s="54" t="n">
        <v>192</v>
      </c>
      <c r="J75" s="54" t="n">
        <v>135</v>
      </c>
      <c r="K75" s="54" t="n">
        <v>57</v>
      </c>
      <c r="L75" s="54" t="n">
        <v>0</v>
      </c>
      <c r="M75" s="54" t="n">
        <v>57</v>
      </c>
      <c r="N75" s="54" t="n">
        <v>0</v>
      </c>
      <c r="O75" s="54" t="n">
        <v>3</v>
      </c>
      <c r="P75" s="55" t="n">
        <v>7500</v>
      </c>
      <c r="Q75" s="47">
        <f>IFERROR(M75/N75,0)</f>
        <v/>
      </c>
      <c r="R75" s="47">
        <f>IFERROR(I75/H75,0)</f>
        <v/>
      </c>
      <c r="S75" s="47">
        <f>IFERROR(J75/I75,0)</f>
        <v/>
      </c>
      <c r="T75" s="47">
        <f>IFERROR(K75/J75,0)</f>
        <v/>
      </c>
      <c r="U75" s="56">
        <f>M75*P75+K75*V75</f>
        <v/>
      </c>
      <c r="V75" s="55" t="n">
        <v>90</v>
      </c>
      <c r="W75" s="54" t="n">
        <v>458</v>
      </c>
      <c r="X75" s="54" t="n">
        <v>504</v>
      </c>
      <c r="Y75" s="57">
        <f>W75+X75</f>
        <v/>
      </c>
      <c r="Z75" s="55" t="n">
        <v>19287</v>
      </c>
      <c r="AA75" s="55" t="n">
        <v>36670</v>
      </c>
      <c r="AB75" s="45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54" t="n">
        <v>0</v>
      </c>
      <c r="H76" s="54" t="n">
        <v>0</v>
      </c>
      <c r="I76" s="54" t="n">
        <v>0</v>
      </c>
      <c r="J76" s="54" t="n">
        <v>0</v>
      </c>
      <c r="K76" s="54" t="n">
        <v>0</v>
      </c>
      <c r="L76" s="54" t="n">
        <v>56</v>
      </c>
      <c r="M76" s="54" t="n">
        <v>56</v>
      </c>
      <c r="N76" s="54" t="n">
        <v>57</v>
      </c>
      <c r="O76" s="54" t="n">
        <v>3</v>
      </c>
      <c r="P76" s="55" t="n">
        <v>7500</v>
      </c>
      <c r="Q76" s="47">
        <f>IFERROR(M76/N76,0)</f>
        <v/>
      </c>
      <c r="R76" s="47">
        <f>IFERROR(I76/H76,0)</f>
        <v/>
      </c>
      <c r="S76" s="47">
        <f>IFERROR(J76/I76,0)</f>
        <v/>
      </c>
      <c r="T76" s="47">
        <f>IFERROR(K76/J76,0)</f>
        <v/>
      </c>
      <c r="U76" s="56">
        <f>M76*P76+K76*V76</f>
        <v/>
      </c>
      <c r="V76" s="55" t="n">
        <v>90</v>
      </c>
      <c r="W76" s="54" t="n">
        <v>0</v>
      </c>
      <c r="X76" s="54" t="n">
        <v>0</v>
      </c>
      <c r="Y76" s="57">
        <f>W76+X76</f>
        <v/>
      </c>
      <c r="Z76" s="55" t="n">
        <v>0</v>
      </c>
      <c r="AA76" s="55" t="n">
        <v>0</v>
      </c>
      <c r="AB76" s="45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54" t="n">
        <v>1</v>
      </c>
      <c r="H77" s="54" t="n">
        <v>397</v>
      </c>
      <c r="I77" s="54" t="n">
        <v>111</v>
      </c>
      <c r="J77" s="54" t="n">
        <v>80</v>
      </c>
      <c r="K77" s="54" t="n">
        <v>48</v>
      </c>
      <c r="L77" s="54" t="n">
        <v>0</v>
      </c>
      <c r="M77" s="54" t="n">
        <v>48</v>
      </c>
      <c r="N77" s="54" t="n">
        <v>0</v>
      </c>
      <c r="O77" s="54" t="n">
        <v>2</v>
      </c>
      <c r="P77" s="55" t="n">
        <v>7275</v>
      </c>
      <c r="Q77" s="47">
        <f>IFERROR(M77/N77,0)</f>
        <v/>
      </c>
      <c r="R77" s="47">
        <f>IFERROR(I77/H77,0)</f>
        <v/>
      </c>
      <c r="S77" s="47">
        <f>IFERROR(J77/I77,0)</f>
        <v/>
      </c>
      <c r="T77" s="47">
        <f>IFERROR(K77/J77,0)</f>
        <v/>
      </c>
      <c r="U77" s="56">
        <f>M77*P77+K77*V77</f>
        <v/>
      </c>
      <c r="V77" s="55" t="n">
        <v>90</v>
      </c>
      <c r="W77" s="54" t="n">
        <v>193</v>
      </c>
      <c r="X77" s="54" t="n">
        <v>204</v>
      </c>
      <c r="Y77" s="57">
        <f>W77+X77</f>
        <v/>
      </c>
      <c r="Z77" s="55" t="n">
        <v>7417</v>
      </c>
      <c r="AA77" s="55" t="n">
        <v>15467</v>
      </c>
      <c r="AB77" s="45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54" t="n">
        <v>0</v>
      </c>
      <c r="H78" s="54" t="n">
        <v>0</v>
      </c>
      <c r="I78" s="54" t="n">
        <v>0</v>
      </c>
      <c r="J78" s="54" t="n">
        <v>0</v>
      </c>
      <c r="K78" s="54" t="n">
        <v>0</v>
      </c>
      <c r="L78" s="54" t="n">
        <v>46</v>
      </c>
      <c r="M78" s="54" t="n">
        <v>46</v>
      </c>
      <c r="N78" s="54" t="n">
        <v>48</v>
      </c>
      <c r="O78" s="54" t="n">
        <v>2</v>
      </c>
      <c r="P78" s="55" t="n">
        <v>6790</v>
      </c>
      <c r="Q78" s="47">
        <f>IFERROR(M78/N78,0)</f>
        <v/>
      </c>
      <c r="R78" s="47">
        <f>IFERROR(I78/H78,0)</f>
        <v/>
      </c>
      <c r="S78" s="47">
        <f>IFERROR(J78/I78,0)</f>
        <v/>
      </c>
      <c r="T78" s="47">
        <f>IFERROR(K78/J78,0)</f>
        <v/>
      </c>
      <c r="U78" s="56">
        <f>M78*P78+K78*V78</f>
        <v/>
      </c>
      <c r="V78" s="55" t="n">
        <v>90</v>
      </c>
      <c r="W78" s="54" t="n">
        <v>0</v>
      </c>
      <c r="X78" s="54" t="n">
        <v>0</v>
      </c>
      <c r="Y78" s="57">
        <f>W78+X78</f>
        <v/>
      </c>
      <c r="Z78" s="55" t="n">
        <v>0</v>
      </c>
      <c r="AA78" s="55" t="n">
        <v>0</v>
      </c>
      <c r="AB78" s="45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54" t="n">
        <v>0</v>
      </c>
      <c r="H79" s="54" t="n">
        <v>0</v>
      </c>
      <c r="I79" s="54" t="n">
        <v>0</v>
      </c>
      <c r="J79" s="54" t="n">
        <v>0</v>
      </c>
      <c r="K79" s="54" t="n">
        <v>0</v>
      </c>
      <c r="L79" s="54" t="n">
        <v>45</v>
      </c>
      <c r="M79" s="54" t="n">
        <v>45</v>
      </c>
      <c r="N79" s="54" t="n">
        <v>46</v>
      </c>
      <c r="O79" s="54" t="n">
        <v>2</v>
      </c>
      <c r="P79" s="55" t="n">
        <v>6790</v>
      </c>
      <c r="Q79" s="47">
        <f>IFERROR(M79/N79,0)</f>
        <v/>
      </c>
      <c r="R79" s="47">
        <f>IFERROR(I79/H79,0)</f>
        <v/>
      </c>
      <c r="S79" s="47">
        <f>IFERROR(J79/I79,0)</f>
        <v/>
      </c>
      <c r="T79" s="47">
        <f>IFERROR(K79/J79,0)</f>
        <v/>
      </c>
      <c r="U79" s="56">
        <f>M79*P79+K79*V79</f>
        <v/>
      </c>
      <c r="V79" s="55" t="n">
        <v>90</v>
      </c>
      <c r="W79" s="54" t="n">
        <v>0</v>
      </c>
      <c r="X79" s="54" t="n">
        <v>0</v>
      </c>
      <c r="Y79" s="57">
        <f>W79+X79</f>
        <v/>
      </c>
      <c r="Z79" s="55" t="n">
        <v>0</v>
      </c>
      <c r="AA79" s="55" t="n">
        <v>0</v>
      </c>
      <c r="AB79" s="45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54" t="n">
        <v>1</v>
      </c>
      <c r="H80" s="54" t="n">
        <v>816</v>
      </c>
      <c r="I80" s="54" t="n">
        <v>163</v>
      </c>
      <c r="J80" s="54" t="n">
        <v>114</v>
      </c>
      <c r="K80" s="54" t="n">
        <v>48</v>
      </c>
      <c r="L80" s="54" t="n">
        <v>0</v>
      </c>
      <c r="M80" s="54" t="n">
        <v>48</v>
      </c>
      <c r="N80" s="54" t="n">
        <v>0</v>
      </c>
      <c r="O80" s="54" t="n">
        <v>2</v>
      </c>
      <c r="P80" s="55" t="n">
        <v>7275</v>
      </c>
      <c r="Q80" s="47">
        <f>IFERROR(M80/N80,0)</f>
        <v/>
      </c>
      <c r="R80" s="47">
        <f>IFERROR(I80/H80,0)</f>
        <v/>
      </c>
      <c r="S80" s="47">
        <f>IFERROR(J80/I80,0)</f>
        <v/>
      </c>
      <c r="T80" s="47">
        <f>IFERROR(K80/J80,0)</f>
        <v/>
      </c>
      <c r="U80" s="56">
        <f>M80*P80+K80*V80</f>
        <v/>
      </c>
      <c r="V80" s="55" t="n">
        <v>90</v>
      </c>
      <c r="W80" s="54" t="n">
        <v>396</v>
      </c>
      <c r="X80" s="54" t="n">
        <v>419</v>
      </c>
      <c r="Y80" s="57">
        <f>W80+X80</f>
        <v/>
      </c>
      <c r="Z80" s="55" t="n">
        <v>15240</v>
      </c>
      <c r="AA80" s="55" t="n">
        <v>31779</v>
      </c>
      <c r="AB80" s="45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54" t="n">
        <v>0</v>
      </c>
      <c r="H81" s="54" t="n">
        <v>0</v>
      </c>
      <c r="I81" s="54" t="n">
        <v>0</v>
      </c>
      <c r="J81" s="54" t="n">
        <v>0</v>
      </c>
      <c r="K81" s="54" t="n">
        <v>0</v>
      </c>
      <c r="L81" s="54" t="n">
        <v>47</v>
      </c>
      <c r="M81" s="54" t="n">
        <v>47</v>
      </c>
      <c r="N81" s="54" t="n">
        <v>48</v>
      </c>
      <c r="O81" s="54" t="n">
        <v>2</v>
      </c>
      <c r="P81" s="55" t="n">
        <v>7275</v>
      </c>
      <c r="Q81" s="47">
        <f>IFERROR(M81/N81,0)</f>
        <v/>
      </c>
      <c r="R81" s="47">
        <f>IFERROR(I81/H81,0)</f>
        <v/>
      </c>
      <c r="S81" s="47">
        <f>IFERROR(J81/I81,0)</f>
        <v/>
      </c>
      <c r="T81" s="47">
        <f>IFERROR(K81/J81,0)</f>
        <v/>
      </c>
      <c r="U81" s="56">
        <f>M81*P81+K81*V81</f>
        <v/>
      </c>
      <c r="V81" s="55" t="n">
        <v>90</v>
      </c>
      <c r="W81" s="54" t="n">
        <v>0</v>
      </c>
      <c r="X81" s="54" t="n">
        <v>0</v>
      </c>
      <c r="Y81" s="57">
        <f>W81+X81</f>
        <v/>
      </c>
      <c r="Z81" s="55" t="n">
        <v>0</v>
      </c>
      <c r="AA81" s="55" t="n">
        <v>0</v>
      </c>
      <c r="AB81" s="45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54" t="n">
        <v>1</v>
      </c>
      <c r="H82" s="54" t="n">
        <v>562</v>
      </c>
      <c r="I82" s="54" t="n">
        <v>158</v>
      </c>
      <c r="J82" s="54" t="n">
        <v>113</v>
      </c>
      <c r="K82" s="54" t="n">
        <v>68</v>
      </c>
      <c r="L82" s="54" t="n">
        <v>0</v>
      </c>
      <c r="M82" s="54" t="n">
        <v>68</v>
      </c>
      <c r="N82" s="54" t="n">
        <v>0</v>
      </c>
      <c r="O82" s="54" t="n">
        <v>3</v>
      </c>
      <c r="P82" s="55" t="n">
        <v>8400</v>
      </c>
      <c r="Q82" s="47">
        <f>IFERROR(M82/N82,0)</f>
        <v/>
      </c>
      <c r="R82" s="47">
        <f>IFERROR(I82/H82,0)</f>
        <v/>
      </c>
      <c r="S82" s="47">
        <f>IFERROR(J82/I82,0)</f>
        <v/>
      </c>
      <c r="T82" s="47">
        <f>IFERROR(K82/J82,0)</f>
        <v/>
      </c>
      <c r="U82" s="56">
        <f>M82*P82+K82*V82</f>
        <v/>
      </c>
      <c r="V82" s="55" t="n">
        <v>90</v>
      </c>
      <c r="W82" s="54" t="n">
        <v>220</v>
      </c>
      <c r="X82" s="54" t="n">
        <v>354</v>
      </c>
      <c r="Y82" s="57">
        <f>W82+X82</f>
        <v/>
      </c>
      <c r="Z82" s="55" t="n">
        <v>18140</v>
      </c>
      <c r="AA82" s="55" t="n">
        <v>18785</v>
      </c>
      <c r="AB82" s="45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54" t="n">
        <v>0</v>
      </c>
      <c r="H83" s="54" t="n">
        <v>0</v>
      </c>
      <c r="I83" s="54" t="n">
        <v>0</v>
      </c>
      <c r="J83" s="54" t="n">
        <v>0</v>
      </c>
      <c r="K83" s="54" t="n">
        <v>0</v>
      </c>
      <c r="L83" s="54" t="n">
        <v>66</v>
      </c>
      <c r="M83" s="54" t="n">
        <v>66</v>
      </c>
      <c r="N83" s="54" t="n">
        <v>68</v>
      </c>
      <c r="O83" s="54" t="n">
        <v>3</v>
      </c>
      <c r="P83" s="55" t="n">
        <v>7840</v>
      </c>
      <c r="Q83" s="47">
        <f>IFERROR(M83/N83,0)</f>
        <v/>
      </c>
      <c r="R83" s="47">
        <f>IFERROR(I83/H83,0)</f>
        <v/>
      </c>
      <c r="S83" s="47">
        <f>IFERROR(J83/I83,0)</f>
        <v/>
      </c>
      <c r="T83" s="47">
        <f>IFERROR(K83/J83,0)</f>
        <v/>
      </c>
      <c r="U83" s="56">
        <f>M83*P83+K83*V83</f>
        <v/>
      </c>
      <c r="V83" s="55" t="n">
        <v>90</v>
      </c>
      <c r="W83" s="54" t="n">
        <v>0</v>
      </c>
      <c r="X83" s="54" t="n">
        <v>0</v>
      </c>
      <c r="Y83" s="57">
        <f>W83+X83</f>
        <v/>
      </c>
      <c r="Z83" s="55" t="n">
        <v>0</v>
      </c>
      <c r="AA83" s="55" t="n">
        <v>0</v>
      </c>
      <c r="AB83" s="45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54" t="n">
        <v>0</v>
      </c>
      <c r="H84" s="54" t="n">
        <v>0</v>
      </c>
      <c r="I84" s="54" t="n">
        <v>0</v>
      </c>
      <c r="J84" s="54" t="n">
        <v>0</v>
      </c>
      <c r="K84" s="54" t="n">
        <v>0</v>
      </c>
      <c r="L84" s="54" t="n">
        <v>65</v>
      </c>
      <c r="M84" s="54" t="n">
        <v>65</v>
      </c>
      <c r="N84" s="54" t="n">
        <v>66</v>
      </c>
      <c r="O84" s="54" t="n">
        <v>3</v>
      </c>
      <c r="P84" s="55" t="n">
        <v>7840</v>
      </c>
      <c r="Q84" s="47">
        <f>IFERROR(M84/N84,0)</f>
        <v/>
      </c>
      <c r="R84" s="47">
        <f>IFERROR(I84/H84,0)</f>
        <v/>
      </c>
      <c r="S84" s="47">
        <f>IFERROR(J84/I84,0)</f>
        <v/>
      </c>
      <c r="T84" s="47">
        <f>IFERROR(K84/J84,0)</f>
        <v/>
      </c>
      <c r="U84" s="56">
        <f>M84*P84+K84*V84</f>
        <v/>
      </c>
      <c r="V84" s="55" t="n">
        <v>90</v>
      </c>
      <c r="W84" s="54" t="n">
        <v>0</v>
      </c>
      <c r="X84" s="54" t="n">
        <v>0</v>
      </c>
      <c r="Y84" s="57">
        <f>W84+X84</f>
        <v/>
      </c>
      <c r="Z84" s="55" t="n">
        <v>0</v>
      </c>
      <c r="AA84" s="55" t="n">
        <v>0</v>
      </c>
      <c r="AB84" s="45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54" t="n">
        <v>1</v>
      </c>
      <c r="H85" s="54" t="n">
        <v>1151</v>
      </c>
      <c r="I85" s="54" t="n">
        <v>230</v>
      </c>
      <c r="J85" s="54" t="n">
        <v>161</v>
      </c>
      <c r="K85" s="54" t="n">
        <v>68</v>
      </c>
      <c r="L85" s="54" t="n">
        <v>0</v>
      </c>
      <c r="M85" s="54" t="n">
        <v>68</v>
      </c>
      <c r="N85" s="54" t="n">
        <v>0</v>
      </c>
      <c r="O85" s="54" t="n">
        <v>3</v>
      </c>
      <c r="P85" s="55" t="n">
        <v>8400</v>
      </c>
      <c r="Q85" s="47">
        <f>IFERROR(M85/N85,0)</f>
        <v/>
      </c>
      <c r="R85" s="47">
        <f>IFERROR(I85/H85,0)</f>
        <v/>
      </c>
      <c r="S85" s="47">
        <f>IFERROR(J85/I85,0)</f>
        <v/>
      </c>
      <c r="T85" s="47">
        <f>IFERROR(K85/J85,0)</f>
        <v/>
      </c>
      <c r="U85" s="56">
        <f>M85*P85+K85*V85</f>
        <v/>
      </c>
      <c r="V85" s="55" t="n">
        <v>90</v>
      </c>
      <c r="W85" s="54" t="n">
        <v>450</v>
      </c>
      <c r="X85" s="54" t="n">
        <v>726</v>
      </c>
      <c r="Y85" s="57">
        <f>W85+X85</f>
        <v/>
      </c>
      <c r="Z85" s="55" t="n">
        <v>37132</v>
      </c>
      <c r="AA85" s="55" t="n">
        <v>38451</v>
      </c>
      <c r="AB85" s="45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54" t="n">
        <v>0</v>
      </c>
      <c r="H86" s="54" t="n">
        <v>0</v>
      </c>
      <c r="I86" s="54" t="n">
        <v>0</v>
      </c>
      <c r="J86" s="54" t="n">
        <v>0</v>
      </c>
      <c r="K86" s="54" t="n">
        <v>0</v>
      </c>
      <c r="L86" s="54" t="n">
        <v>67</v>
      </c>
      <c r="M86" s="54" t="n">
        <v>67</v>
      </c>
      <c r="N86" s="54" t="n">
        <v>68</v>
      </c>
      <c r="O86" s="54" t="n">
        <v>3</v>
      </c>
      <c r="P86" s="55" t="n">
        <v>8400</v>
      </c>
      <c r="Q86" s="47">
        <f>IFERROR(M86/N86,0)</f>
        <v/>
      </c>
      <c r="R86" s="47">
        <f>IFERROR(I86/H86,0)</f>
        <v/>
      </c>
      <c r="S86" s="47">
        <f>IFERROR(J86/I86,0)</f>
        <v/>
      </c>
      <c r="T86" s="47">
        <f>IFERROR(K86/J86,0)</f>
        <v/>
      </c>
      <c r="U86" s="56">
        <f>M86*P86+K86*V86</f>
        <v/>
      </c>
      <c r="V86" s="55" t="n">
        <v>90</v>
      </c>
      <c r="W86" s="54" t="n">
        <v>0</v>
      </c>
      <c r="X86" s="54" t="n">
        <v>0</v>
      </c>
      <c r="Y86" s="57">
        <f>W86+X86</f>
        <v/>
      </c>
      <c r="Z86" s="55" t="n">
        <v>0</v>
      </c>
      <c r="AA86" s="55" t="n">
        <v>0</v>
      </c>
      <c r="AB86" s="45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54" t="n">
        <v>1</v>
      </c>
      <c r="H87" s="54" t="n">
        <v>388</v>
      </c>
      <c r="I87" s="54" t="n">
        <v>108</v>
      </c>
      <c r="J87" s="54" t="n">
        <v>78</v>
      </c>
      <c r="K87" s="54" t="n">
        <v>47</v>
      </c>
      <c r="L87" s="54" t="n">
        <v>0</v>
      </c>
      <c r="M87" s="54" t="n">
        <v>47</v>
      </c>
      <c r="N87" s="54" t="n">
        <v>0</v>
      </c>
      <c r="O87" s="54" t="n">
        <v>2</v>
      </c>
      <c r="P87" s="55" t="n">
        <v>7350</v>
      </c>
      <c r="Q87" s="47">
        <f>IFERROR(M87/N87,0)</f>
        <v/>
      </c>
      <c r="R87" s="47">
        <f>IFERROR(I87/H87,0)</f>
        <v/>
      </c>
      <c r="S87" s="47">
        <f>IFERROR(J87/I87,0)</f>
        <v/>
      </c>
      <c r="T87" s="47">
        <f>IFERROR(K87/J87,0)</f>
        <v/>
      </c>
      <c r="U87" s="56">
        <f>M87*P87+K87*V87</f>
        <v/>
      </c>
      <c r="V87" s="55" t="n">
        <v>90</v>
      </c>
      <c r="W87" s="54" t="n">
        <v>199</v>
      </c>
      <c r="X87" s="54" t="n">
        <v>196</v>
      </c>
      <c r="Y87" s="57">
        <f>W87+X87</f>
        <v/>
      </c>
      <c r="Z87" s="55" t="n">
        <v>7473</v>
      </c>
      <c r="AA87" s="55" t="n">
        <v>17199</v>
      </c>
      <c r="AB87" s="45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54" t="n">
        <v>0</v>
      </c>
      <c r="H88" s="54" t="n">
        <v>0</v>
      </c>
      <c r="I88" s="54" t="n">
        <v>0</v>
      </c>
      <c r="J88" s="54" t="n">
        <v>0</v>
      </c>
      <c r="K88" s="54" t="n">
        <v>0</v>
      </c>
      <c r="L88" s="54" t="n">
        <v>45</v>
      </c>
      <c r="M88" s="54" t="n">
        <v>45</v>
      </c>
      <c r="N88" s="54" t="n">
        <v>47</v>
      </c>
      <c r="O88" s="54" t="n">
        <v>2</v>
      </c>
      <c r="P88" s="55" t="n">
        <v>6860</v>
      </c>
      <c r="Q88" s="47">
        <f>IFERROR(M88/N88,0)</f>
        <v/>
      </c>
      <c r="R88" s="47">
        <f>IFERROR(I88/H88,0)</f>
        <v/>
      </c>
      <c r="S88" s="47">
        <f>IFERROR(J88/I88,0)</f>
        <v/>
      </c>
      <c r="T88" s="47">
        <f>IFERROR(K88/J88,0)</f>
        <v/>
      </c>
      <c r="U88" s="56">
        <f>M88*P88+K88*V88</f>
        <v/>
      </c>
      <c r="V88" s="55" t="n">
        <v>90</v>
      </c>
      <c r="W88" s="54" t="n">
        <v>0</v>
      </c>
      <c r="X88" s="54" t="n">
        <v>0</v>
      </c>
      <c r="Y88" s="57">
        <f>W88+X88</f>
        <v/>
      </c>
      <c r="Z88" s="55" t="n">
        <v>0</v>
      </c>
      <c r="AA88" s="55" t="n">
        <v>0</v>
      </c>
      <c r="AB88" s="45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54" t="n">
        <v>0</v>
      </c>
      <c r="H89" s="54" t="n">
        <v>0</v>
      </c>
      <c r="I89" s="54" t="n">
        <v>0</v>
      </c>
      <c r="J89" s="54" t="n">
        <v>0</v>
      </c>
      <c r="K89" s="54" t="n">
        <v>0</v>
      </c>
      <c r="L89" s="54" t="n">
        <v>44</v>
      </c>
      <c r="M89" s="54" t="n">
        <v>44</v>
      </c>
      <c r="N89" s="54" t="n">
        <v>45</v>
      </c>
      <c r="O89" s="54" t="n">
        <v>2</v>
      </c>
      <c r="P89" s="55" t="n">
        <v>6860</v>
      </c>
      <c r="Q89" s="47">
        <f>IFERROR(M89/N89,0)</f>
        <v/>
      </c>
      <c r="R89" s="47">
        <f>IFERROR(I89/H89,0)</f>
        <v/>
      </c>
      <c r="S89" s="47">
        <f>IFERROR(J89/I89,0)</f>
        <v/>
      </c>
      <c r="T89" s="47">
        <f>IFERROR(K89/J89,0)</f>
        <v/>
      </c>
      <c r="U89" s="56">
        <f>M89*P89+K89*V89</f>
        <v/>
      </c>
      <c r="V89" s="55" t="n">
        <v>90</v>
      </c>
      <c r="W89" s="54" t="n">
        <v>0</v>
      </c>
      <c r="X89" s="54" t="n">
        <v>0</v>
      </c>
      <c r="Y89" s="57">
        <f>W89+X89</f>
        <v/>
      </c>
      <c r="Z89" s="55" t="n">
        <v>0</v>
      </c>
      <c r="AA89" s="55" t="n">
        <v>0</v>
      </c>
      <c r="AB89" s="45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54" t="n">
        <v>1</v>
      </c>
      <c r="H90" s="54" t="n">
        <v>802</v>
      </c>
      <c r="I90" s="54" t="n">
        <v>160</v>
      </c>
      <c r="J90" s="54" t="n">
        <v>112</v>
      </c>
      <c r="K90" s="54" t="n">
        <v>47</v>
      </c>
      <c r="L90" s="54" t="n">
        <v>0</v>
      </c>
      <c r="M90" s="54" t="n">
        <v>47</v>
      </c>
      <c r="N90" s="54" t="n">
        <v>0</v>
      </c>
      <c r="O90" s="54" t="n">
        <v>2</v>
      </c>
      <c r="P90" s="55" t="n">
        <v>7350</v>
      </c>
      <c r="Q90" s="47">
        <f>IFERROR(M90/N90,0)</f>
        <v/>
      </c>
      <c r="R90" s="47">
        <f>IFERROR(I90/H90,0)</f>
        <v/>
      </c>
      <c r="S90" s="47">
        <f>IFERROR(J90/I90,0)</f>
        <v/>
      </c>
      <c r="T90" s="47">
        <f>IFERROR(K90/J90,0)</f>
        <v/>
      </c>
      <c r="U90" s="56">
        <f>M90*P90+K90*V90</f>
        <v/>
      </c>
      <c r="V90" s="55" t="n">
        <v>90</v>
      </c>
      <c r="W90" s="54" t="n">
        <v>413</v>
      </c>
      <c r="X90" s="54" t="n">
        <v>404</v>
      </c>
      <c r="Y90" s="57">
        <f>W90+X90</f>
        <v/>
      </c>
      <c r="Z90" s="55" t="n">
        <v>15454</v>
      </c>
      <c r="AA90" s="55" t="n">
        <v>35569</v>
      </c>
      <c r="AB90" s="45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54" t="n">
        <v>0</v>
      </c>
      <c r="H91" s="54" t="n">
        <v>0</v>
      </c>
      <c r="I91" s="54" t="n">
        <v>0</v>
      </c>
      <c r="J91" s="54" t="n">
        <v>0</v>
      </c>
      <c r="K91" s="54" t="n">
        <v>0</v>
      </c>
      <c r="L91" s="54" t="n">
        <v>46</v>
      </c>
      <c r="M91" s="54" t="n">
        <v>46</v>
      </c>
      <c r="N91" s="54" t="n">
        <v>47</v>
      </c>
      <c r="O91" s="54" t="n">
        <v>2</v>
      </c>
      <c r="P91" s="55" t="n">
        <v>7350</v>
      </c>
      <c r="Q91" s="47">
        <f>IFERROR(M91/N91,0)</f>
        <v/>
      </c>
      <c r="R91" s="47">
        <f>IFERROR(I91/H91,0)</f>
        <v/>
      </c>
      <c r="S91" s="47">
        <f>IFERROR(J91/I91,0)</f>
        <v/>
      </c>
      <c r="T91" s="47">
        <f>IFERROR(K91/J91,0)</f>
        <v/>
      </c>
      <c r="U91" s="56">
        <f>M91*P91+K91*V91</f>
        <v/>
      </c>
      <c r="V91" s="55" t="n">
        <v>90</v>
      </c>
      <c r="W91" s="54" t="n">
        <v>0</v>
      </c>
      <c r="X91" s="54" t="n">
        <v>0</v>
      </c>
      <c r="Y91" s="57">
        <f>W91+X91</f>
        <v/>
      </c>
      <c r="Z91" s="55" t="n">
        <v>0</v>
      </c>
      <c r="AA91" s="55" t="n">
        <v>0</v>
      </c>
      <c r="AB91" s="45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54" t="n">
        <v>1</v>
      </c>
      <c r="H92" s="54" t="n">
        <v>364</v>
      </c>
      <c r="I92" s="54" t="n">
        <v>102</v>
      </c>
      <c r="J92" s="54" t="n">
        <v>74</v>
      </c>
      <c r="K92" s="54" t="n">
        <v>44</v>
      </c>
      <c r="L92" s="54" t="n">
        <v>0</v>
      </c>
      <c r="M92" s="54" t="n">
        <v>44</v>
      </c>
      <c r="N92" s="54" t="n">
        <v>0</v>
      </c>
      <c r="O92" s="54" t="n">
        <v>2</v>
      </c>
      <c r="P92" s="55" t="n">
        <v>7200</v>
      </c>
      <c r="Q92" s="47">
        <f>IFERROR(M92/N92,0)</f>
        <v/>
      </c>
      <c r="R92" s="47">
        <f>IFERROR(I92/H92,0)</f>
        <v/>
      </c>
      <c r="S92" s="47">
        <f>IFERROR(J92/I92,0)</f>
        <v/>
      </c>
      <c r="T92" s="47">
        <f>IFERROR(K92/J92,0)</f>
        <v/>
      </c>
      <c r="U92" s="56">
        <f>M92*P92+K92*V92</f>
        <v/>
      </c>
      <c r="V92" s="55" t="n">
        <v>90</v>
      </c>
      <c r="W92" s="54" t="n">
        <v>191</v>
      </c>
      <c r="X92" s="54" t="n">
        <v>180</v>
      </c>
      <c r="Y92" s="57">
        <f>W92+X92</f>
        <v/>
      </c>
      <c r="Z92" s="55" t="n">
        <v>6534</v>
      </c>
      <c r="AA92" s="55" t="n">
        <v>16504</v>
      </c>
      <c r="AB92" s="45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54" t="n">
        <v>0</v>
      </c>
      <c r="H93" s="54" t="n">
        <v>0</v>
      </c>
      <c r="I93" s="54" t="n">
        <v>0</v>
      </c>
      <c r="J93" s="54" t="n">
        <v>0</v>
      </c>
      <c r="K93" s="54" t="n">
        <v>0</v>
      </c>
      <c r="L93" s="54" t="n">
        <v>43</v>
      </c>
      <c r="M93" s="54" t="n">
        <v>43</v>
      </c>
      <c r="N93" s="54" t="n">
        <v>44</v>
      </c>
      <c r="O93" s="54" t="n">
        <v>2</v>
      </c>
      <c r="P93" s="55" t="n">
        <v>6720</v>
      </c>
      <c r="Q93" s="47">
        <f>IFERROR(M93/N93,0)</f>
        <v/>
      </c>
      <c r="R93" s="47">
        <f>IFERROR(I93/H93,0)</f>
        <v/>
      </c>
      <c r="S93" s="47">
        <f>IFERROR(J93/I93,0)</f>
        <v/>
      </c>
      <c r="T93" s="47">
        <f>IFERROR(K93/J93,0)</f>
        <v/>
      </c>
      <c r="U93" s="56">
        <f>M93*P93+K93*V93</f>
        <v/>
      </c>
      <c r="V93" s="55" t="n">
        <v>90</v>
      </c>
      <c r="W93" s="54" t="n">
        <v>0</v>
      </c>
      <c r="X93" s="54" t="n">
        <v>0</v>
      </c>
      <c r="Y93" s="57">
        <f>W93+X93</f>
        <v/>
      </c>
      <c r="Z93" s="55" t="n">
        <v>0</v>
      </c>
      <c r="AA93" s="55" t="n">
        <v>0</v>
      </c>
      <c r="AB93" s="45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54" t="n">
        <v>0</v>
      </c>
      <c r="H94" s="54" t="n">
        <v>0</v>
      </c>
      <c r="I94" s="54" t="n">
        <v>0</v>
      </c>
      <c r="J94" s="54" t="n">
        <v>0</v>
      </c>
      <c r="K94" s="54" t="n">
        <v>0</v>
      </c>
      <c r="L94" s="54" t="n">
        <v>42</v>
      </c>
      <c r="M94" s="54" t="n">
        <v>42</v>
      </c>
      <c r="N94" s="54" t="n">
        <v>43</v>
      </c>
      <c r="O94" s="54" t="n">
        <v>2</v>
      </c>
      <c r="P94" s="55" t="n">
        <v>6720</v>
      </c>
      <c r="Q94" s="47">
        <f>IFERROR(M94/N94,0)</f>
        <v/>
      </c>
      <c r="R94" s="47">
        <f>IFERROR(I94/H94,0)</f>
        <v/>
      </c>
      <c r="S94" s="47">
        <f>IFERROR(J94/I94,0)</f>
        <v/>
      </c>
      <c r="T94" s="47">
        <f>IFERROR(K94/J94,0)</f>
        <v/>
      </c>
      <c r="U94" s="56">
        <f>M94*P94+K94*V94</f>
        <v/>
      </c>
      <c r="V94" s="55" t="n">
        <v>90</v>
      </c>
      <c r="W94" s="54" t="n">
        <v>0</v>
      </c>
      <c r="X94" s="54" t="n">
        <v>0</v>
      </c>
      <c r="Y94" s="57">
        <f>W94+X94</f>
        <v/>
      </c>
      <c r="Z94" s="55" t="n">
        <v>0</v>
      </c>
      <c r="AA94" s="55" t="n">
        <v>0</v>
      </c>
      <c r="AB94" s="45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54" t="n">
        <v>1</v>
      </c>
      <c r="H95" s="54" t="n">
        <v>755</v>
      </c>
      <c r="I95" s="54" t="n">
        <v>151</v>
      </c>
      <c r="J95" s="54" t="n">
        <v>106</v>
      </c>
      <c r="K95" s="54" t="n">
        <v>44</v>
      </c>
      <c r="L95" s="54" t="n">
        <v>0</v>
      </c>
      <c r="M95" s="54" t="n">
        <v>44</v>
      </c>
      <c r="N95" s="54" t="n">
        <v>0</v>
      </c>
      <c r="O95" s="54" t="n">
        <v>2</v>
      </c>
      <c r="P95" s="55" t="n">
        <v>7200</v>
      </c>
      <c r="Q95" s="47">
        <f>IFERROR(M95/N95,0)</f>
        <v/>
      </c>
      <c r="R95" s="47">
        <f>IFERROR(I95/H95,0)</f>
        <v/>
      </c>
      <c r="S95" s="47">
        <f>IFERROR(J95/I95,0)</f>
        <v/>
      </c>
      <c r="T95" s="47">
        <f>IFERROR(K95/J95,0)</f>
        <v/>
      </c>
      <c r="U95" s="56">
        <f>M95*P95+K95*V95</f>
        <v/>
      </c>
      <c r="V95" s="55" t="n">
        <v>90</v>
      </c>
      <c r="W95" s="54" t="n">
        <v>396</v>
      </c>
      <c r="X95" s="54" t="n">
        <v>373</v>
      </c>
      <c r="Y95" s="57">
        <f>W95+X95</f>
        <v/>
      </c>
      <c r="Z95" s="55" t="n">
        <v>13542</v>
      </c>
      <c r="AA95" s="55" t="n">
        <v>34206</v>
      </c>
      <c r="AB95" s="45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54" t="n">
        <v>0</v>
      </c>
      <c r="H96" s="54" t="n">
        <v>0</v>
      </c>
      <c r="I96" s="54" t="n">
        <v>0</v>
      </c>
      <c r="J96" s="54" t="n">
        <v>0</v>
      </c>
      <c r="K96" s="54" t="n">
        <v>0</v>
      </c>
      <c r="L96" s="54" t="n">
        <v>43</v>
      </c>
      <c r="M96" s="54" t="n">
        <v>43</v>
      </c>
      <c r="N96" s="54" t="n">
        <v>44</v>
      </c>
      <c r="O96" s="54" t="n">
        <v>2</v>
      </c>
      <c r="P96" s="55" t="n">
        <v>7200</v>
      </c>
      <c r="Q96" s="47">
        <f>IFERROR(M96/N96,0)</f>
        <v/>
      </c>
      <c r="R96" s="47">
        <f>IFERROR(I96/H96,0)</f>
        <v/>
      </c>
      <c r="S96" s="47">
        <f>IFERROR(J96/I96,0)</f>
        <v/>
      </c>
      <c r="T96" s="47">
        <f>IFERROR(K96/J96,0)</f>
        <v/>
      </c>
      <c r="U96" s="56">
        <f>M96*P96+K96*V96</f>
        <v/>
      </c>
      <c r="V96" s="55" t="n">
        <v>90</v>
      </c>
      <c r="W96" s="54" t="n">
        <v>0</v>
      </c>
      <c r="X96" s="54" t="n">
        <v>0</v>
      </c>
      <c r="Y96" s="57">
        <f>W96+X96</f>
        <v/>
      </c>
      <c r="Z96" s="55" t="n">
        <v>0</v>
      </c>
      <c r="AA96" s="55" t="n">
        <v>0</v>
      </c>
      <c r="AB96" s="45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54" t="n">
        <v>1</v>
      </c>
      <c r="H97" s="54" t="n">
        <v>802</v>
      </c>
      <c r="I97" s="54" t="n">
        <v>160</v>
      </c>
      <c r="J97" s="54" t="n">
        <v>112</v>
      </c>
      <c r="K97" s="54" t="n">
        <v>47</v>
      </c>
      <c r="L97" s="54" t="n">
        <v>0</v>
      </c>
      <c r="M97" s="54" t="n">
        <v>47</v>
      </c>
      <c r="N97" s="54" t="n">
        <v>0</v>
      </c>
      <c r="O97" s="54" t="n">
        <v>2</v>
      </c>
      <c r="P97" s="55" t="n">
        <v>7000</v>
      </c>
      <c r="Q97" s="47">
        <f>IFERROR(M97/N97,0)</f>
        <v/>
      </c>
      <c r="R97" s="47">
        <f>IFERROR(I97/H97,0)</f>
        <v/>
      </c>
      <c r="S97" s="47">
        <f>IFERROR(J97/I97,0)</f>
        <v/>
      </c>
      <c r="T97" s="47">
        <f>IFERROR(K97/J97,0)</f>
        <v/>
      </c>
      <c r="U97" s="56">
        <f>M97*P97+K97*V97</f>
        <v/>
      </c>
      <c r="V97" s="55" t="n">
        <v>90</v>
      </c>
      <c r="W97" s="54" t="n">
        <v>281</v>
      </c>
      <c r="X97" s="54" t="n">
        <v>516</v>
      </c>
      <c r="Y97" s="57">
        <f>W97+X97</f>
        <v/>
      </c>
      <c r="Z97" s="55" t="n">
        <v>19782</v>
      </c>
      <c r="AA97" s="55" t="n">
        <v>21082</v>
      </c>
      <c r="AB97" s="45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54" t="n">
        <v>0</v>
      </c>
      <c r="H98" s="54" t="n">
        <v>0</v>
      </c>
      <c r="I98" s="54" t="n">
        <v>0</v>
      </c>
      <c r="J98" s="54" t="n">
        <v>0</v>
      </c>
      <c r="K98" s="54" t="n">
        <v>0</v>
      </c>
      <c r="L98" s="54" t="n">
        <v>45</v>
      </c>
      <c r="M98" s="54" t="n">
        <v>45</v>
      </c>
      <c r="N98" s="54" t="n">
        <v>47</v>
      </c>
      <c r="O98" s="54" t="n">
        <v>2</v>
      </c>
      <c r="P98" s="55" t="n">
        <v>7000</v>
      </c>
      <c r="Q98" s="47">
        <f>IFERROR(M98/N98,0)</f>
        <v/>
      </c>
      <c r="R98" s="47">
        <f>IFERROR(I98/H98,0)</f>
        <v/>
      </c>
      <c r="S98" s="47">
        <f>IFERROR(J98/I98,0)</f>
        <v/>
      </c>
      <c r="T98" s="47">
        <f>IFERROR(K98/J98,0)</f>
        <v/>
      </c>
      <c r="U98" s="56">
        <f>M98*P98+K98*V98</f>
        <v/>
      </c>
      <c r="V98" s="55" t="n">
        <v>90</v>
      </c>
      <c r="W98" s="54" t="n">
        <v>0</v>
      </c>
      <c r="X98" s="54" t="n">
        <v>0</v>
      </c>
      <c r="Y98" s="57">
        <f>W98+X98</f>
        <v/>
      </c>
      <c r="Z98" s="55" t="n">
        <v>0</v>
      </c>
      <c r="AA98" s="55" t="n">
        <v>0</v>
      </c>
      <c r="AB98" s="45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54" t="n">
        <v>0</v>
      </c>
      <c r="H99" s="54" t="n">
        <v>0</v>
      </c>
      <c r="I99" s="54" t="n">
        <v>0</v>
      </c>
      <c r="J99" s="54" t="n">
        <v>0</v>
      </c>
      <c r="K99" s="54" t="n">
        <v>0</v>
      </c>
      <c r="L99" s="54" t="n">
        <v>44</v>
      </c>
      <c r="M99" s="54" t="n">
        <v>44</v>
      </c>
      <c r="N99" s="54" t="n">
        <v>45</v>
      </c>
      <c r="O99" s="54" t="n">
        <v>2</v>
      </c>
      <c r="P99" s="55" t="n">
        <v>7000</v>
      </c>
      <c r="Q99" s="47">
        <f>IFERROR(M99/N99,0)</f>
        <v/>
      </c>
      <c r="R99" s="47">
        <f>IFERROR(I99/H99,0)</f>
        <v/>
      </c>
      <c r="S99" s="47">
        <f>IFERROR(J99/I99,0)</f>
        <v/>
      </c>
      <c r="T99" s="47">
        <f>IFERROR(K99/J99,0)</f>
        <v/>
      </c>
      <c r="U99" s="56">
        <f>M99*P99+K99*V99</f>
        <v/>
      </c>
      <c r="V99" s="55" t="n">
        <v>90</v>
      </c>
      <c r="W99" s="54" t="n">
        <v>0</v>
      </c>
      <c r="X99" s="54" t="n">
        <v>0</v>
      </c>
      <c r="Y99" s="57">
        <f>W99+X99</f>
        <v/>
      </c>
      <c r="Z99" s="55" t="n">
        <v>0</v>
      </c>
      <c r="AA99" s="55" t="n">
        <v>0</v>
      </c>
      <c r="AB99" s="45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54" t="n">
        <v>1</v>
      </c>
      <c r="H100" s="54" t="n">
        <v>642</v>
      </c>
      <c r="I100" s="54" t="n">
        <v>128</v>
      </c>
      <c r="J100" s="54" t="n">
        <v>90</v>
      </c>
      <c r="K100" s="54" t="n">
        <v>38</v>
      </c>
      <c r="L100" s="54" t="n">
        <v>0</v>
      </c>
      <c r="M100" s="54" t="n">
        <v>38</v>
      </c>
      <c r="N100" s="54" t="n">
        <v>0</v>
      </c>
      <c r="O100" s="54" t="n">
        <v>2</v>
      </c>
      <c r="P100" s="55" t="n">
        <v>6650</v>
      </c>
      <c r="Q100" s="47">
        <f>IFERROR(M100/N100,0)</f>
        <v/>
      </c>
      <c r="R100" s="47">
        <f>IFERROR(I100/H100,0)</f>
        <v/>
      </c>
      <c r="S100" s="47">
        <f>IFERROR(J100/I100,0)</f>
        <v/>
      </c>
      <c r="T100" s="47">
        <f>IFERROR(K100/J100,0)</f>
        <v/>
      </c>
      <c r="U100" s="56">
        <f>M100*P100+K100*V100</f>
        <v/>
      </c>
      <c r="V100" s="55" t="n">
        <v>90</v>
      </c>
      <c r="W100" s="54" t="n">
        <v>243</v>
      </c>
      <c r="X100" s="54" t="n">
        <v>392</v>
      </c>
      <c r="Y100" s="57">
        <f>W100+X100</f>
        <v/>
      </c>
      <c r="Z100" s="55" t="n">
        <v>13575</v>
      </c>
      <c r="AA100" s="55" t="n">
        <v>18403</v>
      </c>
      <c r="AB100" s="45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54" t="n">
        <v>0</v>
      </c>
      <c r="H101" s="54" t="n">
        <v>0</v>
      </c>
      <c r="I101" s="54" t="n">
        <v>0</v>
      </c>
      <c r="J101" s="54" t="n">
        <v>0</v>
      </c>
      <c r="K101" s="54" t="n">
        <v>0</v>
      </c>
      <c r="L101" s="54" t="n">
        <v>37</v>
      </c>
      <c r="M101" s="54" t="n">
        <v>37</v>
      </c>
      <c r="N101" s="54" t="n">
        <v>38</v>
      </c>
      <c r="O101" s="54" t="n">
        <v>2</v>
      </c>
      <c r="P101" s="55" t="n">
        <v>6650</v>
      </c>
      <c r="Q101" s="47">
        <f>IFERROR(M101/N101,0)</f>
        <v/>
      </c>
      <c r="R101" s="47">
        <f>IFERROR(I101/H101,0)</f>
        <v/>
      </c>
      <c r="S101" s="47">
        <f>IFERROR(J101/I101,0)</f>
        <v/>
      </c>
      <c r="T101" s="47">
        <f>IFERROR(K101/J101,0)</f>
        <v/>
      </c>
      <c r="U101" s="56">
        <f>M101*P101+K101*V101</f>
        <v/>
      </c>
      <c r="V101" s="55" t="n">
        <v>90</v>
      </c>
      <c r="W101" s="54" t="n">
        <v>0</v>
      </c>
      <c r="X101" s="54" t="n">
        <v>0</v>
      </c>
      <c r="Y101" s="57">
        <f>W101+X101</f>
        <v/>
      </c>
      <c r="Z101" s="55" t="n">
        <v>0</v>
      </c>
      <c r="AA101" s="55" t="n">
        <v>0</v>
      </c>
      <c r="AB101" s="45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54" t="n">
        <v>0</v>
      </c>
      <c r="H102" s="54" t="n">
        <v>0</v>
      </c>
      <c r="I102" s="54" t="n">
        <v>0</v>
      </c>
      <c r="J102" s="54" t="n">
        <v>0</v>
      </c>
      <c r="K102" s="54" t="n">
        <v>0</v>
      </c>
      <c r="L102" s="54" t="n">
        <v>36</v>
      </c>
      <c r="M102" s="54" t="n">
        <v>36</v>
      </c>
      <c r="N102" s="54" t="n">
        <v>37</v>
      </c>
      <c r="O102" s="54" t="n">
        <v>2</v>
      </c>
      <c r="P102" s="55" t="n">
        <v>6650</v>
      </c>
      <c r="Q102" s="47">
        <f>IFERROR(M102/N102,0)</f>
        <v/>
      </c>
      <c r="R102" s="47">
        <f>IFERROR(I102/H102,0)</f>
        <v/>
      </c>
      <c r="S102" s="47">
        <f>IFERROR(J102/I102,0)</f>
        <v/>
      </c>
      <c r="T102" s="47">
        <f>IFERROR(K102/J102,0)</f>
        <v/>
      </c>
      <c r="U102" s="56">
        <f>M102*P102+K102*V102</f>
        <v/>
      </c>
      <c r="V102" s="55" t="n">
        <v>90</v>
      </c>
      <c r="W102" s="54" t="n">
        <v>0</v>
      </c>
      <c r="X102" s="54" t="n">
        <v>0</v>
      </c>
      <c r="Y102" s="57">
        <f>W102+X102</f>
        <v/>
      </c>
      <c r="Z102" s="55" t="n">
        <v>0</v>
      </c>
      <c r="AA102" s="55" t="n">
        <v>0</v>
      </c>
      <c r="AB102" s="45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54" t="n">
        <v>1</v>
      </c>
      <c r="H103" s="54" t="n">
        <v>642</v>
      </c>
      <c r="I103" s="54" t="n">
        <v>128</v>
      </c>
      <c r="J103" s="54" t="n">
        <v>90</v>
      </c>
      <c r="K103" s="54" t="n">
        <v>38</v>
      </c>
      <c r="L103" s="54" t="n">
        <v>0</v>
      </c>
      <c r="M103" s="54" t="n">
        <v>38</v>
      </c>
      <c r="N103" s="54" t="n">
        <v>0</v>
      </c>
      <c r="O103" s="54" t="n">
        <v>2</v>
      </c>
      <c r="P103" s="55" t="n">
        <v>6650</v>
      </c>
      <c r="Q103" s="47">
        <f>IFERROR(M103/N103,0)</f>
        <v/>
      </c>
      <c r="R103" s="47">
        <f>IFERROR(I103/H103,0)</f>
        <v/>
      </c>
      <c r="S103" s="47">
        <f>IFERROR(J103/I103,0)</f>
        <v/>
      </c>
      <c r="T103" s="47">
        <f>IFERROR(K103/J103,0)</f>
        <v/>
      </c>
      <c r="U103" s="56">
        <f>M103*P103+K103*V103</f>
        <v/>
      </c>
      <c r="V103" s="55" t="n">
        <v>90</v>
      </c>
      <c r="W103" s="54" t="n">
        <v>237</v>
      </c>
      <c r="X103" s="54" t="n">
        <v>399</v>
      </c>
      <c r="Y103" s="57">
        <f>W103+X103</f>
        <v/>
      </c>
      <c r="Z103" s="55" t="n">
        <v>13798</v>
      </c>
      <c r="AA103" s="55" t="n">
        <v>17870</v>
      </c>
      <c r="AB103" s="45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54" t="n">
        <v>0</v>
      </c>
      <c r="H104" s="54" t="n">
        <v>0</v>
      </c>
      <c r="I104" s="54" t="n">
        <v>0</v>
      </c>
      <c r="J104" s="54" t="n">
        <v>0</v>
      </c>
      <c r="K104" s="54" t="n">
        <v>0</v>
      </c>
      <c r="L104" s="54" t="n">
        <v>37</v>
      </c>
      <c r="M104" s="54" t="n">
        <v>37</v>
      </c>
      <c r="N104" s="54" t="n">
        <v>38</v>
      </c>
      <c r="O104" s="54" t="n">
        <v>2</v>
      </c>
      <c r="P104" s="55" t="n">
        <v>6650</v>
      </c>
      <c r="Q104" s="47">
        <f>IFERROR(M104/N104,0)</f>
        <v/>
      </c>
      <c r="R104" s="47">
        <f>IFERROR(I104/H104,0)</f>
        <v/>
      </c>
      <c r="S104" s="47">
        <f>IFERROR(J104/I104,0)</f>
        <v/>
      </c>
      <c r="T104" s="47">
        <f>IFERROR(K104/J104,0)</f>
        <v/>
      </c>
      <c r="U104" s="56">
        <f>M104*P104+K104*V104</f>
        <v/>
      </c>
      <c r="V104" s="55" t="n">
        <v>90</v>
      </c>
      <c r="W104" s="54" t="n">
        <v>0</v>
      </c>
      <c r="X104" s="54" t="n">
        <v>0</v>
      </c>
      <c r="Y104" s="57">
        <f>W104+X104</f>
        <v/>
      </c>
      <c r="Z104" s="55" t="n">
        <v>0</v>
      </c>
      <c r="AA104" s="55" t="n">
        <v>0</v>
      </c>
      <c r="AB104" s="45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54" t="n">
        <v>0</v>
      </c>
      <c r="H105" s="54" t="n">
        <v>0</v>
      </c>
      <c r="I105" s="54" t="n">
        <v>0</v>
      </c>
      <c r="J105" s="54" t="n">
        <v>0</v>
      </c>
      <c r="K105" s="54" t="n">
        <v>0</v>
      </c>
      <c r="L105" s="54" t="n">
        <v>36</v>
      </c>
      <c r="M105" s="54" t="n">
        <v>36</v>
      </c>
      <c r="N105" s="54" t="n">
        <v>37</v>
      </c>
      <c r="O105" s="54" t="n">
        <v>2</v>
      </c>
      <c r="P105" s="55" t="n">
        <v>6650</v>
      </c>
      <c r="Q105" s="47">
        <f>IFERROR(M105/N105,0)</f>
        <v/>
      </c>
      <c r="R105" s="47">
        <f>IFERROR(I105/H105,0)</f>
        <v/>
      </c>
      <c r="S105" s="47">
        <f>IFERROR(J105/I105,0)</f>
        <v/>
      </c>
      <c r="T105" s="47">
        <f>IFERROR(K105/J105,0)</f>
        <v/>
      </c>
      <c r="U105" s="56">
        <f>M105*P105+K105*V105</f>
        <v/>
      </c>
      <c r="V105" s="55" t="n">
        <v>90</v>
      </c>
      <c r="W105" s="54" t="n">
        <v>0</v>
      </c>
      <c r="X105" s="54" t="n">
        <v>0</v>
      </c>
      <c r="Y105" s="57">
        <f>W105+X105</f>
        <v/>
      </c>
      <c r="Z105" s="55" t="n">
        <v>0</v>
      </c>
      <c r="AA105" s="55" t="n">
        <v>0</v>
      </c>
      <c r="AB105" s="45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54" t="n">
        <v>1</v>
      </c>
      <c r="H106" s="54" t="n">
        <v>741</v>
      </c>
      <c r="I106" s="54" t="n">
        <v>148</v>
      </c>
      <c r="J106" s="54" t="n">
        <v>104</v>
      </c>
      <c r="K106" s="54" t="n">
        <v>43</v>
      </c>
      <c r="L106" s="54" t="n">
        <v>0</v>
      </c>
      <c r="M106" s="54" t="n">
        <v>43</v>
      </c>
      <c r="N106" s="54" t="n">
        <v>0</v>
      </c>
      <c r="O106" s="54" t="n">
        <v>2</v>
      </c>
      <c r="P106" s="55" t="n">
        <v>6300</v>
      </c>
      <c r="Q106" s="47">
        <f>IFERROR(M106/N106,0)</f>
        <v/>
      </c>
      <c r="R106" s="47">
        <f>IFERROR(I106/H106,0)</f>
        <v/>
      </c>
      <c r="S106" s="47">
        <f>IFERROR(J106/I106,0)</f>
        <v/>
      </c>
      <c r="T106" s="47">
        <f>IFERROR(K106/J106,0)</f>
        <v/>
      </c>
      <c r="U106" s="56">
        <f>M106*P106+K106*V106</f>
        <v/>
      </c>
      <c r="V106" s="55" t="n">
        <v>90</v>
      </c>
      <c r="W106" s="54" t="n">
        <v>355</v>
      </c>
      <c r="X106" s="54" t="n">
        <v>399</v>
      </c>
      <c r="Y106" s="57">
        <f>W106+X106</f>
        <v/>
      </c>
      <c r="Z106" s="55" t="n">
        <v>16642</v>
      </c>
      <c r="AA106" s="55" t="n">
        <v>29976</v>
      </c>
      <c r="AB106" s="45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54" t="n">
        <v>0</v>
      </c>
      <c r="H107" s="54" t="n">
        <v>0</v>
      </c>
      <c r="I107" s="54" t="n">
        <v>0</v>
      </c>
      <c r="J107" s="54" t="n">
        <v>0</v>
      </c>
      <c r="K107" s="54" t="n">
        <v>0</v>
      </c>
      <c r="L107" s="54" t="n">
        <v>42</v>
      </c>
      <c r="M107" s="54" t="n">
        <v>42</v>
      </c>
      <c r="N107" s="54" t="n">
        <v>43</v>
      </c>
      <c r="O107" s="54" t="n">
        <v>2</v>
      </c>
      <c r="P107" s="55" t="n">
        <v>6300</v>
      </c>
      <c r="Q107" s="47">
        <f>IFERROR(M107/N107,0)</f>
        <v/>
      </c>
      <c r="R107" s="47">
        <f>IFERROR(I107/H107,0)</f>
        <v/>
      </c>
      <c r="S107" s="47">
        <f>IFERROR(J107/I107,0)</f>
        <v/>
      </c>
      <c r="T107" s="47">
        <f>IFERROR(K107/J107,0)</f>
        <v/>
      </c>
      <c r="U107" s="56">
        <f>M107*P107+K107*V107</f>
        <v/>
      </c>
      <c r="V107" s="55" t="n">
        <v>90</v>
      </c>
      <c r="W107" s="54" t="n">
        <v>0</v>
      </c>
      <c r="X107" s="54" t="n">
        <v>0</v>
      </c>
      <c r="Y107" s="57">
        <f>W107+X107</f>
        <v/>
      </c>
      <c r="Z107" s="55" t="n">
        <v>0</v>
      </c>
      <c r="AA107" s="55" t="n">
        <v>0</v>
      </c>
      <c r="AB107" s="45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54" t="n">
        <v>1</v>
      </c>
      <c r="H108" s="54" t="n">
        <v>741</v>
      </c>
      <c r="I108" s="54" t="n">
        <v>148</v>
      </c>
      <c r="J108" s="54" t="n">
        <v>104</v>
      </c>
      <c r="K108" s="54" t="n">
        <v>43</v>
      </c>
      <c r="L108" s="54" t="n">
        <v>0</v>
      </c>
      <c r="M108" s="54" t="n">
        <v>43</v>
      </c>
      <c r="N108" s="54" t="n">
        <v>0</v>
      </c>
      <c r="O108" s="54" t="n">
        <v>2</v>
      </c>
      <c r="P108" s="55" t="n">
        <v>7350</v>
      </c>
      <c r="Q108" s="47">
        <f>IFERROR(M108/N108,0)</f>
        <v/>
      </c>
      <c r="R108" s="47">
        <f>IFERROR(I108/H108,0)</f>
        <v/>
      </c>
      <c r="S108" s="47">
        <f>IFERROR(J108/I108,0)</f>
        <v/>
      </c>
      <c r="T108" s="47">
        <f>IFERROR(K108/J108,0)</f>
        <v/>
      </c>
      <c r="U108" s="56">
        <f>M108*P108+K108*V108</f>
        <v/>
      </c>
      <c r="V108" s="55" t="n">
        <v>90</v>
      </c>
      <c r="W108" s="54" t="n">
        <v>355</v>
      </c>
      <c r="X108" s="54" t="n">
        <v>399</v>
      </c>
      <c r="Y108" s="57">
        <f>W108+X108</f>
        <v/>
      </c>
      <c r="Z108" s="55" t="n">
        <v>16642</v>
      </c>
      <c r="AA108" s="55" t="n">
        <v>29977</v>
      </c>
      <c r="AB108" s="45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54" t="n">
        <v>0</v>
      </c>
      <c r="H109" s="54" t="n">
        <v>0</v>
      </c>
      <c r="I109" s="54" t="n">
        <v>0</v>
      </c>
      <c r="J109" s="54" t="n">
        <v>0</v>
      </c>
      <c r="K109" s="54" t="n">
        <v>0</v>
      </c>
      <c r="L109" s="54" t="n">
        <v>42</v>
      </c>
      <c r="M109" s="54" t="n">
        <v>42</v>
      </c>
      <c r="N109" s="54" t="n">
        <v>43</v>
      </c>
      <c r="O109" s="54" t="n">
        <v>2</v>
      </c>
      <c r="P109" s="55" t="n">
        <v>7350</v>
      </c>
      <c r="Q109" s="47">
        <f>IFERROR(M109/N109,0)</f>
        <v/>
      </c>
      <c r="R109" s="47">
        <f>IFERROR(I109/H109,0)</f>
        <v/>
      </c>
      <c r="S109" s="47">
        <f>IFERROR(J109/I109,0)</f>
        <v/>
      </c>
      <c r="T109" s="47">
        <f>IFERROR(K109/J109,0)</f>
        <v/>
      </c>
      <c r="U109" s="56">
        <f>M109*P109+K109*V109</f>
        <v/>
      </c>
      <c r="V109" s="55" t="n">
        <v>90</v>
      </c>
      <c r="W109" s="54" t="n">
        <v>0</v>
      </c>
      <c r="X109" s="54" t="n">
        <v>0</v>
      </c>
      <c r="Y109" s="57">
        <f>W109+X109</f>
        <v/>
      </c>
      <c r="Z109" s="55" t="n">
        <v>0</v>
      </c>
      <c r="AA109" s="55" t="n">
        <v>0</v>
      </c>
      <c r="AB109" s="45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54" t="n">
        <v>1</v>
      </c>
      <c r="H110" s="54" t="n">
        <v>580</v>
      </c>
      <c r="I110" s="54" t="n">
        <v>116</v>
      </c>
      <c r="J110" s="54" t="n">
        <v>81</v>
      </c>
      <c r="K110" s="54" t="n">
        <v>34</v>
      </c>
      <c r="L110" s="54" t="n">
        <v>0</v>
      </c>
      <c r="M110" s="54" t="n">
        <v>34</v>
      </c>
      <c r="N110" s="54" t="n">
        <v>0</v>
      </c>
      <c r="O110" s="54" t="n">
        <v>2</v>
      </c>
      <c r="P110" s="55" t="n">
        <v>5820</v>
      </c>
      <c r="Q110" s="47">
        <f>IFERROR(M110/N110,0)</f>
        <v/>
      </c>
      <c r="R110" s="47">
        <f>IFERROR(I110/H110,0)</f>
        <v/>
      </c>
      <c r="S110" s="47">
        <f>IFERROR(J110/I110,0)</f>
        <v/>
      </c>
      <c r="T110" s="47">
        <f>IFERROR(K110/J110,0)</f>
        <v/>
      </c>
      <c r="U110" s="56">
        <f>M110*P110+K110*V110</f>
        <v/>
      </c>
      <c r="V110" s="55" t="n">
        <v>90</v>
      </c>
      <c r="W110" s="54" t="n">
        <v>314</v>
      </c>
      <c r="X110" s="54" t="n">
        <v>276</v>
      </c>
      <c r="Y110" s="57">
        <f>W110+X110</f>
        <v/>
      </c>
      <c r="Z110" s="55" t="n">
        <v>9986</v>
      </c>
      <c r="AA110" s="55" t="n">
        <v>26636</v>
      </c>
      <c r="AB110" s="45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54" t="n">
        <v>0</v>
      </c>
      <c r="H111" s="54" t="n">
        <v>0</v>
      </c>
      <c r="I111" s="54" t="n">
        <v>0</v>
      </c>
      <c r="J111" s="54" t="n">
        <v>0</v>
      </c>
      <c r="K111" s="54" t="n">
        <v>0</v>
      </c>
      <c r="L111" s="54" t="n">
        <v>33</v>
      </c>
      <c r="M111" s="54" t="n">
        <v>33</v>
      </c>
      <c r="N111" s="54" t="n">
        <v>34</v>
      </c>
      <c r="O111" s="54" t="n">
        <v>2</v>
      </c>
      <c r="P111" s="55" t="n">
        <v>5820</v>
      </c>
      <c r="Q111" s="47">
        <f>IFERROR(M111/N111,0)</f>
        <v/>
      </c>
      <c r="R111" s="47">
        <f>IFERROR(I111/H111,0)</f>
        <v/>
      </c>
      <c r="S111" s="47">
        <f>IFERROR(J111/I111,0)</f>
        <v/>
      </c>
      <c r="T111" s="47">
        <f>IFERROR(K111/J111,0)</f>
        <v/>
      </c>
      <c r="U111" s="56">
        <f>M111*P111+K111*V111</f>
        <v/>
      </c>
      <c r="V111" s="55" t="n">
        <v>90</v>
      </c>
      <c r="W111" s="54" t="n">
        <v>0</v>
      </c>
      <c r="X111" s="54" t="n">
        <v>0</v>
      </c>
      <c r="Y111" s="57">
        <f>W111+X111</f>
        <v/>
      </c>
      <c r="Z111" s="55" t="n">
        <v>0</v>
      </c>
      <c r="AA111" s="55" t="n">
        <v>0</v>
      </c>
      <c r="AB111" s="45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54" t="n">
        <v>1</v>
      </c>
      <c r="H112" s="54" t="n">
        <v>580</v>
      </c>
      <c r="I112" s="54" t="n">
        <v>116</v>
      </c>
      <c r="J112" s="54" t="n">
        <v>81</v>
      </c>
      <c r="K112" s="54" t="n">
        <v>34</v>
      </c>
      <c r="L112" s="54" t="n">
        <v>0</v>
      </c>
      <c r="M112" s="54" t="n">
        <v>34</v>
      </c>
      <c r="N112" s="54" t="n">
        <v>0</v>
      </c>
      <c r="O112" s="54" t="n">
        <v>2</v>
      </c>
      <c r="P112" s="55" t="n">
        <v>6790</v>
      </c>
      <c r="Q112" s="47">
        <f>IFERROR(M112/N112,0)</f>
        <v/>
      </c>
      <c r="R112" s="47">
        <f>IFERROR(I112/H112,0)</f>
        <v/>
      </c>
      <c r="S112" s="47">
        <f>IFERROR(J112/I112,0)</f>
        <v/>
      </c>
      <c r="T112" s="47">
        <f>IFERROR(K112/J112,0)</f>
        <v/>
      </c>
      <c r="U112" s="56">
        <f>M112*P112+K112*V112</f>
        <v/>
      </c>
      <c r="V112" s="55" t="n">
        <v>90</v>
      </c>
      <c r="W112" s="54" t="n">
        <v>313</v>
      </c>
      <c r="X112" s="54" t="n">
        <v>276</v>
      </c>
      <c r="Y112" s="57">
        <f>W112+X112</f>
        <v/>
      </c>
      <c r="Z112" s="55" t="n">
        <v>9985</v>
      </c>
      <c r="AA112" s="55" t="n">
        <v>26637</v>
      </c>
      <c r="AB112" s="45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54" t="n">
        <v>0</v>
      </c>
      <c r="H113" s="54" t="n">
        <v>0</v>
      </c>
      <c r="I113" s="54" t="n">
        <v>0</v>
      </c>
      <c r="J113" s="54" t="n">
        <v>0</v>
      </c>
      <c r="K113" s="54" t="n">
        <v>0</v>
      </c>
      <c r="L113" s="54" t="n">
        <v>33</v>
      </c>
      <c r="M113" s="54" t="n">
        <v>33</v>
      </c>
      <c r="N113" s="54" t="n">
        <v>34</v>
      </c>
      <c r="O113" s="54" t="n">
        <v>2</v>
      </c>
      <c r="P113" s="55" t="n">
        <v>6790</v>
      </c>
      <c r="Q113" s="47">
        <f>IFERROR(M113/N113,0)</f>
        <v/>
      </c>
      <c r="R113" s="47">
        <f>IFERROR(I113/H113,0)</f>
        <v/>
      </c>
      <c r="S113" s="47">
        <f>IFERROR(J113/I113,0)</f>
        <v/>
      </c>
      <c r="T113" s="47">
        <f>IFERROR(K113/J113,0)</f>
        <v/>
      </c>
      <c r="U113" s="56">
        <f>M113*P113+K113*V113</f>
        <v/>
      </c>
      <c r="V113" s="55" t="n">
        <v>90</v>
      </c>
      <c r="W113" s="54" t="n">
        <v>0</v>
      </c>
      <c r="X113" s="54" t="n">
        <v>0</v>
      </c>
      <c r="Y113" s="57">
        <f>W113+X113</f>
        <v/>
      </c>
      <c r="Z113" s="55" t="n">
        <v>0</v>
      </c>
      <c r="AA113" s="55" t="n">
        <v>0</v>
      </c>
      <c r="AB113" s="45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54" t="n">
        <v>1</v>
      </c>
      <c r="H114" s="54" t="n">
        <v>755</v>
      </c>
      <c r="I114" s="54" t="n">
        <v>151</v>
      </c>
      <c r="J114" s="54" t="n">
        <v>106</v>
      </c>
      <c r="K114" s="54" t="n">
        <v>44</v>
      </c>
      <c r="L114" s="54" t="n">
        <v>0</v>
      </c>
      <c r="M114" s="54" t="n">
        <v>44</v>
      </c>
      <c r="N114" s="54" t="n">
        <v>0</v>
      </c>
      <c r="O114" s="54" t="n">
        <v>2</v>
      </c>
      <c r="P114" s="55" t="n">
        <v>7840</v>
      </c>
      <c r="Q114" s="47">
        <f>IFERROR(M114/N114,0)</f>
        <v/>
      </c>
      <c r="R114" s="47">
        <f>IFERROR(I114/H114,0)</f>
        <v/>
      </c>
      <c r="S114" s="47">
        <f>IFERROR(J114/I114,0)</f>
        <v/>
      </c>
      <c r="T114" s="47">
        <f>IFERROR(K114/J114,0)</f>
        <v/>
      </c>
      <c r="U114" s="56">
        <f>M114*P114+K114*V114</f>
        <v/>
      </c>
      <c r="V114" s="55" t="n">
        <v>90</v>
      </c>
      <c r="W114" s="54" t="n">
        <v>235</v>
      </c>
      <c r="X114" s="54" t="n">
        <v>538</v>
      </c>
      <c r="Y114" s="57">
        <f>W114+X114</f>
        <v/>
      </c>
      <c r="Z114" s="55" t="n">
        <v>27491</v>
      </c>
      <c r="AA114" s="55" t="n">
        <v>20429</v>
      </c>
      <c r="AB114" s="45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54" t="n">
        <v>0</v>
      </c>
      <c r="H115" s="54" t="n">
        <v>0</v>
      </c>
      <c r="I115" s="54" t="n">
        <v>0</v>
      </c>
      <c r="J115" s="54" t="n">
        <v>0</v>
      </c>
      <c r="K115" s="54" t="n">
        <v>0</v>
      </c>
      <c r="L115" s="54" t="n">
        <v>43</v>
      </c>
      <c r="M115" s="54" t="n">
        <v>43</v>
      </c>
      <c r="N115" s="54" t="n">
        <v>44</v>
      </c>
      <c r="O115" s="54" t="n">
        <v>2</v>
      </c>
      <c r="P115" s="55" t="n">
        <v>7840</v>
      </c>
      <c r="Q115" s="47">
        <f>IFERROR(M115/N115,0)</f>
        <v/>
      </c>
      <c r="R115" s="47">
        <f>IFERROR(I115/H115,0)</f>
        <v/>
      </c>
      <c r="S115" s="47">
        <f>IFERROR(J115/I115,0)</f>
        <v/>
      </c>
      <c r="T115" s="47">
        <f>IFERROR(K115/J115,0)</f>
        <v/>
      </c>
      <c r="U115" s="56">
        <f>M115*P115+K115*V115</f>
        <v/>
      </c>
      <c r="V115" s="55" t="n">
        <v>90</v>
      </c>
      <c r="W115" s="54" t="n">
        <v>0</v>
      </c>
      <c r="X115" s="54" t="n">
        <v>0</v>
      </c>
      <c r="Y115" s="57">
        <f>W115+X115</f>
        <v/>
      </c>
      <c r="Z115" s="55" t="n">
        <v>0</v>
      </c>
      <c r="AA115" s="55" t="n">
        <v>0</v>
      </c>
      <c r="AB115" s="45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54" t="n">
        <v>0</v>
      </c>
      <c r="H116" s="54" t="n">
        <v>0</v>
      </c>
      <c r="I116" s="54" t="n">
        <v>0</v>
      </c>
      <c r="J116" s="54" t="n">
        <v>0</v>
      </c>
      <c r="K116" s="54" t="n">
        <v>0</v>
      </c>
      <c r="L116" s="54" t="n">
        <v>42</v>
      </c>
      <c r="M116" s="54" t="n">
        <v>42</v>
      </c>
      <c r="N116" s="54" t="n">
        <v>43</v>
      </c>
      <c r="O116" s="54" t="n">
        <v>2</v>
      </c>
      <c r="P116" s="55" t="n">
        <v>7840</v>
      </c>
      <c r="Q116" s="47">
        <f>IFERROR(M116/N116,0)</f>
        <v/>
      </c>
      <c r="R116" s="47">
        <f>IFERROR(I116/H116,0)</f>
        <v/>
      </c>
      <c r="S116" s="47">
        <f>IFERROR(J116/I116,0)</f>
        <v/>
      </c>
      <c r="T116" s="47">
        <f>IFERROR(K116/J116,0)</f>
        <v/>
      </c>
      <c r="U116" s="56">
        <f>M116*P116+K116*V116</f>
        <v/>
      </c>
      <c r="V116" s="55" t="n">
        <v>90</v>
      </c>
      <c r="W116" s="54" t="n">
        <v>0</v>
      </c>
      <c r="X116" s="54" t="n">
        <v>0</v>
      </c>
      <c r="Y116" s="57">
        <f>W116+X116</f>
        <v/>
      </c>
      <c r="Z116" s="55" t="n">
        <v>0</v>
      </c>
      <c r="AA116" s="55" t="n">
        <v>0</v>
      </c>
      <c r="AB116" s="45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54" t="n">
        <v>1</v>
      </c>
      <c r="H117" s="54" t="n">
        <v>642</v>
      </c>
      <c r="I117" s="54" t="n">
        <v>128</v>
      </c>
      <c r="J117" s="54" t="n">
        <v>90</v>
      </c>
      <c r="K117" s="54" t="n">
        <v>38</v>
      </c>
      <c r="L117" s="54" t="n">
        <v>0</v>
      </c>
      <c r="M117" s="54" t="n">
        <v>38</v>
      </c>
      <c r="N117" s="54" t="n">
        <v>0</v>
      </c>
      <c r="O117" s="54" t="n">
        <v>2</v>
      </c>
      <c r="P117" s="55" t="n">
        <v>7350</v>
      </c>
      <c r="Q117" s="47">
        <f>IFERROR(M117/N117,0)</f>
        <v/>
      </c>
      <c r="R117" s="47">
        <f>IFERROR(I117/H117,0)</f>
        <v/>
      </c>
      <c r="S117" s="47">
        <f>IFERROR(J117/I117,0)</f>
        <v/>
      </c>
      <c r="T117" s="47">
        <f>IFERROR(K117/J117,0)</f>
        <v/>
      </c>
      <c r="U117" s="56">
        <f>M117*P117+K117*V117</f>
        <v/>
      </c>
      <c r="V117" s="55" t="n">
        <v>90</v>
      </c>
      <c r="W117" s="54" t="n">
        <v>247</v>
      </c>
      <c r="X117" s="54" t="n">
        <v>410</v>
      </c>
      <c r="Y117" s="57">
        <f>W117+X117</f>
        <v/>
      </c>
      <c r="Z117" s="55" t="n">
        <v>17136</v>
      </c>
      <c r="AA117" s="55" t="n">
        <v>21550</v>
      </c>
      <c r="AB117" s="45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54" t="n">
        <v>0</v>
      </c>
      <c r="H118" s="54" t="n">
        <v>0</v>
      </c>
      <c r="I118" s="54" t="n">
        <v>0</v>
      </c>
      <c r="J118" s="54" t="n">
        <v>0</v>
      </c>
      <c r="K118" s="54" t="n">
        <v>0</v>
      </c>
      <c r="L118" s="54" t="n">
        <v>37</v>
      </c>
      <c r="M118" s="54" t="n">
        <v>37</v>
      </c>
      <c r="N118" s="54" t="n">
        <v>38</v>
      </c>
      <c r="O118" s="54" t="n">
        <v>2</v>
      </c>
      <c r="P118" s="55" t="n">
        <v>7350</v>
      </c>
      <c r="Q118" s="47">
        <f>IFERROR(M118/N118,0)</f>
        <v/>
      </c>
      <c r="R118" s="47">
        <f>IFERROR(I118/H118,0)</f>
        <v/>
      </c>
      <c r="S118" s="47">
        <f>IFERROR(J118/I118,0)</f>
        <v/>
      </c>
      <c r="T118" s="47">
        <f>IFERROR(K118/J118,0)</f>
        <v/>
      </c>
      <c r="U118" s="56">
        <f>M118*P118+K118*V118</f>
        <v/>
      </c>
      <c r="V118" s="55" t="n">
        <v>90</v>
      </c>
      <c r="W118" s="54" t="n">
        <v>0</v>
      </c>
      <c r="X118" s="54" t="n">
        <v>0</v>
      </c>
      <c r="Y118" s="57">
        <f>W118+X118</f>
        <v/>
      </c>
      <c r="Z118" s="55" t="n">
        <v>0</v>
      </c>
      <c r="AA118" s="55" t="n">
        <v>0</v>
      </c>
      <c r="AB118" s="45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54" t="n">
        <v>0</v>
      </c>
      <c r="H119" s="54" t="n">
        <v>0</v>
      </c>
      <c r="I119" s="54" t="n">
        <v>0</v>
      </c>
      <c r="J119" s="54" t="n">
        <v>0</v>
      </c>
      <c r="K119" s="54" t="n">
        <v>0</v>
      </c>
      <c r="L119" s="54" t="n">
        <v>36</v>
      </c>
      <c r="M119" s="54" t="n">
        <v>36</v>
      </c>
      <c r="N119" s="54" t="n">
        <v>37</v>
      </c>
      <c r="O119" s="54" t="n">
        <v>2</v>
      </c>
      <c r="P119" s="55" t="n">
        <v>7350</v>
      </c>
      <c r="Q119" s="47">
        <f>IFERROR(M119/N119,0)</f>
        <v/>
      </c>
      <c r="R119" s="47">
        <f>IFERROR(I119/H119,0)</f>
        <v/>
      </c>
      <c r="S119" s="47">
        <f>IFERROR(J119/I119,0)</f>
        <v/>
      </c>
      <c r="T119" s="47">
        <f>IFERROR(K119/J119,0)</f>
        <v/>
      </c>
      <c r="U119" s="56">
        <f>M119*P119+K119*V119</f>
        <v/>
      </c>
      <c r="V119" s="55" t="n">
        <v>90</v>
      </c>
      <c r="W119" s="54" t="n">
        <v>0</v>
      </c>
      <c r="X119" s="54" t="n">
        <v>0</v>
      </c>
      <c r="Y119" s="57">
        <f>W119+X119</f>
        <v/>
      </c>
      <c r="Z119" s="55" t="n">
        <v>0</v>
      </c>
      <c r="AA119" s="55" t="n">
        <v>0</v>
      </c>
      <c r="AB119" s="45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54" t="n">
        <v>1</v>
      </c>
      <c r="H120" s="54" t="n">
        <v>575</v>
      </c>
      <c r="I120" s="54" t="n">
        <v>161</v>
      </c>
      <c r="J120" s="54" t="n">
        <v>116</v>
      </c>
      <c r="K120" s="54" t="n">
        <v>69</v>
      </c>
      <c r="L120" s="54" t="n">
        <v>0</v>
      </c>
      <c r="M120" s="54" t="n">
        <v>69</v>
      </c>
      <c r="N120" s="54" t="n">
        <v>0</v>
      </c>
      <c r="O120" s="54" t="n">
        <v>3</v>
      </c>
      <c r="P120" s="55" t="n">
        <v>8400</v>
      </c>
      <c r="Q120" s="47">
        <f>IFERROR(M120/N120,0)</f>
        <v/>
      </c>
      <c r="R120" s="47">
        <f>IFERROR(I120/H120,0)</f>
        <v/>
      </c>
      <c r="S120" s="47">
        <f>IFERROR(J120/I120,0)</f>
        <v/>
      </c>
      <c r="T120" s="47">
        <f>IFERROR(K120/J120,0)</f>
        <v/>
      </c>
      <c r="U120" s="56">
        <f>M120*P120+K120*V120</f>
        <v/>
      </c>
      <c r="V120" s="55" t="n">
        <v>90</v>
      </c>
      <c r="W120" s="54" t="n">
        <v>203</v>
      </c>
      <c r="X120" s="54" t="n">
        <v>379</v>
      </c>
      <c r="Y120" s="57">
        <f>W120+X120</f>
        <v/>
      </c>
      <c r="Z120" s="55" t="n">
        <v>18451</v>
      </c>
      <c r="AA120" s="55" t="n">
        <v>13653</v>
      </c>
      <c r="AB120" s="45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54" t="n">
        <v>0</v>
      </c>
      <c r="H121" s="54" t="n">
        <v>0</v>
      </c>
      <c r="I121" s="54" t="n">
        <v>0</v>
      </c>
      <c r="J121" s="54" t="n">
        <v>0</v>
      </c>
      <c r="K121" s="54" t="n">
        <v>0</v>
      </c>
      <c r="L121" s="54" t="n">
        <v>68</v>
      </c>
      <c r="M121" s="54" t="n">
        <v>68</v>
      </c>
      <c r="N121" s="54" t="n">
        <v>69</v>
      </c>
      <c r="O121" s="54" t="n">
        <v>3</v>
      </c>
      <c r="P121" s="55" t="n">
        <v>7840</v>
      </c>
      <c r="Q121" s="47">
        <f>IFERROR(M121/N121,0)</f>
        <v/>
      </c>
      <c r="R121" s="47">
        <f>IFERROR(I121/H121,0)</f>
        <v/>
      </c>
      <c r="S121" s="47">
        <f>IFERROR(J121/I121,0)</f>
        <v/>
      </c>
      <c r="T121" s="47">
        <f>IFERROR(K121/J121,0)</f>
        <v/>
      </c>
      <c r="U121" s="56">
        <f>M121*P121+K121*V121</f>
        <v/>
      </c>
      <c r="V121" s="55" t="n">
        <v>90</v>
      </c>
      <c r="W121" s="54" t="n">
        <v>0</v>
      </c>
      <c r="X121" s="54" t="n">
        <v>0</v>
      </c>
      <c r="Y121" s="57">
        <f>W121+X121</f>
        <v/>
      </c>
      <c r="Z121" s="55" t="n">
        <v>0</v>
      </c>
      <c r="AA121" s="55" t="n">
        <v>0</v>
      </c>
      <c r="AB121" s="45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54" t="n">
        <v>0</v>
      </c>
      <c r="H122" s="54" t="n">
        <v>0</v>
      </c>
      <c r="I122" s="54" t="n">
        <v>0</v>
      </c>
      <c r="J122" s="54" t="n">
        <v>0</v>
      </c>
      <c r="K122" s="54" t="n">
        <v>0</v>
      </c>
      <c r="L122" s="54" t="n">
        <v>66</v>
      </c>
      <c r="M122" s="54" t="n">
        <v>66</v>
      </c>
      <c r="N122" s="54" t="n">
        <v>68</v>
      </c>
      <c r="O122" s="54" t="n">
        <v>3</v>
      </c>
      <c r="P122" s="55" t="n">
        <v>7840</v>
      </c>
      <c r="Q122" s="47">
        <f>IFERROR(M122/N122,0)</f>
        <v/>
      </c>
      <c r="R122" s="47">
        <f>IFERROR(I122/H122,0)</f>
        <v/>
      </c>
      <c r="S122" s="47">
        <f>IFERROR(J122/I122,0)</f>
        <v/>
      </c>
      <c r="T122" s="47">
        <f>IFERROR(K122/J122,0)</f>
        <v/>
      </c>
      <c r="U122" s="56">
        <f>M122*P122+K122*V122</f>
        <v/>
      </c>
      <c r="V122" s="55" t="n">
        <v>90</v>
      </c>
      <c r="W122" s="54" t="n">
        <v>0</v>
      </c>
      <c r="X122" s="54" t="n">
        <v>0</v>
      </c>
      <c r="Y122" s="57">
        <f>W122+X122</f>
        <v/>
      </c>
      <c r="Z122" s="55" t="n">
        <v>0</v>
      </c>
      <c r="AA122" s="55" t="n">
        <v>0</v>
      </c>
      <c r="AB122" s="45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54" t="n">
        <v>1</v>
      </c>
      <c r="H123" s="54" t="n">
        <v>1184</v>
      </c>
      <c r="I123" s="54" t="n">
        <v>237</v>
      </c>
      <c r="J123" s="54" t="n">
        <v>166</v>
      </c>
      <c r="K123" s="54" t="n">
        <v>69</v>
      </c>
      <c r="L123" s="54" t="n">
        <v>0</v>
      </c>
      <c r="M123" s="54" t="n">
        <v>69</v>
      </c>
      <c r="N123" s="54" t="n">
        <v>0</v>
      </c>
      <c r="O123" s="54" t="n">
        <v>3</v>
      </c>
      <c r="P123" s="55" t="n">
        <v>8400</v>
      </c>
      <c r="Q123" s="47">
        <f>IFERROR(M123/N123,0)</f>
        <v/>
      </c>
      <c r="R123" s="47">
        <f>IFERROR(I123/H123,0)</f>
        <v/>
      </c>
      <c r="S123" s="47">
        <f>IFERROR(J123/I123,0)</f>
        <v/>
      </c>
      <c r="T123" s="47">
        <f>IFERROR(K123/J123,0)</f>
        <v/>
      </c>
      <c r="U123" s="56">
        <f>M123*P123+K123*V123</f>
        <v/>
      </c>
      <c r="V123" s="55" t="n">
        <v>90</v>
      </c>
      <c r="W123" s="54" t="n">
        <v>418</v>
      </c>
      <c r="X123" s="54" t="n">
        <v>779</v>
      </c>
      <c r="Y123" s="57">
        <f>W123+X123</f>
        <v/>
      </c>
      <c r="Z123" s="55" t="n">
        <v>37987</v>
      </c>
      <c r="AA123" s="55" t="n">
        <v>28108</v>
      </c>
      <c r="AB123" s="45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54" t="n">
        <v>0</v>
      </c>
      <c r="H124" s="54" t="n">
        <v>0</v>
      </c>
      <c r="I124" s="54" t="n">
        <v>0</v>
      </c>
      <c r="J124" s="54" t="n">
        <v>0</v>
      </c>
      <c r="K124" s="54" t="n">
        <v>0</v>
      </c>
      <c r="L124" s="54" t="n">
        <v>68</v>
      </c>
      <c r="M124" s="54" t="n">
        <v>68</v>
      </c>
      <c r="N124" s="54" t="n">
        <v>69</v>
      </c>
      <c r="O124" s="54" t="n">
        <v>3</v>
      </c>
      <c r="P124" s="55" t="n">
        <v>8400</v>
      </c>
      <c r="Q124" s="47">
        <f>IFERROR(M124/N124,0)</f>
        <v/>
      </c>
      <c r="R124" s="47">
        <f>IFERROR(I124/H124,0)</f>
        <v/>
      </c>
      <c r="S124" s="47">
        <f>IFERROR(J124/I124,0)</f>
        <v/>
      </c>
      <c r="T124" s="47">
        <f>IFERROR(K124/J124,0)</f>
        <v/>
      </c>
      <c r="U124" s="56">
        <f>M124*P124+K124*V124</f>
        <v/>
      </c>
      <c r="V124" s="55" t="n">
        <v>90</v>
      </c>
      <c r="W124" s="54" t="n">
        <v>0</v>
      </c>
      <c r="X124" s="54" t="n">
        <v>0</v>
      </c>
      <c r="Y124" s="57">
        <f>W124+X124</f>
        <v/>
      </c>
      <c r="Z124" s="55" t="n">
        <v>0</v>
      </c>
      <c r="AA124" s="55" t="n">
        <v>0</v>
      </c>
      <c r="AB124" s="45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54" t="n">
        <v>1</v>
      </c>
      <c r="H125" s="54" t="n">
        <v>486</v>
      </c>
      <c r="I125" s="54" t="n">
        <v>136</v>
      </c>
      <c r="J125" s="54" t="n">
        <v>98</v>
      </c>
      <c r="K125" s="54" t="n">
        <v>59</v>
      </c>
      <c r="L125" s="54" t="n">
        <v>0</v>
      </c>
      <c r="M125" s="54" t="n">
        <v>59</v>
      </c>
      <c r="N125" s="54" t="n">
        <v>0</v>
      </c>
      <c r="O125" s="54" t="n">
        <v>3</v>
      </c>
      <c r="P125" s="55" t="n">
        <v>7875</v>
      </c>
      <c r="Q125" s="47">
        <f>IFERROR(M125/N125,0)</f>
        <v/>
      </c>
      <c r="R125" s="47">
        <f>IFERROR(I125/H125,0)</f>
        <v/>
      </c>
      <c r="S125" s="47">
        <f>IFERROR(J125/I125,0)</f>
        <v/>
      </c>
      <c r="T125" s="47">
        <f>IFERROR(K125/J125,0)</f>
        <v/>
      </c>
      <c r="U125" s="56">
        <f>M125*P125+K125*V125</f>
        <v/>
      </c>
      <c r="V125" s="55" t="n">
        <v>90</v>
      </c>
      <c r="W125" s="54" t="n">
        <v>205</v>
      </c>
      <c r="X125" s="54" t="n">
        <v>283</v>
      </c>
      <c r="Y125" s="57">
        <f>W125+X125</f>
        <v/>
      </c>
      <c r="Z125" s="55" t="n">
        <v>11317</v>
      </c>
      <c r="AA125" s="55" t="n">
        <v>14174</v>
      </c>
      <c r="AB125" s="45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54" t="n">
        <v>0</v>
      </c>
      <c r="H126" s="54" t="n">
        <v>0</v>
      </c>
      <c r="I126" s="54" t="n">
        <v>0</v>
      </c>
      <c r="J126" s="54" t="n">
        <v>0</v>
      </c>
      <c r="K126" s="54" t="n">
        <v>0</v>
      </c>
      <c r="L126" s="54" t="n">
        <v>57</v>
      </c>
      <c r="M126" s="54" t="n">
        <v>57</v>
      </c>
      <c r="N126" s="54" t="n">
        <v>59</v>
      </c>
      <c r="O126" s="54" t="n">
        <v>2</v>
      </c>
      <c r="P126" s="55" t="n">
        <v>7350</v>
      </c>
      <c r="Q126" s="47">
        <f>IFERROR(M126/N126,0)</f>
        <v/>
      </c>
      <c r="R126" s="47">
        <f>IFERROR(I126/H126,0)</f>
        <v/>
      </c>
      <c r="S126" s="47">
        <f>IFERROR(J126/I126,0)</f>
        <v/>
      </c>
      <c r="T126" s="47">
        <f>IFERROR(K126/J126,0)</f>
        <v/>
      </c>
      <c r="U126" s="56">
        <f>M126*P126+K126*V126</f>
        <v/>
      </c>
      <c r="V126" s="55" t="n">
        <v>90</v>
      </c>
      <c r="W126" s="54" t="n">
        <v>0</v>
      </c>
      <c r="X126" s="54" t="n">
        <v>0</v>
      </c>
      <c r="Y126" s="57">
        <f>W126+X126</f>
        <v/>
      </c>
      <c r="Z126" s="55" t="n">
        <v>0</v>
      </c>
      <c r="AA126" s="55" t="n">
        <v>0</v>
      </c>
      <c r="AB126" s="45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54" t="n">
        <v>0</v>
      </c>
      <c r="H127" s="54" t="n">
        <v>0</v>
      </c>
      <c r="I127" s="54" t="n">
        <v>0</v>
      </c>
      <c r="J127" s="54" t="n">
        <v>0</v>
      </c>
      <c r="K127" s="54" t="n">
        <v>0</v>
      </c>
      <c r="L127" s="54" t="n">
        <v>56</v>
      </c>
      <c r="M127" s="54" t="n">
        <v>56</v>
      </c>
      <c r="N127" s="54" t="n">
        <v>57</v>
      </c>
      <c r="O127" s="54" t="n">
        <v>2</v>
      </c>
      <c r="P127" s="55" t="n">
        <v>7350</v>
      </c>
      <c r="Q127" s="47">
        <f>IFERROR(M127/N127,0)</f>
        <v/>
      </c>
      <c r="R127" s="47">
        <f>IFERROR(I127/H127,0)</f>
        <v/>
      </c>
      <c r="S127" s="47">
        <f>IFERROR(J127/I127,0)</f>
        <v/>
      </c>
      <c r="T127" s="47">
        <f>IFERROR(K127/J127,0)</f>
        <v/>
      </c>
      <c r="U127" s="56">
        <f>M127*P127+K127*V127</f>
        <v/>
      </c>
      <c r="V127" s="55" t="n">
        <v>90</v>
      </c>
      <c r="W127" s="54" t="n">
        <v>0</v>
      </c>
      <c r="X127" s="54" t="n">
        <v>0</v>
      </c>
      <c r="Y127" s="57">
        <f>W127+X127</f>
        <v/>
      </c>
      <c r="Z127" s="55" t="n">
        <v>0</v>
      </c>
      <c r="AA127" s="55" t="n">
        <v>0</v>
      </c>
      <c r="AB127" s="45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54" t="n">
        <v>1</v>
      </c>
      <c r="H128" s="54" t="n">
        <v>997</v>
      </c>
      <c r="I128" s="54" t="n">
        <v>199</v>
      </c>
      <c r="J128" s="54" t="n">
        <v>140</v>
      </c>
      <c r="K128" s="54" t="n">
        <v>59</v>
      </c>
      <c r="L128" s="54" t="n">
        <v>0</v>
      </c>
      <c r="M128" s="54" t="n">
        <v>59</v>
      </c>
      <c r="N128" s="54" t="n">
        <v>0</v>
      </c>
      <c r="O128" s="54" t="n">
        <v>3</v>
      </c>
      <c r="P128" s="55" t="n">
        <v>7875</v>
      </c>
      <c r="Q128" s="47">
        <f>IFERROR(M128/N128,0)</f>
        <v/>
      </c>
      <c r="R128" s="47">
        <f>IFERROR(I128/H128,0)</f>
        <v/>
      </c>
      <c r="S128" s="47">
        <f>IFERROR(J128/I128,0)</f>
        <v/>
      </c>
      <c r="T128" s="47">
        <f>IFERROR(K128/J128,0)</f>
        <v/>
      </c>
      <c r="U128" s="56">
        <f>M128*P128+K128*V128</f>
        <v/>
      </c>
      <c r="V128" s="55" t="n">
        <v>90</v>
      </c>
      <c r="W128" s="54" t="n">
        <v>421</v>
      </c>
      <c r="X128" s="54" t="n">
        <v>580</v>
      </c>
      <c r="Y128" s="57">
        <f>W128+X128</f>
        <v/>
      </c>
      <c r="Z128" s="55" t="n">
        <v>23215</v>
      </c>
      <c r="AA128" s="55" t="n">
        <v>29076</v>
      </c>
      <c r="AB128" s="45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54" t="n">
        <v>0</v>
      </c>
      <c r="H129" s="54" t="n">
        <v>0</v>
      </c>
      <c r="I129" s="54" t="n">
        <v>0</v>
      </c>
      <c r="J129" s="54" t="n">
        <v>0</v>
      </c>
      <c r="K129" s="54" t="n">
        <v>0</v>
      </c>
      <c r="L129" s="54" t="n">
        <v>58</v>
      </c>
      <c r="M129" s="54" t="n">
        <v>58</v>
      </c>
      <c r="N129" s="54" t="n">
        <v>59</v>
      </c>
      <c r="O129" s="54" t="n">
        <v>3</v>
      </c>
      <c r="P129" s="55" t="n">
        <v>7875</v>
      </c>
      <c r="Q129" s="47">
        <f>IFERROR(M129/N129,0)</f>
        <v/>
      </c>
      <c r="R129" s="47">
        <f>IFERROR(I129/H129,0)</f>
        <v/>
      </c>
      <c r="S129" s="47">
        <f>IFERROR(J129/I129,0)</f>
        <v/>
      </c>
      <c r="T129" s="47">
        <f>IFERROR(K129/J129,0)</f>
        <v/>
      </c>
      <c r="U129" s="56">
        <f>M129*P129+K129*V129</f>
        <v/>
      </c>
      <c r="V129" s="55" t="n">
        <v>90</v>
      </c>
      <c r="W129" s="54" t="n">
        <v>0</v>
      </c>
      <c r="X129" s="54" t="n">
        <v>0</v>
      </c>
      <c r="Y129" s="57">
        <f>W129+X129</f>
        <v/>
      </c>
      <c r="Z129" s="55" t="n">
        <v>0</v>
      </c>
      <c r="AA129" s="55" t="n">
        <v>0</v>
      </c>
      <c r="AB129" s="45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54" t="n">
        <v>1</v>
      </c>
      <c r="H130" s="54" t="n">
        <v>441</v>
      </c>
      <c r="I130" s="54" t="n">
        <v>124</v>
      </c>
      <c r="J130" s="54" t="n">
        <v>89</v>
      </c>
      <c r="K130" s="54" t="n">
        <v>53</v>
      </c>
      <c r="L130" s="54" t="n">
        <v>0</v>
      </c>
      <c r="M130" s="54" t="n">
        <v>53</v>
      </c>
      <c r="N130" s="54" t="n">
        <v>0</v>
      </c>
      <c r="O130" s="54" t="n">
        <v>2</v>
      </c>
      <c r="P130" s="55" t="n">
        <v>7500</v>
      </c>
      <c r="Q130" s="47">
        <f>IFERROR(M130/N130,0)</f>
        <v/>
      </c>
      <c r="R130" s="47">
        <f>IFERROR(I130/H130,0)</f>
        <v/>
      </c>
      <c r="S130" s="47">
        <f>IFERROR(J130/I130,0)</f>
        <v/>
      </c>
      <c r="T130" s="47">
        <f>IFERROR(K130/J130,0)</f>
        <v/>
      </c>
      <c r="U130" s="56">
        <f>M130*P130+K130*V130</f>
        <v/>
      </c>
      <c r="V130" s="55" t="n">
        <v>90</v>
      </c>
      <c r="W130" s="54" t="n">
        <v>208</v>
      </c>
      <c r="X130" s="54" t="n">
        <v>233</v>
      </c>
      <c r="Y130" s="57">
        <f>W130+X130</f>
        <v/>
      </c>
      <c r="Z130" s="55" t="n">
        <v>8526</v>
      </c>
      <c r="AA130" s="55" t="n">
        <v>14648</v>
      </c>
      <c r="AB130" s="45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54" t="n">
        <v>0</v>
      </c>
      <c r="H131" s="54" t="n">
        <v>0</v>
      </c>
      <c r="I131" s="54" t="n">
        <v>0</v>
      </c>
      <c r="J131" s="54" t="n">
        <v>0</v>
      </c>
      <c r="K131" s="54" t="n">
        <v>0</v>
      </c>
      <c r="L131" s="54" t="n">
        <v>52</v>
      </c>
      <c r="M131" s="54" t="n">
        <v>52</v>
      </c>
      <c r="N131" s="54" t="n">
        <v>53</v>
      </c>
      <c r="O131" s="54" t="n">
        <v>2</v>
      </c>
      <c r="P131" s="55" t="n">
        <v>7000</v>
      </c>
      <c r="Q131" s="47">
        <f>IFERROR(M131/N131,0)</f>
        <v/>
      </c>
      <c r="R131" s="47">
        <f>IFERROR(I131/H131,0)</f>
        <v/>
      </c>
      <c r="S131" s="47">
        <f>IFERROR(J131/I131,0)</f>
        <v/>
      </c>
      <c r="T131" s="47">
        <f>IFERROR(K131/J131,0)</f>
        <v/>
      </c>
      <c r="U131" s="56">
        <f>M131*P131+K131*V131</f>
        <v/>
      </c>
      <c r="V131" s="55" t="n">
        <v>90</v>
      </c>
      <c r="W131" s="54" t="n">
        <v>0</v>
      </c>
      <c r="X131" s="54" t="n">
        <v>0</v>
      </c>
      <c r="Y131" s="57">
        <f>W131+X131</f>
        <v/>
      </c>
      <c r="Z131" s="55" t="n">
        <v>0</v>
      </c>
      <c r="AA131" s="55" t="n">
        <v>0</v>
      </c>
      <c r="AB131" s="45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54" t="n">
        <v>0</v>
      </c>
      <c r="H132" s="54" t="n">
        <v>0</v>
      </c>
      <c r="I132" s="54" t="n">
        <v>0</v>
      </c>
      <c r="J132" s="54" t="n">
        <v>0</v>
      </c>
      <c r="K132" s="54" t="n">
        <v>0</v>
      </c>
      <c r="L132" s="54" t="n">
        <v>51</v>
      </c>
      <c r="M132" s="54" t="n">
        <v>51</v>
      </c>
      <c r="N132" s="54" t="n">
        <v>52</v>
      </c>
      <c r="O132" s="54" t="n">
        <v>2</v>
      </c>
      <c r="P132" s="55" t="n">
        <v>7000</v>
      </c>
      <c r="Q132" s="47">
        <f>IFERROR(M132/N132,0)</f>
        <v/>
      </c>
      <c r="R132" s="47">
        <f>IFERROR(I132/H132,0)</f>
        <v/>
      </c>
      <c r="S132" s="47">
        <f>IFERROR(J132/I132,0)</f>
        <v/>
      </c>
      <c r="T132" s="47">
        <f>IFERROR(K132/J132,0)</f>
        <v/>
      </c>
      <c r="U132" s="56">
        <f>M132*P132+K132*V132</f>
        <v/>
      </c>
      <c r="V132" s="55" t="n">
        <v>90</v>
      </c>
      <c r="W132" s="54" t="n">
        <v>0</v>
      </c>
      <c r="X132" s="54" t="n">
        <v>0</v>
      </c>
      <c r="Y132" s="57">
        <f>W132+X132</f>
        <v/>
      </c>
      <c r="Z132" s="55" t="n">
        <v>0</v>
      </c>
      <c r="AA132" s="55" t="n">
        <v>0</v>
      </c>
      <c r="AB132" s="45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54" t="n">
        <v>1</v>
      </c>
      <c r="H133" s="54" t="n">
        <v>908</v>
      </c>
      <c r="I133" s="54" t="n">
        <v>182</v>
      </c>
      <c r="J133" s="54" t="n">
        <v>127</v>
      </c>
      <c r="K133" s="54" t="n">
        <v>53</v>
      </c>
      <c r="L133" s="54" t="n">
        <v>0</v>
      </c>
      <c r="M133" s="54" t="n">
        <v>53</v>
      </c>
      <c r="N133" s="54" t="n">
        <v>0</v>
      </c>
      <c r="O133" s="54" t="n">
        <v>3</v>
      </c>
      <c r="P133" s="55" t="n">
        <v>7500</v>
      </c>
      <c r="Q133" s="47">
        <f>IFERROR(M133/N133,0)</f>
        <v/>
      </c>
      <c r="R133" s="47">
        <f>IFERROR(I133/H133,0)</f>
        <v/>
      </c>
      <c r="S133" s="47">
        <f>IFERROR(J133/I133,0)</f>
        <v/>
      </c>
      <c r="T133" s="47">
        <f>IFERROR(K133/J133,0)</f>
        <v/>
      </c>
      <c r="U133" s="56">
        <f>M133*P133+K133*V133</f>
        <v/>
      </c>
      <c r="V133" s="55" t="n">
        <v>90</v>
      </c>
      <c r="W133" s="54" t="n">
        <v>428</v>
      </c>
      <c r="X133" s="54" t="n">
        <v>480</v>
      </c>
      <c r="Y133" s="57">
        <f>W133+X133</f>
        <v/>
      </c>
      <c r="Z133" s="55" t="n">
        <v>17534</v>
      </c>
      <c r="AA133" s="55" t="n">
        <v>30123</v>
      </c>
      <c r="AB133" s="45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54" t="n">
        <v>0</v>
      </c>
      <c r="H134" s="54" t="n">
        <v>0</v>
      </c>
      <c r="I134" s="54" t="n">
        <v>0</v>
      </c>
      <c r="J134" s="54" t="n">
        <v>0</v>
      </c>
      <c r="K134" s="54" t="n">
        <v>0</v>
      </c>
      <c r="L134" s="54" t="n">
        <v>53</v>
      </c>
      <c r="M134" s="54" t="n">
        <v>53</v>
      </c>
      <c r="N134" s="54" t="n">
        <v>53</v>
      </c>
      <c r="O134" s="54" t="n">
        <v>3</v>
      </c>
      <c r="P134" s="55" t="n">
        <v>7500</v>
      </c>
      <c r="Q134" s="47">
        <f>IFERROR(M134/N134,0)</f>
        <v/>
      </c>
      <c r="R134" s="47">
        <f>IFERROR(I134/H134,0)</f>
        <v/>
      </c>
      <c r="S134" s="47">
        <f>IFERROR(J134/I134,0)</f>
        <v/>
      </c>
      <c r="T134" s="47">
        <f>IFERROR(K134/J134,0)</f>
        <v/>
      </c>
      <c r="U134" s="56">
        <f>M134*P134+K134*V134</f>
        <v/>
      </c>
      <c r="V134" s="55" t="n">
        <v>90</v>
      </c>
      <c r="W134" s="54" t="n">
        <v>0</v>
      </c>
      <c r="X134" s="54" t="n">
        <v>0</v>
      </c>
      <c r="Y134" s="57">
        <f>W134+X134</f>
        <v/>
      </c>
      <c r="Z134" s="55" t="n">
        <v>0</v>
      </c>
      <c r="AA134" s="55" t="n">
        <v>0</v>
      </c>
      <c r="AB134" s="45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54" t="n">
        <v>1</v>
      </c>
      <c r="H135" s="54" t="n">
        <v>375</v>
      </c>
      <c r="I135" s="54" t="n">
        <v>105</v>
      </c>
      <c r="J135" s="54" t="n">
        <v>76</v>
      </c>
      <c r="K135" s="54" t="n">
        <v>45</v>
      </c>
      <c r="L135" s="54" t="n">
        <v>0</v>
      </c>
      <c r="M135" s="54" t="n">
        <v>45</v>
      </c>
      <c r="N135" s="54" t="n">
        <v>0</v>
      </c>
      <c r="O135" s="54" t="n">
        <v>2</v>
      </c>
      <c r="P135" s="55" t="n">
        <v>7275</v>
      </c>
      <c r="Q135" s="47">
        <f>IFERROR(M135/N135,0)</f>
        <v/>
      </c>
      <c r="R135" s="47">
        <f>IFERROR(I135/H135,0)</f>
        <v/>
      </c>
      <c r="S135" s="47">
        <f>IFERROR(J135/I135,0)</f>
        <v/>
      </c>
      <c r="T135" s="47">
        <f>IFERROR(K135/J135,0)</f>
        <v/>
      </c>
      <c r="U135" s="56">
        <f>M135*P135+K135*V135</f>
        <v/>
      </c>
      <c r="V135" s="55" t="n">
        <v>90</v>
      </c>
      <c r="W135" s="54" t="n">
        <v>180</v>
      </c>
      <c r="X135" s="54" t="n">
        <v>194</v>
      </c>
      <c r="Y135" s="57">
        <f>W135+X135</f>
        <v/>
      </c>
      <c r="Z135" s="55" t="n">
        <v>6743</v>
      </c>
      <c r="AA135" s="55" t="n">
        <v>12727</v>
      </c>
      <c r="AB135" s="45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54" t="n">
        <v>0</v>
      </c>
      <c r="H136" s="54" t="n">
        <v>0</v>
      </c>
      <c r="I136" s="54" t="n">
        <v>0</v>
      </c>
      <c r="J136" s="54" t="n">
        <v>0</v>
      </c>
      <c r="K136" s="54" t="n">
        <v>0</v>
      </c>
      <c r="L136" s="54" t="n">
        <v>44</v>
      </c>
      <c r="M136" s="54" t="n">
        <v>44</v>
      </c>
      <c r="N136" s="54" t="n">
        <v>45</v>
      </c>
      <c r="O136" s="54" t="n">
        <v>2</v>
      </c>
      <c r="P136" s="55" t="n">
        <v>6790</v>
      </c>
      <c r="Q136" s="47">
        <f>IFERROR(M136/N136,0)</f>
        <v/>
      </c>
      <c r="R136" s="47">
        <f>IFERROR(I136/H136,0)</f>
        <v/>
      </c>
      <c r="S136" s="47">
        <f>IFERROR(J136/I136,0)</f>
        <v/>
      </c>
      <c r="T136" s="47">
        <f>IFERROR(K136/J136,0)</f>
        <v/>
      </c>
      <c r="U136" s="56">
        <f>M136*P136+K136*V136</f>
        <v/>
      </c>
      <c r="V136" s="55" t="n">
        <v>90</v>
      </c>
      <c r="W136" s="54" t="n">
        <v>0</v>
      </c>
      <c r="X136" s="54" t="n">
        <v>0</v>
      </c>
      <c r="Y136" s="57">
        <f>W136+X136</f>
        <v/>
      </c>
      <c r="Z136" s="55" t="n">
        <v>0</v>
      </c>
      <c r="AA136" s="55" t="n">
        <v>0</v>
      </c>
      <c r="AB136" s="45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54" t="n">
        <v>0</v>
      </c>
      <c r="H137" s="54" t="n">
        <v>0</v>
      </c>
      <c r="I137" s="54" t="n">
        <v>0</v>
      </c>
      <c r="J137" s="54" t="n">
        <v>0</v>
      </c>
      <c r="K137" s="54" t="n">
        <v>0</v>
      </c>
      <c r="L137" s="54" t="n">
        <v>43</v>
      </c>
      <c r="M137" s="54" t="n">
        <v>43</v>
      </c>
      <c r="N137" s="54" t="n">
        <v>44</v>
      </c>
      <c r="O137" s="54" t="n">
        <v>2</v>
      </c>
      <c r="P137" s="55" t="n">
        <v>6790</v>
      </c>
      <c r="Q137" s="47">
        <f>IFERROR(M137/N137,0)</f>
        <v/>
      </c>
      <c r="R137" s="47">
        <f>IFERROR(I137/H137,0)</f>
        <v/>
      </c>
      <c r="S137" s="47">
        <f>IFERROR(J137/I137,0)</f>
        <v/>
      </c>
      <c r="T137" s="47">
        <f>IFERROR(K137/J137,0)</f>
        <v/>
      </c>
      <c r="U137" s="56">
        <f>M137*P137+K137*V137</f>
        <v/>
      </c>
      <c r="V137" s="55" t="n">
        <v>90</v>
      </c>
      <c r="W137" s="54" t="n">
        <v>0</v>
      </c>
      <c r="X137" s="54" t="n">
        <v>0</v>
      </c>
      <c r="Y137" s="57">
        <f>W137+X137</f>
        <v/>
      </c>
      <c r="Z137" s="55" t="n">
        <v>0</v>
      </c>
      <c r="AA137" s="55" t="n">
        <v>0</v>
      </c>
      <c r="AB137" s="45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54" t="n">
        <v>1</v>
      </c>
      <c r="H138" s="54" t="n">
        <v>770</v>
      </c>
      <c r="I138" s="54" t="n">
        <v>154</v>
      </c>
      <c r="J138" s="54" t="n">
        <v>108</v>
      </c>
      <c r="K138" s="54" t="n">
        <v>45</v>
      </c>
      <c r="L138" s="54" t="n">
        <v>0</v>
      </c>
      <c r="M138" s="54" t="n">
        <v>45</v>
      </c>
      <c r="N138" s="54" t="n">
        <v>0</v>
      </c>
      <c r="O138" s="54" t="n">
        <v>2</v>
      </c>
      <c r="P138" s="55" t="n">
        <v>7275</v>
      </c>
      <c r="Q138" s="47">
        <f>IFERROR(M138/N138,0)</f>
        <v/>
      </c>
      <c r="R138" s="47">
        <f>IFERROR(I138/H138,0)</f>
        <v/>
      </c>
      <c r="S138" s="47">
        <f>IFERROR(J138/I138,0)</f>
        <v/>
      </c>
      <c r="T138" s="47">
        <f>IFERROR(K138/J138,0)</f>
        <v/>
      </c>
      <c r="U138" s="56">
        <f>M138*P138+K138*V138</f>
        <v/>
      </c>
      <c r="V138" s="55" t="n">
        <v>90</v>
      </c>
      <c r="W138" s="54" t="n">
        <v>370</v>
      </c>
      <c r="X138" s="54" t="n">
        <v>398</v>
      </c>
      <c r="Y138" s="57">
        <f>W138+X138</f>
        <v/>
      </c>
      <c r="Z138" s="55" t="n">
        <v>13854</v>
      </c>
      <c r="AA138" s="55" t="n">
        <v>26150</v>
      </c>
      <c r="AB138" s="45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54" t="n">
        <v>0</v>
      </c>
      <c r="H139" s="54" t="n">
        <v>0</v>
      </c>
      <c r="I139" s="54" t="n">
        <v>0</v>
      </c>
      <c r="J139" s="54" t="n">
        <v>0</v>
      </c>
      <c r="K139" s="54" t="n">
        <v>0</v>
      </c>
      <c r="L139" s="54" t="n">
        <v>44</v>
      </c>
      <c r="M139" s="54" t="n">
        <v>44</v>
      </c>
      <c r="N139" s="54" t="n">
        <v>45</v>
      </c>
      <c r="O139" s="54" t="n">
        <v>2</v>
      </c>
      <c r="P139" s="55" t="n">
        <v>7275</v>
      </c>
      <c r="Q139" s="47">
        <f>IFERROR(M139/N139,0)</f>
        <v/>
      </c>
      <c r="R139" s="47">
        <f>IFERROR(I139/H139,0)</f>
        <v/>
      </c>
      <c r="S139" s="47">
        <f>IFERROR(J139/I139,0)</f>
        <v/>
      </c>
      <c r="T139" s="47">
        <f>IFERROR(K139/J139,0)</f>
        <v/>
      </c>
      <c r="U139" s="56">
        <f>M139*P139+K139*V139</f>
        <v/>
      </c>
      <c r="V139" s="55" t="n">
        <v>90</v>
      </c>
      <c r="W139" s="54" t="n">
        <v>0</v>
      </c>
      <c r="X139" s="54" t="n">
        <v>0</v>
      </c>
      <c r="Y139" s="57">
        <f>W139+X139</f>
        <v/>
      </c>
      <c r="Z139" s="55" t="n">
        <v>0</v>
      </c>
      <c r="AA139" s="55" t="n">
        <v>0</v>
      </c>
      <c r="AB139" s="45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54" t="n">
        <v>1</v>
      </c>
      <c r="H140" s="54" t="n">
        <v>530</v>
      </c>
      <c r="I140" s="54" t="n">
        <v>149</v>
      </c>
      <c r="J140" s="54" t="n">
        <v>107</v>
      </c>
      <c r="K140" s="54" t="n">
        <v>64</v>
      </c>
      <c r="L140" s="54" t="n">
        <v>0</v>
      </c>
      <c r="M140" s="54" t="n">
        <v>64</v>
      </c>
      <c r="N140" s="54" t="n">
        <v>0</v>
      </c>
      <c r="O140" s="54" t="n">
        <v>3</v>
      </c>
      <c r="P140" s="55" t="n">
        <v>8400</v>
      </c>
      <c r="Q140" s="47">
        <f>IFERROR(M140/N140,0)</f>
        <v/>
      </c>
      <c r="R140" s="47">
        <f>IFERROR(I140/H140,0)</f>
        <v/>
      </c>
      <c r="S140" s="47">
        <f>IFERROR(J140/I140,0)</f>
        <v/>
      </c>
      <c r="T140" s="47">
        <f>IFERROR(K140/J140,0)</f>
        <v/>
      </c>
      <c r="U140" s="56">
        <f>M140*P140+K140*V140</f>
        <v/>
      </c>
      <c r="V140" s="55" t="n">
        <v>90</v>
      </c>
      <c r="W140" s="54" t="n">
        <v>213</v>
      </c>
      <c r="X140" s="54" t="n">
        <v>340</v>
      </c>
      <c r="Y140" s="57">
        <f>W140+X140</f>
        <v/>
      </c>
      <c r="Z140" s="55" t="n">
        <v>16491</v>
      </c>
      <c r="AA140" s="55" t="n">
        <v>17097</v>
      </c>
      <c r="AB140" s="45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54" t="n">
        <v>0</v>
      </c>
      <c r="H141" s="54" t="n">
        <v>0</v>
      </c>
      <c r="I141" s="54" t="n">
        <v>0</v>
      </c>
      <c r="J141" s="54" t="n">
        <v>0</v>
      </c>
      <c r="K141" s="54" t="n">
        <v>0</v>
      </c>
      <c r="L141" s="54" t="n">
        <v>62</v>
      </c>
      <c r="M141" s="54" t="n">
        <v>62</v>
      </c>
      <c r="N141" s="54" t="n">
        <v>64</v>
      </c>
      <c r="O141" s="54" t="n">
        <v>3</v>
      </c>
      <c r="P141" s="55" t="n">
        <v>7840</v>
      </c>
      <c r="Q141" s="47">
        <f>IFERROR(M141/N141,0)</f>
        <v/>
      </c>
      <c r="R141" s="47">
        <f>IFERROR(I141/H141,0)</f>
        <v/>
      </c>
      <c r="S141" s="47">
        <f>IFERROR(J141/I141,0)</f>
        <v/>
      </c>
      <c r="T141" s="47">
        <f>IFERROR(K141/J141,0)</f>
        <v/>
      </c>
      <c r="U141" s="56">
        <f>M141*P141+K141*V141</f>
        <v/>
      </c>
      <c r="V141" s="55" t="n">
        <v>90</v>
      </c>
      <c r="W141" s="54" t="n">
        <v>0</v>
      </c>
      <c r="X141" s="54" t="n">
        <v>0</v>
      </c>
      <c r="Y141" s="57">
        <f>W141+X141</f>
        <v/>
      </c>
      <c r="Z141" s="55" t="n">
        <v>0</v>
      </c>
      <c r="AA141" s="55" t="n">
        <v>0</v>
      </c>
      <c r="AB141" s="45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54" t="n">
        <v>0</v>
      </c>
      <c r="H142" s="54" t="n">
        <v>0</v>
      </c>
      <c r="I142" s="54" t="n">
        <v>0</v>
      </c>
      <c r="J142" s="54" t="n">
        <v>0</v>
      </c>
      <c r="K142" s="54" t="n">
        <v>0</v>
      </c>
      <c r="L142" s="54" t="n">
        <v>61</v>
      </c>
      <c r="M142" s="54" t="n">
        <v>61</v>
      </c>
      <c r="N142" s="54" t="n">
        <v>62</v>
      </c>
      <c r="O142" s="54" t="n">
        <v>3</v>
      </c>
      <c r="P142" s="55" t="n">
        <v>7840</v>
      </c>
      <c r="Q142" s="47">
        <f>IFERROR(M142/N142,0)</f>
        <v/>
      </c>
      <c r="R142" s="47">
        <f>IFERROR(I142/H142,0)</f>
        <v/>
      </c>
      <c r="S142" s="47">
        <f>IFERROR(J142/I142,0)</f>
        <v/>
      </c>
      <c r="T142" s="47">
        <f>IFERROR(K142/J142,0)</f>
        <v/>
      </c>
      <c r="U142" s="56">
        <f>M142*P142+K142*V142</f>
        <v/>
      </c>
      <c r="V142" s="55" t="n">
        <v>90</v>
      </c>
      <c r="W142" s="54" t="n">
        <v>0</v>
      </c>
      <c r="X142" s="54" t="n">
        <v>0</v>
      </c>
      <c r="Y142" s="57">
        <f>W142+X142</f>
        <v/>
      </c>
      <c r="Z142" s="55" t="n">
        <v>0</v>
      </c>
      <c r="AA142" s="55" t="n">
        <v>0</v>
      </c>
      <c r="AB142" s="45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54" t="n">
        <v>1</v>
      </c>
      <c r="H143" s="54" t="n">
        <v>1086</v>
      </c>
      <c r="I143" s="54" t="n">
        <v>217</v>
      </c>
      <c r="J143" s="54" t="n">
        <v>152</v>
      </c>
      <c r="K143" s="54" t="n">
        <v>64</v>
      </c>
      <c r="L143" s="54" t="n">
        <v>0</v>
      </c>
      <c r="M143" s="54" t="n">
        <v>64</v>
      </c>
      <c r="N143" s="54" t="n">
        <v>0</v>
      </c>
      <c r="O143" s="54" t="n">
        <v>3</v>
      </c>
      <c r="P143" s="55" t="n">
        <v>8400</v>
      </c>
      <c r="Q143" s="47">
        <f>IFERROR(M143/N143,0)</f>
        <v/>
      </c>
      <c r="R143" s="47">
        <f>IFERROR(I143/H143,0)</f>
        <v/>
      </c>
      <c r="S143" s="47">
        <f>IFERROR(J143/I143,0)</f>
        <v/>
      </c>
      <c r="T143" s="47">
        <f>IFERROR(K143/J143,0)</f>
        <v/>
      </c>
      <c r="U143" s="56">
        <f>M143*P143+K143*V143</f>
        <v/>
      </c>
      <c r="V143" s="55" t="n">
        <v>90</v>
      </c>
      <c r="W143" s="54" t="n">
        <v>437</v>
      </c>
      <c r="X143" s="54" t="n">
        <v>695</v>
      </c>
      <c r="Y143" s="57">
        <f>W143+X143</f>
        <v/>
      </c>
      <c r="Z143" s="55" t="n">
        <v>33757</v>
      </c>
      <c r="AA143" s="55" t="n">
        <v>34997</v>
      </c>
      <c r="AB143" s="45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54" t="n">
        <v>0</v>
      </c>
      <c r="H144" s="54" t="n">
        <v>0</v>
      </c>
      <c r="I144" s="54" t="n">
        <v>0</v>
      </c>
      <c r="J144" s="54" t="n">
        <v>0</v>
      </c>
      <c r="K144" s="54" t="n">
        <v>0</v>
      </c>
      <c r="L144" s="54" t="n">
        <v>63</v>
      </c>
      <c r="M144" s="54" t="n">
        <v>63</v>
      </c>
      <c r="N144" s="54" t="n">
        <v>64</v>
      </c>
      <c r="O144" s="54" t="n">
        <v>3</v>
      </c>
      <c r="P144" s="55" t="n">
        <v>8400</v>
      </c>
      <c r="Q144" s="47">
        <f>IFERROR(M144/N144,0)</f>
        <v/>
      </c>
      <c r="R144" s="47">
        <f>IFERROR(I144/H144,0)</f>
        <v/>
      </c>
      <c r="S144" s="47">
        <f>IFERROR(J144/I144,0)</f>
        <v/>
      </c>
      <c r="T144" s="47">
        <f>IFERROR(K144/J144,0)</f>
        <v/>
      </c>
      <c r="U144" s="56">
        <f>M144*P144+K144*V144</f>
        <v/>
      </c>
      <c r="V144" s="55" t="n">
        <v>90</v>
      </c>
      <c r="W144" s="54" t="n">
        <v>0</v>
      </c>
      <c r="X144" s="54" t="n">
        <v>0</v>
      </c>
      <c r="Y144" s="57">
        <f>W144+X144</f>
        <v/>
      </c>
      <c r="Z144" s="55" t="n">
        <v>0</v>
      </c>
      <c r="AA144" s="55" t="n">
        <v>0</v>
      </c>
      <c r="AB144" s="45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54" t="n">
        <v>1</v>
      </c>
      <c r="H145" s="54" t="n">
        <v>366</v>
      </c>
      <c r="I145" s="54" t="n">
        <v>102</v>
      </c>
      <c r="J145" s="54" t="n">
        <v>74</v>
      </c>
      <c r="K145" s="54" t="n">
        <v>44</v>
      </c>
      <c r="L145" s="54" t="n">
        <v>0</v>
      </c>
      <c r="M145" s="54" t="n">
        <v>44</v>
      </c>
      <c r="N145" s="54" t="n">
        <v>0</v>
      </c>
      <c r="O145" s="54" t="n">
        <v>2</v>
      </c>
      <c r="P145" s="55" t="n">
        <v>7350</v>
      </c>
      <c r="Q145" s="47">
        <f>IFERROR(M145/N145,0)</f>
        <v/>
      </c>
      <c r="R145" s="47">
        <f>IFERROR(I145/H145,0)</f>
        <v/>
      </c>
      <c r="S145" s="47">
        <f>IFERROR(J145/I145,0)</f>
        <v/>
      </c>
      <c r="T145" s="47">
        <f>IFERROR(K145/J145,0)</f>
        <v/>
      </c>
      <c r="U145" s="56">
        <f>M145*P145+K145*V145</f>
        <v/>
      </c>
      <c r="V145" s="55" t="n">
        <v>90</v>
      </c>
      <c r="W145" s="54" t="n">
        <v>194</v>
      </c>
      <c r="X145" s="54" t="n">
        <v>186</v>
      </c>
      <c r="Y145" s="57">
        <f>W145+X145</f>
        <v/>
      </c>
      <c r="Z145" s="55" t="n">
        <v>6793</v>
      </c>
      <c r="AA145" s="55" t="n">
        <v>15806</v>
      </c>
      <c r="AB145" s="45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54" t="n">
        <v>0</v>
      </c>
      <c r="H146" s="54" t="n">
        <v>0</v>
      </c>
      <c r="I146" s="54" t="n">
        <v>0</v>
      </c>
      <c r="J146" s="54" t="n">
        <v>0</v>
      </c>
      <c r="K146" s="54" t="n">
        <v>0</v>
      </c>
      <c r="L146" s="54" t="n">
        <v>43</v>
      </c>
      <c r="M146" s="54" t="n">
        <v>43</v>
      </c>
      <c r="N146" s="54" t="n">
        <v>44</v>
      </c>
      <c r="O146" s="54" t="n">
        <v>2</v>
      </c>
      <c r="P146" s="55" t="n">
        <v>6860</v>
      </c>
      <c r="Q146" s="47">
        <f>IFERROR(M146/N146,0)</f>
        <v/>
      </c>
      <c r="R146" s="47">
        <f>IFERROR(I146/H146,0)</f>
        <v/>
      </c>
      <c r="S146" s="47">
        <f>IFERROR(J146/I146,0)</f>
        <v/>
      </c>
      <c r="T146" s="47">
        <f>IFERROR(K146/J146,0)</f>
        <v/>
      </c>
      <c r="U146" s="56">
        <f>M146*P146+K146*V146</f>
        <v/>
      </c>
      <c r="V146" s="55" t="n">
        <v>90</v>
      </c>
      <c r="W146" s="54" t="n">
        <v>0</v>
      </c>
      <c r="X146" s="54" t="n">
        <v>0</v>
      </c>
      <c r="Y146" s="57">
        <f>W146+X146</f>
        <v/>
      </c>
      <c r="Z146" s="55" t="n">
        <v>0</v>
      </c>
      <c r="AA146" s="55" t="n">
        <v>0</v>
      </c>
      <c r="AB146" s="45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54" t="n">
        <v>0</v>
      </c>
      <c r="H147" s="54" t="n">
        <v>0</v>
      </c>
      <c r="I147" s="54" t="n">
        <v>0</v>
      </c>
      <c r="J147" s="54" t="n">
        <v>0</v>
      </c>
      <c r="K147" s="54" t="n">
        <v>0</v>
      </c>
      <c r="L147" s="54" t="n">
        <v>42</v>
      </c>
      <c r="M147" s="54" t="n">
        <v>42</v>
      </c>
      <c r="N147" s="54" t="n">
        <v>43</v>
      </c>
      <c r="O147" s="54" t="n">
        <v>2</v>
      </c>
      <c r="P147" s="55" t="n">
        <v>6860</v>
      </c>
      <c r="Q147" s="47">
        <f>IFERROR(M147/N147,0)</f>
        <v/>
      </c>
      <c r="R147" s="47">
        <f>IFERROR(I147/H147,0)</f>
        <v/>
      </c>
      <c r="S147" s="47">
        <f>IFERROR(J147/I147,0)</f>
        <v/>
      </c>
      <c r="T147" s="47">
        <f>IFERROR(K147/J147,0)</f>
        <v/>
      </c>
      <c r="U147" s="56">
        <f>M147*P147+K147*V147</f>
        <v/>
      </c>
      <c r="V147" s="55" t="n">
        <v>90</v>
      </c>
      <c r="W147" s="54" t="n">
        <v>0</v>
      </c>
      <c r="X147" s="54" t="n">
        <v>0</v>
      </c>
      <c r="Y147" s="57">
        <f>W147+X147</f>
        <v/>
      </c>
      <c r="Z147" s="55" t="n">
        <v>0</v>
      </c>
      <c r="AA147" s="55" t="n">
        <v>0</v>
      </c>
      <c r="AB147" s="45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54" t="n">
        <v>1</v>
      </c>
      <c r="H148" s="54" t="n">
        <v>756</v>
      </c>
      <c r="I148" s="54" t="n">
        <v>151</v>
      </c>
      <c r="J148" s="54" t="n">
        <v>106</v>
      </c>
      <c r="K148" s="54" t="n">
        <v>44</v>
      </c>
      <c r="L148" s="54" t="n">
        <v>0</v>
      </c>
      <c r="M148" s="54" t="n">
        <v>44</v>
      </c>
      <c r="N148" s="54" t="n">
        <v>0</v>
      </c>
      <c r="O148" s="54" t="n">
        <v>2</v>
      </c>
      <c r="P148" s="55" t="n">
        <v>7350</v>
      </c>
      <c r="Q148" s="47">
        <f>IFERROR(M148/N148,0)</f>
        <v/>
      </c>
      <c r="R148" s="47">
        <f>IFERROR(I148/H148,0)</f>
        <v/>
      </c>
      <c r="S148" s="47">
        <f>IFERROR(J148/I148,0)</f>
        <v/>
      </c>
      <c r="T148" s="47">
        <f>IFERROR(K148/J148,0)</f>
        <v/>
      </c>
      <c r="U148" s="56">
        <f>M148*P148+K148*V148</f>
        <v/>
      </c>
      <c r="V148" s="55" t="n">
        <v>90</v>
      </c>
      <c r="W148" s="54" t="n">
        <v>400</v>
      </c>
      <c r="X148" s="54" t="n">
        <v>385</v>
      </c>
      <c r="Y148" s="57">
        <f>W148+X148</f>
        <v/>
      </c>
      <c r="Z148" s="55" t="n">
        <v>14050</v>
      </c>
      <c r="AA148" s="55" t="n">
        <v>32689</v>
      </c>
      <c r="AB148" s="45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54" t="n">
        <v>0</v>
      </c>
      <c r="H149" s="54" t="n">
        <v>0</v>
      </c>
      <c r="I149" s="54" t="n">
        <v>0</v>
      </c>
      <c r="J149" s="54" t="n">
        <v>0</v>
      </c>
      <c r="K149" s="54" t="n">
        <v>0</v>
      </c>
      <c r="L149" s="54" t="n">
        <v>44</v>
      </c>
      <c r="M149" s="54" t="n">
        <v>44</v>
      </c>
      <c r="N149" s="54" t="n">
        <v>44</v>
      </c>
      <c r="O149" s="54" t="n">
        <v>2</v>
      </c>
      <c r="P149" s="55" t="n">
        <v>7350</v>
      </c>
      <c r="Q149" s="47">
        <f>IFERROR(M149/N149,0)</f>
        <v/>
      </c>
      <c r="R149" s="47">
        <f>IFERROR(I149/H149,0)</f>
        <v/>
      </c>
      <c r="S149" s="47">
        <f>IFERROR(J149/I149,0)</f>
        <v/>
      </c>
      <c r="T149" s="47">
        <f>IFERROR(K149/J149,0)</f>
        <v/>
      </c>
      <c r="U149" s="56">
        <f>M149*P149+K149*V149</f>
        <v/>
      </c>
      <c r="V149" s="55" t="n">
        <v>90</v>
      </c>
      <c r="W149" s="54" t="n">
        <v>0</v>
      </c>
      <c r="X149" s="54" t="n">
        <v>0</v>
      </c>
      <c r="Y149" s="57">
        <f>W149+X149</f>
        <v/>
      </c>
      <c r="Z149" s="55" t="n">
        <v>0</v>
      </c>
      <c r="AA149" s="55" t="n">
        <v>0</v>
      </c>
      <c r="AB149" s="45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54" t="n">
        <v>1</v>
      </c>
      <c r="H150" s="54" t="n">
        <v>344</v>
      </c>
      <c r="I150" s="54" t="n">
        <v>96</v>
      </c>
      <c r="J150" s="54" t="n">
        <v>69</v>
      </c>
      <c r="K150" s="54" t="n">
        <v>42</v>
      </c>
      <c r="L150" s="54" t="n">
        <v>0</v>
      </c>
      <c r="M150" s="54" t="n">
        <v>42</v>
      </c>
      <c r="N150" s="54" t="n">
        <v>0</v>
      </c>
      <c r="O150" s="54" t="n">
        <v>2</v>
      </c>
      <c r="P150" s="55" t="n">
        <v>7200</v>
      </c>
      <c r="Q150" s="47">
        <f>IFERROR(M150/N150,0)</f>
        <v/>
      </c>
      <c r="R150" s="47">
        <f>IFERROR(I150/H150,0)</f>
        <v/>
      </c>
      <c r="S150" s="47">
        <f>IFERROR(J150/I150,0)</f>
        <v/>
      </c>
      <c r="T150" s="47">
        <f>IFERROR(K150/J150,0)</f>
        <v/>
      </c>
      <c r="U150" s="56">
        <f>M150*P150+K150*V150</f>
        <v/>
      </c>
      <c r="V150" s="55" t="n">
        <v>90</v>
      </c>
      <c r="W150" s="54" t="n">
        <v>186</v>
      </c>
      <c r="X150" s="54" t="n">
        <v>171</v>
      </c>
      <c r="Y150" s="57">
        <f>W150+X150</f>
        <v/>
      </c>
      <c r="Z150" s="55" t="n">
        <v>5940</v>
      </c>
      <c r="AA150" s="55" t="n">
        <v>15179</v>
      </c>
      <c r="AB150" s="45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54" t="n">
        <v>0</v>
      </c>
      <c r="H151" s="54" t="n">
        <v>0</v>
      </c>
      <c r="I151" s="54" t="n">
        <v>0</v>
      </c>
      <c r="J151" s="54" t="n">
        <v>0</v>
      </c>
      <c r="K151" s="54" t="n">
        <v>0</v>
      </c>
      <c r="L151" s="54" t="n">
        <v>41</v>
      </c>
      <c r="M151" s="54" t="n">
        <v>41</v>
      </c>
      <c r="N151" s="54" t="n">
        <v>42</v>
      </c>
      <c r="O151" s="54" t="n">
        <v>2</v>
      </c>
      <c r="P151" s="55" t="n">
        <v>6720</v>
      </c>
      <c r="Q151" s="47">
        <f>IFERROR(M151/N151,0)</f>
        <v/>
      </c>
      <c r="R151" s="47">
        <f>IFERROR(I151/H151,0)</f>
        <v/>
      </c>
      <c r="S151" s="47">
        <f>IFERROR(J151/I151,0)</f>
        <v/>
      </c>
      <c r="T151" s="47">
        <f>IFERROR(K151/J151,0)</f>
        <v/>
      </c>
      <c r="U151" s="56">
        <f>M151*P151+K151*V151</f>
        <v/>
      </c>
      <c r="V151" s="55" t="n">
        <v>90</v>
      </c>
      <c r="W151" s="54" t="n">
        <v>0</v>
      </c>
      <c r="X151" s="54" t="n">
        <v>0</v>
      </c>
      <c r="Y151" s="57">
        <f>W151+X151</f>
        <v/>
      </c>
      <c r="Z151" s="55" t="n">
        <v>0</v>
      </c>
      <c r="AA151" s="55" t="n">
        <v>0</v>
      </c>
      <c r="AB151" s="45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54" t="n">
        <v>0</v>
      </c>
      <c r="H152" s="54" t="n">
        <v>0</v>
      </c>
      <c r="I152" s="54" t="n">
        <v>0</v>
      </c>
      <c r="J152" s="54" t="n">
        <v>0</v>
      </c>
      <c r="K152" s="54" t="n">
        <v>0</v>
      </c>
      <c r="L152" s="54" t="n">
        <v>40</v>
      </c>
      <c r="M152" s="54" t="n">
        <v>40</v>
      </c>
      <c r="N152" s="54" t="n">
        <v>41</v>
      </c>
      <c r="O152" s="54" t="n">
        <v>2</v>
      </c>
      <c r="P152" s="55" t="n">
        <v>6720</v>
      </c>
      <c r="Q152" s="47">
        <f>IFERROR(M152/N152,0)</f>
        <v/>
      </c>
      <c r="R152" s="47">
        <f>IFERROR(I152/H152,0)</f>
        <v/>
      </c>
      <c r="S152" s="47">
        <f>IFERROR(J152/I152,0)</f>
        <v/>
      </c>
      <c r="T152" s="47">
        <f>IFERROR(K152/J152,0)</f>
        <v/>
      </c>
      <c r="U152" s="56">
        <f>M152*P152+K152*V152</f>
        <v/>
      </c>
      <c r="V152" s="55" t="n">
        <v>90</v>
      </c>
      <c r="W152" s="54" t="n">
        <v>0</v>
      </c>
      <c r="X152" s="54" t="n">
        <v>0</v>
      </c>
      <c r="Y152" s="57">
        <f>W152+X152</f>
        <v/>
      </c>
      <c r="Z152" s="55" t="n">
        <v>0</v>
      </c>
      <c r="AA152" s="55" t="n">
        <v>0</v>
      </c>
      <c r="AB152" s="45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54" t="n">
        <v>1</v>
      </c>
      <c r="H153" s="54" t="n">
        <v>712</v>
      </c>
      <c r="I153" s="54" t="n">
        <v>142</v>
      </c>
      <c r="J153" s="54" t="n">
        <v>100</v>
      </c>
      <c r="K153" s="54" t="n">
        <v>42</v>
      </c>
      <c r="L153" s="54" t="n">
        <v>0</v>
      </c>
      <c r="M153" s="54" t="n">
        <v>42</v>
      </c>
      <c r="N153" s="54" t="n">
        <v>0</v>
      </c>
      <c r="O153" s="54" t="n">
        <v>2</v>
      </c>
      <c r="P153" s="55" t="n">
        <v>7200</v>
      </c>
      <c r="Q153" s="47">
        <f>IFERROR(M153/N153,0)</f>
        <v/>
      </c>
      <c r="R153" s="47">
        <f>IFERROR(I153/H153,0)</f>
        <v/>
      </c>
      <c r="S153" s="47">
        <f>IFERROR(J153/I153,0)</f>
        <v/>
      </c>
      <c r="T153" s="47">
        <f>IFERROR(K153/J153,0)</f>
        <v/>
      </c>
      <c r="U153" s="56">
        <f>M153*P153+K153*V153</f>
        <v/>
      </c>
      <c r="V153" s="55" t="n">
        <v>90</v>
      </c>
      <c r="W153" s="54" t="n">
        <v>384</v>
      </c>
      <c r="X153" s="54" t="n">
        <v>355</v>
      </c>
      <c r="Y153" s="57">
        <f>W153+X153</f>
        <v/>
      </c>
      <c r="Z153" s="55" t="n">
        <v>12311</v>
      </c>
      <c r="AA153" s="55" t="n">
        <v>31458</v>
      </c>
      <c r="AB153" s="45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54" t="n">
        <v>0</v>
      </c>
      <c r="H154" s="54" t="n">
        <v>0</v>
      </c>
      <c r="I154" s="54" t="n">
        <v>0</v>
      </c>
      <c r="J154" s="54" t="n">
        <v>0</v>
      </c>
      <c r="K154" s="54" t="n">
        <v>0</v>
      </c>
      <c r="L154" s="54" t="n">
        <v>41</v>
      </c>
      <c r="M154" s="54" t="n">
        <v>41</v>
      </c>
      <c r="N154" s="54" t="n">
        <v>42</v>
      </c>
      <c r="O154" s="54" t="n">
        <v>2</v>
      </c>
      <c r="P154" s="55" t="n">
        <v>7200</v>
      </c>
      <c r="Q154" s="47">
        <f>IFERROR(M154/N154,0)</f>
        <v/>
      </c>
      <c r="R154" s="47">
        <f>IFERROR(I154/H154,0)</f>
        <v/>
      </c>
      <c r="S154" s="47">
        <f>IFERROR(J154/I154,0)</f>
        <v/>
      </c>
      <c r="T154" s="47">
        <f>IFERROR(K154/J154,0)</f>
        <v/>
      </c>
      <c r="U154" s="56">
        <f>M154*P154+K154*V154</f>
        <v/>
      </c>
      <c r="V154" s="55" t="n">
        <v>90</v>
      </c>
      <c r="W154" s="54" t="n">
        <v>0</v>
      </c>
      <c r="X154" s="54" t="n">
        <v>0</v>
      </c>
      <c r="Y154" s="57">
        <f>W154+X154</f>
        <v/>
      </c>
      <c r="Z154" s="55" t="n">
        <v>0</v>
      </c>
      <c r="AA154" s="55" t="n">
        <v>0</v>
      </c>
      <c r="AB154" s="45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54" t="n">
        <v>1</v>
      </c>
      <c r="H155" s="54" t="n">
        <v>756</v>
      </c>
      <c r="I155" s="54" t="n">
        <v>151</v>
      </c>
      <c r="J155" s="54" t="n">
        <v>106</v>
      </c>
      <c r="K155" s="54" t="n">
        <v>44</v>
      </c>
      <c r="L155" s="54" t="n">
        <v>0</v>
      </c>
      <c r="M155" s="54" t="n">
        <v>44</v>
      </c>
      <c r="N155" s="54" t="n">
        <v>0</v>
      </c>
      <c r="O155" s="54" t="n">
        <v>2</v>
      </c>
      <c r="P155" s="55" t="n">
        <v>7000</v>
      </c>
      <c r="Q155" s="47">
        <f>IFERROR(M155/N155,0)</f>
        <v/>
      </c>
      <c r="R155" s="47">
        <f>IFERROR(I155/H155,0)</f>
        <v/>
      </c>
      <c r="S155" s="47">
        <f>IFERROR(J155/I155,0)</f>
        <v/>
      </c>
      <c r="T155" s="47">
        <f>IFERROR(K155/J155,0)</f>
        <v/>
      </c>
      <c r="U155" s="56">
        <f>M155*P155+K155*V155</f>
        <v/>
      </c>
      <c r="V155" s="55" t="n">
        <v>90</v>
      </c>
      <c r="W155" s="54" t="n">
        <v>258</v>
      </c>
      <c r="X155" s="54" t="n">
        <v>489</v>
      </c>
      <c r="Y155" s="57">
        <f>W155+X155</f>
        <v/>
      </c>
      <c r="Z155" s="55" t="n">
        <v>17983</v>
      </c>
      <c r="AA155" s="55" t="n">
        <v>15937</v>
      </c>
      <c r="AB155" s="45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54" t="n">
        <v>0</v>
      </c>
      <c r="H156" s="54" t="n">
        <v>0</v>
      </c>
      <c r="I156" s="54" t="n">
        <v>0</v>
      </c>
      <c r="J156" s="54" t="n">
        <v>0</v>
      </c>
      <c r="K156" s="54" t="n">
        <v>0</v>
      </c>
      <c r="L156" s="54" t="n">
        <v>43</v>
      </c>
      <c r="M156" s="54" t="n">
        <v>43</v>
      </c>
      <c r="N156" s="54" t="n">
        <v>44</v>
      </c>
      <c r="O156" s="54" t="n">
        <v>2</v>
      </c>
      <c r="P156" s="55" t="n">
        <v>7000</v>
      </c>
      <c r="Q156" s="47">
        <f>IFERROR(M156/N156,0)</f>
        <v/>
      </c>
      <c r="R156" s="47">
        <f>IFERROR(I156/H156,0)</f>
        <v/>
      </c>
      <c r="S156" s="47">
        <f>IFERROR(J156/I156,0)</f>
        <v/>
      </c>
      <c r="T156" s="47">
        <f>IFERROR(K156/J156,0)</f>
        <v/>
      </c>
      <c r="U156" s="56">
        <f>M156*P156+K156*V156</f>
        <v/>
      </c>
      <c r="V156" s="55" t="n">
        <v>90</v>
      </c>
      <c r="W156" s="54" t="n">
        <v>0</v>
      </c>
      <c r="X156" s="54" t="n">
        <v>0</v>
      </c>
      <c r="Y156" s="57">
        <f>W156+X156</f>
        <v/>
      </c>
      <c r="Z156" s="55" t="n">
        <v>0</v>
      </c>
      <c r="AA156" s="55" t="n">
        <v>0</v>
      </c>
      <c r="AB156" s="45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54" t="n">
        <v>0</v>
      </c>
      <c r="H157" s="54" t="n">
        <v>0</v>
      </c>
      <c r="I157" s="54" t="n">
        <v>0</v>
      </c>
      <c r="J157" s="54" t="n">
        <v>0</v>
      </c>
      <c r="K157" s="54" t="n">
        <v>0</v>
      </c>
      <c r="L157" s="54" t="n">
        <v>42</v>
      </c>
      <c r="M157" s="54" t="n">
        <v>42</v>
      </c>
      <c r="N157" s="54" t="n">
        <v>43</v>
      </c>
      <c r="O157" s="54" t="n">
        <v>2</v>
      </c>
      <c r="P157" s="55" t="n">
        <v>7000</v>
      </c>
      <c r="Q157" s="47">
        <f>IFERROR(M157/N157,0)</f>
        <v/>
      </c>
      <c r="R157" s="47">
        <f>IFERROR(I157/H157,0)</f>
        <v/>
      </c>
      <c r="S157" s="47">
        <f>IFERROR(J157/I157,0)</f>
        <v/>
      </c>
      <c r="T157" s="47">
        <f>IFERROR(K157/J157,0)</f>
        <v/>
      </c>
      <c r="U157" s="56">
        <f>M157*P157+K157*V157</f>
        <v/>
      </c>
      <c r="V157" s="55" t="n">
        <v>90</v>
      </c>
      <c r="W157" s="54" t="n">
        <v>0</v>
      </c>
      <c r="X157" s="54" t="n">
        <v>0</v>
      </c>
      <c r="Y157" s="57">
        <f>W157+X157</f>
        <v/>
      </c>
      <c r="Z157" s="55" t="n">
        <v>0</v>
      </c>
      <c r="AA157" s="55" t="n">
        <v>0</v>
      </c>
      <c r="AB157" s="45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54" t="n">
        <v>1</v>
      </c>
      <c r="H158" s="54" t="n">
        <v>605</v>
      </c>
      <c r="I158" s="54" t="n">
        <v>121</v>
      </c>
      <c r="J158" s="54" t="n">
        <v>85</v>
      </c>
      <c r="K158" s="54" t="n">
        <v>36</v>
      </c>
      <c r="L158" s="54" t="n">
        <v>0</v>
      </c>
      <c r="M158" s="54" t="n">
        <v>36</v>
      </c>
      <c r="N158" s="54" t="n">
        <v>0</v>
      </c>
      <c r="O158" s="54" t="n">
        <v>2</v>
      </c>
      <c r="P158" s="55" t="n">
        <v>6650</v>
      </c>
      <c r="Q158" s="47">
        <f>IFERROR(M158/N158,0)</f>
        <v/>
      </c>
      <c r="R158" s="47">
        <f>IFERROR(I158/H158,0)</f>
        <v/>
      </c>
      <c r="S158" s="47">
        <f>IFERROR(J158/I158,0)</f>
        <v/>
      </c>
      <c r="T158" s="47">
        <f>IFERROR(K158/J158,0)</f>
        <v/>
      </c>
      <c r="U158" s="56">
        <f>M158*P158+K158*V158</f>
        <v/>
      </c>
      <c r="V158" s="55" t="n">
        <v>90</v>
      </c>
      <c r="W158" s="54" t="n">
        <v>223</v>
      </c>
      <c r="X158" s="54" t="n">
        <v>371</v>
      </c>
      <c r="Y158" s="57">
        <f>W158+X158</f>
        <v/>
      </c>
      <c r="Z158" s="55" t="n">
        <v>12341</v>
      </c>
      <c r="AA158" s="55" t="n">
        <v>14022</v>
      </c>
      <c r="AB158" s="45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54" t="n">
        <v>0</v>
      </c>
      <c r="H159" s="54" t="n">
        <v>0</v>
      </c>
      <c r="I159" s="54" t="n">
        <v>0</v>
      </c>
      <c r="J159" s="54" t="n">
        <v>0</v>
      </c>
      <c r="K159" s="54" t="n">
        <v>0</v>
      </c>
      <c r="L159" s="54" t="n">
        <v>35</v>
      </c>
      <c r="M159" s="54" t="n">
        <v>35</v>
      </c>
      <c r="N159" s="54" t="n">
        <v>36</v>
      </c>
      <c r="O159" s="54" t="n">
        <v>2</v>
      </c>
      <c r="P159" s="55" t="n">
        <v>6650</v>
      </c>
      <c r="Q159" s="47">
        <f>IFERROR(M159/N159,0)</f>
        <v/>
      </c>
      <c r="R159" s="47">
        <f>IFERROR(I159/H159,0)</f>
        <v/>
      </c>
      <c r="S159" s="47">
        <f>IFERROR(J159/I159,0)</f>
        <v/>
      </c>
      <c r="T159" s="47">
        <f>IFERROR(K159/J159,0)</f>
        <v/>
      </c>
      <c r="U159" s="56">
        <f>M159*P159+K159*V159</f>
        <v/>
      </c>
      <c r="V159" s="55" t="n">
        <v>90</v>
      </c>
      <c r="W159" s="54" t="n">
        <v>0</v>
      </c>
      <c r="X159" s="54" t="n">
        <v>0</v>
      </c>
      <c r="Y159" s="57">
        <f>W159+X159</f>
        <v/>
      </c>
      <c r="Z159" s="55" t="n">
        <v>0</v>
      </c>
      <c r="AA159" s="55" t="n">
        <v>0</v>
      </c>
      <c r="AB159" s="45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54" t="n">
        <v>0</v>
      </c>
      <c r="H160" s="54" t="n">
        <v>0</v>
      </c>
      <c r="I160" s="54" t="n">
        <v>0</v>
      </c>
      <c r="J160" s="54" t="n">
        <v>0</v>
      </c>
      <c r="K160" s="54" t="n">
        <v>0</v>
      </c>
      <c r="L160" s="54" t="n">
        <v>34</v>
      </c>
      <c r="M160" s="54" t="n">
        <v>34</v>
      </c>
      <c r="N160" s="54" t="n">
        <v>35</v>
      </c>
      <c r="O160" s="54" t="n">
        <v>2</v>
      </c>
      <c r="P160" s="55" t="n">
        <v>6650</v>
      </c>
      <c r="Q160" s="47">
        <f>IFERROR(M160/N160,0)</f>
        <v/>
      </c>
      <c r="R160" s="47">
        <f>IFERROR(I160/H160,0)</f>
        <v/>
      </c>
      <c r="S160" s="47">
        <f>IFERROR(J160/I160,0)</f>
        <v/>
      </c>
      <c r="T160" s="47">
        <f>IFERROR(K160/J160,0)</f>
        <v/>
      </c>
      <c r="U160" s="56">
        <f>M160*P160+K160*V160</f>
        <v/>
      </c>
      <c r="V160" s="55" t="n">
        <v>90</v>
      </c>
      <c r="W160" s="54" t="n">
        <v>0</v>
      </c>
      <c r="X160" s="54" t="n">
        <v>0</v>
      </c>
      <c r="Y160" s="57">
        <f>W160+X160</f>
        <v/>
      </c>
      <c r="Z160" s="55" t="n">
        <v>0</v>
      </c>
      <c r="AA160" s="55" t="n">
        <v>0</v>
      </c>
      <c r="AB160" s="45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54" t="n">
        <v>1</v>
      </c>
      <c r="H161" s="54" t="n">
        <v>605</v>
      </c>
      <c r="I161" s="54" t="n">
        <v>121</v>
      </c>
      <c r="J161" s="54" t="n">
        <v>85</v>
      </c>
      <c r="K161" s="54" t="n">
        <v>36</v>
      </c>
      <c r="L161" s="54" t="n">
        <v>0</v>
      </c>
      <c r="M161" s="54" t="n">
        <v>36</v>
      </c>
      <c r="N161" s="54" t="n">
        <v>0</v>
      </c>
      <c r="O161" s="54" t="n">
        <v>2</v>
      </c>
      <c r="P161" s="55" t="n">
        <v>6650</v>
      </c>
      <c r="Q161" s="47">
        <f>IFERROR(M161/N161,0)</f>
        <v/>
      </c>
      <c r="R161" s="47">
        <f>IFERROR(I161/H161,0)</f>
        <v/>
      </c>
      <c r="S161" s="47">
        <f>IFERROR(J161/I161,0)</f>
        <v/>
      </c>
      <c r="T161" s="47">
        <f>IFERROR(K161/J161,0)</f>
        <v/>
      </c>
      <c r="U161" s="56">
        <f>M161*P161+K161*V161</f>
        <v/>
      </c>
      <c r="V161" s="55" t="n">
        <v>90</v>
      </c>
      <c r="W161" s="54" t="n">
        <v>217</v>
      </c>
      <c r="X161" s="54" t="n">
        <v>377</v>
      </c>
      <c r="Y161" s="57">
        <f>W161+X161</f>
        <v/>
      </c>
      <c r="Z161" s="55" t="n">
        <v>12543</v>
      </c>
      <c r="AA161" s="55" t="n">
        <v>13581</v>
      </c>
      <c r="AB161" s="45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54" t="n">
        <v>0</v>
      </c>
      <c r="H162" s="54" t="n">
        <v>0</v>
      </c>
      <c r="I162" s="54" t="n">
        <v>0</v>
      </c>
      <c r="J162" s="54" t="n">
        <v>0</v>
      </c>
      <c r="K162" s="54" t="n">
        <v>0</v>
      </c>
      <c r="L162" s="54" t="n">
        <v>35</v>
      </c>
      <c r="M162" s="54" t="n">
        <v>35</v>
      </c>
      <c r="N162" s="54" t="n">
        <v>36</v>
      </c>
      <c r="O162" s="54" t="n">
        <v>2</v>
      </c>
      <c r="P162" s="55" t="n">
        <v>6650</v>
      </c>
      <c r="Q162" s="47">
        <f>IFERROR(M162/N162,0)</f>
        <v/>
      </c>
      <c r="R162" s="47">
        <f>IFERROR(I162/H162,0)</f>
        <v/>
      </c>
      <c r="S162" s="47">
        <f>IFERROR(J162/I162,0)</f>
        <v/>
      </c>
      <c r="T162" s="47">
        <f>IFERROR(K162/J162,0)</f>
        <v/>
      </c>
      <c r="U162" s="56">
        <f>M162*P162+K162*V162</f>
        <v/>
      </c>
      <c r="V162" s="55" t="n">
        <v>90</v>
      </c>
      <c r="W162" s="54" t="n">
        <v>0</v>
      </c>
      <c r="X162" s="54" t="n">
        <v>0</v>
      </c>
      <c r="Y162" s="57">
        <f>W162+X162</f>
        <v/>
      </c>
      <c r="Z162" s="55" t="n">
        <v>0</v>
      </c>
      <c r="AA162" s="55" t="n">
        <v>0</v>
      </c>
      <c r="AB162" s="45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54" t="n">
        <v>0</v>
      </c>
      <c r="H163" s="54" t="n">
        <v>0</v>
      </c>
      <c r="I163" s="54" t="n">
        <v>0</v>
      </c>
      <c r="J163" s="54" t="n">
        <v>0</v>
      </c>
      <c r="K163" s="54" t="n">
        <v>0</v>
      </c>
      <c r="L163" s="54" t="n">
        <v>34</v>
      </c>
      <c r="M163" s="54" t="n">
        <v>34</v>
      </c>
      <c r="N163" s="54" t="n">
        <v>35</v>
      </c>
      <c r="O163" s="54" t="n">
        <v>2</v>
      </c>
      <c r="P163" s="55" t="n">
        <v>6650</v>
      </c>
      <c r="Q163" s="47">
        <f>IFERROR(M163/N163,0)</f>
        <v/>
      </c>
      <c r="R163" s="47">
        <f>IFERROR(I163/H163,0)</f>
        <v/>
      </c>
      <c r="S163" s="47">
        <f>IFERROR(J163/I163,0)</f>
        <v/>
      </c>
      <c r="T163" s="47">
        <f>IFERROR(K163/J163,0)</f>
        <v/>
      </c>
      <c r="U163" s="56">
        <f>M163*P163+K163*V163</f>
        <v/>
      </c>
      <c r="V163" s="55" t="n">
        <v>90</v>
      </c>
      <c r="W163" s="54" t="n">
        <v>0</v>
      </c>
      <c r="X163" s="54" t="n">
        <v>0</v>
      </c>
      <c r="Y163" s="57">
        <f>W163+X163</f>
        <v/>
      </c>
      <c r="Z163" s="55" t="n">
        <v>0</v>
      </c>
      <c r="AA163" s="55" t="n">
        <v>0</v>
      </c>
      <c r="AB163" s="45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54" t="n">
        <v>1</v>
      </c>
      <c r="H164" s="54" t="n">
        <v>699</v>
      </c>
      <c r="I164" s="54" t="n">
        <v>140</v>
      </c>
      <c r="J164" s="54" t="n">
        <v>98</v>
      </c>
      <c r="K164" s="54" t="n">
        <v>41</v>
      </c>
      <c r="L164" s="54" t="n">
        <v>0</v>
      </c>
      <c r="M164" s="54" t="n">
        <v>41</v>
      </c>
      <c r="N164" s="54" t="n">
        <v>0</v>
      </c>
      <c r="O164" s="54" t="n">
        <v>2</v>
      </c>
      <c r="P164" s="55" t="n">
        <v>6300</v>
      </c>
      <c r="Q164" s="47">
        <f>IFERROR(M164/N164,0)</f>
        <v/>
      </c>
      <c r="R164" s="47">
        <f>IFERROR(I164/H164,0)</f>
        <v/>
      </c>
      <c r="S164" s="47">
        <f>IFERROR(J164/I164,0)</f>
        <v/>
      </c>
      <c r="T164" s="47">
        <f>IFERROR(K164/J164,0)</f>
        <v/>
      </c>
      <c r="U164" s="56">
        <f>M164*P164+K164*V164</f>
        <v/>
      </c>
      <c r="V164" s="55" t="n">
        <v>90</v>
      </c>
      <c r="W164" s="54" t="n">
        <v>341</v>
      </c>
      <c r="X164" s="54" t="n">
        <v>382</v>
      </c>
      <c r="Y164" s="57">
        <f>W164+X164</f>
        <v/>
      </c>
      <c r="Z164" s="55" t="n">
        <v>15129</v>
      </c>
      <c r="AA164" s="55" t="n">
        <v>26720</v>
      </c>
      <c r="AB164" s="45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54" t="n">
        <v>0</v>
      </c>
      <c r="H165" s="54" t="n">
        <v>0</v>
      </c>
      <c r="I165" s="54" t="n">
        <v>0</v>
      </c>
      <c r="J165" s="54" t="n">
        <v>0</v>
      </c>
      <c r="K165" s="54" t="n">
        <v>0</v>
      </c>
      <c r="L165" s="54" t="n">
        <v>40</v>
      </c>
      <c r="M165" s="54" t="n">
        <v>40</v>
      </c>
      <c r="N165" s="54" t="n">
        <v>41</v>
      </c>
      <c r="O165" s="54" t="n">
        <v>2</v>
      </c>
      <c r="P165" s="55" t="n">
        <v>6300</v>
      </c>
      <c r="Q165" s="47">
        <f>IFERROR(M165/N165,0)</f>
        <v/>
      </c>
      <c r="R165" s="47">
        <f>IFERROR(I165/H165,0)</f>
        <v/>
      </c>
      <c r="S165" s="47">
        <f>IFERROR(J165/I165,0)</f>
        <v/>
      </c>
      <c r="T165" s="47">
        <f>IFERROR(K165/J165,0)</f>
        <v/>
      </c>
      <c r="U165" s="56">
        <f>M165*P165+K165*V165</f>
        <v/>
      </c>
      <c r="V165" s="55" t="n">
        <v>90</v>
      </c>
      <c r="W165" s="54" t="n">
        <v>0</v>
      </c>
      <c r="X165" s="54" t="n">
        <v>0</v>
      </c>
      <c r="Y165" s="57">
        <f>W165+X165</f>
        <v/>
      </c>
      <c r="Z165" s="55" t="n">
        <v>0</v>
      </c>
      <c r="AA165" s="55" t="n">
        <v>0</v>
      </c>
      <c r="AB165" s="45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54" t="n">
        <v>1</v>
      </c>
      <c r="H166" s="54" t="n">
        <v>699</v>
      </c>
      <c r="I166" s="54" t="n">
        <v>140</v>
      </c>
      <c r="J166" s="54" t="n">
        <v>98</v>
      </c>
      <c r="K166" s="54" t="n">
        <v>41</v>
      </c>
      <c r="L166" s="54" t="n">
        <v>0</v>
      </c>
      <c r="M166" s="54" t="n">
        <v>41</v>
      </c>
      <c r="N166" s="54" t="n">
        <v>0</v>
      </c>
      <c r="O166" s="54" t="n">
        <v>2</v>
      </c>
      <c r="P166" s="55" t="n">
        <v>7350</v>
      </c>
      <c r="Q166" s="47">
        <f>IFERROR(M166/N166,0)</f>
        <v/>
      </c>
      <c r="R166" s="47">
        <f>IFERROR(I166/H166,0)</f>
        <v/>
      </c>
      <c r="S166" s="47">
        <f>IFERROR(J166/I166,0)</f>
        <v/>
      </c>
      <c r="T166" s="47">
        <f>IFERROR(K166/J166,0)</f>
        <v/>
      </c>
      <c r="U166" s="56">
        <f>M166*P166+K166*V166</f>
        <v/>
      </c>
      <c r="V166" s="55" t="n">
        <v>90</v>
      </c>
      <c r="W166" s="54" t="n">
        <v>341</v>
      </c>
      <c r="X166" s="54" t="n">
        <v>383</v>
      </c>
      <c r="Y166" s="57">
        <f>W166+X166</f>
        <v/>
      </c>
      <c r="Z166" s="55" t="n">
        <v>15129</v>
      </c>
      <c r="AA166" s="55" t="n">
        <v>26719</v>
      </c>
      <c r="AB166" s="45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54" t="n">
        <v>0</v>
      </c>
      <c r="H167" s="54" t="n">
        <v>0</v>
      </c>
      <c r="I167" s="54" t="n">
        <v>0</v>
      </c>
      <c r="J167" s="54" t="n">
        <v>0</v>
      </c>
      <c r="K167" s="54" t="n">
        <v>0</v>
      </c>
      <c r="L167" s="54" t="n">
        <v>40</v>
      </c>
      <c r="M167" s="54" t="n">
        <v>40</v>
      </c>
      <c r="N167" s="54" t="n">
        <v>41</v>
      </c>
      <c r="O167" s="54" t="n">
        <v>2</v>
      </c>
      <c r="P167" s="55" t="n">
        <v>7350</v>
      </c>
      <c r="Q167" s="47">
        <f>IFERROR(M167/N167,0)</f>
        <v/>
      </c>
      <c r="R167" s="47">
        <f>IFERROR(I167/H167,0)</f>
        <v/>
      </c>
      <c r="S167" s="47">
        <f>IFERROR(J167/I167,0)</f>
        <v/>
      </c>
      <c r="T167" s="47">
        <f>IFERROR(K167/J167,0)</f>
        <v/>
      </c>
      <c r="U167" s="56">
        <f>M167*P167+K167*V167</f>
        <v/>
      </c>
      <c r="V167" s="55" t="n">
        <v>90</v>
      </c>
      <c r="W167" s="54" t="n">
        <v>0</v>
      </c>
      <c r="X167" s="54" t="n">
        <v>0</v>
      </c>
      <c r="Y167" s="57">
        <f>W167+X167</f>
        <v/>
      </c>
      <c r="Z167" s="55" t="n">
        <v>0</v>
      </c>
      <c r="AA167" s="55" t="n">
        <v>0</v>
      </c>
      <c r="AB167" s="45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54" t="n">
        <v>1</v>
      </c>
      <c r="H168" s="54" t="n">
        <v>547</v>
      </c>
      <c r="I168" s="54" t="n">
        <v>109</v>
      </c>
      <c r="J168" s="54" t="n">
        <v>77</v>
      </c>
      <c r="K168" s="54" t="n">
        <v>32</v>
      </c>
      <c r="L168" s="54" t="n">
        <v>0</v>
      </c>
      <c r="M168" s="54" t="n">
        <v>32</v>
      </c>
      <c r="N168" s="54" t="n">
        <v>0</v>
      </c>
      <c r="O168" s="54" t="n">
        <v>2</v>
      </c>
      <c r="P168" s="55" t="n">
        <v>5820</v>
      </c>
      <c r="Q168" s="47">
        <f>IFERROR(M168/N168,0)</f>
        <v/>
      </c>
      <c r="R168" s="47">
        <f>IFERROR(I168/H168,0)</f>
        <v/>
      </c>
      <c r="S168" s="47">
        <f>IFERROR(J168/I168,0)</f>
        <v/>
      </c>
      <c r="T168" s="47">
        <f>IFERROR(K168/J168,0)</f>
        <v/>
      </c>
      <c r="U168" s="56">
        <f>M168*P168+K168*V168</f>
        <v/>
      </c>
      <c r="V168" s="55" t="n">
        <v>90</v>
      </c>
      <c r="W168" s="54" t="n">
        <v>302</v>
      </c>
      <c r="X168" s="54" t="n">
        <v>264</v>
      </c>
      <c r="Y168" s="57">
        <f>W168+X168</f>
        <v/>
      </c>
      <c r="Z168" s="55" t="n">
        <v>9078</v>
      </c>
      <c r="AA168" s="55" t="n">
        <v>23880</v>
      </c>
      <c r="AB168" s="45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54" t="n">
        <v>0</v>
      </c>
      <c r="H169" s="54" t="n">
        <v>0</v>
      </c>
      <c r="I169" s="54" t="n">
        <v>0</v>
      </c>
      <c r="J169" s="54" t="n">
        <v>0</v>
      </c>
      <c r="K169" s="54" t="n">
        <v>0</v>
      </c>
      <c r="L169" s="54" t="n">
        <v>31</v>
      </c>
      <c r="M169" s="54" t="n">
        <v>31</v>
      </c>
      <c r="N169" s="54" t="n">
        <v>32</v>
      </c>
      <c r="O169" s="54" t="n">
        <v>2</v>
      </c>
      <c r="P169" s="55" t="n">
        <v>5820</v>
      </c>
      <c r="Q169" s="47">
        <f>IFERROR(M169/N169,0)</f>
        <v/>
      </c>
      <c r="R169" s="47">
        <f>IFERROR(I169/H169,0)</f>
        <v/>
      </c>
      <c r="S169" s="47">
        <f>IFERROR(J169/I169,0)</f>
        <v/>
      </c>
      <c r="T169" s="47">
        <f>IFERROR(K169/J169,0)</f>
        <v/>
      </c>
      <c r="U169" s="56">
        <f>M169*P169+K169*V169</f>
        <v/>
      </c>
      <c r="V169" s="55" t="n">
        <v>90</v>
      </c>
      <c r="W169" s="54" t="n">
        <v>0</v>
      </c>
      <c r="X169" s="54" t="n">
        <v>0</v>
      </c>
      <c r="Y169" s="57">
        <f>W169+X169</f>
        <v/>
      </c>
      <c r="Z169" s="55" t="n">
        <v>0</v>
      </c>
      <c r="AA169" s="55" t="n">
        <v>0</v>
      </c>
      <c r="AB169" s="45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54" t="n">
        <v>1</v>
      </c>
      <c r="H170" s="54" t="n">
        <v>547</v>
      </c>
      <c r="I170" s="54" t="n">
        <v>109</v>
      </c>
      <c r="J170" s="54" t="n">
        <v>77</v>
      </c>
      <c r="K170" s="54" t="n">
        <v>32</v>
      </c>
      <c r="L170" s="54" t="n">
        <v>0</v>
      </c>
      <c r="M170" s="54" t="n">
        <v>32</v>
      </c>
      <c r="N170" s="54" t="n">
        <v>0</v>
      </c>
      <c r="O170" s="54" t="n">
        <v>2</v>
      </c>
      <c r="P170" s="55" t="n">
        <v>6790</v>
      </c>
      <c r="Q170" s="47">
        <f>IFERROR(M170/N170,0)</f>
        <v/>
      </c>
      <c r="R170" s="47">
        <f>IFERROR(I170/H170,0)</f>
        <v/>
      </c>
      <c r="S170" s="47">
        <f>IFERROR(J170/I170,0)</f>
        <v/>
      </c>
      <c r="T170" s="47">
        <f>IFERROR(K170/J170,0)</f>
        <v/>
      </c>
      <c r="U170" s="56">
        <f>M170*P170+K170*V170</f>
        <v/>
      </c>
      <c r="V170" s="55" t="n">
        <v>90</v>
      </c>
      <c r="W170" s="54" t="n">
        <v>301</v>
      </c>
      <c r="X170" s="54" t="n">
        <v>264</v>
      </c>
      <c r="Y170" s="57">
        <f>W170+X170</f>
        <v/>
      </c>
      <c r="Z170" s="55" t="n">
        <v>9077</v>
      </c>
      <c r="AA170" s="55" t="n">
        <v>23880</v>
      </c>
      <c r="AB170" s="45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54" t="n">
        <v>0</v>
      </c>
      <c r="H171" s="54" t="n">
        <v>0</v>
      </c>
      <c r="I171" s="54" t="n">
        <v>0</v>
      </c>
      <c r="J171" s="54" t="n">
        <v>0</v>
      </c>
      <c r="K171" s="54" t="n">
        <v>0</v>
      </c>
      <c r="L171" s="54" t="n">
        <v>31</v>
      </c>
      <c r="M171" s="54" t="n">
        <v>31</v>
      </c>
      <c r="N171" s="54" t="n">
        <v>32</v>
      </c>
      <c r="O171" s="54" t="n">
        <v>2</v>
      </c>
      <c r="P171" s="55" t="n">
        <v>6790</v>
      </c>
      <c r="Q171" s="47">
        <f>IFERROR(M171/N171,0)</f>
        <v/>
      </c>
      <c r="R171" s="47">
        <f>IFERROR(I171/H171,0)</f>
        <v/>
      </c>
      <c r="S171" s="47">
        <f>IFERROR(J171/I171,0)</f>
        <v/>
      </c>
      <c r="T171" s="47">
        <f>IFERROR(K171/J171,0)</f>
        <v/>
      </c>
      <c r="U171" s="56">
        <f>M171*P171+K171*V171</f>
        <v/>
      </c>
      <c r="V171" s="55" t="n">
        <v>90</v>
      </c>
      <c r="W171" s="54" t="n">
        <v>0</v>
      </c>
      <c r="X171" s="54" t="n">
        <v>0</v>
      </c>
      <c r="Y171" s="57">
        <f>W171+X171</f>
        <v/>
      </c>
      <c r="Z171" s="55" t="n">
        <v>0</v>
      </c>
      <c r="AA171" s="55" t="n">
        <v>0</v>
      </c>
      <c r="AB171" s="45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54" t="n">
        <v>1</v>
      </c>
      <c r="H172" s="54" t="n">
        <v>712</v>
      </c>
      <c r="I172" s="54" t="n">
        <v>142</v>
      </c>
      <c r="J172" s="54" t="n">
        <v>100</v>
      </c>
      <c r="K172" s="54" t="n">
        <v>42</v>
      </c>
      <c r="L172" s="54" t="n">
        <v>0</v>
      </c>
      <c r="M172" s="54" t="n">
        <v>42</v>
      </c>
      <c r="N172" s="54" t="n">
        <v>0</v>
      </c>
      <c r="O172" s="54" t="n">
        <v>2</v>
      </c>
      <c r="P172" s="55" t="n">
        <v>7840</v>
      </c>
      <c r="Q172" s="47">
        <f>IFERROR(M172/N172,0)</f>
        <v/>
      </c>
      <c r="R172" s="47">
        <f>IFERROR(I172/H172,0)</f>
        <v/>
      </c>
      <c r="S172" s="47">
        <f>IFERROR(J172/I172,0)</f>
        <v/>
      </c>
      <c r="T172" s="47">
        <f>IFERROR(K172/J172,0)</f>
        <v/>
      </c>
      <c r="U172" s="56">
        <f>M172*P172+K172*V172</f>
        <v/>
      </c>
      <c r="V172" s="55" t="n">
        <v>90</v>
      </c>
      <c r="W172" s="54" t="n">
        <v>231</v>
      </c>
      <c r="X172" s="54" t="n">
        <v>517</v>
      </c>
      <c r="Y172" s="57">
        <f>W172+X172</f>
        <v/>
      </c>
      <c r="Z172" s="55" t="n">
        <v>24992</v>
      </c>
      <c r="AA172" s="55" t="n">
        <v>19081</v>
      </c>
      <c r="AB172" s="45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54" t="n">
        <v>0</v>
      </c>
      <c r="H173" s="54" t="n">
        <v>0</v>
      </c>
      <c r="I173" s="54" t="n">
        <v>0</v>
      </c>
      <c r="J173" s="54" t="n">
        <v>0</v>
      </c>
      <c r="K173" s="54" t="n">
        <v>0</v>
      </c>
      <c r="L173" s="54" t="n">
        <v>41</v>
      </c>
      <c r="M173" s="54" t="n">
        <v>41</v>
      </c>
      <c r="N173" s="54" t="n">
        <v>42</v>
      </c>
      <c r="O173" s="54" t="n">
        <v>2</v>
      </c>
      <c r="P173" s="55" t="n">
        <v>7840</v>
      </c>
      <c r="Q173" s="47">
        <f>IFERROR(M173/N173,0)</f>
        <v/>
      </c>
      <c r="R173" s="47">
        <f>IFERROR(I173/H173,0)</f>
        <v/>
      </c>
      <c r="S173" s="47">
        <f>IFERROR(J173/I173,0)</f>
        <v/>
      </c>
      <c r="T173" s="47">
        <f>IFERROR(K173/J173,0)</f>
        <v/>
      </c>
      <c r="U173" s="56">
        <f>M173*P173+K173*V173</f>
        <v/>
      </c>
      <c r="V173" s="55" t="n">
        <v>90</v>
      </c>
      <c r="W173" s="54" t="n">
        <v>0</v>
      </c>
      <c r="X173" s="54" t="n">
        <v>0</v>
      </c>
      <c r="Y173" s="57">
        <f>W173+X173</f>
        <v/>
      </c>
      <c r="Z173" s="55" t="n">
        <v>0</v>
      </c>
      <c r="AA173" s="55" t="n">
        <v>0</v>
      </c>
      <c r="AB173" s="45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54" t="n">
        <v>0</v>
      </c>
      <c r="H174" s="54" t="n">
        <v>0</v>
      </c>
      <c r="I174" s="54" t="n">
        <v>0</v>
      </c>
      <c r="J174" s="54" t="n">
        <v>0</v>
      </c>
      <c r="K174" s="54" t="n">
        <v>0</v>
      </c>
      <c r="L174" s="54" t="n">
        <v>40</v>
      </c>
      <c r="M174" s="54" t="n">
        <v>40</v>
      </c>
      <c r="N174" s="54" t="n">
        <v>41</v>
      </c>
      <c r="O174" s="54" t="n">
        <v>2</v>
      </c>
      <c r="P174" s="55" t="n">
        <v>7840</v>
      </c>
      <c r="Q174" s="47">
        <f>IFERROR(M174/N174,0)</f>
        <v/>
      </c>
      <c r="R174" s="47">
        <f>IFERROR(I174/H174,0)</f>
        <v/>
      </c>
      <c r="S174" s="47">
        <f>IFERROR(J174/I174,0)</f>
        <v/>
      </c>
      <c r="T174" s="47">
        <f>IFERROR(K174/J174,0)</f>
        <v/>
      </c>
      <c r="U174" s="56">
        <f>M174*P174+K174*V174</f>
        <v/>
      </c>
      <c r="V174" s="55" t="n">
        <v>90</v>
      </c>
      <c r="W174" s="54" t="n">
        <v>0</v>
      </c>
      <c r="X174" s="54" t="n">
        <v>0</v>
      </c>
      <c r="Y174" s="57">
        <f>W174+X174</f>
        <v/>
      </c>
      <c r="Z174" s="55" t="n">
        <v>0</v>
      </c>
      <c r="AA174" s="55" t="n">
        <v>0</v>
      </c>
      <c r="AB174" s="45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54" t="n">
        <v>1</v>
      </c>
      <c r="H175" s="54" t="n">
        <v>605</v>
      </c>
      <c r="I175" s="54" t="n">
        <v>121</v>
      </c>
      <c r="J175" s="54" t="n">
        <v>85</v>
      </c>
      <c r="K175" s="54" t="n">
        <v>36</v>
      </c>
      <c r="L175" s="54" t="n">
        <v>0</v>
      </c>
      <c r="M175" s="54" t="n">
        <v>36</v>
      </c>
      <c r="N175" s="54" t="n">
        <v>0</v>
      </c>
      <c r="O175" s="54" t="n">
        <v>2</v>
      </c>
      <c r="P175" s="55" t="n">
        <v>7350</v>
      </c>
      <c r="Q175" s="47">
        <f>IFERROR(M175/N175,0)</f>
        <v/>
      </c>
      <c r="R175" s="47">
        <f>IFERROR(I175/H175,0)</f>
        <v/>
      </c>
      <c r="S175" s="47">
        <f>IFERROR(J175/I175,0)</f>
        <v/>
      </c>
      <c r="T175" s="47">
        <f>IFERROR(K175/J175,0)</f>
        <v/>
      </c>
      <c r="U175" s="56">
        <f>M175*P175+K175*V175</f>
        <v/>
      </c>
      <c r="V175" s="55" t="n">
        <v>90</v>
      </c>
      <c r="W175" s="54" t="n">
        <v>242</v>
      </c>
      <c r="X175" s="54" t="n">
        <v>392</v>
      </c>
      <c r="Y175" s="57">
        <f>W175+X175</f>
        <v/>
      </c>
      <c r="Z175" s="55" t="n">
        <v>15578</v>
      </c>
      <c r="AA175" s="55" t="n">
        <v>20221</v>
      </c>
      <c r="AB175" s="45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54" t="n">
        <v>0</v>
      </c>
      <c r="H176" s="54" t="n">
        <v>0</v>
      </c>
      <c r="I176" s="54" t="n">
        <v>0</v>
      </c>
      <c r="J176" s="54" t="n">
        <v>0</v>
      </c>
      <c r="K176" s="54" t="n">
        <v>0</v>
      </c>
      <c r="L176" s="54" t="n">
        <v>35</v>
      </c>
      <c r="M176" s="54" t="n">
        <v>35</v>
      </c>
      <c r="N176" s="54" t="n">
        <v>36</v>
      </c>
      <c r="O176" s="54" t="n">
        <v>2</v>
      </c>
      <c r="P176" s="55" t="n">
        <v>7350</v>
      </c>
      <c r="Q176" s="47">
        <f>IFERROR(M176/N176,0)</f>
        <v/>
      </c>
      <c r="R176" s="47">
        <f>IFERROR(I176/H176,0)</f>
        <v/>
      </c>
      <c r="S176" s="47">
        <f>IFERROR(J176/I176,0)</f>
        <v/>
      </c>
      <c r="T176" s="47">
        <f>IFERROR(K176/J176,0)</f>
        <v/>
      </c>
      <c r="U176" s="56">
        <f>M176*P176+K176*V176</f>
        <v/>
      </c>
      <c r="V176" s="55" t="n">
        <v>90</v>
      </c>
      <c r="W176" s="54" t="n">
        <v>0</v>
      </c>
      <c r="X176" s="54" t="n">
        <v>0</v>
      </c>
      <c r="Y176" s="57">
        <f>W176+X176</f>
        <v/>
      </c>
      <c r="Z176" s="55" t="n">
        <v>0</v>
      </c>
      <c r="AA176" s="55" t="n">
        <v>0</v>
      </c>
      <c r="AB176" s="45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54" t="n">
        <v>0</v>
      </c>
      <c r="H177" s="54" t="n">
        <v>0</v>
      </c>
      <c r="I177" s="54" t="n">
        <v>0</v>
      </c>
      <c r="J177" s="54" t="n">
        <v>0</v>
      </c>
      <c r="K177" s="54" t="n">
        <v>0</v>
      </c>
      <c r="L177" s="54" t="n">
        <v>34</v>
      </c>
      <c r="M177" s="54" t="n">
        <v>34</v>
      </c>
      <c r="N177" s="54" t="n">
        <v>35</v>
      </c>
      <c r="O177" s="54" t="n">
        <v>2</v>
      </c>
      <c r="P177" s="55" t="n">
        <v>7350</v>
      </c>
      <c r="Q177" s="47">
        <f>IFERROR(M177/N177,0)</f>
        <v/>
      </c>
      <c r="R177" s="47">
        <f>IFERROR(I177/H177,0)</f>
        <v/>
      </c>
      <c r="S177" s="47">
        <f>IFERROR(J177/I177,0)</f>
        <v/>
      </c>
      <c r="T177" s="47">
        <f>IFERROR(K177/J177,0)</f>
        <v/>
      </c>
      <c r="U177" s="56">
        <f>M177*P177+K177*V177</f>
        <v/>
      </c>
      <c r="V177" s="55" t="n">
        <v>90</v>
      </c>
      <c r="W177" s="54" t="n">
        <v>0</v>
      </c>
      <c r="X177" s="54" t="n">
        <v>0</v>
      </c>
      <c r="Y177" s="57">
        <f>W177+X177</f>
        <v/>
      </c>
      <c r="Z177" s="55" t="n">
        <v>0</v>
      </c>
      <c r="AA177" s="55" t="n">
        <v>0</v>
      </c>
      <c r="AB177" s="45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45" t="inlineStr">
        <is>
          <t>Paris</t>
        </is>
      </c>
      <c r="C4" s="46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47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47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INDEX('01b_Pilotage'!$J$15:$J$28,MATCH(C4,'01b_Pilotage'!$C$15:$C$28,0))</f>
        <v/>
      </c>
    </row>
    <row r="5">
      <c r="A5" s="17" t="inlineStr">
        <is>
          <t>MBway</t>
        </is>
      </c>
      <c r="B5" s="45" t="inlineStr">
        <is>
          <t>Lyon</t>
        </is>
      </c>
      <c r="C5" s="46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47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47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INDEX('01b_Pilotage'!$J$15:$J$28,MATCH(C5,'01b_Pilotage'!$C$15:$C$28,0))</f>
        <v/>
      </c>
    </row>
    <row r="6">
      <c r="A6" s="17" t="inlineStr">
        <is>
          <t>MBway</t>
        </is>
      </c>
      <c r="B6" s="45" t="inlineStr">
        <is>
          <t>Nantes</t>
        </is>
      </c>
      <c r="C6" s="46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47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47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INDEX('01b_Pilotage'!$J$15:$J$28,MATCH(C6,'01b_Pilotage'!$C$15:$C$28,0))</f>
        <v/>
      </c>
    </row>
    <row r="7">
      <c r="A7" s="17" t="inlineStr">
        <is>
          <t>MBway</t>
        </is>
      </c>
      <c r="B7" s="45" t="inlineStr">
        <is>
          <t>Bordeaux</t>
        </is>
      </c>
      <c r="C7" s="46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47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47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INDEX('01b_Pilotage'!$J$15:$J$28,MATCH(C7,'01b_Pilotage'!$C$15:$C$28,0))</f>
        <v/>
      </c>
    </row>
    <row r="8">
      <c r="A8" s="17" t="inlineStr">
        <is>
          <t>ISCOM</t>
        </is>
      </c>
      <c r="B8" s="45" t="inlineStr">
        <is>
          <t>Paris</t>
        </is>
      </c>
      <c r="C8" s="46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47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47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INDEX('01b_Pilotage'!$J$15:$J$28,MATCH(C8,'01b_Pilotage'!$C$15:$C$28,0))</f>
        <v/>
      </c>
    </row>
    <row r="9">
      <c r="A9" s="17" t="inlineStr">
        <is>
          <t>ISCOM</t>
        </is>
      </c>
      <c r="B9" s="45" t="inlineStr">
        <is>
          <t>Lille</t>
        </is>
      </c>
      <c r="C9" s="46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47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47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INDEX('01b_Pilotage'!$J$15:$J$28,MATCH(C9,'01b_Pilotage'!$C$15:$C$28,0))</f>
        <v/>
      </c>
    </row>
    <row r="10">
      <c r="A10" s="17" t="inlineStr">
        <is>
          <t>ISCOM</t>
        </is>
      </c>
      <c r="B10" s="45" t="inlineStr">
        <is>
          <t>Toulouse</t>
        </is>
      </c>
      <c r="C10" s="46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47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47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INDEX('01b_Pilotage'!$J$15:$J$28,MATCH(C10,'01b_Pilotage'!$C$15:$C$28,0))</f>
        <v/>
      </c>
    </row>
    <row r="11">
      <c r="A11" s="17" t="inlineStr">
        <is>
          <t>Ipac Bachelor Factory</t>
        </is>
      </c>
      <c r="B11" s="45" t="inlineStr">
        <is>
          <t>Nantes</t>
        </is>
      </c>
      <c r="C11" s="46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47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47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INDEX('01b_Pilotage'!$J$15:$J$28,MATCH(C11,'01b_Pilotage'!$C$15:$C$28,0))</f>
        <v/>
      </c>
    </row>
    <row r="12">
      <c r="A12" s="17" t="inlineStr">
        <is>
          <t>Ipac Bachelor Factory</t>
        </is>
      </c>
      <c r="B12" s="45" t="inlineStr">
        <is>
          <t>Rennes</t>
        </is>
      </c>
      <c r="C12" s="46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47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47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INDEX('01b_Pilotage'!$J$15:$J$28,MATCH(C12,'01b_Pilotage'!$C$15:$C$28,0))</f>
        <v/>
      </c>
    </row>
    <row r="13">
      <c r="A13" s="17" t="inlineStr">
        <is>
          <t>Ipac Bachelor Factory</t>
        </is>
      </c>
      <c r="B13" s="45" t="inlineStr">
        <is>
          <t>Montpellier</t>
        </is>
      </c>
      <c r="C13" s="46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47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47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INDEX('01b_Pilotage'!$J$15:$J$28,MATCH(C13,'01b_Pilotage'!$C$15:$C$28,0))</f>
        <v/>
      </c>
    </row>
    <row r="14">
      <c r="A14" s="17" t="inlineStr">
        <is>
          <t>Pigier</t>
        </is>
      </c>
      <c r="B14" s="45" t="inlineStr">
        <is>
          <t>Lyon</t>
        </is>
      </c>
      <c r="C14" s="46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47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47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INDEX('01b_Pilotage'!$J$15:$J$28,MATCH(C14,'01b_Pilotage'!$C$15:$C$28,0))</f>
        <v/>
      </c>
    </row>
    <row r="15">
      <c r="A15" s="17" t="inlineStr">
        <is>
          <t>Pigier</t>
        </is>
      </c>
      <c r="B15" s="45" t="inlineStr">
        <is>
          <t>Bordeaux</t>
        </is>
      </c>
      <c r="C15" s="46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47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47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INDEX('01b_Pilotage'!$J$15:$J$28,MATCH(C15,'01b_Pilotage'!$C$15:$C$28,0))</f>
        <v/>
      </c>
    </row>
    <row r="16">
      <c r="A16" s="17" t="inlineStr">
        <is>
          <t>Tunon</t>
        </is>
      </c>
      <c r="B16" s="45" t="inlineStr">
        <is>
          <t>Paris</t>
        </is>
      </c>
      <c r="C16" s="46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47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47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INDEX('01b_Pilotage'!$J$15:$J$28,MATCH(C16,'01b_Pilotage'!$C$15:$C$28,0))</f>
        <v/>
      </c>
    </row>
    <row r="17">
      <c r="A17" s="17" t="inlineStr">
        <is>
          <t>Tunon</t>
        </is>
      </c>
      <c r="B17" s="45" t="inlineStr">
        <is>
          <t>Lyon</t>
        </is>
      </c>
      <c r="C17" s="46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47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47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INDEX('01b_Pilotage'!$J$15:$J$28,MATCH(C17,'01b_Pilotage'!$C$15:$C$28,0))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45">
        <f>'02_Socle'!B4</f>
        <v/>
      </c>
      <c r="C4" s="17">
        <f>'02_Socle'!C4</f>
        <v/>
      </c>
      <c r="D4" s="45">
        <f>'02_Socle'!E4</f>
        <v/>
      </c>
      <c r="E4" s="45">
        <f>'02_Socle'!F4</f>
        <v/>
      </c>
      <c r="F4" s="54">
        <f>'02_Socle'!G4</f>
        <v/>
      </c>
      <c r="G4" s="54">
        <f>'02_Socle'!H4</f>
        <v/>
      </c>
      <c r="H4" s="54">
        <f>'02_Socle'!I4</f>
        <v/>
      </c>
      <c r="I4" s="54">
        <f>'02_Socle'!K4</f>
        <v/>
      </c>
      <c r="J4" s="54">
        <f>'02_Socle'!L4</f>
        <v/>
      </c>
      <c r="K4" s="54">
        <f>'02_Socle'!M4</f>
        <v/>
      </c>
      <c r="L4" s="54">
        <f>'02_Socle'!N4</f>
        <v/>
      </c>
      <c r="M4" s="55">
        <f>'02_Socle'!P4</f>
        <v/>
      </c>
      <c r="N4" s="58">
        <f>'02_Socle'!Q4</f>
        <v/>
      </c>
      <c r="O4" s="58">
        <f>'02_Socle'!R4</f>
        <v/>
      </c>
      <c r="P4" s="58">
        <f>'02_Socle'!S4</f>
        <v/>
      </c>
      <c r="Q4" s="58">
        <f>'02_Socle'!T4</f>
        <v/>
      </c>
      <c r="R4" s="47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45">
        <f>'02_Socle'!B5</f>
        <v/>
      </c>
      <c r="C5" s="17">
        <f>'02_Socle'!C5</f>
        <v/>
      </c>
      <c r="D5" s="45">
        <f>'02_Socle'!E5</f>
        <v/>
      </c>
      <c r="E5" s="45">
        <f>'02_Socle'!F5</f>
        <v/>
      </c>
      <c r="F5" s="54">
        <f>'02_Socle'!G5</f>
        <v/>
      </c>
      <c r="G5" s="54">
        <f>'02_Socle'!H5</f>
        <v/>
      </c>
      <c r="H5" s="54">
        <f>'02_Socle'!I5</f>
        <v/>
      </c>
      <c r="I5" s="54">
        <f>'02_Socle'!K5</f>
        <v/>
      </c>
      <c r="J5" s="54">
        <f>'02_Socle'!L5</f>
        <v/>
      </c>
      <c r="K5" s="54">
        <f>'02_Socle'!M5</f>
        <v/>
      </c>
      <c r="L5" s="54">
        <f>'02_Socle'!N5</f>
        <v/>
      </c>
      <c r="M5" s="55">
        <f>'02_Socle'!P5</f>
        <v/>
      </c>
      <c r="N5" s="58">
        <f>'02_Socle'!Q5</f>
        <v/>
      </c>
      <c r="O5" s="58">
        <f>'02_Socle'!R5</f>
        <v/>
      </c>
      <c r="P5" s="58">
        <f>'02_Socle'!S5</f>
        <v/>
      </c>
      <c r="Q5" s="58">
        <f>'02_Socle'!T5</f>
        <v/>
      </c>
      <c r="R5" s="47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45">
        <f>'02_Socle'!B6</f>
        <v/>
      </c>
      <c r="C6" s="17">
        <f>'02_Socle'!C6</f>
        <v/>
      </c>
      <c r="D6" s="45">
        <f>'02_Socle'!E6</f>
        <v/>
      </c>
      <c r="E6" s="45">
        <f>'02_Socle'!F6</f>
        <v/>
      </c>
      <c r="F6" s="54">
        <f>'02_Socle'!G6</f>
        <v/>
      </c>
      <c r="G6" s="54">
        <f>'02_Socle'!H6</f>
        <v/>
      </c>
      <c r="H6" s="54">
        <f>'02_Socle'!I6</f>
        <v/>
      </c>
      <c r="I6" s="54">
        <f>'02_Socle'!K6</f>
        <v/>
      </c>
      <c r="J6" s="54">
        <f>'02_Socle'!L6</f>
        <v/>
      </c>
      <c r="K6" s="54">
        <f>'02_Socle'!M6</f>
        <v/>
      </c>
      <c r="L6" s="54">
        <f>'02_Socle'!N6</f>
        <v/>
      </c>
      <c r="M6" s="55">
        <f>'02_Socle'!P6</f>
        <v/>
      </c>
      <c r="N6" s="58">
        <f>'02_Socle'!Q6</f>
        <v/>
      </c>
      <c r="O6" s="58">
        <f>'02_Socle'!R6</f>
        <v/>
      </c>
      <c r="P6" s="58">
        <f>'02_Socle'!S6</f>
        <v/>
      </c>
      <c r="Q6" s="58">
        <f>'02_Socle'!T6</f>
        <v/>
      </c>
      <c r="R6" s="47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45">
        <f>'02_Socle'!F7</f>
        <v/>
      </c>
      <c r="F7" s="54">
        <f>'02_Socle'!G7</f>
        <v/>
      </c>
      <c r="G7" s="54">
        <f>'02_Socle'!H7</f>
        <v/>
      </c>
      <c r="H7" s="54">
        <f>'02_Socle'!I7</f>
        <v/>
      </c>
      <c r="I7" s="54">
        <f>'02_Socle'!K7</f>
        <v/>
      </c>
      <c r="J7" s="54">
        <f>'02_Socle'!L7</f>
        <v/>
      </c>
      <c r="K7" s="54">
        <f>'02_Socle'!M7</f>
        <v/>
      </c>
      <c r="L7" s="54">
        <f>'02_Socle'!N7</f>
        <v/>
      </c>
      <c r="M7" s="55">
        <f>'02_Socle'!P7</f>
        <v/>
      </c>
      <c r="N7" s="58">
        <f>'02_Socle'!Q7</f>
        <v/>
      </c>
      <c r="O7" s="58">
        <f>'02_Socle'!R7</f>
        <v/>
      </c>
      <c r="P7" s="58">
        <f>'02_Socle'!S7</f>
        <v/>
      </c>
      <c r="Q7" s="58">
        <f>'02_Socle'!T7</f>
        <v/>
      </c>
      <c r="R7" s="47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45">
        <f>'02_Socle'!B8</f>
        <v/>
      </c>
      <c r="C8" s="17">
        <f>'02_Socle'!C8</f>
        <v/>
      </c>
      <c r="D8" s="45">
        <f>'02_Socle'!E8</f>
        <v/>
      </c>
      <c r="E8" s="45">
        <f>'02_Socle'!F8</f>
        <v/>
      </c>
      <c r="F8" s="54">
        <f>'02_Socle'!G8</f>
        <v/>
      </c>
      <c r="G8" s="54">
        <f>'02_Socle'!H8</f>
        <v/>
      </c>
      <c r="H8" s="54">
        <f>'02_Socle'!I8</f>
        <v/>
      </c>
      <c r="I8" s="54">
        <f>'02_Socle'!K8</f>
        <v/>
      </c>
      <c r="J8" s="54">
        <f>'02_Socle'!L8</f>
        <v/>
      </c>
      <c r="K8" s="54">
        <f>'02_Socle'!M8</f>
        <v/>
      </c>
      <c r="L8" s="54">
        <f>'02_Socle'!N8</f>
        <v/>
      </c>
      <c r="M8" s="55">
        <f>'02_Socle'!P8</f>
        <v/>
      </c>
      <c r="N8" s="58">
        <f>'02_Socle'!Q8</f>
        <v/>
      </c>
      <c r="O8" s="58">
        <f>'02_Socle'!R8</f>
        <v/>
      </c>
      <c r="P8" s="58">
        <f>'02_Socle'!S8</f>
        <v/>
      </c>
      <c r="Q8" s="58">
        <f>'02_Socle'!T8</f>
        <v/>
      </c>
      <c r="R8" s="47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45">
        <f>'02_Socle'!B9</f>
        <v/>
      </c>
      <c r="C9" s="17">
        <f>'02_Socle'!C9</f>
        <v/>
      </c>
      <c r="D9" s="45">
        <f>'02_Socle'!E9</f>
        <v/>
      </c>
      <c r="E9" s="45">
        <f>'02_Socle'!F9</f>
        <v/>
      </c>
      <c r="F9" s="54">
        <f>'02_Socle'!G9</f>
        <v/>
      </c>
      <c r="G9" s="54">
        <f>'02_Socle'!H9</f>
        <v/>
      </c>
      <c r="H9" s="54">
        <f>'02_Socle'!I9</f>
        <v/>
      </c>
      <c r="I9" s="54">
        <f>'02_Socle'!K9</f>
        <v/>
      </c>
      <c r="J9" s="54">
        <f>'02_Socle'!L9</f>
        <v/>
      </c>
      <c r="K9" s="54">
        <f>'02_Socle'!M9</f>
        <v/>
      </c>
      <c r="L9" s="54">
        <f>'02_Socle'!N9</f>
        <v/>
      </c>
      <c r="M9" s="55">
        <f>'02_Socle'!P9</f>
        <v/>
      </c>
      <c r="N9" s="58">
        <f>'02_Socle'!Q9</f>
        <v/>
      </c>
      <c r="O9" s="58">
        <f>'02_Socle'!R9</f>
        <v/>
      </c>
      <c r="P9" s="58">
        <f>'02_Socle'!S9</f>
        <v/>
      </c>
      <c r="Q9" s="58">
        <f>'02_Socle'!T9</f>
        <v/>
      </c>
      <c r="R9" s="47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8">
        <f>'08_Saisie_Campus'!I7</f>
        <v/>
      </c>
      <c r="AG9" s="58">
        <f>'08_Saisie_Campus'!J7</f>
        <v/>
      </c>
      <c r="AH9" s="58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45">
        <f>'02_Socle'!B10</f>
        <v/>
      </c>
      <c r="C10" s="17">
        <f>'02_Socle'!C10</f>
        <v/>
      </c>
      <c r="D10" s="45">
        <f>'02_Socle'!E10</f>
        <v/>
      </c>
      <c r="E10" s="45">
        <f>'02_Socle'!F10</f>
        <v/>
      </c>
      <c r="F10" s="54">
        <f>'02_Socle'!G10</f>
        <v/>
      </c>
      <c r="G10" s="54">
        <f>'02_Socle'!H10</f>
        <v/>
      </c>
      <c r="H10" s="54">
        <f>'02_Socle'!I10</f>
        <v/>
      </c>
      <c r="I10" s="54">
        <f>'02_Socle'!K10</f>
        <v/>
      </c>
      <c r="J10" s="54">
        <f>'02_Socle'!L10</f>
        <v/>
      </c>
      <c r="K10" s="54">
        <f>'02_Socle'!M10</f>
        <v/>
      </c>
      <c r="L10" s="54">
        <f>'02_Socle'!N10</f>
        <v/>
      </c>
      <c r="M10" s="55">
        <f>'02_Socle'!P10</f>
        <v/>
      </c>
      <c r="N10" s="58">
        <f>'02_Socle'!Q10</f>
        <v/>
      </c>
      <c r="O10" s="58">
        <f>'02_Socle'!R10</f>
        <v/>
      </c>
      <c r="P10" s="58">
        <f>'02_Socle'!S10</f>
        <v/>
      </c>
      <c r="Q10" s="58">
        <f>'02_Socle'!T10</f>
        <v/>
      </c>
      <c r="R10" s="47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8">
        <f>'08_Saisie_Campus'!I8</f>
        <v/>
      </c>
      <c r="AG10" s="58">
        <f>'08_Saisie_Campus'!J8</f>
        <v/>
      </c>
      <c r="AH10" s="58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45">
        <f>'02_Socle'!B11</f>
        <v/>
      </c>
      <c r="C11" s="17">
        <f>'02_Socle'!C11</f>
        <v/>
      </c>
      <c r="D11" s="45">
        <f>'02_Socle'!E11</f>
        <v/>
      </c>
      <c r="E11" s="45">
        <f>'02_Socle'!F11</f>
        <v/>
      </c>
      <c r="F11" s="54">
        <f>'02_Socle'!G11</f>
        <v/>
      </c>
      <c r="G11" s="54">
        <f>'02_Socle'!H11</f>
        <v/>
      </c>
      <c r="H11" s="54">
        <f>'02_Socle'!I11</f>
        <v/>
      </c>
      <c r="I11" s="54">
        <f>'02_Socle'!K11</f>
        <v/>
      </c>
      <c r="J11" s="54">
        <f>'02_Socle'!L11</f>
        <v/>
      </c>
      <c r="K11" s="54">
        <f>'02_Socle'!M11</f>
        <v/>
      </c>
      <c r="L11" s="54">
        <f>'02_Socle'!N11</f>
        <v/>
      </c>
      <c r="M11" s="55">
        <f>'02_Socle'!P11</f>
        <v/>
      </c>
      <c r="N11" s="58">
        <f>'02_Socle'!Q11</f>
        <v/>
      </c>
      <c r="O11" s="58">
        <f>'02_Socle'!R11</f>
        <v/>
      </c>
      <c r="P11" s="58">
        <f>'02_Socle'!S11</f>
        <v/>
      </c>
      <c r="Q11" s="58">
        <f>'02_Socle'!T11</f>
        <v/>
      </c>
      <c r="R11" s="47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8">
        <f>'08_Saisie_Campus'!I9</f>
        <v/>
      </c>
      <c r="AG11" s="58">
        <f>'08_Saisie_Campus'!J9</f>
        <v/>
      </c>
      <c r="AH11" s="58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45">
        <f>'02_Socle'!B12</f>
        <v/>
      </c>
      <c r="C12" s="17">
        <f>'02_Socle'!C12</f>
        <v/>
      </c>
      <c r="D12" s="45">
        <f>'02_Socle'!E12</f>
        <v/>
      </c>
      <c r="E12" s="45">
        <f>'02_Socle'!F12</f>
        <v/>
      </c>
      <c r="F12" s="54">
        <f>'02_Socle'!G12</f>
        <v/>
      </c>
      <c r="G12" s="54">
        <f>'02_Socle'!H12</f>
        <v/>
      </c>
      <c r="H12" s="54">
        <f>'02_Socle'!I12</f>
        <v/>
      </c>
      <c r="I12" s="54">
        <f>'02_Socle'!K12</f>
        <v/>
      </c>
      <c r="J12" s="54">
        <f>'02_Socle'!L12</f>
        <v/>
      </c>
      <c r="K12" s="54">
        <f>'02_Socle'!M12</f>
        <v/>
      </c>
      <c r="L12" s="54">
        <f>'02_Socle'!N12</f>
        <v/>
      </c>
      <c r="M12" s="55">
        <f>'02_Socle'!P12</f>
        <v/>
      </c>
      <c r="N12" s="58">
        <f>'02_Socle'!Q12</f>
        <v/>
      </c>
      <c r="O12" s="58">
        <f>'02_Socle'!R12</f>
        <v/>
      </c>
      <c r="P12" s="58">
        <f>'02_Socle'!S12</f>
        <v/>
      </c>
      <c r="Q12" s="58">
        <f>'02_Socle'!T12</f>
        <v/>
      </c>
      <c r="R12" s="47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8">
        <f>'08_Saisie_Campus'!I10</f>
        <v/>
      </c>
      <c r="AG12" s="58">
        <f>'08_Saisie_Campus'!J10</f>
        <v/>
      </c>
      <c r="AH12" s="58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45">
        <f>'02_Socle'!B13</f>
        <v/>
      </c>
      <c r="C13" s="17">
        <f>'02_Socle'!C13</f>
        <v/>
      </c>
      <c r="D13" s="45">
        <f>'02_Socle'!E13</f>
        <v/>
      </c>
      <c r="E13" s="45">
        <f>'02_Socle'!F13</f>
        <v/>
      </c>
      <c r="F13" s="54">
        <f>'02_Socle'!G13</f>
        <v/>
      </c>
      <c r="G13" s="54">
        <f>'02_Socle'!H13</f>
        <v/>
      </c>
      <c r="H13" s="54">
        <f>'02_Socle'!I13</f>
        <v/>
      </c>
      <c r="I13" s="54">
        <f>'02_Socle'!K13</f>
        <v/>
      </c>
      <c r="J13" s="54">
        <f>'02_Socle'!L13</f>
        <v/>
      </c>
      <c r="K13" s="54">
        <f>'02_Socle'!M13</f>
        <v/>
      </c>
      <c r="L13" s="54">
        <f>'02_Socle'!N13</f>
        <v/>
      </c>
      <c r="M13" s="55">
        <f>'02_Socle'!P13</f>
        <v/>
      </c>
      <c r="N13" s="58">
        <f>'02_Socle'!Q13</f>
        <v/>
      </c>
      <c r="O13" s="58">
        <f>'02_Socle'!R13</f>
        <v/>
      </c>
      <c r="P13" s="58">
        <f>'02_Socle'!S13</f>
        <v/>
      </c>
      <c r="Q13" s="58">
        <f>'02_Socle'!T13</f>
        <v/>
      </c>
      <c r="R13" s="47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8">
        <f>'08_Saisie_Campus'!I11</f>
        <v/>
      </c>
      <c r="AG13" s="58">
        <f>'08_Saisie_Campus'!J11</f>
        <v/>
      </c>
      <c r="AH13" s="58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45">
        <f>'02_Socle'!B14</f>
        <v/>
      </c>
      <c r="C14" s="17">
        <f>'02_Socle'!C14</f>
        <v/>
      </c>
      <c r="D14" s="45">
        <f>'02_Socle'!E14</f>
        <v/>
      </c>
      <c r="E14" s="45">
        <f>'02_Socle'!F14</f>
        <v/>
      </c>
      <c r="F14" s="54">
        <f>'02_Socle'!G14</f>
        <v/>
      </c>
      <c r="G14" s="54">
        <f>'02_Socle'!H14</f>
        <v/>
      </c>
      <c r="H14" s="54">
        <f>'02_Socle'!I14</f>
        <v/>
      </c>
      <c r="I14" s="54">
        <f>'02_Socle'!K14</f>
        <v/>
      </c>
      <c r="J14" s="54">
        <f>'02_Socle'!L14</f>
        <v/>
      </c>
      <c r="K14" s="54">
        <f>'02_Socle'!M14</f>
        <v/>
      </c>
      <c r="L14" s="54">
        <f>'02_Socle'!N14</f>
        <v/>
      </c>
      <c r="M14" s="55">
        <f>'02_Socle'!P14</f>
        <v/>
      </c>
      <c r="N14" s="58">
        <f>'02_Socle'!Q14</f>
        <v/>
      </c>
      <c r="O14" s="58">
        <f>'02_Socle'!R14</f>
        <v/>
      </c>
      <c r="P14" s="58">
        <f>'02_Socle'!S14</f>
        <v/>
      </c>
      <c r="Q14" s="58">
        <f>'02_Socle'!T14</f>
        <v/>
      </c>
      <c r="R14" s="47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45">
        <f>'02_Socle'!B15</f>
        <v/>
      </c>
      <c r="C15" s="17">
        <f>'02_Socle'!C15</f>
        <v/>
      </c>
      <c r="D15" s="45">
        <f>'02_Socle'!E15</f>
        <v/>
      </c>
      <c r="E15" s="45">
        <f>'02_Socle'!F15</f>
        <v/>
      </c>
      <c r="F15" s="54">
        <f>'02_Socle'!G15</f>
        <v/>
      </c>
      <c r="G15" s="54">
        <f>'02_Socle'!H15</f>
        <v/>
      </c>
      <c r="H15" s="54">
        <f>'02_Socle'!I15</f>
        <v/>
      </c>
      <c r="I15" s="54">
        <f>'02_Socle'!K15</f>
        <v/>
      </c>
      <c r="J15" s="54">
        <f>'02_Socle'!L15</f>
        <v/>
      </c>
      <c r="K15" s="54">
        <f>'02_Socle'!M15</f>
        <v/>
      </c>
      <c r="L15" s="54">
        <f>'02_Socle'!N15</f>
        <v/>
      </c>
      <c r="M15" s="55">
        <f>'02_Socle'!P15</f>
        <v/>
      </c>
      <c r="N15" s="58">
        <f>'02_Socle'!Q15</f>
        <v/>
      </c>
      <c r="O15" s="58">
        <f>'02_Socle'!R15</f>
        <v/>
      </c>
      <c r="P15" s="58">
        <f>'02_Socle'!S15</f>
        <v/>
      </c>
      <c r="Q15" s="58">
        <f>'02_Socle'!T15</f>
        <v/>
      </c>
      <c r="R15" s="47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45">
        <f>'02_Socle'!B16</f>
        <v/>
      </c>
      <c r="C16" s="17">
        <f>'02_Socle'!C16</f>
        <v/>
      </c>
      <c r="D16" s="45">
        <f>'02_Socle'!E16</f>
        <v/>
      </c>
      <c r="E16" s="45">
        <f>'02_Socle'!F16</f>
        <v/>
      </c>
      <c r="F16" s="54">
        <f>'02_Socle'!G16</f>
        <v/>
      </c>
      <c r="G16" s="54">
        <f>'02_Socle'!H16</f>
        <v/>
      </c>
      <c r="H16" s="54">
        <f>'02_Socle'!I16</f>
        <v/>
      </c>
      <c r="I16" s="54">
        <f>'02_Socle'!K16</f>
        <v/>
      </c>
      <c r="J16" s="54">
        <f>'02_Socle'!L16</f>
        <v/>
      </c>
      <c r="K16" s="54">
        <f>'02_Socle'!M16</f>
        <v/>
      </c>
      <c r="L16" s="54">
        <f>'02_Socle'!N16</f>
        <v/>
      </c>
      <c r="M16" s="55">
        <f>'02_Socle'!P16</f>
        <v/>
      </c>
      <c r="N16" s="58">
        <f>'02_Socle'!Q16</f>
        <v/>
      </c>
      <c r="O16" s="58">
        <f>'02_Socle'!R16</f>
        <v/>
      </c>
      <c r="P16" s="58">
        <f>'02_Socle'!S16</f>
        <v/>
      </c>
      <c r="Q16" s="58">
        <f>'02_Socle'!T16</f>
        <v/>
      </c>
      <c r="R16" s="47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45">
        <f>'02_Socle'!B17</f>
        <v/>
      </c>
      <c r="C17" s="17">
        <f>'02_Socle'!C17</f>
        <v/>
      </c>
      <c r="D17" s="45">
        <f>'02_Socle'!E17</f>
        <v/>
      </c>
      <c r="E17" s="45">
        <f>'02_Socle'!F17</f>
        <v/>
      </c>
      <c r="F17" s="54">
        <f>'02_Socle'!G17</f>
        <v/>
      </c>
      <c r="G17" s="54">
        <f>'02_Socle'!H17</f>
        <v/>
      </c>
      <c r="H17" s="54">
        <f>'02_Socle'!I17</f>
        <v/>
      </c>
      <c r="I17" s="54">
        <f>'02_Socle'!K17</f>
        <v/>
      </c>
      <c r="J17" s="54">
        <f>'02_Socle'!L17</f>
        <v/>
      </c>
      <c r="K17" s="54">
        <f>'02_Socle'!M17</f>
        <v/>
      </c>
      <c r="L17" s="54">
        <f>'02_Socle'!N17</f>
        <v/>
      </c>
      <c r="M17" s="55">
        <f>'02_Socle'!P17</f>
        <v/>
      </c>
      <c r="N17" s="58">
        <f>'02_Socle'!Q17</f>
        <v/>
      </c>
      <c r="O17" s="58">
        <f>'02_Socle'!R17</f>
        <v/>
      </c>
      <c r="P17" s="58">
        <f>'02_Socle'!S17</f>
        <v/>
      </c>
      <c r="Q17" s="58">
        <f>'02_Socle'!T17</f>
        <v/>
      </c>
      <c r="R17" s="47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45">
        <f>'02_Socle'!B18</f>
        <v/>
      </c>
      <c r="C18" s="17">
        <f>'02_Socle'!C18</f>
        <v/>
      </c>
      <c r="D18" s="45">
        <f>'02_Socle'!E18</f>
        <v/>
      </c>
      <c r="E18" s="45">
        <f>'02_Socle'!F18</f>
        <v/>
      </c>
      <c r="F18" s="54">
        <f>'02_Socle'!G18</f>
        <v/>
      </c>
      <c r="G18" s="54">
        <f>'02_Socle'!H18</f>
        <v/>
      </c>
      <c r="H18" s="54">
        <f>'02_Socle'!I18</f>
        <v/>
      </c>
      <c r="I18" s="54">
        <f>'02_Socle'!K18</f>
        <v/>
      </c>
      <c r="J18" s="54">
        <f>'02_Socle'!L18</f>
        <v/>
      </c>
      <c r="K18" s="54">
        <f>'02_Socle'!M18</f>
        <v/>
      </c>
      <c r="L18" s="54">
        <f>'02_Socle'!N18</f>
        <v/>
      </c>
      <c r="M18" s="55">
        <f>'02_Socle'!P18</f>
        <v/>
      </c>
      <c r="N18" s="58">
        <f>'02_Socle'!Q18</f>
        <v/>
      </c>
      <c r="O18" s="58">
        <f>'02_Socle'!R18</f>
        <v/>
      </c>
      <c r="P18" s="58">
        <f>'02_Socle'!S18</f>
        <v/>
      </c>
      <c r="Q18" s="58">
        <f>'02_Socle'!T18</f>
        <v/>
      </c>
      <c r="R18" s="47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45">
        <f>'02_Socle'!B19</f>
        <v/>
      </c>
      <c r="C19" s="17">
        <f>'02_Socle'!C19</f>
        <v/>
      </c>
      <c r="D19" s="45">
        <f>'02_Socle'!E19</f>
        <v/>
      </c>
      <c r="E19" s="45">
        <f>'02_Socle'!F19</f>
        <v/>
      </c>
      <c r="F19" s="54">
        <f>'02_Socle'!G19</f>
        <v/>
      </c>
      <c r="G19" s="54">
        <f>'02_Socle'!H19</f>
        <v/>
      </c>
      <c r="H19" s="54">
        <f>'02_Socle'!I19</f>
        <v/>
      </c>
      <c r="I19" s="54">
        <f>'02_Socle'!K19</f>
        <v/>
      </c>
      <c r="J19" s="54">
        <f>'02_Socle'!L19</f>
        <v/>
      </c>
      <c r="K19" s="54">
        <f>'02_Socle'!M19</f>
        <v/>
      </c>
      <c r="L19" s="54">
        <f>'02_Socle'!N19</f>
        <v/>
      </c>
      <c r="M19" s="55">
        <f>'02_Socle'!P19</f>
        <v/>
      </c>
      <c r="N19" s="58">
        <f>'02_Socle'!Q19</f>
        <v/>
      </c>
      <c r="O19" s="58">
        <f>'02_Socle'!R19</f>
        <v/>
      </c>
      <c r="P19" s="58">
        <f>'02_Socle'!S19</f>
        <v/>
      </c>
      <c r="Q19" s="58">
        <f>'02_Socle'!T19</f>
        <v/>
      </c>
      <c r="R19" s="47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45">
        <f>'02_Socle'!B20</f>
        <v/>
      </c>
      <c r="C20" s="17">
        <f>'02_Socle'!C20</f>
        <v/>
      </c>
      <c r="D20" s="45">
        <f>'02_Socle'!E20</f>
        <v/>
      </c>
      <c r="E20" s="45">
        <f>'02_Socle'!F20</f>
        <v/>
      </c>
      <c r="F20" s="54">
        <f>'02_Socle'!G20</f>
        <v/>
      </c>
      <c r="G20" s="54">
        <f>'02_Socle'!H20</f>
        <v/>
      </c>
      <c r="H20" s="54">
        <f>'02_Socle'!I20</f>
        <v/>
      </c>
      <c r="I20" s="54">
        <f>'02_Socle'!K20</f>
        <v/>
      </c>
      <c r="J20" s="54">
        <f>'02_Socle'!L20</f>
        <v/>
      </c>
      <c r="K20" s="54">
        <f>'02_Socle'!M20</f>
        <v/>
      </c>
      <c r="L20" s="54">
        <f>'02_Socle'!N20</f>
        <v/>
      </c>
      <c r="M20" s="55">
        <f>'02_Socle'!P20</f>
        <v/>
      </c>
      <c r="N20" s="58">
        <f>'02_Socle'!Q20</f>
        <v/>
      </c>
      <c r="O20" s="58">
        <f>'02_Socle'!R20</f>
        <v/>
      </c>
      <c r="P20" s="58">
        <f>'02_Socle'!S20</f>
        <v/>
      </c>
      <c r="Q20" s="58">
        <f>'02_Socle'!T20</f>
        <v/>
      </c>
      <c r="R20" s="47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45">
        <f>'02_Socle'!B21</f>
        <v/>
      </c>
      <c r="C21" s="17">
        <f>'02_Socle'!C21</f>
        <v/>
      </c>
      <c r="D21" s="45">
        <f>'02_Socle'!E21</f>
        <v/>
      </c>
      <c r="E21" s="45">
        <f>'02_Socle'!F21</f>
        <v/>
      </c>
      <c r="F21" s="54">
        <f>'02_Socle'!G21</f>
        <v/>
      </c>
      <c r="G21" s="54">
        <f>'02_Socle'!H21</f>
        <v/>
      </c>
      <c r="H21" s="54">
        <f>'02_Socle'!I21</f>
        <v/>
      </c>
      <c r="I21" s="54">
        <f>'02_Socle'!K21</f>
        <v/>
      </c>
      <c r="J21" s="54">
        <f>'02_Socle'!L21</f>
        <v/>
      </c>
      <c r="K21" s="54">
        <f>'02_Socle'!M21</f>
        <v/>
      </c>
      <c r="L21" s="54">
        <f>'02_Socle'!N21</f>
        <v/>
      </c>
      <c r="M21" s="55">
        <f>'02_Socle'!P21</f>
        <v/>
      </c>
      <c r="N21" s="58">
        <f>'02_Socle'!Q21</f>
        <v/>
      </c>
      <c r="O21" s="58">
        <f>'02_Socle'!R21</f>
        <v/>
      </c>
      <c r="P21" s="58">
        <f>'02_Socle'!S21</f>
        <v/>
      </c>
      <c r="Q21" s="58">
        <f>'02_Socle'!T21</f>
        <v/>
      </c>
      <c r="R21" s="47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45">
        <f>'02_Socle'!B22</f>
        <v/>
      </c>
      <c r="C22" s="17">
        <f>'02_Socle'!C22</f>
        <v/>
      </c>
      <c r="D22" s="45">
        <f>'02_Socle'!E22</f>
        <v/>
      </c>
      <c r="E22" s="45">
        <f>'02_Socle'!F22</f>
        <v/>
      </c>
      <c r="F22" s="54">
        <f>'02_Socle'!G22</f>
        <v/>
      </c>
      <c r="G22" s="54">
        <f>'02_Socle'!H22</f>
        <v/>
      </c>
      <c r="H22" s="54">
        <f>'02_Socle'!I22</f>
        <v/>
      </c>
      <c r="I22" s="54">
        <f>'02_Socle'!K22</f>
        <v/>
      </c>
      <c r="J22" s="54">
        <f>'02_Socle'!L22</f>
        <v/>
      </c>
      <c r="K22" s="54">
        <f>'02_Socle'!M22</f>
        <v/>
      </c>
      <c r="L22" s="54">
        <f>'02_Socle'!N22</f>
        <v/>
      </c>
      <c r="M22" s="55">
        <f>'02_Socle'!P22</f>
        <v/>
      </c>
      <c r="N22" s="58">
        <f>'02_Socle'!Q22</f>
        <v/>
      </c>
      <c r="O22" s="58">
        <f>'02_Socle'!R22</f>
        <v/>
      </c>
      <c r="P22" s="58">
        <f>'02_Socle'!S22</f>
        <v/>
      </c>
      <c r="Q22" s="58">
        <f>'02_Socle'!T22</f>
        <v/>
      </c>
      <c r="R22" s="47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45">
        <f>'02_Socle'!B23</f>
        <v/>
      </c>
      <c r="C23" s="17">
        <f>'02_Socle'!C23</f>
        <v/>
      </c>
      <c r="D23" s="45">
        <f>'02_Socle'!E23</f>
        <v/>
      </c>
      <c r="E23" s="45">
        <f>'02_Socle'!F23</f>
        <v/>
      </c>
      <c r="F23" s="54">
        <f>'02_Socle'!G23</f>
        <v/>
      </c>
      <c r="G23" s="54">
        <f>'02_Socle'!H23</f>
        <v/>
      </c>
      <c r="H23" s="54">
        <f>'02_Socle'!I23</f>
        <v/>
      </c>
      <c r="I23" s="54">
        <f>'02_Socle'!K23</f>
        <v/>
      </c>
      <c r="J23" s="54">
        <f>'02_Socle'!L23</f>
        <v/>
      </c>
      <c r="K23" s="54">
        <f>'02_Socle'!M23</f>
        <v/>
      </c>
      <c r="L23" s="54">
        <f>'02_Socle'!N23</f>
        <v/>
      </c>
      <c r="M23" s="55">
        <f>'02_Socle'!P23</f>
        <v/>
      </c>
      <c r="N23" s="58">
        <f>'02_Socle'!Q23</f>
        <v/>
      </c>
      <c r="O23" s="58">
        <f>'02_Socle'!R23</f>
        <v/>
      </c>
      <c r="P23" s="58">
        <f>'02_Socle'!S23</f>
        <v/>
      </c>
      <c r="Q23" s="58">
        <f>'02_Socle'!T23</f>
        <v/>
      </c>
      <c r="R23" s="47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45">
        <f>'02_Socle'!B24</f>
        <v/>
      </c>
      <c r="C24" s="17">
        <f>'02_Socle'!C24</f>
        <v/>
      </c>
      <c r="D24" s="45">
        <f>'02_Socle'!E24</f>
        <v/>
      </c>
      <c r="E24" s="45">
        <f>'02_Socle'!F24</f>
        <v/>
      </c>
      <c r="F24" s="54">
        <f>'02_Socle'!G24</f>
        <v/>
      </c>
      <c r="G24" s="54">
        <f>'02_Socle'!H24</f>
        <v/>
      </c>
      <c r="H24" s="54">
        <f>'02_Socle'!I24</f>
        <v/>
      </c>
      <c r="I24" s="54">
        <f>'02_Socle'!K24</f>
        <v/>
      </c>
      <c r="J24" s="54">
        <f>'02_Socle'!L24</f>
        <v/>
      </c>
      <c r="K24" s="54">
        <f>'02_Socle'!M24</f>
        <v/>
      </c>
      <c r="L24" s="54">
        <f>'02_Socle'!N24</f>
        <v/>
      </c>
      <c r="M24" s="55">
        <f>'02_Socle'!P24</f>
        <v/>
      </c>
      <c r="N24" s="58">
        <f>'02_Socle'!Q24</f>
        <v/>
      </c>
      <c r="O24" s="58">
        <f>'02_Socle'!R24</f>
        <v/>
      </c>
      <c r="P24" s="58">
        <f>'02_Socle'!S24</f>
        <v/>
      </c>
      <c r="Q24" s="58">
        <f>'02_Socle'!T24</f>
        <v/>
      </c>
      <c r="R24" s="47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45">
        <f>'02_Socle'!B25</f>
        <v/>
      </c>
      <c r="C25" s="17">
        <f>'02_Socle'!C25</f>
        <v/>
      </c>
      <c r="D25" s="45">
        <f>'02_Socle'!E25</f>
        <v/>
      </c>
      <c r="E25" s="45">
        <f>'02_Socle'!F25</f>
        <v/>
      </c>
      <c r="F25" s="54">
        <f>'02_Socle'!G25</f>
        <v/>
      </c>
      <c r="G25" s="54">
        <f>'02_Socle'!H25</f>
        <v/>
      </c>
      <c r="H25" s="54">
        <f>'02_Socle'!I25</f>
        <v/>
      </c>
      <c r="I25" s="54">
        <f>'02_Socle'!K25</f>
        <v/>
      </c>
      <c r="J25" s="54">
        <f>'02_Socle'!L25</f>
        <v/>
      </c>
      <c r="K25" s="54">
        <f>'02_Socle'!M25</f>
        <v/>
      </c>
      <c r="L25" s="54">
        <f>'02_Socle'!N25</f>
        <v/>
      </c>
      <c r="M25" s="55">
        <f>'02_Socle'!P25</f>
        <v/>
      </c>
      <c r="N25" s="58">
        <f>'02_Socle'!Q25</f>
        <v/>
      </c>
      <c r="O25" s="58">
        <f>'02_Socle'!R25</f>
        <v/>
      </c>
      <c r="P25" s="58">
        <f>'02_Socle'!S25</f>
        <v/>
      </c>
      <c r="Q25" s="58">
        <f>'02_Socle'!T25</f>
        <v/>
      </c>
      <c r="R25" s="47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45">
        <f>'02_Socle'!B26</f>
        <v/>
      </c>
      <c r="C26" s="17">
        <f>'02_Socle'!C26</f>
        <v/>
      </c>
      <c r="D26" s="45">
        <f>'02_Socle'!E26</f>
        <v/>
      </c>
      <c r="E26" s="45">
        <f>'02_Socle'!F26</f>
        <v/>
      </c>
      <c r="F26" s="54">
        <f>'02_Socle'!G26</f>
        <v/>
      </c>
      <c r="G26" s="54">
        <f>'02_Socle'!H26</f>
        <v/>
      </c>
      <c r="H26" s="54">
        <f>'02_Socle'!I26</f>
        <v/>
      </c>
      <c r="I26" s="54">
        <f>'02_Socle'!K26</f>
        <v/>
      </c>
      <c r="J26" s="54">
        <f>'02_Socle'!L26</f>
        <v/>
      </c>
      <c r="K26" s="54">
        <f>'02_Socle'!M26</f>
        <v/>
      </c>
      <c r="L26" s="54">
        <f>'02_Socle'!N26</f>
        <v/>
      </c>
      <c r="M26" s="55">
        <f>'02_Socle'!P26</f>
        <v/>
      </c>
      <c r="N26" s="58">
        <f>'02_Socle'!Q26</f>
        <v/>
      </c>
      <c r="O26" s="58">
        <f>'02_Socle'!R26</f>
        <v/>
      </c>
      <c r="P26" s="58">
        <f>'02_Socle'!S26</f>
        <v/>
      </c>
      <c r="Q26" s="58">
        <f>'02_Socle'!T26</f>
        <v/>
      </c>
      <c r="R26" s="47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45">
        <f>'02_Socle'!B27</f>
        <v/>
      </c>
      <c r="C27" s="17">
        <f>'02_Socle'!C27</f>
        <v/>
      </c>
      <c r="D27" s="45">
        <f>'02_Socle'!E27</f>
        <v/>
      </c>
      <c r="E27" s="45">
        <f>'02_Socle'!F27</f>
        <v/>
      </c>
      <c r="F27" s="54">
        <f>'02_Socle'!G27</f>
        <v/>
      </c>
      <c r="G27" s="54">
        <f>'02_Socle'!H27</f>
        <v/>
      </c>
      <c r="H27" s="54">
        <f>'02_Socle'!I27</f>
        <v/>
      </c>
      <c r="I27" s="54">
        <f>'02_Socle'!K27</f>
        <v/>
      </c>
      <c r="J27" s="54">
        <f>'02_Socle'!L27</f>
        <v/>
      </c>
      <c r="K27" s="54">
        <f>'02_Socle'!M27</f>
        <v/>
      </c>
      <c r="L27" s="54">
        <f>'02_Socle'!N27</f>
        <v/>
      </c>
      <c r="M27" s="55">
        <f>'02_Socle'!P27</f>
        <v/>
      </c>
      <c r="N27" s="58">
        <f>'02_Socle'!Q27</f>
        <v/>
      </c>
      <c r="O27" s="58">
        <f>'02_Socle'!R27</f>
        <v/>
      </c>
      <c r="P27" s="58">
        <f>'02_Socle'!S27</f>
        <v/>
      </c>
      <c r="Q27" s="58">
        <f>'02_Socle'!T27</f>
        <v/>
      </c>
      <c r="R27" s="47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45">
        <f>'02_Socle'!B28</f>
        <v/>
      </c>
      <c r="C28" s="17">
        <f>'02_Socle'!C28</f>
        <v/>
      </c>
      <c r="D28" s="45">
        <f>'02_Socle'!E28</f>
        <v/>
      </c>
      <c r="E28" s="45">
        <f>'02_Socle'!F28</f>
        <v/>
      </c>
      <c r="F28" s="54">
        <f>'02_Socle'!G28</f>
        <v/>
      </c>
      <c r="G28" s="54">
        <f>'02_Socle'!H28</f>
        <v/>
      </c>
      <c r="H28" s="54">
        <f>'02_Socle'!I28</f>
        <v/>
      </c>
      <c r="I28" s="54">
        <f>'02_Socle'!K28</f>
        <v/>
      </c>
      <c r="J28" s="54">
        <f>'02_Socle'!L28</f>
        <v/>
      </c>
      <c r="K28" s="54">
        <f>'02_Socle'!M28</f>
        <v/>
      </c>
      <c r="L28" s="54">
        <f>'02_Socle'!N28</f>
        <v/>
      </c>
      <c r="M28" s="55">
        <f>'02_Socle'!P28</f>
        <v/>
      </c>
      <c r="N28" s="58">
        <f>'02_Socle'!Q28</f>
        <v/>
      </c>
      <c r="O28" s="58">
        <f>'02_Socle'!R28</f>
        <v/>
      </c>
      <c r="P28" s="58">
        <f>'02_Socle'!S28</f>
        <v/>
      </c>
      <c r="Q28" s="58">
        <f>'02_Socle'!T28</f>
        <v/>
      </c>
      <c r="R28" s="47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45">
        <f>'02_Socle'!B29</f>
        <v/>
      </c>
      <c r="C29" s="17">
        <f>'02_Socle'!C29</f>
        <v/>
      </c>
      <c r="D29" s="45">
        <f>'02_Socle'!E29</f>
        <v/>
      </c>
      <c r="E29" s="45">
        <f>'02_Socle'!F29</f>
        <v/>
      </c>
      <c r="F29" s="54">
        <f>'02_Socle'!G29</f>
        <v/>
      </c>
      <c r="G29" s="54">
        <f>'02_Socle'!H29</f>
        <v/>
      </c>
      <c r="H29" s="54">
        <f>'02_Socle'!I29</f>
        <v/>
      </c>
      <c r="I29" s="54">
        <f>'02_Socle'!K29</f>
        <v/>
      </c>
      <c r="J29" s="54">
        <f>'02_Socle'!L29</f>
        <v/>
      </c>
      <c r="K29" s="54">
        <f>'02_Socle'!M29</f>
        <v/>
      </c>
      <c r="L29" s="54">
        <f>'02_Socle'!N29</f>
        <v/>
      </c>
      <c r="M29" s="55">
        <f>'02_Socle'!P29</f>
        <v/>
      </c>
      <c r="N29" s="58">
        <f>'02_Socle'!Q29</f>
        <v/>
      </c>
      <c r="O29" s="58">
        <f>'02_Socle'!R29</f>
        <v/>
      </c>
      <c r="P29" s="58">
        <f>'02_Socle'!S29</f>
        <v/>
      </c>
      <c r="Q29" s="58">
        <f>'02_Socle'!T29</f>
        <v/>
      </c>
      <c r="R29" s="47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45">
        <f>'02_Socle'!B30</f>
        <v/>
      </c>
      <c r="C30" s="17">
        <f>'02_Socle'!C30</f>
        <v/>
      </c>
      <c r="D30" s="45">
        <f>'02_Socle'!E30</f>
        <v/>
      </c>
      <c r="E30" s="45">
        <f>'02_Socle'!F30</f>
        <v/>
      </c>
      <c r="F30" s="54">
        <f>'02_Socle'!G30</f>
        <v/>
      </c>
      <c r="G30" s="54">
        <f>'02_Socle'!H30</f>
        <v/>
      </c>
      <c r="H30" s="54">
        <f>'02_Socle'!I30</f>
        <v/>
      </c>
      <c r="I30" s="54">
        <f>'02_Socle'!K30</f>
        <v/>
      </c>
      <c r="J30" s="54">
        <f>'02_Socle'!L30</f>
        <v/>
      </c>
      <c r="K30" s="54">
        <f>'02_Socle'!M30</f>
        <v/>
      </c>
      <c r="L30" s="54">
        <f>'02_Socle'!N30</f>
        <v/>
      </c>
      <c r="M30" s="55">
        <f>'02_Socle'!P30</f>
        <v/>
      </c>
      <c r="N30" s="58">
        <f>'02_Socle'!Q30</f>
        <v/>
      </c>
      <c r="O30" s="58">
        <f>'02_Socle'!R30</f>
        <v/>
      </c>
      <c r="P30" s="58">
        <f>'02_Socle'!S30</f>
        <v/>
      </c>
      <c r="Q30" s="58">
        <f>'02_Socle'!T30</f>
        <v/>
      </c>
      <c r="R30" s="47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45">
        <f>'02_Socle'!B31</f>
        <v/>
      </c>
      <c r="C31" s="17">
        <f>'02_Socle'!C31</f>
        <v/>
      </c>
      <c r="D31" s="45">
        <f>'02_Socle'!E31</f>
        <v/>
      </c>
      <c r="E31" s="45">
        <f>'02_Socle'!F31</f>
        <v/>
      </c>
      <c r="F31" s="54">
        <f>'02_Socle'!G31</f>
        <v/>
      </c>
      <c r="G31" s="54">
        <f>'02_Socle'!H31</f>
        <v/>
      </c>
      <c r="H31" s="54">
        <f>'02_Socle'!I31</f>
        <v/>
      </c>
      <c r="I31" s="54">
        <f>'02_Socle'!K31</f>
        <v/>
      </c>
      <c r="J31" s="54">
        <f>'02_Socle'!L31</f>
        <v/>
      </c>
      <c r="K31" s="54">
        <f>'02_Socle'!M31</f>
        <v/>
      </c>
      <c r="L31" s="54">
        <f>'02_Socle'!N31</f>
        <v/>
      </c>
      <c r="M31" s="55">
        <f>'02_Socle'!P31</f>
        <v/>
      </c>
      <c r="N31" s="58">
        <f>'02_Socle'!Q31</f>
        <v/>
      </c>
      <c r="O31" s="58">
        <f>'02_Socle'!R31</f>
        <v/>
      </c>
      <c r="P31" s="58">
        <f>'02_Socle'!S31</f>
        <v/>
      </c>
      <c r="Q31" s="58">
        <f>'02_Socle'!T31</f>
        <v/>
      </c>
      <c r="R31" s="47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45">
        <f>'02_Socle'!B32</f>
        <v/>
      </c>
      <c r="C32" s="17">
        <f>'02_Socle'!C32</f>
        <v/>
      </c>
      <c r="D32" s="45">
        <f>'02_Socle'!E32</f>
        <v/>
      </c>
      <c r="E32" s="45">
        <f>'02_Socle'!F32</f>
        <v/>
      </c>
      <c r="F32" s="54">
        <f>'02_Socle'!G32</f>
        <v/>
      </c>
      <c r="G32" s="54">
        <f>'02_Socle'!H32</f>
        <v/>
      </c>
      <c r="H32" s="54">
        <f>'02_Socle'!I32</f>
        <v/>
      </c>
      <c r="I32" s="54">
        <f>'02_Socle'!K32</f>
        <v/>
      </c>
      <c r="J32" s="54">
        <f>'02_Socle'!L32</f>
        <v/>
      </c>
      <c r="K32" s="54">
        <f>'02_Socle'!M32</f>
        <v/>
      </c>
      <c r="L32" s="54">
        <f>'02_Socle'!N32</f>
        <v/>
      </c>
      <c r="M32" s="55">
        <f>'02_Socle'!P32</f>
        <v/>
      </c>
      <c r="N32" s="58">
        <f>'02_Socle'!Q32</f>
        <v/>
      </c>
      <c r="O32" s="58">
        <f>'02_Socle'!R32</f>
        <v/>
      </c>
      <c r="P32" s="58">
        <f>'02_Socle'!S32</f>
        <v/>
      </c>
      <c r="Q32" s="58">
        <f>'02_Socle'!T32</f>
        <v/>
      </c>
      <c r="R32" s="47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45">
        <f>'02_Socle'!B33</f>
        <v/>
      </c>
      <c r="C33" s="17">
        <f>'02_Socle'!C33</f>
        <v/>
      </c>
      <c r="D33" s="45">
        <f>'02_Socle'!E33</f>
        <v/>
      </c>
      <c r="E33" s="45">
        <f>'02_Socle'!F33</f>
        <v/>
      </c>
      <c r="F33" s="54">
        <f>'02_Socle'!G33</f>
        <v/>
      </c>
      <c r="G33" s="54">
        <f>'02_Socle'!H33</f>
        <v/>
      </c>
      <c r="H33" s="54">
        <f>'02_Socle'!I33</f>
        <v/>
      </c>
      <c r="I33" s="54">
        <f>'02_Socle'!K33</f>
        <v/>
      </c>
      <c r="J33" s="54">
        <f>'02_Socle'!L33</f>
        <v/>
      </c>
      <c r="K33" s="54">
        <f>'02_Socle'!M33</f>
        <v/>
      </c>
      <c r="L33" s="54">
        <f>'02_Socle'!N33</f>
        <v/>
      </c>
      <c r="M33" s="55">
        <f>'02_Socle'!P33</f>
        <v/>
      </c>
      <c r="N33" s="58">
        <f>'02_Socle'!Q33</f>
        <v/>
      </c>
      <c r="O33" s="58">
        <f>'02_Socle'!R33</f>
        <v/>
      </c>
      <c r="P33" s="58">
        <f>'02_Socle'!S33</f>
        <v/>
      </c>
      <c r="Q33" s="58">
        <f>'02_Socle'!T33</f>
        <v/>
      </c>
      <c r="R33" s="47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45">
        <f>'02_Socle'!B34</f>
        <v/>
      </c>
      <c r="C34" s="17">
        <f>'02_Socle'!C34</f>
        <v/>
      </c>
      <c r="D34" s="45">
        <f>'02_Socle'!E34</f>
        <v/>
      </c>
      <c r="E34" s="45">
        <f>'02_Socle'!F34</f>
        <v/>
      </c>
      <c r="F34" s="54">
        <f>'02_Socle'!G34</f>
        <v/>
      </c>
      <c r="G34" s="54">
        <f>'02_Socle'!H34</f>
        <v/>
      </c>
      <c r="H34" s="54">
        <f>'02_Socle'!I34</f>
        <v/>
      </c>
      <c r="I34" s="54">
        <f>'02_Socle'!K34</f>
        <v/>
      </c>
      <c r="J34" s="54">
        <f>'02_Socle'!L34</f>
        <v/>
      </c>
      <c r="K34" s="54">
        <f>'02_Socle'!M34</f>
        <v/>
      </c>
      <c r="L34" s="54">
        <f>'02_Socle'!N34</f>
        <v/>
      </c>
      <c r="M34" s="55">
        <f>'02_Socle'!P34</f>
        <v/>
      </c>
      <c r="N34" s="58">
        <f>'02_Socle'!Q34</f>
        <v/>
      </c>
      <c r="O34" s="58">
        <f>'02_Socle'!R34</f>
        <v/>
      </c>
      <c r="P34" s="58">
        <f>'02_Socle'!S34</f>
        <v/>
      </c>
      <c r="Q34" s="58">
        <f>'02_Socle'!T34</f>
        <v/>
      </c>
      <c r="R34" s="47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45">
        <f>'02_Socle'!B35</f>
        <v/>
      </c>
      <c r="C35" s="17">
        <f>'02_Socle'!C35</f>
        <v/>
      </c>
      <c r="D35" s="45">
        <f>'02_Socle'!E35</f>
        <v/>
      </c>
      <c r="E35" s="45">
        <f>'02_Socle'!F35</f>
        <v/>
      </c>
      <c r="F35" s="54">
        <f>'02_Socle'!G35</f>
        <v/>
      </c>
      <c r="G35" s="54">
        <f>'02_Socle'!H35</f>
        <v/>
      </c>
      <c r="H35" s="54">
        <f>'02_Socle'!I35</f>
        <v/>
      </c>
      <c r="I35" s="54">
        <f>'02_Socle'!K35</f>
        <v/>
      </c>
      <c r="J35" s="54">
        <f>'02_Socle'!L35</f>
        <v/>
      </c>
      <c r="K35" s="54">
        <f>'02_Socle'!M35</f>
        <v/>
      </c>
      <c r="L35" s="54">
        <f>'02_Socle'!N35</f>
        <v/>
      </c>
      <c r="M35" s="55">
        <f>'02_Socle'!P35</f>
        <v/>
      </c>
      <c r="N35" s="58">
        <f>'02_Socle'!Q35</f>
        <v/>
      </c>
      <c r="O35" s="58">
        <f>'02_Socle'!R35</f>
        <v/>
      </c>
      <c r="P35" s="58">
        <f>'02_Socle'!S35</f>
        <v/>
      </c>
      <c r="Q35" s="58">
        <f>'02_Socle'!T35</f>
        <v/>
      </c>
      <c r="R35" s="47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45">
        <f>'02_Socle'!B36</f>
        <v/>
      </c>
      <c r="C36" s="17">
        <f>'02_Socle'!C36</f>
        <v/>
      </c>
      <c r="D36" s="45">
        <f>'02_Socle'!E36</f>
        <v/>
      </c>
      <c r="E36" s="45">
        <f>'02_Socle'!F36</f>
        <v/>
      </c>
      <c r="F36" s="54">
        <f>'02_Socle'!G36</f>
        <v/>
      </c>
      <c r="G36" s="54">
        <f>'02_Socle'!H36</f>
        <v/>
      </c>
      <c r="H36" s="54">
        <f>'02_Socle'!I36</f>
        <v/>
      </c>
      <c r="I36" s="54">
        <f>'02_Socle'!K36</f>
        <v/>
      </c>
      <c r="J36" s="54">
        <f>'02_Socle'!L36</f>
        <v/>
      </c>
      <c r="K36" s="54">
        <f>'02_Socle'!M36</f>
        <v/>
      </c>
      <c r="L36" s="54">
        <f>'02_Socle'!N36</f>
        <v/>
      </c>
      <c r="M36" s="55">
        <f>'02_Socle'!P36</f>
        <v/>
      </c>
      <c r="N36" s="58">
        <f>'02_Socle'!Q36</f>
        <v/>
      </c>
      <c r="O36" s="58">
        <f>'02_Socle'!R36</f>
        <v/>
      </c>
      <c r="P36" s="58">
        <f>'02_Socle'!S36</f>
        <v/>
      </c>
      <c r="Q36" s="58">
        <f>'02_Socle'!T36</f>
        <v/>
      </c>
      <c r="R36" s="47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45">
        <f>'02_Socle'!B37</f>
        <v/>
      </c>
      <c r="C37" s="17">
        <f>'02_Socle'!C37</f>
        <v/>
      </c>
      <c r="D37" s="45">
        <f>'02_Socle'!E37</f>
        <v/>
      </c>
      <c r="E37" s="45">
        <f>'02_Socle'!F37</f>
        <v/>
      </c>
      <c r="F37" s="54">
        <f>'02_Socle'!G37</f>
        <v/>
      </c>
      <c r="G37" s="54">
        <f>'02_Socle'!H37</f>
        <v/>
      </c>
      <c r="H37" s="54">
        <f>'02_Socle'!I37</f>
        <v/>
      </c>
      <c r="I37" s="54">
        <f>'02_Socle'!K37</f>
        <v/>
      </c>
      <c r="J37" s="54">
        <f>'02_Socle'!L37</f>
        <v/>
      </c>
      <c r="K37" s="54">
        <f>'02_Socle'!M37</f>
        <v/>
      </c>
      <c r="L37" s="54">
        <f>'02_Socle'!N37</f>
        <v/>
      </c>
      <c r="M37" s="55">
        <f>'02_Socle'!P37</f>
        <v/>
      </c>
      <c r="N37" s="58">
        <f>'02_Socle'!Q37</f>
        <v/>
      </c>
      <c r="O37" s="58">
        <f>'02_Socle'!R37</f>
        <v/>
      </c>
      <c r="P37" s="58">
        <f>'02_Socle'!S37</f>
        <v/>
      </c>
      <c r="Q37" s="58">
        <f>'02_Socle'!T37</f>
        <v/>
      </c>
      <c r="R37" s="47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45">
        <f>'02_Socle'!B38</f>
        <v/>
      </c>
      <c r="C38" s="17">
        <f>'02_Socle'!C38</f>
        <v/>
      </c>
      <c r="D38" s="45">
        <f>'02_Socle'!E38</f>
        <v/>
      </c>
      <c r="E38" s="45">
        <f>'02_Socle'!F38</f>
        <v/>
      </c>
      <c r="F38" s="54">
        <f>'02_Socle'!G38</f>
        <v/>
      </c>
      <c r="G38" s="54">
        <f>'02_Socle'!H38</f>
        <v/>
      </c>
      <c r="H38" s="54">
        <f>'02_Socle'!I38</f>
        <v/>
      </c>
      <c r="I38" s="54">
        <f>'02_Socle'!K38</f>
        <v/>
      </c>
      <c r="J38" s="54">
        <f>'02_Socle'!L38</f>
        <v/>
      </c>
      <c r="K38" s="54">
        <f>'02_Socle'!M38</f>
        <v/>
      </c>
      <c r="L38" s="54">
        <f>'02_Socle'!N38</f>
        <v/>
      </c>
      <c r="M38" s="55">
        <f>'02_Socle'!P38</f>
        <v/>
      </c>
      <c r="N38" s="58">
        <f>'02_Socle'!Q38</f>
        <v/>
      </c>
      <c r="O38" s="58">
        <f>'02_Socle'!R38</f>
        <v/>
      </c>
      <c r="P38" s="58">
        <f>'02_Socle'!S38</f>
        <v/>
      </c>
      <c r="Q38" s="58">
        <f>'02_Socle'!T38</f>
        <v/>
      </c>
      <c r="R38" s="47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45">
        <f>'02_Socle'!B39</f>
        <v/>
      </c>
      <c r="C39" s="17">
        <f>'02_Socle'!C39</f>
        <v/>
      </c>
      <c r="D39" s="45">
        <f>'02_Socle'!E39</f>
        <v/>
      </c>
      <c r="E39" s="45">
        <f>'02_Socle'!F39</f>
        <v/>
      </c>
      <c r="F39" s="54">
        <f>'02_Socle'!G39</f>
        <v/>
      </c>
      <c r="G39" s="54">
        <f>'02_Socle'!H39</f>
        <v/>
      </c>
      <c r="H39" s="54">
        <f>'02_Socle'!I39</f>
        <v/>
      </c>
      <c r="I39" s="54">
        <f>'02_Socle'!K39</f>
        <v/>
      </c>
      <c r="J39" s="54">
        <f>'02_Socle'!L39</f>
        <v/>
      </c>
      <c r="K39" s="54">
        <f>'02_Socle'!M39</f>
        <v/>
      </c>
      <c r="L39" s="54">
        <f>'02_Socle'!N39</f>
        <v/>
      </c>
      <c r="M39" s="55">
        <f>'02_Socle'!P39</f>
        <v/>
      </c>
      <c r="N39" s="58">
        <f>'02_Socle'!Q39</f>
        <v/>
      </c>
      <c r="O39" s="58">
        <f>'02_Socle'!R39</f>
        <v/>
      </c>
      <c r="P39" s="58">
        <f>'02_Socle'!S39</f>
        <v/>
      </c>
      <c r="Q39" s="58">
        <f>'02_Socle'!T39</f>
        <v/>
      </c>
      <c r="R39" s="47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45">
        <f>'02_Socle'!B40</f>
        <v/>
      </c>
      <c r="C40" s="17">
        <f>'02_Socle'!C40</f>
        <v/>
      </c>
      <c r="D40" s="45">
        <f>'02_Socle'!E40</f>
        <v/>
      </c>
      <c r="E40" s="45">
        <f>'02_Socle'!F40</f>
        <v/>
      </c>
      <c r="F40" s="54">
        <f>'02_Socle'!G40</f>
        <v/>
      </c>
      <c r="G40" s="54">
        <f>'02_Socle'!H40</f>
        <v/>
      </c>
      <c r="H40" s="54">
        <f>'02_Socle'!I40</f>
        <v/>
      </c>
      <c r="I40" s="54">
        <f>'02_Socle'!K40</f>
        <v/>
      </c>
      <c r="J40" s="54">
        <f>'02_Socle'!L40</f>
        <v/>
      </c>
      <c r="K40" s="54">
        <f>'02_Socle'!M40</f>
        <v/>
      </c>
      <c r="L40" s="54">
        <f>'02_Socle'!N40</f>
        <v/>
      </c>
      <c r="M40" s="55">
        <f>'02_Socle'!P40</f>
        <v/>
      </c>
      <c r="N40" s="58">
        <f>'02_Socle'!Q40</f>
        <v/>
      </c>
      <c r="O40" s="58">
        <f>'02_Socle'!R40</f>
        <v/>
      </c>
      <c r="P40" s="58">
        <f>'02_Socle'!S40</f>
        <v/>
      </c>
      <c r="Q40" s="58">
        <f>'02_Socle'!T40</f>
        <v/>
      </c>
      <c r="R40" s="47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45">
        <f>'02_Socle'!B41</f>
        <v/>
      </c>
      <c r="C41" s="17">
        <f>'02_Socle'!C41</f>
        <v/>
      </c>
      <c r="D41" s="45">
        <f>'02_Socle'!E41</f>
        <v/>
      </c>
      <c r="E41" s="45">
        <f>'02_Socle'!F41</f>
        <v/>
      </c>
      <c r="F41" s="54">
        <f>'02_Socle'!G41</f>
        <v/>
      </c>
      <c r="G41" s="54">
        <f>'02_Socle'!H41</f>
        <v/>
      </c>
      <c r="H41" s="54">
        <f>'02_Socle'!I41</f>
        <v/>
      </c>
      <c r="I41" s="54">
        <f>'02_Socle'!K41</f>
        <v/>
      </c>
      <c r="J41" s="54">
        <f>'02_Socle'!L41</f>
        <v/>
      </c>
      <c r="K41" s="54">
        <f>'02_Socle'!M41</f>
        <v/>
      </c>
      <c r="L41" s="54">
        <f>'02_Socle'!N41</f>
        <v/>
      </c>
      <c r="M41" s="55">
        <f>'02_Socle'!P41</f>
        <v/>
      </c>
      <c r="N41" s="58">
        <f>'02_Socle'!Q41</f>
        <v/>
      </c>
      <c r="O41" s="58">
        <f>'02_Socle'!R41</f>
        <v/>
      </c>
      <c r="P41" s="58">
        <f>'02_Socle'!S41</f>
        <v/>
      </c>
      <c r="Q41" s="58">
        <f>'02_Socle'!T41</f>
        <v/>
      </c>
      <c r="R41" s="47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45">
        <f>'02_Socle'!B42</f>
        <v/>
      </c>
      <c r="C42" s="17">
        <f>'02_Socle'!C42</f>
        <v/>
      </c>
      <c r="D42" s="45">
        <f>'02_Socle'!E42</f>
        <v/>
      </c>
      <c r="E42" s="45">
        <f>'02_Socle'!F42</f>
        <v/>
      </c>
      <c r="F42" s="54">
        <f>'02_Socle'!G42</f>
        <v/>
      </c>
      <c r="G42" s="54">
        <f>'02_Socle'!H42</f>
        <v/>
      </c>
      <c r="H42" s="54">
        <f>'02_Socle'!I42</f>
        <v/>
      </c>
      <c r="I42" s="54">
        <f>'02_Socle'!K42</f>
        <v/>
      </c>
      <c r="J42" s="54">
        <f>'02_Socle'!L42</f>
        <v/>
      </c>
      <c r="K42" s="54">
        <f>'02_Socle'!M42</f>
        <v/>
      </c>
      <c r="L42" s="54">
        <f>'02_Socle'!N42</f>
        <v/>
      </c>
      <c r="M42" s="55">
        <f>'02_Socle'!P42</f>
        <v/>
      </c>
      <c r="N42" s="58">
        <f>'02_Socle'!Q42</f>
        <v/>
      </c>
      <c r="O42" s="58">
        <f>'02_Socle'!R42</f>
        <v/>
      </c>
      <c r="P42" s="58">
        <f>'02_Socle'!S42</f>
        <v/>
      </c>
      <c r="Q42" s="58">
        <f>'02_Socle'!T42</f>
        <v/>
      </c>
      <c r="R42" s="47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45">
        <f>'02_Socle'!B43</f>
        <v/>
      </c>
      <c r="C43" s="17">
        <f>'02_Socle'!C43</f>
        <v/>
      </c>
      <c r="D43" s="45">
        <f>'02_Socle'!E43</f>
        <v/>
      </c>
      <c r="E43" s="45">
        <f>'02_Socle'!F43</f>
        <v/>
      </c>
      <c r="F43" s="54">
        <f>'02_Socle'!G43</f>
        <v/>
      </c>
      <c r="G43" s="54">
        <f>'02_Socle'!H43</f>
        <v/>
      </c>
      <c r="H43" s="54">
        <f>'02_Socle'!I43</f>
        <v/>
      </c>
      <c r="I43" s="54">
        <f>'02_Socle'!K43</f>
        <v/>
      </c>
      <c r="J43" s="54">
        <f>'02_Socle'!L43</f>
        <v/>
      </c>
      <c r="K43" s="54">
        <f>'02_Socle'!M43</f>
        <v/>
      </c>
      <c r="L43" s="54">
        <f>'02_Socle'!N43</f>
        <v/>
      </c>
      <c r="M43" s="55">
        <f>'02_Socle'!P43</f>
        <v/>
      </c>
      <c r="N43" s="58">
        <f>'02_Socle'!Q43</f>
        <v/>
      </c>
      <c r="O43" s="58">
        <f>'02_Socle'!R43</f>
        <v/>
      </c>
      <c r="P43" s="58">
        <f>'02_Socle'!S43</f>
        <v/>
      </c>
      <c r="Q43" s="58">
        <f>'02_Socle'!T43</f>
        <v/>
      </c>
      <c r="R43" s="47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45">
        <f>'02_Socle'!B44</f>
        <v/>
      </c>
      <c r="C44" s="17">
        <f>'02_Socle'!C44</f>
        <v/>
      </c>
      <c r="D44" s="45">
        <f>'02_Socle'!E44</f>
        <v/>
      </c>
      <c r="E44" s="45">
        <f>'02_Socle'!F44</f>
        <v/>
      </c>
      <c r="F44" s="54">
        <f>'02_Socle'!G44</f>
        <v/>
      </c>
      <c r="G44" s="54">
        <f>'02_Socle'!H44</f>
        <v/>
      </c>
      <c r="H44" s="54">
        <f>'02_Socle'!I44</f>
        <v/>
      </c>
      <c r="I44" s="54">
        <f>'02_Socle'!K44</f>
        <v/>
      </c>
      <c r="J44" s="54">
        <f>'02_Socle'!L44</f>
        <v/>
      </c>
      <c r="K44" s="54">
        <f>'02_Socle'!M44</f>
        <v/>
      </c>
      <c r="L44" s="54">
        <f>'02_Socle'!N44</f>
        <v/>
      </c>
      <c r="M44" s="55">
        <f>'02_Socle'!P44</f>
        <v/>
      </c>
      <c r="N44" s="58">
        <f>'02_Socle'!Q44</f>
        <v/>
      </c>
      <c r="O44" s="58">
        <f>'02_Socle'!R44</f>
        <v/>
      </c>
      <c r="P44" s="58">
        <f>'02_Socle'!S44</f>
        <v/>
      </c>
      <c r="Q44" s="58">
        <f>'02_Socle'!T44</f>
        <v/>
      </c>
      <c r="R44" s="47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45">
        <f>'02_Socle'!B45</f>
        <v/>
      </c>
      <c r="C45" s="17">
        <f>'02_Socle'!C45</f>
        <v/>
      </c>
      <c r="D45" s="45">
        <f>'02_Socle'!E45</f>
        <v/>
      </c>
      <c r="E45" s="45">
        <f>'02_Socle'!F45</f>
        <v/>
      </c>
      <c r="F45" s="54">
        <f>'02_Socle'!G45</f>
        <v/>
      </c>
      <c r="G45" s="54">
        <f>'02_Socle'!H45</f>
        <v/>
      </c>
      <c r="H45" s="54">
        <f>'02_Socle'!I45</f>
        <v/>
      </c>
      <c r="I45" s="54">
        <f>'02_Socle'!K45</f>
        <v/>
      </c>
      <c r="J45" s="54">
        <f>'02_Socle'!L45</f>
        <v/>
      </c>
      <c r="K45" s="54">
        <f>'02_Socle'!M45</f>
        <v/>
      </c>
      <c r="L45" s="54">
        <f>'02_Socle'!N45</f>
        <v/>
      </c>
      <c r="M45" s="55">
        <f>'02_Socle'!P45</f>
        <v/>
      </c>
      <c r="N45" s="58">
        <f>'02_Socle'!Q45</f>
        <v/>
      </c>
      <c r="O45" s="58">
        <f>'02_Socle'!R45</f>
        <v/>
      </c>
      <c r="P45" s="58">
        <f>'02_Socle'!S45</f>
        <v/>
      </c>
      <c r="Q45" s="58">
        <f>'02_Socle'!T45</f>
        <v/>
      </c>
      <c r="R45" s="47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45">
        <f>'02_Socle'!B46</f>
        <v/>
      </c>
      <c r="C46" s="17">
        <f>'02_Socle'!C46</f>
        <v/>
      </c>
      <c r="D46" s="45">
        <f>'02_Socle'!E46</f>
        <v/>
      </c>
      <c r="E46" s="45">
        <f>'02_Socle'!F46</f>
        <v/>
      </c>
      <c r="F46" s="54">
        <f>'02_Socle'!G46</f>
        <v/>
      </c>
      <c r="G46" s="54">
        <f>'02_Socle'!H46</f>
        <v/>
      </c>
      <c r="H46" s="54">
        <f>'02_Socle'!I46</f>
        <v/>
      </c>
      <c r="I46" s="54">
        <f>'02_Socle'!K46</f>
        <v/>
      </c>
      <c r="J46" s="54">
        <f>'02_Socle'!L46</f>
        <v/>
      </c>
      <c r="K46" s="54">
        <f>'02_Socle'!M46</f>
        <v/>
      </c>
      <c r="L46" s="54">
        <f>'02_Socle'!N46</f>
        <v/>
      </c>
      <c r="M46" s="55">
        <f>'02_Socle'!P46</f>
        <v/>
      </c>
      <c r="N46" s="58">
        <f>'02_Socle'!Q46</f>
        <v/>
      </c>
      <c r="O46" s="58">
        <f>'02_Socle'!R46</f>
        <v/>
      </c>
      <c r="P46" s="58">
        <f>'02_Socle'!S46</f>
        <v/>
      </c>
      <c r="Q46" s="58">
        <f>'02_Socle'!T46</f>
        <v/>
      </c>
      <c r="R46" s="47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45">
        <f>'02_Socle'!B47</f>
        <v/>
      </c>
      <c r="C47" s="17">
        <f>'02_Socle'!C47</f>
        <v/>
      </c>
      <c r="D47" s="45">
        <f>'02_Socle'!E47</f>
        <v/>
      </c>
      <c r="E47" s="45">
        <f>'02_Socle'!F47</f>
        <v/>
      </c>
      <c r="F47" s="54">
        <f>'02_Socle'!G47</f>
        <v/>
      </c>
      <c r="G47" s="54">
        <f>'02_Socle'!H47</f>
        <v/>
      </c>
      <c r="H47" s="54">
        <f>'02_Socle'!I47</f>
        <v/>
      </c>
      <c r="I47" s="54">
        <f>'02_Socle'!K47</f>
        <v/>
      </c>
      <c r="J47" s="54">
        <f>'02_Socle'!L47</f>
        <v/>
      </c>
      <c r="K47" s="54">
        <f>'02_Socle'!M47</f>
        <v/>
      </c>
      <c r="L47" s="54">
        <f>'02_Socle'!N47</f>
        <v/>
      </c>
      <c r="M47" s="55">
        <f>'02_Socle'!P47</f>
        <v/>
      </c>
      <c r="N47" s="58">
        <f>'02_Socle'!Q47</f>
        <v/>
      </c>
      <c r="O47" s="58">
        <f>'02_Socle'!R47</f>
        <v/>
      </c>
      <c r="P47" s="58">
        <f>'02_Socle'!S47</f>
        <v/>
      </c>
      <c r="Q47" s="58">
        <f>'02_Socle'!T47</f>
        <v/>
      </c>
      <c r="R47" s="47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45">
        <f>'02_Socle'!B48</f>
        <v/>
      </c>
      <c r="C48" s="17">
        <f>'02_Socle'!C48</f>
        <v/>
      </c>
      <c r="D48" s="45">
        <f>'02_Socle'!E48</f>
        <v/>
      </c>
      <c r="E48" s="45">
        <f>'02_Socle'!F48</f>
        <v/>
      </c>
      <c r="F48" s="54">
        <f>'02_Socle'!G48</f>
        <v/>
      </c>
      <c r="G48" s="54">
        <f>'02_Socle'!H48</f>
        <v/>
      </c>
      <c r="H48" s="54">
        <f>'02_Socle'!I48</f>
        <v/>
      </c>
      <c r="I48" s="54">
        <f>'02_Socle'!K48</f>
        <v/>
      </c>
      <c r="J48" s="54">
        <f>'02_Socle'!L48</f>
        <v/>
      </c>
      <c r="K48" s="54">
        <f>'02_Socle'!M48</f>
        <v/>
      </c>
      <c r="L48" s="54">
        <f>'02_Socle'!N48</f>
        <v/>
      </c>
      <c r="M48" s="55">
        <f>'02_Socle'!P48</f>
        <v/>
      </c>
      <c r="N48" s="58">
        <f>'02_Socle'!Q48</f>
        <v/>
      </c>
      <c r="O48" s="58">
        <f>'02_Socle'!R48</f>
        <v/>
      </c>
      <c r="P48" s="58">
        <f>'02_Socle'!S48</f>
        <v/>
      </c>
      <c r="Q48" s="58">
        <f>'02_Socle'!T48</f>
        <v/>
      </c>
      <c r="R48" s="47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45">
        <f>'02_Socle'!B49</f>
        <v/>
      </c>
      <c r="C49" s="17">
        <f>'02_Socle'!C49</f>
        <v/>
      </c>
      <c r="D49" s="45">
        <f>'02_Socle'!E49</f>
        <v/>
      </c>
      <c r="E49" s="45">
        <f>'02_Socle'!F49</f>
        <v/>
      </c>
      <c r="F49" s="54">
        <f>'02_Socle'!G49</f>
        <v/>
      </c>
      <c r="G49" s="54">
        <f>'02_Socle'!H49</f>
        <v/>
      </c>
      <c r="H49" s="54">
        <f>'02_Socle'!I49</f>
        <v/>
      </c>
      <c r="I49" s="54">
        <f>'02_Socle'!K49</f>
        <v/>
      </c>
      <c r="J49" s="54">
        <f>'02_Socle'!L49</f>
        <v/>
      </c>
      <c r="K49" s="54">
        <f>'02_Socle'!M49</f>
        <v/>
      </c>
      <c r="L49" s="54">
        <f>'02_Socle'!N49</f>
        <v/>
      </c>
      <c r="M49" s="55">
        <f>'02_Socle'!P49</f>
        <v/>
      </c>
      <c r="N49" s="58">
        <f>'02_Socle'!Q49</f>
        <v/>
      </c>
      <c r="O49" s="58">
        <f>'02_Socle'!R49</f>
        <v/>
      </c>
      <c r="P49" s="58">
        <f>'02_Socle'!S49</f>
        <v/>
      </c>
      <c r="Q49" s="58">
        <f>'02_Socle'!T49</f>
        <v/>
      </c>
      <c r="R49" s="47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45">
        <f>'02_Socle'!B50</f>
        <v/>
      </c>
      <c r="C50" s="17">
        <f>'02_Socle'!C50</f>
        <v/>
      </c>
      <c r="D50" s="45">
        <f>'02_Socle'!E50</f>
        <v/>
      </c>
      <c r="E50" s="45">
        <f>'02_Socle'!F50</f>
        <v/>
      </c>
      <c r="F50" s="54">
        <f>'02_Socle'!G50</f>
        <v/>
      </c>
      <c r="G50" s="54">
        <f>'02_Socle'!H50</f>
        <v/>
      </c>
      <c r="H50" s="54">
        <f>'02_Socle'!I50</f>
        <v/>
      </c>
      <c r="I50" s="54">
        <f>'02_Socle'!K50</f>
        <v/>
      </c>
      <c r="J50" s="54">
        <f>'02_Socle'!L50</f>
        <v/>
      </c>
      <c r="K50" s="54">
        <f>'02_Socle'!M50</f>
        <v/>
      </c>
      <c r="L50" s="54">
        <f>'02_Socle'!N50</f>
        <v/>
      </c>
      <c r="M50" s="55">
        <f>'02_Socle'!P50</f>
        <v/>
      </c>
      <c r="N50" s="58">
        <f>'02_Socle'!Q50</f>
        <v/>
      </c>
      <c r="O50" s="58">
        <f>'02_Socle'!R50</f>
        <v/>
      </c>
      <c r="P50" s="58">
        <f>'02_Socle'!S50</f>
        <v/>
      </c>
      <c r="Q50" s="58">
        <f>'02_Socle'!T50</f>
        <v/>
      </c>
      <c r="R50" s="47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45">
        <f>'02_Socle'!B51</f>
        <v/>
      </c>
      <c r="C51" s="17">
        <f>'02_Socle'!C51</f>
        <v/>
      </c>
      <c r="D51" s="45">
        <f>'02_Socle'!E51</f>
        <v/>
      </c>
      <c r="E51" s="45">
        <f>'02_Socle'!F51</f>
        <v/>
      </c>
      <c r="F51" s="54">
        <f>'02_Socle'!G51</f>
        <v/>
      </c>
      <c r="G51" s="54">
        <f>'02_Socle'!H51</f>
        <v/>
      </c>
      <c r="H51" s="54">
        <f>'02_Socle'!I51</f>
        <v/>
      </c>
      <c r="I51" s="54">
        <f>'02_Socle'!K51</f>
        <v/>
      </c>
      <c r="J51" s="54">
        <f>'02_Socle'!L51</f>
        <v/>
      </c>
      <c r="K51" s="54">
        <f>'02_Socle'!M51</f>
        <v/>
      </c>
      <c r="L51" s="54">
        <f>'02_Socle'!N51</f>
        <v/>
      </c>
      <c r="M51" s="55">
        <f>'02_Socle'!P51</f>
        <v/>
      </c>
      <c r="N51" s="58">
        <f>'02_Socle'!Q51</f>
        <v/>
      </c>
      <c r="O51" s="58">
        <f>'02_Socle'!R51</f>
        <v/>
      </c>
      <c r="P51" s="58">
        <f>'02_Socle'!S51</f>
        <v/>
      </c>
      <c r="Q51" s="58">
        <f>'02_Socle'!T51</f>
        <v/>
      </c>
      <c r="R51" s="47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45">
        <f>'02_Socle'!B52</f>
        <v/>
      </c>
      <c r="C52" s="17">
        <f>'02_Socle'!C52</f>
        <v/>
      </c>
      <c r="D52" s="45">
        <f>'02_Socle'!E52</f>
        <v/>
      </c>
      <c r="E52" s="45">
        <f>'02_Socle'!F52</f>
        <v/>
      </c>
      <c r="F52" s="54">
        <f>'02_Socle'!G52</f>
        <v/>
      </c>
      <c r="G52" s="54">
        <f>'02_Socle'!H52</f>
        <v/>
      </c>
      <c r="H52" s="54">
        <f>'02_Socle'!I52</f>
        <v/>
      </c>
      <c r="I52" s="54">
        <f>'02_Socle'!K52</f>
        <v/>
      </c>
      <c r="J52" s="54">
        <f>'02_Socle'!L52</f>
        <v/>
      </c>
      <c r="K52" s="54">
        <f>'02_Socle'!M52</f>
        <v/>
      </c>
      <c r="L52" s="54">
        <f>'02_Socle'!N52</f>
        <v/>
      </c>
      <c r="M52" s="55">
        <f>'02_Socle'!P52</f>
        <v/>
      </c>
      <c r="N52" s="58">
        <f>'02_Socle'!Q52</f>
        <v/>
      </c>
      <c r="O52" s="58">
        <f>'02_Socle'!R52</f>
        <v/>
      </c>
      <c r="P52" s="58">
        <f>'02_Socle'!S52</f>
        <v/>
      </c>
      <c r="Q52" s="58">
        <f>'02_Socle'!T52</f>
        <v/>
      </c>
      <c r="R52" s="47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45">
        <f>'02_Socle'!B53</f>
        <v/>
      </c>
      <c r="C53" s="17">
        <f>'02_Socle'!C53</f>
        <v/>
      </c>
      <c r="D53" s="45">
        <f>'02_Socle'!E53</f>
        <v/>
      </c>
      <c r="E53" s="45">
        <f>'02_Socle'!F53</f>
        <v/>
      </c>
      <c r="F53" s="54">
        <f>'02_Socle'!G53</f>
        <v/>
      </c>
      <c r="G53" s="54">
        <f>'02_Socle'!H53</f>
        <v/>
      </c>
      <c r="H53" s="54">
        <f>'02_Socle'!I53</f>
        <v/>
      </c>
      <c r="I53" s="54">
        <f>'02_Socle'!K53</f>
        <v/>
      </c>
      <c r="J53" s="54">
        <f>'02_Socle'!L53</f>
        <v/>
      </c>
      <c r="K53" s="54">
        <f>'02_Socle'!M53</f>
        <v/>
      </c>
      <c r="L53" s="54">
        <f>'02_Socle'!N53</f>
        <v/>
      </c>
      <c r="M53" s="55">
        <f>'02_Socle'!P53</f>
        <v/>
      </c>
      <c r="N53" s="58">
        <f>'02_Socle'!Q53</f>
        <v/>
      </c>
      <c r="O53" s="58">
        <f>'02_Socle'!R53</f>
        <v/>
      </c>
      <c r="P53" s="58">
        <f>'02_Socle'!S53</f>
        <v/>
      </c>
      <c r="Q53" s="58">
        <f>'02_Socle'!T53</f>
        <v/>
      </c>
      <c r="R53" s="47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45">
        <f>'02_Socle'!B54</f>
        <v/>
      </c>
      <c r="C54" s="17">
        <f>'02_Socle'!C54</f>
        <v/>
      </c>
      <c r="D54" s="45">
        <f>'02_Socle'!E54</f>
        <v/>
      </c>
      <c r="E54" s="45">
        <f>'02_Socle'!F54</f>
        <v/>
      </c>
      <c r="F54" s="54">
        <f>'02_Socle'!G54</f>
        <v/>
      </c>
      <c r="G54" s="54">
        <f>'02_Socle'!H54</f>
        <v/>
      </c>
      <c r="H54" s="54">
        <f>'02_Socle'!I54</f>
        <v/>
      </c>
      <c r="I54" s="54">
        <f>'02_Socle'!K54</f>
        <v/>
      </c>
      <c r="J54" s="54">
        <f>'02_Socle'!L54</f>
        <v/>
      </c>
      <c r="K54" s="54">
        <f>'02_Socle'!M54</f>
        <v/>
      </c>
      <c r="L54" s="54">
        <f>'02_Socle'!N54</f>
        <v/>
      </c>
      <c r="M54" s="55">
        <f>'02_Socle'!P54</f>
        <v/>
      </c>
      <c r="N54" s="58">
        <f>'02_Socle'!Q54</f>
        <v/>
      </c>
      <c r="O54" s="58">
        <f>'02_Socle'!R54</f>
        <v/>
      </c>
      <c r="P54" s="58">
        <f>'02_Socle'!S54</f>
        <v/>
      </c>
      <c r="Q54" s="58">
        <f>'02_Socle'!T54</f>
        <v/>
      </c>
      <c r="R54" s="47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45">
        <f>'02_Socle'!B55</f>
        <v/>
      </c>
      <c r="C55" s="17">
        <f>'02_Socle'!C55</f>
        <v/>
      </c>
      <c r="D55" s="45">
        <f>'02_Socle'!E55</f>
        <v/>
      </c>
      <c r="E55" s="45">
        <f>'02_Socle'!F55</f>
        <v/>
      </c>
      <c r="F55" s="54">
        <f>'02_Socle'!G55</f>
        <v/>
      </c>
      <c r="G55" s="54">
        <f>'02_Socle'!H55</f>
        <v/>
      </c>
      <c r="H55" s="54">
        <f>'02_Socle'!I55</f>
        <v/>
      </c>
      <c r="I55" s="54">
        <f>'02_Socle'!K55</f>
        <v/>
      </c>
      <c r="J55" s="54">
        <f>'02_Socle'!L55</f>
        <v/>
      </c>
      <c r="K55" s="54">
        <f>'02_Socle'!M55</f>
        <v/>
      </c>
      <c r="L55" s="54">
        <f>'02_Socle'!N55</f>
        <v/>
      </c>
      <c r="M55" s="55">
        <f>'02_Socle'!P55</f>
        <v/>
      </c>
      <c r="N55" s="58">
        <f>'02_Socle'!Q55</f>
        <v/>
      </c>
      <c r="O55" s="58">
        <f>'02_Socle'!R55</f>
        <v/>
      </c>
      <c r="P55" s="58">
        <f>'02_Socle'!S55</f>
        <v/>
      </c>
      <c r="Q55" s="58">
        <f>'02_Socle'!T55</f>
        <v/>
      </c>
      <c r="R55" s="47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45">
        <f>'02_Socle'!B56</f>
        <v/>
      </c>
      <c r="C56" s="17">
        <f>'02_Socle'!C56</f>
        <v/>
      </c>
      <c r="D56" s="45">
        <f>'02_Socle'!E56</f>
        <v/>
      </c>
      <c r="E56" s="45">
        <f>'02_Socle'!F56</f>
        <v/>
      </c>
      <c r="F56" s="54">
        <f>'02_Socle'!G56</f>
        <v/>
      </c>
      <c r="G56" s="54">
        <f>'02_Socle'!H56</f>
        <v/>
      </c>
      <c r="H56" s="54">
        <f>'02_Socle'!I56</f>
        <v/>
      </c>
      <c r="I56" s="54">
        <f>'02_Socle'!K56</f>
        <v/>
      </c>
      <c r="J56" s="54">
        <f>'02_Socle'!L56</f>
        <v/>
      </c>
      <c r="K56" s="54">
        <f>'02_Socle'!M56</f>
        <v/>
      </c>
      <c r="L56" s="54">
        <f>'02_Socle'!N56</f>
        <v/>
      </c>
      <c r="M56" s="55">
        <f>'02_Socle'!P56</f>
        <v/>
      </c>
      <c r="N56" s="58">
        <f>'02_Socle'!Q56</f>
        <v/>
      </c>
      <c r="O56" s="58">
        <f>'02_Socle'!R56</f>
        <v/>
      </c>
      <c r="P56" s="58">
        <f>'02_Socle'!S56</f>
        <v/>
      </c>
      <c r="Q56" s="58">
        <f>'02_Socle'!T56</f>
        <v/>
      </c>
      <c r="R56" s="47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45">
        <f>'02_Socle'!B57</f>
        <v/>
      </c>
      <c r="C57" s="17">
        <f>'02_Socle'!C57</f>
        <v/>
      </c>
      <c r="D57" s="45">
        <f>'02_Socle'!E57</f>
        <v/>
      </c>
      <c r="E57" s="45">
        <f>'02_Socle'!F57</f>
        <v/>
      </c>
      <c r="F57" s="54">
        <f>'02_Socle'!G57</f>
        <v/>
      </c>
      <c r="G57" s="54">
        <f>'02_Socle'!H57</f>
        <v/>
      </c>
      <c r="H57" s="54">
        <f>'02_Socle'!I57</f>
        <v/>
      </c>
      <c r="I57" s="54">
        <f>'02_Socle'!K57</f>
        <v/>
      </c>
      <c r="J57" s="54">
        <f>'02_Socle'!L57</f>
        <v/>
      </c>
      <c r="K57" s="54">
        <f>'02_Socle'!M57</f>
        <v/>
      </c>
      <c r="L57" s="54">
        <f>'02_Socle'!N57</f>
        <v/>
      </c>
      <c r="M57" s="55">
        <f>'02_Socle'!P57</f>
        <v/>
      </c>
      <c r="N57" s="58">
        <f>'02_Socle'!Q57</f>
        <v/>
      </c>
      <c r="O57" s="58">
        <f>'02_Socle'!R57</f>
        <v/>
      </c>
      <c r="P57" s="58">
        <f>'02_Socle'!S57</f>
        <v/>
      </c>
      <c r="Q57" s="58">
        <f>'02_Socle'!T57</f>
        <v/>
      </c>
      <c r="R57" s="47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45">
        <f>'02_Socle'!B58</f>
        <v/>
      </c>
      <c r="C58" s="17">
        <f>'02_Socle'!C58</f>
        <v/>
      </c>
      <c r="D58" s="45">
        <f>'02_Socle'!E58</f>
        <v/>
      </c>
      <c r="E58" s="45">
        <f>'02_Socle'!F58</f>
        <v/>
      </c>
      <c r="F58" s="54">
        <f>'02_Socle'!G58</f>
        <v/>
      </c>
      <c r="G58" s="54">
        <f>'02_Socle'!H58</f>
        <v/>
      </c>
      <c r="H58" s="54">
        <f>'02_Socle'!I58</f>
        <v/>
      </c>
      <c r="I58" s="54">
        <f>'02_Socle'!K58</f>
        <v/>
      </c>
      <c r="J58" s="54">
        <f>'02_Socle'!L58</f>
        <v/>
      </c>
      <c r="K58" s="54">
        <f>'02_Socle'!M58</f>
        <v/>
      </c>
      <c r="L58" s="54">
        <f>'02_Socle'!N58</f>
        <v/>
      </c>
      <c r="M58" s="55">
        <f>'02_Socle'!P58</f>
        <v/>
      </c>
      <c r="N58" s="58">
        <f>'02_Socle'!Q58</f>
        <v/>
      </c>
      <c r="O58" s="58">
        <f>'02_Socle'!R58</f>
        <v/>
      </c>
      <c r="P58" s="58">
        <f>'02_Socle'!S58</f>
        <v/>
      </c>
      <c r="Q58" s="58">
        <f>'02_Socle'!T58</f>
        <v/>
      </c>
      <c r="R58" s="47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45">
        <f>'02_Socle'!B59</f>
        <v/>
      </c>
      <c r="C59" s="17">
        <f>'02_Socle'!C59</f>
        <v/>
      </c>
      <c r="D59" s="45">
        <f>'02_Socle'!E59</f>
        <v/>
      </c>
      <c r="E59" s="45">
        <f>'02_Socle'!F59</f>
        <v/>
      </c>
      <c r="F59" s="54">
        <f>'02_Socle'!G59</f>
        <v/>
      </c>
      <c r="G59" s="54">
        <f>'02_Socle'!H59</f>
        <v/>
      </c>
      <c r="H59" s="54">
        <f>'02_Socle'!I59</f>
        <v/>
      </c>
      <c r="I59" s="54">
        <f>'02_Socle'!K59</f>
        <v/>
      </c>
      <c r="J59" s="54">
        <f>'02_Socle'!L59</f>
        <v/>
      </c>
      <c r="K59" s="54">
        <f>'02_Socle'!M59</f>
        <v/>
      </c>
      <c r="L59" s="54">
        <f>'02_Socle'!N59</f>
        <v/>
      </c>
      <c r="M59" s="55">
        <f>'02_Socle'!P59</f>
        <v/>
      </c>
      <c r="N59" s="58">
        <f>'02_Socle'!Q59</f>
        <v/>
      </c>
      <c r="O59" s="58">
        <f>'02_Socle'!R59</f>
        <v/>
      </c>
      <c r="P59" s="58">
        <f>'02_Socle'!S59</f>
        <v/>
      </c>
      <c r="Q59" s="58">
        <f>'02_Socle'!T59</f>
        <v/>
      </c>
      <c r="R59" s="47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45">
        <f>'02_Socle'!B60</f>
        <v/>
      </c>
      <c r="C60" s="17">
        <f>'02_Socle'!C60</f>
        <v/>
      </c>
      <c r="D60" s="45">
        <f>'02_Socle'!E60</f>
        <v/>
      </c>
      <c r="E60" s="45">
        <f>'02_Socle'!F60</f>
        <v/>
      </c>
      <c r="F60" s="54">
        <f>'02_Socle'!G60</f>
        <v/>
      </c>
      <c r="G60" s="54">
        <f>'02_Socle'!H60</f>
        <v/>
      </c>
      <c r="H60" s="54">
        <f>'02_Socle'!I60</f>
        <v/>
      </c>
      <c r="I60" s="54">
        <f>'02_Socle'!K60</f>
        <v/>
      </c>
      <c r="J60" s="54">
        <f>'02_Socle'!L60</f>
        <v/>
      </c>
      <c r="K60" s="54">
        <f>'02_Socle'!M60</f>
        <v/>
      </c>
      <c r="L60" s="54">
        <f>'02_Socle'!N60</f>
        <v/>
      </c>
      <c r="M60" s="55">
        <f>'02_Socle'!P60</f>
        <v/>
      </c>
      <c r="N60" s="58">
        <f>'02_Socle'!Q60</f>
        <v/>
      </c>
      <c r="O60" s="58">
        <f>'02_Socle'!R60</f>
        <v/>
      </c>
      <c r="P60" s="58">
        <f>'02_Socle'!S60</f>
        <v/>
      </c>
      <c r="Q60" s="58">
        <f>'02_Socle'!T60</f>
        <v/>
      </c>
      <c r="R60" s="47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45">
        <f>'02_Socle'!B61</f>
        <v/>
      </c>
      <c r="C61" s="17">
        <f>'02_Socle'!C61</f>
        <v/>
      </c>
      <c r="D61" s="45">
        <f>'02_Socle'!E61</f>
        <v/>
      </c>
      <c r="E61" s="45">
        <f>'02_Socle'!F61</f>
        <v/>
      </c>
      <c r="F61" s="54">
        <f>'02_Socle'!G61</f>
        <v/>
      </c>
      <c r="G61" s="54">
        <f>'02_Socle'!H61</f>
        <v/>
      </c>
      <c r="H61" s="54">
        <f>'02_Socle'!I61</f>
        <v/>
      </c>
      <c r="I61" s="54">
        <f>'02_Socle'!K61</f>
        <v/>
      </c>
      <c r="J61" s="54">
        <f>'02_Socle'!L61</f>
        <v/>
      </c>
      <c r="K61" s="54">
        <f>'02_Socle'!M61</f>
        <v/>
      </c>
      <c r="L61" s="54">
        <f>'02_Socle'!N61</f>
        <v/>
      </c>
      <c r="M61" s="55">
        <f>'02_Socle'!P61</f>
        <v/>
      </c>
      <c r="N61" s="58">
        <f>'02_Socle'!Q61</f>
        <v/>
      </c>
      <c r="O61" s="58">
        <f>'02_Socle'!R61</f>
        <v/>
      </c>
      <c r="P61" s="58">
        <f>'02_Socle'!S61</f>
        <v/>
      </c>
      <c r="Q61" s="58">
        <f>'02_Socle'!T61</f>
        <v/>
      </c>
      <c r="R61" s="47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9" t="inlineStr">
        <is>
          <t>TOTAL</t>
        </is>
      </c>
      <c r="B62" s="50" t="inlineStr">
        <is>
          <t> </t>
        </is>
      </c>
      <c r="C62" s="50" t="inlineStr">
        <is>
          <t> </t>
        </is>
      </c>
      <c r="D62" s="50" t="inlineStr">
        <is>
          <t> </t>
        </is>
      </c>
      <c r="E62" s="50" t="inlineStr">
        <is>
          <t> </t>
        </is>
      </c>
      <c r="F62" s="52">
        <f>SUM(F4:F61)</f>
        <v/>
      </c>
      <c r="G62" s="52">
        <f>SUM(G4:G61)</f>
        <v/>
      </c>
      <c r="H62" s="52">
        <f>SUM(H4:H61)</f>
        <v/>
      </c>
      <c r="I62" s="52">
        <f>SUM(I4:I61)</f>
        <v/>
      </c>
      <c r="T62" s="52">
        <f>SUM(T4:T61)</f>
        <v/>
      </c>
      <c r="U62" s="52">
        <f>SUM(U4:U61)</f>
        <v/>
      </c>
      <c r="V62" s="52">
        <f>SUM(V4:V61)</f>
        <v/>
      </c>
      <c r="W62" s="52">
        <f>SUM(W4:W61)</f>
        <v/>
      </c>
      <c r="X62" s="52">
        <f>SUM(X4:X61)</f>
        <v/>
      </c>
      <c r="Y62" s="52">
        <f>SUM(Y4:Y61)</f>
        <v/>
      </c>
      <c r="AA62" s="51">
        <f>SUM(AA4:AA61)</f>
        <v/>
      </c>
      <c r="AD62" s="52">
        <f>SUM(AD4:AD61)</f>
        <v/>
      </c>
      <c r="AE62" s="51">
        <f>SUM(AE4:AE61)</f>
        <v/>
      </c>
      <c r="AJ62" s="51">
        <f>SUM(AJ4:AJ61)</f>
        <v/>
      </c>
      <c r="AK62" s="52">
        <f>SUM(AK4:AK61)</f>
        <v/>
      </c>
      <c r="AL62" s="51">
        <f>SUM(AL4:AL61)</f>
        <v/>
      </c>
      <c r="AM62" s="5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9" t="inlineStr">
        <is>
          <t>A–Q</t>
        </is>
      </c>
      <c r="B65" s="6" t="inlineStr">
        <is>
          <t>Identité + reprise base + taux mesurés (funnel, passage)</t>
        </is>
      </c>
    </row>
    <row r="66">
      <c r="A66" s="59" t="inlineStr">
        <is>
          <t>R–V</t>
        </is>
      </c>
      <c r="B66" s="6" t="inlineStr">
        <is>
          <t>Acquisition : leads cellule → candidatures → admis</t>
        </is>
      </c>
    </row>
    <row r="67">
      <c r="A67" s="59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9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9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9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9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60" t="inlineStr">
        <is>
          <t>7062</t>
        </is>
      </c>
      <c r="B4" s="25" t="inlineStr">
        <is>
          <t>Prestations de formation — alternance (OPCO)</t>
        </is>
      </c>
      <c r="C4" s="61" t="inlineStr">
        <is>
          <t>7 — Produits d'exploitation</t>
        </is>
      </c>
      <c r="D4" s="61" t="inlineStr">
        <is>
          <t>70 — Prestations de services</t>
        </is>
      </c>
      <c r="E4" s="61" t="inlineStr">
        <is>
          <t>Produits</t>
        </is>
      </c>
      <c r="F4" s="61" t="inlineStr">
        <is>
          <t>Marge de contribution</t>
        </is>
      </c>
      <c r="G4" s="45" t="inlineStr">
        <is>
          <t>Produit</t>
        </is>
      </c>
      <c r="H4" s="46" t="inlineStr">
        <is>
          <t>Campus</t>
        </is>
      </c>
      <c r="I4" s="46" t="inlineStr">
        <is>
          <t>—</t>
        </is>
      </c>
      <c r="J4" s="46" t="inlineStr">
        <is>
          <t>—</t>
        </is>
      </c>
      <c r="K4" s="46" t="inlineStr">
        <is>
          <t>—</t>
        </is>
      </c>
    </row>
    <row r="5">
      <c r="A5" s="60" t="inlineStr">
        <is>
          <t>706</t>
        </is>
      </c>
      <c r="B5" s="25" t="inlineStr">
        <is>
          <t>Prestations de formation — scolarité (initial)</t>
        </is>
      </c>
      <c r="C5" s="61" t="inlineStr">
        <is>
          <t>7 — Produits d'exploitation</t>
        </is>
      </c>
      <c r="D5" s="61" t="inlineStr">
        <is>
          <t>70 — Prestations de services</t>
        </is>
      </c>
      <c r="E5" s="61" t="inlineStr">
        <is>
          <t>Produits</t>
        </is>
      </c>
      <c r="F5" s="61" t="inlineStr">
        <is>
          <t>Marge de contribution</t>
        </is>
      </c>
      <c r="G5" s="45" t="inlineStr">
        <is>
          <t>Produit</t>
        </is>
      </c>
      <c r="H5" s="46" t="inlineStr">
        <is>
          <t>Campus</t>
        </is>
      </c>
      <c r="I5" s="46" t="inlineStr">
        <is>
          <t>—</t>
        </is>
      </c>
      <c r="J5" s="46" t="inlineStr">
        <is>
          <t>—</t>
        </is>
      </c>
      <c r="K5" s="46" t="inlineStr">
        <is>
          <t>—</t>
        </is>
      </c>
    </row>
    <row r="6">
      <c r="A6" s="60" t="inlineStr">
        <is>
          <t>708</t>
        </is>
      </c>
      <c r="B6" s="25" t="inlineStr">
        <is>
          <t>Frais de dossier &amp; droits d'inscription</t>
        </is>
      </c>
      <c r="C6" s="61" t="inlineStr">
        <is>
          <t>7 — Produits d'exploitation</t>
        </is>
      </c>
      <c r="D6" s="61" t="inlineStr">
        <is>
          <t>70 — Prestations de services</t>
        </is>
      </c>
      <c r="E6" s="61" t="inlineStr">
        <is>
          <t>Produits</t>
        </is>
      </c>
      <c r="F6" s="61" t="inlineStr">
        <is>
          <t>Marge de contribution</t>
        </is>
      </c>
      <c r="G6" s="45" t="inlineStr">
        <is>
          <t>Produit</t>
        </is>
      </c>
      <c r="H6" s="46" t="inlineStr">
        <is>
          <t>Campus</t>
        </is>
      </c>
      <c r="I6" s="46" t="inlineStr">
        <is>
          <t>—</t>
        </is>
      </c>
      <c r="J6" s="46" t="inlineStr">
        <is>
          <t>—</t>
        </is>
      </c>
      <c r="K6" s="46" t="inlineStr">
        <is>
          <t>—</t>
        </is>
      </c>
    </row>
    <row r="7">
      <c r="A7" s="46" t="inlineStr">
        <is>
          <t>621</t>
        </is>
      </c>
      <c r="B7" s="25" t="inlineStr">
        <is>
          <t>Personnel extérieur — vacataires &amp; intervenants</t>
        </is>
      </c>
      <c r="C7" s="61" t="inlineStr">
        <is>
          <t>6 — Charges d'exploitation</t>
        </is>
      </c>
      <c r="D7" s="61" t="inlineStr">
        <is>
          <t>62 — Autres services extérieurs</t>
        </is>
      </c>
      <c r="E7" s="61" t="inlineStr">
        <is>
          <t>Coûts directs</t>
        </is>
      </c>
      <c r="F7" s="61" t="inlineStr">
        <is>
          <t>Marge de contribution</t>
        </is>
      </c>
      <c r="G7" s="45" t="inlineStr">
        <is>
          <t>Charge</t>
        </is>
      </c>
      <c r="H7" s="46" t="inlineStr">
        <is>
          <t>Campus</t>
        </is>
      </c>
      <c r="I7" s="46" t="inlineStr">
        <is>
          <t>classes</t>
        </is>
      </c>
      <c r="J7" s="47" t="n">
        <v>0.07000000000000001</v>
      </c>
      <c r="K7" s="46" t="inlineStr">
        <is>
          <t>V</t>
        </is>
      </c>
    </row>
    <row r="8">
      <c r="A8" s="46" t="inlineStr">
        <is>
          <t>604</t>
        </is>
      </c>
      <c r="B8" s="25" t="inlineStr">
        <is>
          <t>Sous-traitance pédagogique</t>
        </is>
      </c>
      <c r="C8" s="61" t="inlineStr">
        <is>
          <t>6 — Charges d'exploitation</t>
        </is>
      </c>
      <c r="D8" s="61" t="inlineStr">
        <is>
          <t>60 — Achats</t>
        </is>
      </c>
      <c r="E8" s="61" t="inlineStr">
        <is>
          <t>Coûts directs</t>
        </is>
      </c>
      <c r="F8" s="61" t="inlineStr">
        <is>
          <t>Marge de contribution</t>
        </is>
      </c>
      <c r="G8" s="45" t="inlineStr">
        <is>
          <t>Charge</t>
        </is>
      </c>
      <c r="H8" s="46" t="inlineStr">
        <is>
          <t>Campus</t>
        </is>
      </c>
      <c r="I8" s="46" t="inlineStr">
        <is>
          <t>effectif</t>
        </is>
      </c>
      <c r="J8" s="47" t="n">
        <v>0.03</v>
      </c>
      <c r="K8" s="46" t="inlineStr">
        <is>
          <t>V</t>
        </is>
      </c>
    </row>
    <row r="9">
      <c r="A9" s="46" t="inlineStr">
        <is>
          <t>6063</t>
        </is>
      </c>
      <c r="B9" s="25" t="inlineStr">
        <is>
          <t>Fournitures pédagogiques &amp; petit équipement</t>
        </is>
      </c>
      <c r="C9" s="61" t="inlineStr">
        <is>
          <t>6 — Charges d'exploitation</t>
        </is>
      </c>
      <c r="D9" s="61" t="inlineStr">
        <is>
          <t>60 — Achats</t>
        </is>
      </c>
      <c r="E9" s="61" t="inlineStr">
        <is>
          <t>Coûts directs</t>
        </is>
      </c>
      <c r="F9" s="61" t="inlineStr">
        <is>
          <t>Marge de contribution</t>
        </is>
      </c>
      <c r="G9" s="45" t="inlineStr">
        <is>
          <t>Charge</t>
        </is>
      </c>
      <c r="H9" s="46" t="inlineStr">
        <is>
          <t>Campus</t>
        </is>
      </c>
      <c r="I9" s="46" t="inlineStr">
        <is>
          <t>effectif</t>
        </is>
      </c>
      <c r="J9" s="47" t="n">
        <v>0.02</v>
      </c>
      <c r="K9" s="46" t="inlineStr">
        <is>
          <t>V</t>
        </is>
      </c>
    </row>
    <row r="10">
      <c r="A10" s="46" t="inlineStr">
        <is>
          <t>6231</t>
        </is>
      </c>
      <c r="B10" s="25" t="inlineStr">
        <is>
          <t>Publicité &amp; marketing d'acquisition (leads)</t>
        </is>
      </c>
      <c r="C10" s="61" t="inlineStr">
        <is>
          <t>6 — Charges d'exploitation</t>
        </is>
      </c>
      <c r="D10" s="61" t="inlineStr">
        <is>
          <t>62 — Autres services extérieurs</t>
        </is>
      </c>
      <c r="E10" s="61" t="inlineStr">
        <is>
          <t>Coûts directs</t>
        </is>
      </c>
      <c r="F10" s="61" t="inlineStr">
        <is>
          <t>Marge de contribution</t>
        </is>
      </c>
      <c r="G10" s="45" t="inlineStr">
        <is>
          <t>Charge</t>
        </is>
      </c>
      <c r="H10" s="46" t="inlineStr">
        <is>
          <t>Campus</t>
        </is>
      </c>
      <c r="I10" s="46" t="inlineStr">
        <is>
          <t>classes</t>
        </is>
      </c>
      <c r="J10" s="47" t="n">
        <v>0.021</v>
      </c>
      <c r="K10" s="46" t="inlineStr">
        <is>
          <t>V</t>
        </is>
      </c>
    </row>
    <row r="11">
      <c r="A11" s="46" t="inlineStr">
        <is>
          <t>6411</t>
        </is>
      </c>
      <c r="B11" s="25" t="inlineStr">
        <is>
          <t>Rémunération enseignants permanents</t>
        </is>
      </c>
      <c r="C11" s="61" t="inlineStr">
        <is>
          <t>6 — Charges d'exploitation</t>
        </is>
      </c>
      <c r="D11" s="61" t="inlineStr">
        <is>
          <t>64 — Charges de personnel</t>
        </is>
      </c>
      <c r="E11" s="61" t="inlineStr">
        <is>
          <t>Personnel</t>
        </is>
      </c>
      <c r="F11" s="61" t="inlineStr">
        <is>
          <t>EBITDA</t>
        </is>
      </c>
      <c r="G11" s="45" t="inlineStr">
        <is>
          <t>Charge</t>
        </is>
      </c>
      <c r="H11" s="46" t="inlineStr">
        <is>
          <t>Campus</t>
        </is>
      </c>
      <c r="I11" s="46" t="inlineStr">
        <is>
          <t>classes</t>
        </is>
      </c>
      <c r="J11" s="47" t="n">
        <v>0.17</v>
      </c>
      <c r="K11" s="46" t="inlineStr">
        <is>
          <t>F</t>
        </is>
      </c>
    </row>
    <row r="12">
      <c r="A12" s="46" t="inlineStr">
        <is>
          <t>6413</t>
        </is>
      </c>
      <c r="B12" s="25" t="inlineStr">
        <is>
          <t>Rémunération personnel administratif &amp; pédagogique</t>
        </is>
      </c>
      <c r="C12" s="61" t="inlineStr">
        <is>
          <t>6 — Charges d'exploitation</t>
        </is>
      </c>
      <c r="D12" s="61" t="inlineStr">
        <is>
          <t>64 — Charges de personnel</t>
        </is>
      </c>
      <c r="E12" s="61" t="inlineStr">
        <is>
          <t>Personnel</t>
        </is>
      </c>
      <c r="F12" s="61" t="inlineStr">
        <is>
          <t>EBITDA</t>
        </is>
      </c>
      <c r="G12" s="45" t="inlineStr">
        <is>
          <t>Charge</t>
        </is>
      </c>
      <c r="H12" s="46" t="inlineStr">
        <is>
          <t>Campus</t>
        </is>
      </c>
      <c r="I12" s="46" t="inlineStr">
        <is>
          <t>effectif</t>
        </is>
      </c>
      <c r="J12" s="47" t="n">
        <v>0.09</v>
      </c>
      <c r="K12" s="46" t="inlineStr">
        <is>
          <t>F</t>
        </is>
      </c>
    </row>
    <row r="13">
      <c r="A13" s="46" t="inlineStr">
        <is>
          <t>6414</t>
        </is>
      </c>
      <c r="B13" s="25" t="inlineStr">
        <is>
          <t>Rémunération direction &amp; fonctions support (siège)</t>
        </is>
      </c>
      <c r="C13" s="61" t="inlineStr">
        <is>
          <t>6 — Charges d'exploitation</t>
        </is>
      </c>
      <c r="D13" s="61" t="inlineStr">
        <is>
          <t>64 — Charges de personnel</t>
        </is>
      </c>
      <c r="E13" s="61" t="inlineStr">
        <is>
          <t>Personnel</t>
        </is>
      </c>
      <c r="F13" s="61" t="inlineStr">
        <is>
          <t>EBITDA</t>
        </is>
      </c>
      <c r="G13" s="45" t="inlineStr">
        <is>
          <t>Charge</t>
        </is>
      </c>
      <c r="H13" s="46" t="inlineStr">
        <is>
          <t>Groupe</t>
        </is>
      </c>
      <c r="I13" s="46" t="inlineStr">
        <is>
          <t>CA</t>
        </is>
      </c>
      <c r="J13" s="47" t="n">
        <v>0.055</v>
      </c>
      <c r="K13" s="46" t="inlineStr">
        <is>
          <t>F</t>
        </is>
      </c>
    </row>
    <row r="14">
      <c r="A14" s="46" t="inlineStr">
        <is>
          <t>645</t>
        </is>
      </c>
      <c r="B14" s="25" t="inlineStr">
        <is>
          <t>Charges sociales &amp; de prévoyance</t>
        </is>
      </c>
      <c r="C14" s="61" t="inlineStr">
        <is>
          <t>6 — Charges d'exploitation</t>
        </is>
      </c>
      <c r="D14" s="61" t="inlineStr">
        <is>
          <t>64 — Charges de personnel</t>
        </is>
      </c>
      <c r="E14" s="61" t="inlineStr">
        <is>
          <t>Personnel</t>
        </is>
      </c>
      <c r="F14" s="61" t="inlineStr">
        <is>
          <t>EBITDA</t>
        </is>
      </c>
      <c r="G14" s="45" t="inlineStr">
        <is>
          <t>Charge</t>
        </is>
      </c>
      <c r="H14" s="46" t="inlineStr">
        <is>
          <t>Campus</t>
        </is>
      </c>
      <c r="I14" s="46" t="inlineStr">
        <is>
          <t>effectif</t>
        </is>
      </c>
      <c r="J14" s="47" t="n">
        <v>0.14</v>
      </c>
      <c r="K14" s="46" t="inlineStr">
        <is>
          <t>F</t>
        </is>
      </c>
    </row>
    <row r="15">
      <c r="A15" s="46" t="inlineStr">
        <is>
          <t>613</t>
        </is>
      </c>
      <c r="B15" s="25" t="inlineStr">
        <is>
          <t>Loyers &amp; charges locatives (campus)</t>
        </is>
      </c>
      <c r="C15" s="61" t="inlineStr">
        <is>
          <t>6 — Charges d'exploitation</t>
        </is>
      </c>
      <c r="D15" s="61" t="inlineStr">
        <is>
          <t>61 — Services extérieurs</t>
        </is>
      </c>
      <c r="E15" s="61" t="inlineStr">
        <is>
          <t>Structure</t>
        </is>
      </c>
      <c r="F15" s="61" t="inlineStr">
        <is>
          <t>EBITDA</t>
        </is>
      </c>
      <c r="G15" s="45" t="inlineStr">
        <is>
          <t>Charge</t>
        </is>
      </c>
      <c r="H15" s="46" t="inlineStr">
        <is>
          <t>Campus</t>
        </is>
      </c>
      <c r="I15" s="46" t="inlineStr">
        <is>
          <t>classes</t>
        </is>
      </c>
      <c r="J15" s="47" t="n">
        <v>0.105</v>
      </c>
      <c r="K15" s="46" t="inlineStr">
        <is>
          <t>F</t>
        </is>
      </c>
    </row>
    <row r="16">
      <c r="A16" s="46" t="inlineStr">
        <is>
          <t>615</t>
        </is>
      </c>
      <c r="B16" s="25" t="inlineStr">
        <is>
          <t>Entretien &amp; maintenance</t>
        </is>
      </c>
      <c r="C16" s="61" t="inlineStr">
        <is>
          <t>6 — Charges d'exploitation</t>
        </is>
      </c>
      <c r="D16" s="61" t="inlineStr">
        <is>
          <t>61 — Services extérieurs</t>
        </is>
      </c>
      <c r="E16" s="61" t="inlineStr">
        <is>
          <t>Structure</t>
        </is>
      </c>
      <c r="F16" s="61" t="inlineStr">
        <is>
          <t>EBITDA</t>
        </is>
      </c>
      <c r="G16" s="45" t="inlineStr">
        <is>
          <t>Charge</t>
        </is>
      </c>
      <c r="H16" s="46" t="inlineStr">
        <is>
          <t>Campus</t>
        </is>
      </c>
      <c r="I16" s="46" t="inlineStr">
        <is>
          <t>classes</t>
        </is>
      </c>
      <c r="J16" s="47" t="n">
        <v>0.015</v>
      </c>
      <c r="K16" s="46" t="inlineStr">
        <is>
          <t>F</t>
        </is>
      </c>
    </row>
    <row r="17">
      <c r="A17" s="46" t="inlineStr">
        <is>
          <t>616</t>
        </is>
      </c>
      <c r="B17" s="25" t="inlineStr">
        <is>
          <t>Primes d'assurance</t>
        </is>
      </c>
      <c r="C17" s="61" t="inlineStr">
        <is>
          <t>6 — Charges d'exploitation</t>
        </is>
      </c>
      <c r="D17" s="61" t="inlineStr">
        <is>
          <t>61 — Services extérieurs</t>
        </is>
      </c>
      <c r="E17" s="61" t="inlineStr">
        <is>
          <t>Structure</t>
        </is>
      </c>
      <c r="F17" s="61" t="inlineStr">
        <is>
          <t>EBITDA</t>
        </is>
      </c>
      <c r="G17" s="45" t="inlineStr">
        <is>
          <t>Charge</t>
        </is>
      </c>
      <c r="H17" s="46" t="inlineStr">
        <is>
          <t>Campus</t>
        </is>
      </c>
      <c r="I17" s="46" t="inlineStr">
        <is>
          <t>effectif</t>
        </is>
      </c>
      <c r="J17" s="47" t="n">
        <v>0.01</v>
      </c>
      <c r="K17" s="46" t="inlineStr">
        <is>
          <t>F</t>
        </is>
      </c>
    </row>
    <row r="18">
      <c r="A18" s="46" t="inlineStr">
        <is>
          <t>6226</t>
        </is>
      </c>
      <c r="B18" s="25" t="inlineStr">
        <is>
          <t>Honoraires (audit, conseil, juridique)</t>
        </is>
      </c>
      <c r="C18" s="61" t="inlineStr">
        <is>
          <t>6 — Charges d'exploitation</t>
        </is>
      </c>
      <c r="D18" s="61" t="inlineStr">
        <is>
          <t>62 — Autres services extérieurs</t>
        </is>
      </c>
      <c r="E18" s="61" t="inlineStr">
        <is>
          <t>Structure</t>
        </is>
      </c>
      <c r="F18" s="61" t="inlineStr">
        <is>
          <t>EBITDA</t>
        </is>
      </c>
      <c r="G18" s="45" t="inlineStr">
        <is>
          <t>Charge</t>
        </is>
      </c>
      <c r="H18" s="46" t="inlineStr">
        <is>
          <t>Groupe</t>
        </is>
      </c>
      <c r="I18" s="46" t="inlineStr">
        <is>
          <t>CA</t>
        </is>
      </c>
      <c r="J18" s="47" t="n">
        <v>0.025</v>
      </c>
      <c r="K18" s="46" t="inlineStr">
        <is>
          <t>F</t>
        </is>
      </c>
    </row>
    <row r="19">
      <c r="A19" s="46" t="inlineStr">
        <is>
          <t>6236</t>
        </is>
      </c>
      <c r="B19" s="25" t="inlineStr">
        <is>
          <t>Marketing de marque, salons &amp; JPO</t>
        </is>
      </c>
      <c r="C19" s="61" t="inlineStr">
        <is>
          <t>6 — Charges d'exploitation</t>
        </is>
      </c>
      <c r="D19" s="61" t="inlineStr">
        <is>
          <t>62 — Autres services extérieurs</t>
        </is>
      </c>
      <c r="E19" s="61" t="inlineStr">
        <is>
          <t>Structure</t>
        </is>
      </c>
      <c r="F19" s="61" t="inlineStr">
        <is>
          <t>EBITDA</t>
        </is>
      </c>
      <c r="G19" s="45" t="inlineStr">
        <is>
          <t>Charge</t>
        </is>
      </c>
      <c r="H19" s="46" t="inlineStr">
        <is>
          <t>Groupe</t>
        </is>
      </c>
      <c r="I19" s="46" t="inlineStr">
        <is>
          <t>CA</t>
        </is>
      </c>
      <c r="J19" s="47" t="n">
        <v>0.03</v>
      </c>
      <c r="K19" s="46" t="inlineStr">
        <is>
          <t>F</t>
        </is>
      </c>
    </row>
    <row r="20">
      <c r="A20" s="46" t="inlineStr">
        <is>
          <t>625</t>
        </is>
      </c>
      <c r="B20" s="25" t="inlineStr">
        <is>
          <t>Déplacements, missions &amp; réceptions</t>
        </is>
      </c>
      <c r="C20" s="61" t="inlineStr">
        <is>
          <t>6 — Charges d'exploitation</t>
        </is>
      </c>
      <c r="D20" s="61" t="inlineStr">
        <is>
          <t>62 — Autres services extérieurs</t>
        </is>
      </c>
      <c r="E20" s="61" t="inlineStr">
        <is>
          <t>Structure</t>
        </is>
      </c>
      <c r="F20" s="61" t="inlineStr">
        <is>
          <t>EBITDA</t>
        </is>
      </c>
      <c r="G20" s="45" t="inlineStr">
        <is>
          <t>Charge</t>
        </is>
      </c>
      <c r="H20" s="46" t="inlineStr">
        <is>
          <t>Campus</t>
        </is>
      </c>
      <c r="I20" s="46" t="inlineStr">
        <is>
          <t>effectif</t>
        </is>
      </c>
      <c r="J20" s="47" t="n">
        <v>0.015</v>
      </c>
      <c r="K20" s="46" t="inlineStr">
        <is>
          <t>F</t>
        </is>
      </c>
    </row>
    <row r="21">
      <c r="A21" s="46" t="inlineStr">
        <is>
          <t>626</t>
        </is>
      </c>
      <c r="B21" s="25" t="inlineStr">
        <is>
          <t>Télécom, systèmes d'information &amp; affranchissement</t>
        </is>
      </c>
      <c r="C21" s="61" t="inlineStr">
        <is>
          <t>6 — Charges d'exploitation</t>
        </is>
      </c>
      <c r="D21" s="61" t="inlineStr">
        <is>
          <t>62 — Autres services extérieurs</t>
        </is>
      </c>
      <c r="E21" s="61" t="inlineStr">
        <is>
          <t>Structure</t>
        </is>
      </c>
      <c r="F21" s="61" t="inlineStr">
        <is>
          <t>EBITDA</t>
        </is>
      </c>
      <c r="G21" s="45" t="inlineStr">
        <is>
          <t>Charge</t>
        </is>
      </c>
      <c r="H21" s="46" t="inlineStr">
        <is>
          <t>Groupe</t>
        </is>
      </c>
      <c r="I21" s="46" t="inlineStr">
        <is>
          <t>effectif</t>
        </is>
      </c>
      <c r="J21" s="47" t="n">
        <v>0.02</v>
      </c>
      <c r="K21" s="46" t="inlineStr">
        <is>
          <t>F</t>
        </is>
      </c>
    </row>
    <row r="22">
      <c r="A22" s="46" t="inlineStr">
        <is>
          <t>6281</t>
        </is>
      </c>
      <c r="B22" s="25" t="inlineStr">
        <is>
          <t>Cotisations, documentation &amp; abonnements</t>
        </is>
      </c>
      <c r="C22" s="61" t="inlineStr">
        <is>
          <t>6 — Charges d'exploitation</t>
        </is>
      </c>
      <c r="D22" s="61" t="inlineStr">
        <is>
          <t>62 — Autres services extérieurs</t>
        </is>
      </c>
      <c r="E22" s="61" t="inlineStr">
        <is>
          <t>Structure</t>
        </is>
      </c>
      <c r="F22" s="61" t="inlineStr">
        <is>
          <t>EBITDA</t>
        </is>
      </c>
      <c r="G22" s="45" t="inlineStr">
        <is>
          <t>Charge</t>
        </is>
      </c>
      <c r="H22" s="46" t="inlineStr">
        <is>
          <t>Groupe</t>
        </is>
      </c>
      <c r="I22" s="46" t="inlineStr">
        <is>
          <t>CA</t>
        </is>
      </c>
      <c r="J22" s="47" t="n">
        <v>0.008</v>
      </c>
      <c r="K22" s="46" t="inlineStr">
        <is>
          <t>F</t>
        </is>
      </c>
    </row>
    <row r="23">
      <c r="A23" s="46" t="inlineStr">
        <is>
          <t>6331</t>
        </is>
      </c>
      <c r="B23" s="25" t="inlineStr">
        <is>
          <t>Taxe sur les salaires</t>
        </is>
      </c>
      <c r="C23" s="61" t="inlineStr">
        <is>
          <t>6 — Charges d'exploitation</t>
        </is>
      </c>
      <c r="D23" s="61" t="inlineStr">
        <is>
          <t>63 — Impôts &amp; taxes</t>
        </is>
      </c>
      <c r="E23" s="61" t="inlineStr">
        <is>
          <t>Impôts &amp; taxes</t>
        </is>
      </c>
      <c r="F23" s="61" t="inlineStr">
        <is>
          <t>EBITDA</t>
        </is>
      </c>
      <c r="G23" s="45" t="inlineStr">
        <is>
          <t>Charge</t>
        </is>
      </c>
      <c r="H23" s="46" t="inlineStr">
        <is>
          <t>Groupe</t>
        </is>
      </c>
      <c r="I23" s="46" t="inlineStr">
        <is>
          <t>effectif</t>
        </is>
      </c>
      <c r="J23" s="47" t="n">
        <v>0.015</v>
      </c>
      <c r="K23" s="46" t="inlineStr">
        <is>
          <t>F</t>
        </is>
      </c>
    </row>
    <row r="24">
      <c r="A24" s="46" t="inlineStr">
        <is>
          <t>63511</t>
        </is>
      </c>
      <c r="B24" s="25" t="inlineStr">
        <is>
          <t>Cotisation foncière &amp; CVAE</t>
        </is>
      </c>
      <c r="C24" s="61" t="inlineStr">
        <is>
          <t>6 — Charges d'exploitation</t>
        </is>
      </c>
      <c r="D24" s="61" t="inlineStr">
        <is>
          <t>63 — Impôts &amp; taxes</t>
        </is>
      </c>
      <c r="E24" s="61" t="inlineStr">
        <is>
          <t>Impôts &amp; taxes</t>
        </is>
      </c>
      <c r="F24" s="61" t="inlineStr">
        <is>
          <t>EBITDA</t>
        </is>
      </c>
      <c r="G24" s="45" t="inlineStr">
        <is>
          <t>Charge</t>
        </is>
      </c>
      <c r="H24" s="46" t="inlineStr">
        <is>
          <t>Campus</t>
        </is>
      </c>
      <c r="I24" s="46" t="inlineStr">
        <is>
          <t>classes</t>
        </is>
      </c>
      <c r="J24" s="47" t="n">
        <v>0.01</v>
      </c>
      <c r="K24" s="46" t="inlineStr">
        <is>
          <t>F</t>
        </is>
      </c>
    </row>
    <row r="25">
      <c r="A25" s="46" t="inlineStr">
        <is>
          <t>6333</t>
        </is>
      </c>
      <c r="B25" s="25" t="inlineStr">
        <is>
          <t>Participation formation professionnelle</t>
        </is>
      </c>
      <c r="C25" s="61" t="inlineStr">
        <is>
          <t>6 — Charges d'exploitation</t>
        </is>
      </c>
      <c r="D25" s="61" t="inlineStr">
        <is>
          <t>63 — Impôts &amp; taxes</t>
        </is>
      </c>
      <c r="E25" s="61" t="inlineStr">
        <is>
          <t>Impôts &amp; taxes</t>
        </is>
      </c>
      <c r="F25" s="61" t="inlineStr">
        <is>
          <t>EBITDA</t>
        </is>
      </c>
      <c r="G25" s="45" t="inlineStr">
        <is>
          <t>Charge</t>
        </is>
      </c>
      <c r="H25" s="46" t="inlineStr">
        <is>
          <t>Groupe</t>
        </is>
      </c>
      <c r="I25" s="46" t="inlineStr">
        <is>
          <t>CA</t>
        </is>
      </c>
      <c r="J25" s="47" t="n">
        <v>0.005</v>
      </c>
      <c r="K25" s="46" t="inlineStr">
        <is>
          <t>F</t>
        </is>
      </c>
    </row>
    <row r="26">
      <c r="A26" s="46" t="inlineStr">
        <is>
          <t>6811</t>
        </is>
      </c>
      <c r="B26" s="25" t="inlineStr">
        <is>
          <t>Dotations aux amortissements (D&amp;A)</t>
        </is>
      </c>
      <c r="C26" s="61" t="inlineStr">
        <is>
          <t>6 — Charges d'exploitation</t>
        </is>
      </c>
      <c r="D26" s="61" t="inlineStr">
        <is>
          <t>68 — Dotations &amp; amort.</t>
        </is>
      </c>
      <c r="E26" s="61" t="inlineStr">
        <is>
          <t>Dotations</t>
        </is>
      </c>
      <c r="F26" s="61" t="inlineStr">
        <is>
          <t>Résultat d'exploitation (EBIT)</t>
        </is>
      </c>
      <c r="G26" s="45" t="inlineStr">
        <is>
          <t>Charge</t>
        </is>
      </c>
      <c r="H26" s="46" t="inlineStr">
        <is>
          <t>Campus</t>
        </is>
      </c>
      <c r="I26" s="46" t="inlineStr">
        <is>
          <t>classes</t>
        </is>
      </c>
      <c r="J26" s="47" t="n">
        <v>0.06</v>
      </c>
      <c r="K26" s="46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62" t="inlineStr">
        <is>
          <t>RESULTAT_EXPL</t>
        </is>
      </c>
      <c r="B31" s="12" t="inlineStr">
        <is>
          <t>Résultat d'exploitation (EBIT)</t>
        </is>
      </c>
      <c r="C31" s="61" t="inlineStr">
        <is>
          <t>(racine)</t>
        </is>
      </c>
      <c r="D31" s="63" t="inlineStr">
        <is>
          <t>Agrégat</t>
        </is>
      </c>
    </row>
    <row r="32">
      <c r="A32" s="62" t="inlineStr">
        <is>
          <t>EBITDA</t>
        </is>
      </c>
      <c r="B32" s="12" t="inlineStr">
        <is>
          <t>EBITDA</t>
        </is>
      </c>
      <c r="C32" s="61" t="inlineStr">
        <is>
          <t>RESULTAT_EXPL</t>
        </is>
      </c>
      <c r="D32" s="63" t="inlineStr">
        <is>
          <t>Agrégat</t>
        </is>
      </c>
    </row>
    <row r="33">
      <c r="A33" s="62" t="inlineStr">
        <is>
          <t>MARGE_CONTRIB</t>
        </is>
      </c>
      <c r="B33" s="12" t="inlineStr">
        <is>
          <t>Marge de contribution</t>
        </is>
      </c>
      <c r="C33" s="61" t="inlineStr">
        <is>
          <t>EBITDA</t>
        </is>
      </c>
      <c r="D33" s="63" t="inlineStr">
        <is>
          <t>Agrégat</t>
        </is>
      </c>
    </row>
    <row r="34">
      <c r="A34" s="62" t="inlineStr">
        <is>
          <t>SIG_PROD</t>
        </is>
      </c>
      <c r="B34" s="12" t="inlineStr">
        <is>
          <t>Produits d'exploitation</t>
        </is>
      </c>
      <c r="C34" s="61" t="inlineStr">
        <is>
          <t>MARGE_CONTRIB</t>
        </is>
      </c>
      <c r="D34" s="63" t="inlineStr">
        <is>
          <t>Regroupement</t>
        </is>
      </c>
    </row>
    <row r="35">
      <c r="A35" s="62" t="inlineStr">
        <is>
          <t>SIG_DIR</t>
        </is>
      </c>
      <c r="B35" s="12" t="inlineStr">
        <is>
          <t>Coûts directs</t>
        </is>
      </c>
      <c r="C35" s="61" t="inlineStr">
        <is>
          <t>MARGE_CONTRIB</t>
        </is>
      </c>
      <c r="D35" s="63" t="inlineStr">
        <is>
          <t>Regroupement</t>
        </is>
      </c>
    </row>
    <row r="36">
      <c r="A36" s="62" t="inlineStr">
        <is>
          <t>SIG_PERS</t>
        </is>
      </c>
      <c r="B36" s="12" t="inlineStr">
        <is>
          <t>Charges de personnel</t>
        </is>
      </c>
      <c r="C36" s="61" t="inlineStr">
        <is>
          <t>EBITDA</t>
        </is>
      </c>
      <c r="D36" s="63" t="inlineStr">
        <is>
          <t>Regroupement</t>
        </is>
      </c>
    </row>
    <row r="37">
      <c r="A37" s="62" t="inlineStr">
        <is>
          <t>SIG_STRUCT</t>
        </is>
      </c>
      <c r="B37" s="12" t="inlineStr">
        <is>
          <t>Charges de structure</t>
        </is>
      </c>
      <c r="C37" s="61" t="inlineStr">
        <is>
          <t>EBITDA</t>
        </is>
      </c>
      <c r="D37" s="63" t="inlineStr">
        <is>
          <t>Regroupement</t>
        </is>
      </c>
    </row>
    <row r="38">
      <c r="A38" s="62" t="inlineStr">
        <is>
          <t>SIG_IMP</t>
        </is>
      </c>
      <c r="B38" s="12" t="inlineStr">
        <is>
          <t>Impôts &amp; taxes</t>
        </is>
      </c>
      <c r="C38" s="61" t="inlineStr">
        <is>
          <t>EBITDA</t>
        </is>
      </c>
      <c r="D38" s="63" t="inlineStr">
        <is>
          <t>Regroupement</t>
        </is>
      </c>
    </row>
    <row r="39">
      <c r="A39" s="62" t="inlineStr">
        <is>
          <t>SIG_DOT</t>
        </is>
      </c>
      <c r="B39" s="12" t="inlineStr">
        <is>
          <t>Dotations aux amortissements</t>
        </is>
      </c>
      <c r="C39" s="61" t="inlineStr">
        <is>
          <t>RESULTAT_EXPL</t>
        </is>
      </c>
      <c r="D39" s="63" t="inlineStr">
        <is>
          <t>Regroupement</t>
        </is>
      </c>
    </row>
    <row r="40">
      <c r="A40" s="61" t="inlineStr">
        <is>
          <t>7062</t>
        </is>
      </c>
      <c r="B40" s="25" t="inlineStr">
        <is>
          <t>Prestations de formation — alternance (OPCO)</t>
        </is>
      </c>
      <c r="C40" s="61" t="inlineStr">
        <is>
          <t>SIG_PROD</t>
        </is>
      </c>
      <c r="D40" s="63" t="inlineStr">
        <is>
          <t>Compte (détail)</t>
        </is>
      </c>
    </row>
    <row r="41">
      <c r="A41" s="61" t="inlineStr">
        <is>
          <t>706</t>
        </is>
      </c>
      <c r="B41" s="25" t="inlineStr">
        <is>
          <t>Prestations de formation — scolarité (initial)</t>
        </is>
      </c>
      <c r="C41" s="61" t="inlineStr">
        <is>
          <t>SIG_PROD</t>
        </is>
      </c>
      <c r="D41" s="63" t="inlineStr">
        <is>
          <t>Compte (détail)</t>
        </is>
      </c>
    </row>
    <row r="42">
      <c r="A42" s="61" t="inlineStr">
        <is>
          <t>708</t>
        </is>
      </c>
      <c r="B42" s="25" t="inlineStr">
        <is>
          <t>Frais de dossier &amp; droits d'inscription</t>
        </is>
      </c>
      <c r="C42" s="61" t="inlineStr">
        <is>
          <t>SIG_PROD</t>
        </is>
      </c>
      <c r="D42" s="63" t="inlineStr">
        <is>
          <t>Compte (détail)</t>
        </is>
      </c>
    </row>
    <row r="43">
      <c r="A43" s="61" t="inlineStr">
        <is>
          <t>621</t>
        </is>
      </c>
      <c r="B43" s="25" t="inlineStr">
        <is>
          <t>Personnel extérieur — vacataires &amp; intervenants</t>
        </is>
      </c>
      <c r="C43" s="61" t="inlineStr">
        <is>
          <t>SIG_DIR</t>
        </is>
      </c>
      <c r="D43" s="63" t="inlineStr">
        <is>
          <t>Compte (détail)</t>
        </is>
      </c>
    </row>
    <row r="44">
      <c r="A44" s="61" t="inlineStr">
        <is>
          <t>604</t>
        </is>
      </c>
      <c r="B44" s="25" t="inlineStr">
        <is>
          <t>Sous-traitance pédagogique</t>
        </is>
      </c>
      <c r="C44" s="61" t="inlineStr">
        <is>
          <t>SIG_DIR</t>
        </is>
      </c>
      <c r="D44" s="63" t="inlineStr">
        <is>
          <t>Compte (détail)</t>
        </is>
      </c>
    </row>
    <row r="45">
      <c r="A45" s="61" t="inlineStr">
        <is>
          <t>6063</t>
        </is>
      </c>
      <c r="B45" s="25" t="inlineStr">
        <is>
          <t>Fournitures pédagogiques &amp; petit équipement</t>
        </is>
      </c>
      <c r="C45" s="61" t="inlineStr">
        <is>
          <t>SIG_DIR</t>
        </is>
      </c>
      <c r="D45" s="63" t="inlineStr">
        <is>
          <t>Compte (détail)</t>
        </is>
      </c>
    </row>
    <row r="46">
      <c r="A46" s="61" t="inlineStr">
        <is>
          <t>6231</t>
        </is>
      </c>
      <c r="B46" s="25" t="inlineStr">
        <is>
          <t>Publicité &amp; marketing d'acquisition (leads)</t>
        </is>
      </c>
      <c r="C46" s="61" t="inlineStr">
        <is>
          <t>SIG_DIR</t>
        </is>
      </c>
      <c r="D46" s="63" t="inlineStr">
        <is>
          <t>Compte (détail)</t>
        </is>
      </c>
    </row>
    <row r="47">
      <c r="A47" s="61" t="inlineStr">
        <is>
          <t>6411</t>
        </is>
      </c>
      <c r="B47" s="25" t="inlineStr">
        <is>
          <t>Rémunération enseignants permanents</t>
        </is>
      </c>
      <c r="C47" s="61" t="inlineStr">
        <is>
          <t>SIG_PERS</t>
        </is>
      </c>
      <c r="D47" s="63" t="inlineStr">
        <is>
          <t>Compte (détail)</t>
        </is>
      </c>
    </row>
    <row r="48">
      <c r="A48" s="61" t="inlineStr">
        <is>
          <t>6413</t>
        </is>
      </c>
      <c r="B48" s="25" t="inlineStr">
        <is>
          <t>Rémunération personnel administratif &amp; pédagogique</t>
        </is>
      </c>
      <c r="C48" s="61" t="inlineStr">
        <is>
          <t>SIG_PERS</t>
        </is>
      </c>
      <c r="D48" s="63" t="inlineStr">
        <is>
          <t>Compte (détail)</t>
        </is>
      </c>
    </row>
    <row r="49">
      <c r="A49" s="61" t="inlineStr">
        <is>
          <t>6414</t>
        </is>
      </c>
      <c r="B49" s="25" t="inlineStr">
        <is>
          <t>Rémunération direction &amp; fonctions support (siège)</t>
        </is>
      </c>
      <c r="C49" s="61" t="inlineStr">
        <is>
          <t>SIG_PERS</t>
        </is>
      </c>
      <c r="D49" s="63" t="inlineStr">
        <is>
          <t>Compte (détail)</t>
        </is>
      </c>
    </row>
    <row r="50">
      <c r="A50" s="61" t="inlineStr">
        <is>
          <t>645</t>
        </is>
      </c>
      <c r="B50" s="25" t="inlineStr">
        <is>
          <t>Charges sociales &amp; de prévoyance</t>
        </is>
      </c>
      <c r="C50" s="61" t="inlineStr">
        <is>
          <t>SIG_PERS</t>
        </is>
      </c>
      <c r="D50" s="63" t="inlineStr">
        <is>
          <t>Compte (détail)</t>
        </is>
      </c>
    </row>
    <row r="51">
      <c r="A51" s="61" t="inlineStr">
        <is>
          <t>613</t>
        </is>
      </c>
      <c r="B51" s="25" t="inlineStr">
        <is>
          <t>Loyers &amp; charges locatives (campus)</t>
        </is>
      </c>
      <c r="C51" s="61" t="inlineStr">
        <is>
          <t>SIG_STRUCT</t>
        </is>
      </c>
      <c r="D51" s="63" t="inlineStr">
        <is>
          <t>Compte (détail)</t>
        </is>
      </c>
    </row>
    <row r="52">
      <c r="A52" s="61" t="inlineStr">
        <is>
          <t>615</t>
        </is>
      </c>
      <c r="B52" s="25" t="inlineStr">
        <is>
          <t>Entretien &amp; maintenance</t>
        </is>
      </c>
      <c r="C52" s="61" t="inlineStr">
        <is>
          <t>SIG_STRUCT</t>
        </is>
      </c>
      <c r="D52" s="63" t="inlineStr">
        <is>
          <t>Compte (détail)</t>
        </is>
      </c>
    </row>
    <row r="53">
      <c r="A53" s="61" t="inlineStr">
        <is>
          <t>616</t>
        </is>
      </c>
      <c r="B53" s="25" t="inlineStr">
        <is>
          <t>Primes d'assurance</t>
        </is>
      </c>
      <c r="C53" s="61" t="inlineStr">
        <is>
          <t>SIG_STRUCT</t>
        </is>
      </c>
      <c r="D53" s="63" t="inlineStr">
        <is>
          <t>Compte (détail)</t>
        </is>
      </c>
    </row>
    <row r="54">
      <c r="A54" s="61" t="inlineStr">
        <is>
          <t>6226</t>
        </is>
      </c>
      <c r="B54" s="25" t="inlineStr">
        <is>
          <t>Honoraires (audit, conseil, juridique)</t>
        </is>
      </c>
      <c r="C54" s="61" t="inlineStr">
        <is>
          <t>SIG_STRUCT</t>
        </is>
      </c>
      <c r="D54" s="63" t="inlineStr">
        <is>
          <t>Compte (détail)</t>
        </is>
      </c>
    </row>
    <row r="55">
      <c r="A55" s="61" t="inlineStr">
        <is>
          <t>6236</t>
        </is>
      </c>
      <c r="B55" s="25" t="inlineStr">
        <is>
          <t>Marketing de marque, salons &amp; JPO</t>
        </is>
      </c>
      <c r="C55" s="61" t="inlineStr">
        <is>
          <t>SIG_STRUCT</t>
        </is>
      </c>
      <c r="D55" s="63" t="inlineStr">
        <is>
          <t>Compte (détail)</t>
        </is>
      </c>
    </row>
    <row r="56">
      <c r="A56" s="61" t="inlineStr">
        <is>
          <t>625</t>
        </is>
      </c>
      <c r="B56" s="25" t="inlineStr">
        <is>
          <t>Déplacements, missions &amp; réceptions</t>
        </is>
      </c>
      <c r="C56" s="61" t="inlineStr">
        <is>
          <t>SIG_STRUCT</t>
        </is>
      </c>
      <c r="D56" s="63" t="inlineStr">
        <is>
          <t>Compte (détail)</t>
        </is>
      </c>
    </row>
    <row r="57">
      <c r="A57" s="61" t="inlineStr">
        <is>
          <t>626</t>
        </is>
      </c>
      <c r="B57" s="25" t="inlineStr">
        <is>
          <t>Télécom, systèmes d'information &amp; affranchissement</t>
        </is>
      </c>
      <c r="C57" s="61" t="inlineStr">
        <is>
          <t>SIG_STRUCT</t>
        </is>
      </c>
      <c r="D57" s="63" t="inlineStr">
        <is>
          <t>Compte (détail)</t>
        </is>
      </c>
    </row>
    <row r="58">
      <c r="A58" s="61" t="inlineStr">
        <is>
          <t>6281</t>
        </is>
      </c>
      <c r="B58" s="25" t="inlineStr">
        <is>
          <t>Cotisations, documentation &amp; abonnements</t>
        </is>
      </c>
      <c r="C58" s="61" t="inlineStr">
        <is>
          <t>SIG_STRUCT</t>
        </is>
      </c>
      <c r="D58" s="63" t="inlineStr">
        <is>
          <t>Compte (détail)</t>
        </is>
      </c>
    </row>
    <row r="59">
      <c r="A59" s="61" t="inlineStr">
        <is>
          <t>6331</t>
        </is>
      </c>
      <c r="B59" s="25" t="inlineStr">
        <is>
          <t>Taxe sur les salaires</t>
        </is>
      </c>
      <c r="C59" s="61" t="inlineStr">
        <is>
          <t>SIG_IMP</t>
        </is>
      </c>
      <c r="D59" s="63" t="inlineStr">
        <is>
          <t>Compte (détail)</t>
        </is>
      </c>
    </row>
    <row r="60">
      <c r="A60" s="61" t="inlineStr">
        <is>
          <t>63511</t>
        </is>
      </c>
      <c r="B60" s="25" t="inlineStr">
        <is>
          <t>Cotisation foncière &amp; CVAE</t>
        </is>
      </c>
      <c r="C60" s="61" t="inlineStr">
        <is>
          <t>SIG_IMP</t>
        </is>
      </c>
      <c r="D60" s="63" t="inlineStr">
        <is>
          <t>Compte (détail)</t>
        </is>
      </c>
    </row>
    <row r="61">
      <c r="A61" s="61" t="inlineStr">
        <is>
          <t>6333</t>
        </is>
      </c>
      <c r="B61" s="25" t="inlineStr">
        <is>
          <t>Participation formation professionnelle</t>
        </is>
      </c>
      <c r="C61" s="61" t="inlineStr">
        <is>
          <t>SIG_IMP</t>
        </is>
      </c>
      <c r="D61" s="63" t="inlineStr">
        <is>
          <t>Compte (détail)</t>
        </is>
      </c>
    </row>
    <row r="62">
      <c r="A62" s="61" t="inlineStr">
        <is>
          <t>6811</t>
        </is>
      </c>
      <c r="B62" s="25" t="inlineStr">
        <is>
          <t>Dotations aux amortissements (D&amp;A)</t>
        </is>
      </c>
      <c r="C62" s="61" t="inlineStr">
        <is>
          <t>SIG_DOT</t>
        </is>
      </c>
      <c r="D62" s="63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62" t="inlineStr">
        <is>
          <t>2024ACT_VDEF</t>
        </is>
      </c>
      <c r="B67" s="25" t="inlineStr">
        <is>
          <t>2024 (N-2)</t>
        </is>
      </c>
      <c r="C67" s="46" t="inlineStr">
        <is>
          <t>Actual</t>
        </is>
      </c>
      <c r="D67" s="46" t="n">
        <v>2024</v>
      </c>
    </row>
    <row r="68">
      <c r="A68" s="62" t="inlineStr">
        <is>
          <t>2025ACT_VDEF</t>
        </is>
      </c>
      <c r="B68" s="25" t="inlineStr">
        <is>
          <t>2025 (N-1)</t>
        </is>
      </c>
      <c r="C68" s="46" t="inlineStr">
        <is>
          <t>Actual</t>
        </is>
      </c>
      <c r="D68" s="46" t="n">
        <v>2025</v>
      </c>
    </row>
    <row r="69">
      <c r="A69" s="62" t="inlineStr">
        <is>
          <t>2026ATT_VDEF</t>
        </is>
      </c>
      <c r="B69" s="25" t="inlineStr">
        <is>
          <t>2026 (Atterr.)</t>
        </is>
      </c>
      <c r="C69" s="46" t="inlineStr">
        <is>
          <t>Forecast</t>
        </is>
      </c>
      <c r="D69" s="46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5" t="inlineStr">
        <is>
          <t>MBWAY_PARIS</t>
        </is>
      </c>
      <c r="B4" s="17" t="inlineStr">
        <is>
          <t>MBway Paris</t>
        </is>
      </c>
      <c r="C4" s="45" t="inlineStr">
        <is>
          <t>MBway</t>
        </is>
      </c>
      <c r="D4" s="45" t="inlineStr">
        <is>
          <t>Paris</t>
        </is>
      </c>
      <c r="E4" s="45" t="inlineStr">
        <is>
          <t>7062</t>
        </is>
      </c>
      <c r="F4" s="17" t="inlineStr">
        <is>
          <t>Prestations de formation — alternance (OPCO)</t>
        </is>
      </c>
      <c r="G4" s="45" t="inlineStr">
        <is>
          <t>70 — Prestations de services</t>
        </is>
      </c>
      <c r="H4" s="45" t="inlineStr">
        <is>
          <t>Produit</t>
        </is>
      </c>
      <c r="I4" s="45" t="inlineStr">
        <is>
          <t>Produits</t>
        </is>
      </c>
      <c r="J4" s="45" t="inlineStr">
        <is>
          <t>2024ACT_VDEF</t>
        </is>
      </c>
      <c r="K4" s="45" t="inlineStr">
        <is>
          <t>2024 (N-2)</t>
        </is>
      </c>
      <c r="L4" s="13" t="n">
        <v>2197935</v>
      </c>
    </row>
    <row r="5">
      <c r="A5" s="45" t="inlineStr">
        <is>
          <t>MBWAY_LYON</t>
        </is>
      </c>
      <c r="B5" s="17" t="inlineStr">
        <is>
          <t>MBway Lyon</t>
        </is>
      </c>
      <c r="C5" s="45" t="inlineStr">
        <is>
          <t>MBway</t>
        </is>
      </c>
      <c r="D5" s="45" t="inlineStr">
        <is>
          <t>Lyon</t>
        </is>
      </c>
      <c r="E5" s="45" t="inlineStr">
        <is>
          <t>7062</t>
        </is>
      </c>
      <c r="F5" s="17" t="inlineStr">
        <is>
          <t>Prestations de formation — alternance (OPCO)</t>
        </is>
      </c>
      <c r="G5" s="45" t="inlineStr">
        <is>
          <t>70 — Prestations de services</t>
        </is>
      </c>
      <c r="H5" s="45" t="inlineStr">
        <is>
          <t>Produit</t>
        </is>
      </c>
      <c r="I5" s="45" t="inlineStr">
        <is>
          <t>Produits</t>
        </is>
      </c>
      <c r="J5" s="45" t="inlineStr">
        <is>
          <t>2024ACT_VDEF</t>
        </is>
      </c>
      <c r="K5" s="45" t="inlineStr">
        <is>
          <t>2024 (N-2)</t>
        </is>
      </c>
      <c r="L5" s="13" t="n">
        <v>1748910</v>
      </c>
    </row>
    <row r="6">
      <c r="A6" s="45" t="inlineStr">
        <is>
          <t>MBWAY_NANTES</t>
        </is>
      </c>
      <c r="B6" s="17" t="inlineStr">
        <is>
          <t>MBway Nantes</t>
        </is>
      </c>
      <c r="C6" s="45" t="inlineStr">
        <is>
          <t>MBway</t>
        </is>
      </c>
      <c r="D6" s="45" t="inlineStr">
        <is>
          <t>Nantes</t>
        </is>
      </c>
      <c r="E6" s="45" t="inlineStr">
        <is>
          <t>7062</t>
        </is>
      </c>
      <c r="F6" s="17" t="inlineStr">
        <is>
          <t>Prestations de formation — alternance (OPCO)</t>
        </is>
      </c>
      <c r="G6" s="45" t="inlineStr">
        <is>
          <t>70 — Prestations de services</t>
        </is>
      </c>
      <c r="H6" s="45" t="inlineStr">
        <is>
          <t>Produit</t>
        </is>
      </c>
      <c r="I6" s="45" t="inlineStr">
        <is>
          <t>Produits</t>
        </is>
      </c>
      <c r="J6" s="45" t="inlineStr">
        <is>
          <t>2024ACT_VDEF</t>
        </is>
      </c>
      <c r="K6" s="45" t="inlineStr">
        <is>
          <t>2024 (N-2)</t>
        </is>
      </c>
      <c r="L6" s="13" t="n">
        <v>1510769</v>
      </c>
    </row>
    <row r="7">
      <c r="A7" s="45" t="inlineStr">
        <is>
          <t>MBWAY_BORDEAUX</t>
        </is>
      </c>
      <c r="B7" s="17" t="inlineStr">
        <is>
          <t>MBway Bordeaux</t>
        </is>
      </c>
      <c r="C7" s="45" t="inlineStr">
        <is>
          <t>MBway</t>
        </is>
      </c>
      <c r="D7" s="45" t="inlineStr">
        <is>
          <t>Bordeaux</t>
        </is>
      </c>
      <c r="E7" s="45" t="inlineStr">
        <is>
          <t>7062</t>
        </is>
      </c>
      <c r="F7" s="17" t="inlineStr">
        <is>
          <t>Prestations de formation — alternance (OPCO)</t>
        </is>
      </c>
      <c r="G7" s="45" t="inlineStr">
        <is>
          <t>70 — Prestations de services</t>
        </is>
      </c>
      <c r="H7" s="45" t="inlineStr">
        <is>
          <t>Produit</t>
        </is>
      </c>
      <c r="I7" s="45" t="inlineStr">
        <is>
          <t>Produits</t>
        </is>
      </c>
      <c r="J7" s="45" t="inlineStr">
        <is>
          <t>2024ACT_VDEF</t>
        </is>
      </c>
      <c r="K7" s="45" t="inlineStr">
        <is>
          <t>2024 (N-2)</t>
        </is>
      </c>
      <c r="L7" s="13" t="n">
        <v>1240125</v>
      </c>
    </row>
    <row r="8">
      <c r="A8" s="45" t="inlineStr">
        <is>
          <t>ISCOM_PARIS</t>
        </is>
      </c>
      <c r="B8" s="17" t="inlineStr">
        <is>
          <t>ISCOM Paris</t>
        </is>
      </c>
      <c r="C8" s="45" t="inlineStr">
        <is>
          <t>ISCOM</t>
        </is>
      </c>
      <c r="D8" s="45" t="inlineStr">
        <is>
          <t>Paris</t>
        </is>
      </c>
      <c r="E8" s="45" t="inlineStr">
        <is>
          <t>7062</t>
        </is>
      </c>
      <c r="F8" s="17" t="inlineStr">
        <is>
          <t>Prestations de formation — alternance (OPCO)</t>
        </is>
      </c>
      <c r="G8" s="45" t="inlineStr">
        <is>
          <t>70 — Prestations de services</t>
        </is>
      </c>
      <c r="H8" s="45" t="inlineStr">
        <is>
          <t>Produit</t>
        </is>
      </c>
      <c r="I8" s="45" t="inlineStr">
        <is>
          <t>Produits</t>
        </is>
      </c>
      <c r="J8" s="45" t="inlineStr">
        <is>
          <t>2024ACT_VDEF</t>
        </is>
      </c>
      <c r="K8" s="45" t="inlineStr">
        <is>
          <t>2024 (N-2)</t>
        </is>
      </c>
      <c r="L8" s="13" t="n">
        <v>2038946</v>
      </c>
    </row>
    <row r="9">
      <c r="A9" s="45" t="inlineStr">
        <is>
          <t>ISCOM_LILLE</t>
        </is>
      </c>
      <c r="B9" s="17" t="inlineStr">
        <is>
          <t>ISCOM Lille</t>
        </is>
      </c>
      <c r="C9" s="45" t="inlineStr">
        <is>
          <t>ISCOM</t>
        </is>
      </c>
      <c r="D9" s="45" t="inlineStr">
        <is>
          <t>Lille</t>
        </is>
      </c>
      <c r="E9" s="45" t="inlineStr">
        <is>
          <t>7062</t>
        </is>
      </c>
      <c r="F9" s="17" t="inlineStr">
        <is>
          <t>Prestations de formation — alternance (OPCO)</t>
        </is>
      </c>
      <c r="G9" s="45" t="inlineStr">
        <is>
          <t>70 — Prestations de services</t>
        </is>
      </c>
      <c r="H9" s="45" t="inlineStr">
        <is>
          <t>Produit</t>
        </is>
      </c>
      <c r="I9" s="45" t="inlineStr">
        <is>
          <t>Produits</t>
        </is>
      </c>
      <c r="J9" s="45" t="inlineStr">
        <is>
          <t>2024ACT_VDEF</t>
        </is>
      </c>
      <c r="K9" s="45" t="inlineStr">
        <is>
          <t>2024 (N-2)</t>
        </is>
      </c>
      <c r="L9" s="13" t="n">
        <v>1227617</v>
      </c>
    </row>
    <row r="10">
      <c r="A10" s="45" t="inlineStr">
        <is>
          <t>ISCOM_TOULOUSE</t>
        </is>
      </c>
      <c r="B10" s="17" t="inlineStr">
        <is>
          <t>ISCOM Toulouse</t>
        </is>
      </c>
      <c r="C10" s="45" t="inlineStr">
        <is>
          <t>ISCOM</t>
        </is>
      </c>
      <c r="D10" s="45" t="inlineStr">
        <is>
          <t>Toulouse</t>
        </is>
      </c>
      <c r="E10" s="45" t="inlineStr">
        <is>
          <t>7062</t>
        </is>
      </c>
      <c r="F10" s="17" t="inlineStr">
        <is>
          <t>Prestations de formation — alternance (OPCO)</t>
        </is>
      </c>
      <c r="G10" s="45" t="inlineStr">
        <is>
          <t>70 — Prestations de services</t>
        </is>
      </c>
      <c r="H10" s="45" t="inlineStr">
        <is>
          <t>Produit</t>
        </is>
      </c>
      <c r="I10" s="45" t="inlineStr">
        <is>
          <t>Produits</t>
        </is>
      </c>
      <c r="J10" s="45" t="inlineStr">
        <is>
          <t>2024ACT_VDEF</t>
        </is>
      </c>
      <c r="K10" s="45" t="inlineStr">
        <is>
          <t>2024 (N-2)</t>
        </is>
      </c>
      <c r="L10" s="13" t="n">
        <v>1140192</v>
      </c>
    </row>
    <row r="11">
      <c r="A11" s="45" t="inlineStr">
        <is>
          <t>IPAC_BACHELOR_FACTORY_NANTES</t>
        </is>
      </c>
      <c r="B11" s="17" t="inlineStr">
        <is>
          <t>Ipac Bachelor Factory Nantes</t>
        </is>
      </c>
      <c r="C11" s="45" t="inlineStr">
        <is>
          <t>Ipac Bachelor Factory</t>
        </is>
      </c>
      <c r="D11" s="45" t="inlineStr">
        <is>
          <t>Nantes</t>
        </is>
      </c>
      <c r="E11" s="45" t="inlineStr">
        <is>
          <t>7062</t>
        </is>
      </c>
      <c r="F11" s="17" t="inlineStr">
        <is>
          <t>Prestations de formation — alternance (OPCO)</t>
        </is>
      </c>
      <c r="G11" s="45" t="inlineStr">
        <is>
          <t>70 — Prestations de services</t>
        </is>
      </c>
      <c r="H11" s="45" t="inlineStr">
        <is>
          <t>Produit</t>
        </is>
      </c>
      <c r="I11" s="45" t="inlineStr">
        <is>
          <t>Produits</t>
        </is>
      </c>
      <c r="J11" s="45" t="inlineStr">
        <is>
          <t>2024ACT_VDEF</t>
        </is>
      </c>
      <c r="K11" s="45" t="inlineStr">
        <is>
          <t>2024 (N-2)</t>
        </is>
      </c>
      <c r="L11" s="13" t="n">
        <v>903346</v>
      </c>
    </row>
    <row r="12">
      <c r="A12" s="45" t="inlineStr">
        <is>
          <t>IPAC_BACHELOR_FACTORY_RENNES</t>
        </is>
      </c>
      <c r="B12" s="17" t="inlineStr">
        <is>
          <t>Ipac Bachelor Factory Rennes</t>
        </is>
      </c>
      <c r="C12" s="45" t="inlineStr">
        <is>
          <t>Ipac Bachelor Factory</t>
        </is>
      </c>
      <c r="D12" s="45" t="inlineStr">
        <is>
          <t>Rennes</t>
        </is>
      </c>
      <c r="E12" s="45" t="inlineStr">
        <is>
          <t>7062</t>
        </is>
      </c>
      <c r="F12" s="17" t="inlineStr">
        <is>
          <t>Prestations de formation — alternance (OPCO)</t>
        </is>
      </c>
      <c r="G12" s="45" t="inlineStr">
        <is>
          <t>70 — Prestations de services</t>
        </is>
      </c>
      <c r="H12" s="45" t="inlineStr">
        <is>
          <t>Produit</t>
        </is>
      </c>
      <c r="I12" s="45" t="inlineStr">
        <is>
          <t>Produits</t>
        </is>
      </c>
      <c r="J12" s="45" t="inlineStr">
        <is>
          <t>2024ACT_VDEF</t>
        </is>
      </c>
      <c r="K12" s="45" t="inlineStr">
        <is>
          <t>2024 (N-2)</t>
        </is>
      </c>
      <c r="L12" s="13" t="n">
        <v>692462</v>
      </c>
    </row>
    <row r="13">
      <c r="A13" s="45" t="inlineStr">
        <is>
          <t>IPAC_BACHELOR_FACTORY_MONTPELLIER</t>
        </is>
      </c>
      <c r="B13" s="17" t="inlineStr">
        <is>
          <t>Ipac Bachelor Factory Montpellier</t>
        </is>
      </c>
      <c r="C13" s="45" t="inlineStr">
        <is>
          <t>Ipac Bachelor Factory</t>
        </is>
      </c>
      <c r="D13" s="45" t="inlineStr">
        <is>
          <t>Montpellier</t>
        </is>
      </c>
      <c r="E13" s="45" t="inlineStr">
        <is>
          <t>7062</t>
        </is>
      </c>
      <c r="F13" s="17" t="inlineStr">
        <is>
          <t>Prestations de formation — alternance (OPCO)</t>
        </is>
      </c>
      <c r="G13" s="45" t="inlineStr">
        <is>
          <t>70 — Prestations de services</t>
        </is>
      </c>
      <c r="H13" s="45" t="inlineStr">
        <is>
          <t>Produit</t>
        </is>
      </c>
      <c r="I13" s="45" t="inlineStr">
        <is>
          <t>Produits</t>
        </is>
      </c>
      <c r="J13" s="45" t="inlineStr">
        <is>
          <t>2024ACT_VDEF</t>
        </is>
      </c>
      <c r="K13" s="45" t="inlineStr">
        <is>
          <t>2024 (N-2)</t>
        </is>
      </c>
      <c r="L13" s="13" t="n">
        <v>692462</v>
      </c>
    </row>
    <row r="14">
      <c r="A14" s="45" t="inlineStr">
        <is>
          <t>PIGIER_LYON</t>
        </is>
      </c>
      <c r="B14" s="17" t="inlineStr">
        <is>
          <t>Pigier Lyon</t>
        </is>
      </c>
      <c r="C14" s="45" t="inlineStr">
        <is>
          <t>Pigier</t>
        </is>
      </c>
      <c r="D14" s="45" t="inlineStr">
        <is>
          <t>Lyon</t>
        </is>
      </c>
      <c r="E14" s="45" t="inlineStr">
        <is>
          <t>7062</t>
        </is>
      </c>
      <c r="F14" s="17" t="inlineStr">
        <is>
          <t>Prestations de formation — alternance (OPCO)</t>
        </is>
      </c>
      <c r="G14" s="45" t="inlineStr">
        <is>
          <t>70 — Prestations de services</t>
        </is>
      </c>
      <c r="H14" s="45" t="inlineStr">
        <is>
          <t>Produit</t>
        </is>
      </c>
      <c r="I14" s="45" t="inlineStr">
        <is>
          <t>Produits</t>
        </is>
      </c>
      <c r="J14" s="45" t="inlineStr">
        <is>
          <t>2024ACT_VDEF</t>
        </is>
      </c>
      <c r="K14" s="45" t="inlineStr">
        <is>
          <t>2024 (N-2)</t>
        </is>
      </c>
      <c r="L14" s="13" t="n">
        <v>1105509</v>
      </c>
    </row>
    <row r="15">
      <c r="A15" s="45" t="inlineStr">
        <is>
          <t>PIGIER_BORDEAUX</t>
        </is>
      </c>
      <c r="B15" s="17" t="inlineStr">
        <is>
          <t>Pigier Bordeaux</t>
        </is>
      </c>
      <c r="C15" s="45" t="inlineStr">
        <is>
          <t>Pigier</t>
        </is>
      </c>
      <c r="D15" s="45" t="inlineStr">
        <is>
          <t>Bordeaux</t>
        </is>
      </c>
      <c r="E15" s="45" t="inlineStr">
        <is>
          <t>7062</t>
        </is>
      </c>
      <c r="F15" s="17" t="inlineStr">
        <is>
          <t>Prestations de formation — alternance (OPCO)</t>
        </is>
      </c>
      <c r="G15" s="45" t="inlineStr">
        <is>
          <t>70 — Prestations de services</t>
        </is>
      </c>
      <c r="H15" s="45" t="inlineStr">
        <is>
          <t>Produit</t>
        </is>
      </c>
      <c r="I15" s="45" t="inlineStr">
        <is>
          <t>Produits</t>
        </is>
      </c>
      <c r="J15" s="45" t="inlineStr">
        <is>
          <t>2024ACT_VDEF</t>
        </is>
      </c>
      <c r="K15" s="45" t="inlineStr">
        <is>
          <t>2024 (N-2)</t>
        </is>
      </c>
      <c r="L15" s="13" t="n">
        <v>796823</v>
      </c>
    </row>
    <row r="16">
      <c r="A16" s="45" t="inlineStr">
        <is>
          <t>TUNON_PARIS</t>
        </is>
      </c>
      <c r="B16" s="17" t="inlineStr">
        <is>
          <t>Tunon Paris</t>
        </is>
      </c>
      <c r="C16" s="45" t="inlineStr">
        <is>
          <t>Tunon</t>
        </is>
      </c>
      <c r="D16" s="45" t="inlineStr">
        <is>
          <t>Paris</t>
        </is>
      </c>
      <c r="E16" s="45" t="inlineStr">
        <is>
          <t>7062</t>
        </is>
      </c>
      <c r="F16" s="17" t="inlineStr">
        <is>
          <t>Prestations de formation — alternance (OPCO)</t>
        </is>
      </c>
      <c r="G16" s="45" t="inlineStr">
        <is>
          <t>70 — Prestations de services</t>
        </is>
      </c>
      <c r="H16" s="45" t="inlineStr">
        <is>
          <t>Produit</t>
        </is>
      </c>
      <c r="I16" s="45" t="inlineStr">
        <is>
          <t>Produits</t>
        </is>
      </c>
      <c r="J16" s="45" t="inlineStr">
        <is>
          <t>2024ACT_VDEF</t>
        </is>
      </c>
      <c r="K16" s="45" t="inlineStr">
        <is>
          <t>2024 (N-2)</t>
        </is>
      </c>
      <c r="L16" s="13" t="n">
        <v>962905</v>
      </c>
    </row>
    <row r="17">
      <c r="A17" s="45" t="inlineStr">
        <is>
          <t>TUNON_LYON</t>
        </is>
      </c>
      <c r="B17" s="17" t="inlineStr">
        <is>
          <t>Tunon Lyon</t>
        </is>
      </c>
      <c r="C17" s="45" t="inlineStr">
        <is>
          <t>Tunon</t>
        </is>
      </c>
      <c r="D17" s="45" t="inlineStr">
        <is>
          <t>Lyon</t>
        </is>
      </c>
      <c r="E17" s="45" t="inlineStr">
        <is>
          <t>7062</t>
        </is>
      </c>
      <c r="F17" s="17" t="inlineStr">
        <is>
          <t>Prestations de formation — alternance (OPCO)</t>
        </is>
      </c>
      <c r="G17" s="45" t="inlineStr">
        <is>
          <t>70 — Prestations de services</t>
        </is>
      </c>
      <c r="H17" s="45" t="inlineStr">
        <is>
          <t>Produit</t>
        </is>
      </c>
      <c r="I17" s="45" t="inlineStr">
        <is>
          <t>Produits</t>
        </is>
      </c>
      <c r="J17" s="45" t="inlineStr">
        <is>
          <t>2024ACT_VDEF</t>
        </is>
      </c>
      <c r="K17" s="45" t="inlineStr">
        <is>
          <t>2024 (N-2)</t>
        </is>
      </c>
      <c r="L17" s="13" t="n">
        <v>765352</v>
      </c>
    </row>
    <row r="18">
      <c r="A18" s="45" t="inlineStr">
        <is>
          <t>MBWAY_PARIS</t>
        </is>
      </c>
      <c r="B18" s="17" t="inlineStr">
        <is>
          <t>MBway Paris</t>
        </is>
      </c>
      <c r="C18" s="45" t="inlineStr">
        <is>
          <t>MBway</t>
        </is>
      </c>
      <c r="D18" s="45" t="inlineStr">
        <is>
          <t>Paris</t>
        </is>
      </c>
      <c r="E18" s="45" t="inlineStr">
        <is>
          <t>7062</t>
        </is>
      </c>
      <c r="F18" s="17" t="inlineStr">
        <is>
          <t>Prestations de formation — alternance (OPCO)</t>
        </is>
      </c>
      <c r="G18" s="45" t="inlineStr">
        <is>
          <t>70 — Prestations de services</t>
        </is>
      </c>
      <c r="H18" s="45" t="inlineStr">
        <is>
          <t>Produit</t>
        </is>
      </c>
      <c r="I18" s="45" t="inlineStr">
        <is>
          <t>Produits</t>
        </is>
      </c>
      <c r="J18" s="45" t="inlineStr">
        <is>
          <t>2025ACT_VDEF</t>
        </is>
      </c>
      <c r="K18" s="45" t="inlineStr">
        <is>
          <t>2025 (N-1)</t>
        </is>
      </c>
      <c r="L18" s="13" t="n">
        <v>2329811</v>
      </c>
    </row>
    <row r="19">
      <c r="A19" s="45" t="inlineStr">
        <is>
          <t>MBWAY_LYON</t>
        </is>
      </c>
      <c r="B19" s="17" t="inlineStr">
        <is>
          <t>MBway Lyon</t>
        </is>
      </c>
      <c r="C19" s="45" t="inlineStr">
        <is>
          <t>MBway</t>
        </is>
      </c>
      <c r="D19" s="45" t="inlineStr">
        <is>
          <t>Lyon</t>
        </is>
      </c>
      <c r="E19" s="45" t="inlineStr">
        <is>
          <t>7062</t>
        </is>
      </c>
      <c r="F19" s="17" t="inlineStr">
        <is>
          <t>Prestations de formation — alternance (OPCO)</t>
        </is>
      </c>
      <c r="G19" s="45" t="inlineStr">
        <is>
          <t>70 — Prestations de services</t>
        </is>
      </c>
      <c r="H19" s="45" t="inlineStr">
        <is>
          <t>Produit</t>
        </is>
      </c>
      <c r="I19" s="45" t="inlineStr">
        <is>
          <t>Produits</t>
        </is>
      </c>
      <c r="J19" s="45" t="inlineStr">
        <is>
          <t>2025ACT_VDEF</t>
        </is>
      </c>
      <c r="K19" s="45" t="inlineStr">
        <is>
          <t>2025 (N-1)</t>
        </is>
      </c>
      <c r="L19" s="13" t="n">
        <v>1853844</v>
      </c>
    </row>
    <row r="20">
      <c r="A20" s="45" t="inlineStr">
        <is>
          <t>MBWAY_NANTES</t>
        </is>
      </c>
      <c r="B20" s="17" t="inlineStr">
        <is>
          <t>MBway Nantes</t>
        </is>
      </c>
      <c r="C20" s="45" t="inlineStr">
        <is>
          <t>MBway</t>
        </is>
      </c>
      <c r="D20" s="45" t="inlineStr">
        <is>
          <t>Nantes</t>
        </is>
      </c>
      <c r="E20" s="45" t="inlineStr">
        <is>
          <t>7062</t>
        </is>
      </c>
      <c r="F20" s="17" t="inlineStr">
        <is>
          <t>Prestations de formation — alternance (OPCO)</t>
        </is>
      </c>
      <c r="G20" s="45" t="inlineStr">
        <is>
          <t>70 — Prestations de services</t>
        </is>
      </c>
      <c r="H20" s="45" t="inlineStr">
        <is>
          <t>Produit</t>
        </is>
      </c>
      <c r="I20" s="45" t="inlineStr">
        <is>
          <t>Produits</t>
        </is>
      </c>
      <c r="J20" s="45" t="inlineStr">
        <is>
          <t>2025ACT_VDEF</t>
        </is>
      </c>
      <c r="K20" s="45" t="inlineStr">
        <is>
          <t>2025 (N-1)</t>
        </is>
      </c>
      <c r="L20" s="13" t="n">
        <v>1601415</v>
      </c>
    </row>
    <row r="21">
      <c r="A21" s="45" t="inlineStr">
        <is>
          <t>MBWAY_BORDEAUX</t>
        </is>
      </c>
      <c r="B21" s="17" t="inlineStr">
        <is>
          <t>MBway Bordeaux</t>
        </is>
      </c>
      <c r="C21" s="45" t="inlineStr">
        <is>
          <t>MBway</t>
        </is>
      </c>
      <c r="D21" s="45" t="inlineStr">
        <is>
          <t>Bordeaux</t>
        </is>
      </c>
      <c r="E21" s="45" t="inlineStr">
        <is>
          <t>7062</t>
        </is>
      </c>
      <c r="F21" s="17" t="inlineStr">
        <is>
          <t>Prestations de formation — alternance (OPCO)</t>
        </is>
      </c>
      <c r="G21" s="45" t="inlineStr">
        <is>
          <t>70 — Prestations de services</t>
        </is>
      </c>
      <c r="H21" s="45" t="inlineStr">
        <is>
          <t>Produit</t>
        </is>
      </c>
      <c r="I21" s="45" t="inlineStr">
        <is>
          <t>Produits</t>
        </is>
      </c>
      <c r="J21" s="45" t="inlineStr">
        <is>
          <t>2025ACT_VDEF</t>
        </is>
      </c>
      <c r="K21" s="45" t="inlineStr">
        <is>
          <t>2025 (N-1)</t>
        </is>
      </c>
      <c r="L21" s="13" t="n">
        <v>1314533</v>
      </c>
    </row>
    <row r="22">
      <c r="A22" s="45" t="inlineStr">
        <is>
          <t>ISCOM_PARIS</t>
        </is>
      </c>
      <c r="B22" s="17" t="inlineStr">
        <is>
          <t>ISCOM Paris</t>
        </is>
      </c>
      <c r="C22" s="45" t="inlineStr">
        <is>
          <t>ISCOM</t>
        </is>
      </c>
      <c r="D22" s="45" t="inlineStr">
        <is>
          <t>Paris</t>
        </is>
      </c>
      <c r="E22" s="45" t="inlineStr">
        <is>
          <t>7062</t>
        </is>
      </c>
      <c r="F22" s="17" t="inlineStr">
        <is>
          <t>Prestations de formation — alternance (OPCO)</t>
        </is>
      </c>
      <c r="G22" s="45" t="inlineStr">
        <is>
          <t>70 — Prestations de services</t>
        </is>
      </c>
      <c r="H22" s="45" t="inlineStr">
        <is>
          <t>Produit</t>
        </is>
      </c>
      <c r="I22" s="45" t="inlineStr">
        <is>
          <t>Produits</t>
        </is>
      </c>
      <c r="J22" s="45" t="inlineStr">
        <is>
          <t>2025ACT_VDEF</t>
        </is>
      </c>
      <c r="K22" s="45" t="inlineStr">
        <is>
          <t>2025 (N-1)</t>
        </is>
      </c>
      <c r="L22" s="13" t="n">
        <v>2161283</v>
      </c>
    </row>
    <row r="23">
      <c r="A23" s="45" t="inlineStr">
        <is>
          <t>ISCOM_LILLE</t>
        </is>
      </c>
      <c r="B23" s="17" t="inlineStr">
        <is>
          <t>ISCOM Lille</t>
        </is>
      </c>
      <c r="C23" s="45" t="inlineStr">
        <is>
          <t>ISCOM</t>
        </is>
      </c>
      <c r="D23" s="45" t="inlineStr">
        <is>
          <t>Lille</t>
        </is>
      </c>
      <c r="E23" s="45" t="inlineStr">
        <is>
          <t>7062</t>
        </is>
      </c>
      <c r="F23" s="17" t="inlineStr">
        <is>
          <t>Prestations de formation — alternance (OPCO)</t>
        </is>
      </c>
      <c r="G23" s="45" t="inlineStr">
        <is>
          <t>70 — Prestations de services</t>
        </is>
      </c>
      <c r="H23" s="45" t="inlineStr">
        <is>
          <t>Produit</t>
        </is>
      </c>
      <c r="I23" s="45" t="inlineStr">
        <is>
          <t>Produits</t>
        </is>
      </c>
      <c r="J23" s="45" t="inlineStr">
        <is>
          <t>2025ACT_VDEF</t>
        </is>
      </c>
      <c r="K23" s="45" t="inlineStr">
        <is>
          <t>2025 (N-1)</t>
        </is>
      </c>
      <c r="L23" s="13" t="n">
        <v>1301274</v>
      </c>
    </row>
    <row r="24">
      <c r="A24" s="45" t="inlineStr">
        <is>
          <t>ISCOM_TOULOUSE</t>
        </is>
      </c>
      <c r="B24" s="17" t="inlineStr">
        <is>
          <t>ISCOM Toulouse</t>
        </is>
      </c>
      <c r="C24" s="45" t="inlineStr">
        <is>
          <t>ISCOM</t>
        </is>
      </c>
      <c r="D24" s="45" t="inlineStr">
        <is>
          <t>Toulouse</t>
        </is>
      </c>
      <c r="E24" s="45" t="inlineStr">
        <is>
          <t>7062</t>
        </is>
      </c>
      <c r="F24" s="17" t="inlineStr">
        <is>
          <t>Prestations de formation — alternance (OPCO)</t>
        </is>
      </c>
      <c r="G24" s="45" t="inlineStr">
        <is>
          <t>70 — Prestations de services</t>
        </is>
      </c>
      <c r="H24" s="45" t="inlineStr">
        <is>
          <t>Produit</t>
        </is>
      </c>
      <c r="I24" s="45" t="inlineStr">
        <is>
          <t>Produits</t>
        </is>
      </c>
      <c r="J24" s="45" t="inlineStr">
        <is>
          <t>2025ACT_VDEF</t>
        </is>
      </c>
      <c r="K24" s="45" t="inlineStr">
        <is>
          <t>2025 (N-1)</t>
        </is>
      </c>
      <c r="L24" s="13" t="n">
        <v>1208604</v>
      </c>
    </row>
    <row r="25">
      <c r="A25" s="45" t="inlineStr">
        <is>
          <t>IPAC_BACHELOR_FACTORY_NANTES</t>
        </is>
      </c>
      <c r="B25" s="17" t="inlineStr">
        <is>
          <t>Ipac Bachelor Factory Nantes</t>
        </is>
      </c>
      <c r="C25" s="45" t="inlineStr">
        <is>
          <t>Ipac Bachelor Factory</t>
        </is>
      </c>
      <c r="D25" s="45" t="inlineStr">
        <is>
          <t>Nantes</t>
        </is>
      </c>
      <c r="E25" s="45" t="inlineStr">
        <is>
          <t>7062</t>
        </is>
      </c>
      <c r="F25" s="17" t="inlineStr">
        <is>
          <t>Prestations de formation — alternance (OPCO)</t>
        </is>
      </c>
      <c r="G25" s="45" t="inlineStr">
        <is>
          <t>70 — Prestations de services</t>
        </is>
      </c>
      <c r="H25" s="45" t="inlineStr">
        <is>
          <t>Produit</t>
        </is>
      </c>
      <c r="I25" s="45" t="inlineStr">
        <is>
          <t>Produits</t>
        </is>
      </c>
      <c r="J25" s="45" t="inlineStr">
        <is>
          <t>2025ACT_VDEF</t>
        </is>
      </c>
      <c r="K25" s="45" t="inlineStr">
        <is>
          <t>2025 (N-1)</t>
        </is>
      </c>
      <c r="L25" s="13" t="n">
        <v>957547</v>
      </c>
    </row>
    <row r="26">
      <c r="A26" s="45" t="inlineStr">
        <is>
          <t>IPAC_BACHELOR_FACTORY_RENNES</t>
        </is>
      </c>
      <c r="B26" s="17" t="inlineStr">
        <is>
          <t>Ipac Bachelor Factory Rennes</t>
        </is>
      </c>
      <c r="C26" s="45" t="inlineStr">
        <is>
          <t>Ipac Bachelor Factory</t>
        </is>
      </c>
      <c r="D26" s="45" t="inlineStr">
        <is>
          <t>Rennes</t>
        </is>
      </c>
      <c r="E26" s="45" t="inlineStr">
        <is>
          <t>7062</t>
        </is>
      </c>
      <c r="F26" s="17" t="inlineStr">
        <is>
          <t>Prestations de formation — alternance (OPCO)</t>
        </is>
      </c>
      <c r="G26" s="45" t="inlineStr">
        <is>
          <t>70 — Prestations de services</t>
        </is>
      </c>
      <c r="H26" s="45" t="inlineStr">
        <is>
          <t>Produit</t>
        </is>
      </c>
      <c r="I26" s="45" t="inlineStr">
        <is>
          <t>Produits</t>
        </is>
      </c>
      <c r="J26" s="45" t="inlineStr">
        <is>
          <t>2025ACT_VDEF</t>
        </is>
      </c>
      <c r="K26" s="45" t="inlineStr">
        <is>
          <t>2025 (N-1)</t>
        </is>
      </c>
      <c r="L26" s="13" t="n">
        <v>734009</v>
      </c>
    </row>
    <row r="27">
      <c r="A27" s="45" t="inlineStr">
        <is>
          <t>IPAC_BACHELOR_FACTORY_MONTPELLIER</t>
        </is>
      </c>
      <c r="B27" s="17" t="inlineStr">
        <is>
          <t>Ipac Bachelor Factory Montpellier</t>
        </is>
      </c>
      <c r="C27" s="45" t="inlineStr">
        <is>
          <t>Ipac Bachelor Factory</t>
        </is>
      </c>
      <c r="D27" s="45" t="inlineStr">
        <is>
          <t>Montpellier</t>
        </is>
      </c>
      <c r="E27" s="45" t="inlineStr">
        <is>
          <t>7062</t>
        </is>
      </c>
      <c r="F27" s="17" t="inlineStr">
        <is>
          <t>Prestations de formation — alternance (OPCO)</t>
        </is>
      </c>
      <c r="G27" s="45" t="inlineStr">
        <is>
          <t>70 — Prestations de services</t>
        </is>
      </c>
      <c r="H27" s="45" t="inlineStr">
        <is>
          <t>Produit</t>
        </is>
      </c>
      <c r="I27" s="45" t="inlineStr">
        <is>
          <t>Produits</t>
        </is>
      </c>
      <c r="J27" s="45" t="inlineStr">
        <is>
          <t>2025ACT_VDEF</t>
        </is>
      </c>
      <c r="K27" s="45" t="inlineStr">
        <is>
          <t>2025 (N-1)</t>
        </is>
      </c>
      <c r="L27" s="13" t="n">
        <v>734009</v>
      </c>
    </row>
    <row r="28">
      <c r="A28" s="45" t="inlineStr">
        <is>
          <t>PIGIER_LYON</t>
        </is>
      </c>
      <c r="B28" s="17" t="inlineStr">
        <is>
          <t>Pigier Lyon</t>
        </is>
      </c>
      <c r="C28" s="45" t="inlineStr">
        <is>
          <t>Pigier</t>
        </is>
      </c>
      <c r="D28" s="45" t="inlineStr">
        <is>
          <t>Lyon</t>
        </is>
      </c>
      <c r="E28" s="45" t="inlineStr">
        <is>
          <t>7062</t>
        </is>
      </c>
      <c r="F28" s="17" t="inlineStr">
        <is>
          <t>Prestations de formation — alternance (OPCO)</t>
        </is>
      </c>
      <c r="G28" s="45" t="inlineStr">
        <is>
          <t>70 — Prestations de services</t>
        </is>
      </c>
      <c r="H28" s="45" t="inlineStr">
        <is>
          <t>Produit</t>
        </is>
      </c>
      <c r="I28" s="45" t="inlineStr">
        <is>
          <t>Produits</t>
        </is>
      </c>
      <c r="J28" s="45" t="inlineStr">
        <is>
          <t>2025ACT_VDEF</t>
        </is>
      </c>
      <c r="K28" s="45" t="inlineStr">
        <is>
          <t>2025 (N-1)</t>
        </is>
      </c>
      <c r="L28" s="13" t="n">
        <v>1171840</v>
      </c>
    </row>
    <row r="29">
      <c r="A29" s="45" t="inlineStr">
        <is>
          <t>PIGIER_BORDEAUX</t>
        </is>
      </c>
      <c r="B29" s="17" t="inlineStr">
        <is>
          <t>Pigier Bordeaux</t>
        </is>
      </c>
      <c r="C29" s="45" t="inlineStr">
        <is>
          <t>Pigier</t>
        </is>
      </c>
      <c r="D29" s="45" t="inlineStr">
        <is>
          <t>Bordeaux</t>
        </is>
      </c>
      <c r="E29" s="45" t="inlineStr">
        <is>
          <t>7062</t>
        </is>
      </c>
      <c r="F29" s="17" t="inlineStr">
        <is>
          <t>Prestations de formation — alternance (OPCO)</t>
        </is>
      </c>
      <c r="G29" s="45" t="inlineStr">
        <is>
          <t>70 — Prestations de services</t>
        </is>
      </c>
      <c r="H29" s="45" t="inlineStr">
        <is>
          <t>Produit</t>
        </is>
      </c>
      <c r="I29" s="45" t="inlineStr">
        <is>
          <t>Produits</t>
        </is>
      </c>
      <c r="J29" s="45" t="inlineStr">
        <is>
          <t>2025ACT_VDEF</t>
        </is>
      </c>
      <c r="K29" s="45" t="inlineStr">
        <is>
          <t>2025 (N-1)</t>
        </is>
      </c>
      <c r="L29" s="13" t="n">
        <v>844632</v>
      </c>
    </row>
    <row r="30">
      <c r="A30" s="45" t="inlineStr">
        <is>
          <t>TUNON_PARIS</t>
        </is>
      </c>
      <c r="B30" s="17" t="inlineStr">
        <is>
          <t>Tunon Paris</t>
        </is>
      </c>
      <c r="C30" s="45" t="inlineStr">
        <is>
          <t>Tunon</t>
        </is>
      </c>
      <c r="D30" s="45" t="inlineStr">
        <is>
          <t>Paris</t>
        </is>
      </c>
      <c r="E30" s="45" t="inlineStr">
        <is>
          <t>7062</t>
        </is>
      </c>
      <c r="F30" s="17" t="inlineStr">
        <is>
          <t>Prestations de formation — alternance (OPCO)</t>
        </is>
      </c>
      <c r="G30" s="45" t="inlineStr">
        <is>
          <t>70 — Prestations de services</t>
        </is>
      </c>
      <c r="H30" s="45" t="inlineStr">
        <is>
          <t>Produit</t>
        </is>
      </c>
      <c r="I30" s="45" t="inlineStr">
        <is>
          <t>Produits</t>
        </is>
      </c>
      <c r="J30" s="45" t="inlineStr">
        <is>
          <t>2025ACT_VDEF</t>
        </is>
      </c>
      <c r="K30" s="45" t="inlineStr">
        <is>
          <t>2025 (N-1)</t>
        </is>
      </c>
      <c r="L30" s="13" t="n">
        <v>1020679</v>
      </c>
    </row>
    <row r="31">
      <c r="A31" s="45" t="inlineStr">
        <is>
          <t>TUNON_LYON</t>
        </is>
      </c>
      <c r="B31" s="17" t="inlineStr">
        <is>
          <t>Tunon Lyon</t>
        </is>
      </c>
      <c r="C31" s="45" t="inlineStr">
        <is>
          <t>Tunon</t>
        </is>
      </c>
      <c r="D31" s="45" t="inlineStr">
        <is>
          <t>Lyon</t>
        </is>
      </c>
      <c r="E31" s="45" t="inlineStr">
        <is>
          <t>7062</t>
        </is>
      </c>
      <c r="F31" s="17" t="inlineStr">
        <is>
          <t>Prestations de formation — alternance (OPCO)</t>
        </is>
      </c>
      <c r="G31" s="45" t="inlineStr">
        <is>
          <t>70 — Prestations de services</t>
        </is>
      </c>
      <c r="H31" s="45" t="inlineStr">
        <is>
          <t>Produit</t>
        </is>
      </c>
      <c r="I31" s="45" t="inlineStr">
        <is>
          <t>Produits</t>
        </is>
      </c>
      <c r="J31" s="45" t="inlineStr">
        <is>
          <t>2025ACT_VDEF</t>
        </is>
      </c>
      <c r="K31" s="45" t="inlineStr">
        <is>
          <t>2025 (N-1)</t>
        </is>
      </c>
      <c r="L31" s="13" t="n">
        <v>811274</v>
      </c>
    </row>
    <row r="32">
      <c r="A32" s="45" t="inlineStr">
        <is>
          <t>MBWAY_PARIS</t>
        </is>
      </c>
      <c r="B32" s="17" t="inlineStr">
        <is>
          <t>MBway Paris</t>
        </is>
      </c>
      <c r="C32" s="45" t="inlineStr">
        <is>
          <t>MBway</t>
        </is>
      </c>
      <c r="D32" s="45" t="inlineStr">
        <is>
          <t>Paris</t>
        </is>
      </c>
      <c r="E32" s="45" t="inlineStr">
        <is>
          <t>7062</t>
        </is>
      </c>
      <c r="F32" s="17" t="inlineStr">
        <is>
          <t>Prestations de formation — alternance (OPCO)</t>
        </is>
      </c>
      <c r="G32" s="45" t="inlineStr">
        <is>
          <t>70 — Prestations de services</t>
        </is>
      </c>
      <c r="H32" s="45" t="inlineStr">
        <is>
          <t>Produit</t>
        </is>
      </c>
      <c r="I32" s="45" t="inlineStr">
        <is>
          <t>Produits</t>
        </is>
      </c>
      <c r="J32" s="45" t="inlineStr">
        <is>
          <t>2026ATT_VDEF</t>
        </is>
      </c>
      <c r="K32" s="45" t="inlineStr">
        <is>
          <t>2026 (Atterr.)</t>
        </is>
      </c>
      <c r="L32" s="13" t="n">
        <v>2469600</v>
      </c>
    </row>
    <row r="33">
      <c r="A33" s="45" t="inlineStr">
        <is>
          <t>MBWAY_LYON</t>
        </is>
      </c>
      <c r="B33" s="17" t="inlineStr">
        <is>
          <t>MBway Lyon</t>
        </is>
      </c>
      <c r="C33" s="45" t="inlineStr">
        <is>
          <t>MBway</t>
        </is>
      </c>
      <c r="D33" s="45" t="inlineStr">
        <is>
          <t>Lyon</t>
        </is>
      </c>
      <c r="E33" s="45" t="inlineStr">
        <is>
          <t>7062</t>
        </is>
      </c>
      <c r="F33" s="17" t="inlineStr">
        <is>
          <t>Prestations de formation — alternance (OPCO)</t>
        </is>
      </c>
      <c r="G33" s="45" t="inlineStr">
        <is>
          <t>70 — Prestations de services</t>
        </is>
      </c>
      <c r="H33" s="45" t="inlineStr">
        <is>
          <t>Produit</t>
        </is>
      </c>
      <c r="I33" s="45" t="inlineStr">
        <is>
          <t>Produits</t>
        </is>
      </c>
      <c r="J33" s="45" t="inlineStr">
        <is>
          <t>2026ATT_VDEF</t>
        </is>
      </c>
      <c r="K33" s="45" t="inlineStr">
        <is>
          <t>2026 (Atterr.)</t>
        </is>
      </c>
      <c r="L33" s="13" t="n">
        <v>1965075</v>
      </c>
    </row>
    <row r="34">
      <c r="A34" s="45" t="inlineStr">
        <is>
          <t>MBWAY_NANTES</t>
        </is>
      </c>
      <c r="B34" s="17" t="inlineStr">
        <is>
          <t>MBway Nantes</t>
        </is>
      </c>
      <c r="C34" s="45" t="inlineStr">
        <is>
          <t>MBway</t>
        </is>
      </c>
      <c r="D34" s="45" t="inlineStr">
        <is>
          <t>Nantes</t>
        </is>
      </c>
      <c r="E34" s="45" t="inlineStr">
        <is>
          <t>7062</t>
        </is>
      </c>
      <c r="F34" s="17" t="inlineStr">
        <is>
          <t>Prestations de formation — alternance (OPCO)</t>
        </is>
      </c>
      <c r="G34" s="45" t="inlineStr">
        <is>
          <t>70 — Prestations de services</t>
        </is>
      </c>
      <c r="H34" s="45" t="inlineStr">
        <is>
          <t>Produit</t>
        </is>
      </c>
      <c r="I34" s="45" t="inlineStr">
        <is>
          <t>Produits</t>
        </is>
      </c>
      <c r="J34" s="45" t="inlineStr">
        <is>
          <t>2026ATT_VDEF</t>
        </is>
      </c>
      <c r="K34" s="45" t="inlineStr">
        <is>
          <t>2026 (Atterr.)</t>
        </is>
      </c>
      <c r="L34" s="13" t="n">
        <v>1697500</v>
      </c>
    </row>
    <row r="35">
      <c r="A35" s="45" t="inlineStr">
        <is>
          <t>MBWAY_BORDEAUX</t>
        </is>
      </c>
      <c r="B35" s="17" t="inlineStr">
        <is>
          <t>MBway Bordeaux</t>
        </is>
      </c>
      <c r="C35" s="45" t="inlineStr">
        <is>
          <t>MBway</t>
        </is>
      </c>
      <c r="D35" s="45" t="inlineStr">
        <is>
          <t>Bordeaux</t>
        </is>
      </c>
      <c r="E35" s="45" t="inlineStr">
        <is>
          <t>7062</t>
        </is>
      </c>
      <c r="F35" s="17" t="inlineStr">
        <is>
          <t>Prestations de formation — alternance (OPCO)</t>
        </is>
      </c>
      <c r="G35" s="45" t="inlineStr">
        <is>
          <t>70 — Prestations de services</t>
        </is>
      </c>
      <c r="H35" s="45" t="inlineStr">
        <is>
          <t>Produit</t>
        </is>
      </c>
      <c r="I35" s="45" t="inlineStr">
        <is>
          <t>Produits</t>
        </is>
      </c>
      <c r="J35" s="45" t="inlineStr">
        <is>
          <t>2026ATT_VDEF</t>
        </is>
      </c>
      <c r="K35" s="45" t="inlineStr">
        <is>
          <t>2026 (Atterr.)</t>
        </is>
      </c>
      <c r="L35" s="13" t="n">
        <v>1393405</v>
      </c>
    </row>
    <row r="36">
      <c r="A36" s="45" t="inlineStr">
        <is>
          <t>ISCOM_PARIS</t>
        </is>
      </c>
      <c r="B36" s="17" t="inlineStr">
        <is>
          <t>ISCOM Paris</t>
        </is>
      </c>
      <c r="C36" s="45" t="inlineStr">
        <is>
          <t>ISCOM</t>
        </is>
      </c>
      <c r="D36" s="45" t="inlineStr">
        <is>
          <t>Paris</t>
        </is>
      </c>
      <c r="E36" s="45" t="inlineStr">
        <is>
          <t>7062</t>
        </is>
      </c>
      <c r="F36" s="17" t="inlineStr">
        <is>
          <t>Prestations de formation — alternance (OPCO)</t>
        </is>
      </c>
      <c r="G36" s="45" t="inlineStr">
        <is>
          <t>70 — Prestations de services</t>
        </is>
      </c>
      <c r="H36" s="45" t="inlineStr">
        <is>
          <t>Produit</t>
        </is>
      </c>
      <c r="I36" s="45" t="inlineStr">
        <is>
          <t>Produits</t>
        </is>
      </c>
      <c r="J36" s="45" t="inlineStr">
        <is>
          <t>2026ATT_VDEF</t>
        </is>
      </c>
      <c r="K36" s="45" t="inlineStr">
        <is>
          <t>2026 (Atterr.)</t>
        </is>
      </c>
      <c r="L36" s="13" t="n">
        <v>2290960</v>
      </c>
    </row>
    <row r="37">
      <c r="A37" s="45" t="inlineStr">
        <is>
          <t>ISCOM_LILLE</t>
        </is>
      </c>
      <c r="B37" s="17" t="inlineStr">
        <is>
          <t>ISCOM Lille</t>
        </is>
      </c>
      <c r="C37" s="45" t="inlineStr">
        <is>
          <t>ISCOM</t>
        </is>
      </c>
      <c r="D37" s="45" t="inlineStr">
        <is>
          <t>Lille</t>
        </is>
      </c>
      <c r="E37" s="45" t="inlineStr">
        <is>
          <t>7062</t>
        </is>
      </c>
      <c r="F37" s="17" t="inlineStr">
        <is>
          <t>Prestations de formation — alternance (OPCO)</t>
        </is>
      </c>
      <c r="G37" s="45" t="inlineStr">
        <is>
          <t>70 — Prestations de services</t>
        </is>
      </c>
      <c r="H37" s="45" t="inlineStr">
        <is>
          <t>Produit</t>
        </is>
      </c>
      <c r="I37" s="45" t="inlineStr">
        <is>
          <t>Produits</t>
        </is>
      </c>
      <c r="J37" s="45" t="inlineStr">
        <is>
          <t>2026ATT_VDEF</t>
        </is>
      </c>
      <c r="K37" s="45" t="inlineStr">
        <is>
          <t>2026 (Atterr.)</t>
        </is>
      </c>
      <c r="L37" s="13" t="n">
        <v>1379350</v>
      </c>
    </row>
    <row r="38">
      <c r="A38" s="45" t="inlineStr">
        <is>
          <t>ISCOM_TOULOUSE</t>
        </is>
      </c>
      <c r="B38" s="17" t="inlineStr">
        <is>
          <t>ISCOM Toulouse</t>
        </is>
      </c>
      <c r="C38" s="45" t="inlineStr">
        <is>
          <t>ISCOM</t>
        </is>
      </c>
      <c r="D38" s="45" t="inlineStr">
        <is>
          <t>Toulouse</t>
        </is>
      </c>
      <c r="E38" s="45" t="inlineStr">
        <is>
          <t>7062</t>
        </is>
      </c>
      <c r="F38" s="17" t="inlineStr">
        <is>
          <t>Prestations de formation — alternance (OPCO)</t>
        </is>
      </c>
      <c r="G38" s="45" t="inlineStr">
        <is>
          <t>70 — Prestations de services</t>
        </is>
      </c>
      <c r="H38" s="45" t="inlineStr">
        <is>
          <t>Produit</t>
        </is>
      </c>
      <c r="I38" s="45" t="inlineStr">
        <is>
          <t>Produits</t>
        </is>
      </c>
      <c r="J38" s="45" t="inlineStr">
        <is>
          <t>2026ATT_VDEF</t>
        </is>
      </c>
      <c r="K38" s="45" t="inlineStr">
        <is>
          <t>2026 (Atterr.)</t>
        </is>
      </c>
      <c r="L38" s="13" t="n">
        <v>1281120</v>
      </c>
    </row>
    <row r="39">
      <c r="A39" s="45" t="inlineStr">
        <is>
          <t>IPAC_BACHELOR_FACTORY_NANTES</t>
        </is>
      </c>
      <c r="B39" s="17" t="inlineStr">
        <is>
          <t>Ipac Bachelor Factory Nantes</t>
        </is>
      </c>
      <c r="C39" s="45" t="inlineStr">
        <is>
          <t>Ipac Bachelor Factory</t>
        </is>
      </c>
      <c r="D39" s="45" t="inlineStr">
        <is>
          <t>Nantes</t>
        </is>
      </c>
      <c r="E39" s="45" t="inlineStr">
        <is>
          <t>7062</t>
        </is>
      </c>
      <c r="F39" s="17" t="inlineStr">
        <is>
          <t>Prestations de formation — alternance (OPCO)</t>
        </is>
      </c>
      <c r="G39" s="45" t="inlineStr">
        <is>
          <t>70 — Prestations de services</t>
        </is>
      </c>
      <c r="H39" s="45" t="inlineStr">
        <is>
          <t>Produit</t>
        </is>
      </c>
      <c r="I39" s="45" t="inlineStr">
        <is>
          <t>Produits</t>
        </is>
      </c>
      <c r="J39" s="45" t="inlineStr">
        <is>
          <t>2026ATT_VDEF</t>
        </is>
      </c>
      <c r="K39" s="45" t="inlineStr">
        <is>
          <t>2026 (Atterr.)</t>
        </is>
      </c>
      <c r="L39" s="13" t="n">
        <v>1015000</v>
      </c>
    </row>
    <row r="40">
      <c r="A40" s="45" t="inlineStr">
        <is>
          <t>IPAC_BACHELOR_FACTORY_RENNES</t>
        </is>
      </c>
      <c r="B40" s="17" t="inlineStr">
        <is>
          <t>Ipac Bachelor Factory Rennes</t>
        </is>
      </c>
      <c r="C40" s="45" t="inlineStr">
        <is>
          <t>Ipac Bachelor Factory</t>
        </is>
      </c>
      <c r="D40" s="45" t="inlineStr">
        <is>
          <t>Rennes</t>
        </is>
      </c>
      <c r="E40" s="45" t="inlineStr">
        <is>
          <t>7062</t>
        </is>
      </c>
      <c r="F40" s="17" t="inlineStr">
        <is>
          <t>Prestations de formation — alternance (OPCO)</t>
        </is>
      </c>
      <c r="G40" s="45" t="inlineStr">
        <is>
          <t>70 — Prestations de services</t>
        </is>
      </c>
      <c r="H40" s="45" t="inlineStr">
        <is>
          <t>Produit</t>
        </is>
      </c>
      <c r="I40" s="45" t="inlineStr">
        <is>
          <t>Produits</t>
        </is>
      </c>
      <c r="J40" s="45" t="inlineStr">
        <is>
          <t>2026ATT_VDEF</t>
        </is>
      </c>
      <c r="K40" s="45" t="inlineStr">
        <is>
          <t>2026 (Atterr.)</t>
        </is>
      </c>
      <c r="L40" s="13" t="n">
        <v>778050</v>
      </c>
    </row>
    <row r="41">
      <c r="A41" s="45" t="inlineStr">
        <is>
          <t>IPAC_BACHELOR_FACTORY_MONTPELLIER</t>
        </is>
      </c>
      <c r="B41" s="17" t="inlineStr">
        <is>
          <t>Ipac Bachelor Factory Montpellier</t>
        </is>
      </c>
      <c r="C41" s="45" t="inlineStr">
        <is>
          <t>Ipac Bachelor Factory</t>
        </is>
      </c>
      <c r="D41" s="45" t="inlineStr">
        <is>
          <t>Montpellier</t>
        </is>
      </c>
      <c r="E41" s="45" t="inlineStr">
        <is>
          <t>7062</t>
        </is>
      </c>
      <c r="F41" s="17" t="inlineStr">
        <is>
          <t>Prestations de formation — alternance (OPCO)</t>
        </is>
      </c>
      <c r="G41" s="45" t="inlineStr">
        <is>
          <t>70 — Prestations de services</t>
        </is>
      </c>
      <c r="H41" s="45" t="inlineStr">
        <is>
          <t>Produit</t>
        </is>
      </c>
      <c r="I41" s="45" t="inlineStr">
        <is>
          <t>Produits</t>
        </is>
      </c>
      <c r="J41" s="45" t="inlineStr">
        <is>
          <t>2026ATT_VDEF</t>
        </is>
      </c>
      <c r="K41" s="45" t="inlineStr">
        <is>
          <t>2026 (Atterr.)</t>
        </is>
      </c>
      <c r="L41" s="13" t="n">
        <v>778050</v>
      </c>
    </row>
    <row r="42">
      <c r="A42" s="45" t="inlineStr">
        <is>
          <t>PIGIER_LYON</t>
        </is>
      </c>
      <c r="B42" s="17" t="inlineStr">
        <is>
          <t>Pigier Lyon</t>
        </is>
      </c>
      <c r="C42" s="45" t="inlineStr">
        <is>
          <t>Pigier</t>
        </is>
      </c>
      <c r="D42" s="45" t="inlineStr">
        <is>
          <t>Lyon</t>
        </is>
      </c>
      <c r="E42" s="45" t="inlineStr">
        <is>
          <t>7062</t>
        </is>
      </c>
      <c r="F42" s="17" t="inlineStr">
        <is>
          <t>Prestations de formation — alternance (OPCO)</t>
        </is>
      </c>
      <c r="G42" s="45" t="inlineStr">
        <is>
          <t>70 — Prestations de services</t>
        </is>
      </c>
      <c r="H42" s="45" t="inlineStr">
        <is>
          <t>Produit</t>
        </is>
      </c>
      <c r="I42" s="45" t="inlineStr">
        <is>
          <t>Produits</t>
        </is>
      </c>
      <c r="J42" s="45" t="inlineStr">
        <is>
          <t>2026ATT_VDEF</t>
        </is>
      </c>
      <c r="K42" s="45" t="inlineStr">
        <is>
          <t>2026 (Atterr.)</t>
        </is>
      </c>
      <c r="L42" s="13" t="n">
        <v>1242150</v>
      </c>
    </row>
    <row r="43">
      <c r="A43" s="45" t="inlineStr">
        <is>
          <t>PIGIER_BORDEAUX</t>
        </is>
      </c>
      <c r="B43" s="17" t="inlineStr">
        <is>
          <t>Pigier Bordeaux</t>
        </is>
      </c>
      <c r="C43" s="45" t="inlineStr">
        <is>
          <t>Pigier</t>
        </is>
      </c>
      <c r="D43" s="45" t="inlineStr">
        <is>
          <t>Bordeaux</t>
        </is>
      </c>
      <c r="E43" s="45" t="inlineStr">
        <is>
          <t>7062</t>
        </is>
      </c>
      <c r="F43" s="17" t="inlineStr">
        <is>
          <t>Prestations de formation — alternance (OPCO)</t>
        </is>
      </c>
      <c r="G43" s="45" t="inlineStr">
        <is>
          <t>70 — Prestations de services</t>
        </is>
      </c>
      <c r="H43" s="45" t="inlineStr">
        <is>
          <t>Produit</t>
        </is>
      </c>
      <c r="I43" s="45" t="inlineStr">
        <is>
          <t>Produits</t>
        </is>
      </c>
      <c r="J43" s="45" t="inlineStr">
        <is>
          <t>2026ATT_VDEF</t>
        </is>
      </c>
      <c r="K43" s="45" t="inlineStr">
        <is>
          <t>2026 (Atterr.)</t>
        </is>
      </c>
      <c r="L43" s="13" t="n">
        <v>895310</v>
      </c>
    </row>
    <row r="44">
      <c r="A44" s="45" t="inlineStr">
        <is>
          <t>TUNON_PARIS</t>
        </is>
      </c>
      <c r="B44" s="17" t="inlineStr">
        <is>
          <t>Tunon Paris</t>
        </is>
      </c>
      <c r="C44" s="45" t="inlineStr">
        <is>
          <t>Tunon</t>
        </is>
      </c>
      <c r="D44" s="45" t="inlineStr">
        <is>
          <t>Paris</t>
        </is>
      </c>
      <c r="E44" s="45" t="inlineStr">
        <is>
          <t>7062</t>
        </is>
      </c>
      <c r="F44" s="17" t="inlineStr">
        <is>
          <t>Prestations de formation — alternance (OPCO)</t>
        </is>
      </c>
      <c r="G44" s="45" t="inlineStr">
        <is>
          <t>70 — Prestations de services</t>
        </is>
      </c>
      <c r="H44" s="45" t="inlineStr">
        <is>
          <t>Produit</t>
        </is>
      </c>
      <c r="I44" s="45" t="inlineStr">
        <is>
          <t>Produits</t>
        </is>
      </c>
      <c r="J44" s="45" t="inlineStr">
        <is>
          <t>2026ATT_VDEF</t>
        </is>
      </c>
      <c r="K44" s="45" t="inlineStr">
        <is>
          <t>2026 (Atterr.)</t>
        </is>
      </c>
      <c r="L44" s="13" t="n">
        <v>1081920</v>
      </c>
    </row>
    <row r="45">
      <c r="A45" s="45" t="inlineStr">
        <is>
          <t>TUNON_LYON</t>
        </is>
      </c>
      <c r="B45" s="17" t="inlineStr">
        <is>
          <t>Tunon Lyon</t>
        </is>
      </c>
      <c r="C45" s="45" t="inlineStr">
        <is>
          <t>Tunon</t>
        </is>
      </c>
      <c r="D45" s="45" t="inlineStr">
        <is>
          <t>Lyon</t>
        </is>
      </c>
      <c r="E45" s="45" t="inlineStr">
        <is>
          <t>7062</t>
        </is>
      </c>
      <c r="F45" s="17" t="inlineStr">
        <is>
          <t>Prestations de formation — alternance (OPCO)</t>
        </is>
      </c>
      <c r="G45" s="45" t="inlineStr">
        <is>
          <t>70 — Prestations de services</t>
        </is>
      </c>
      <c r="H45" s="45" t="inlineStr">
        <is>
          <t>Produit</t>
        </is>
      </c>
      <c r="I45" s="45" t="inlineStr">
        <is>
          <t>Produits</t>
        </is>
      </c>
      <c r="J45" s="45" t="inlineStr">
        <is>
          <t>2026ATT_VDEF</t>
        </is>
      </c>
      <c r="K45" s="45" t="inlineStr">
        <is>
          <t>2026 (Atterr.)</t>
        </is>
      </c>
      <c r="L45" s="13" t="n">
        <v>859950</v>
      </c>
    </row>
    <row r="46">
      <c r="A46" s="45" t="inlineStr">
        <is>
          <t>MBWAY_PARIS</t>
        </is>
      </c>
      <c r="B46" s="17" t="inlineStr">
        <is>
          <t>MBway Paris</t>
        </is>
      </c>
      <c r="C46" s="45" t="inlineStr">
        <is>
          <t>MBway</t>
        </is>
      </c>
      <c r="D46" s="45" t="inlineStr">
        <is>
          <t>Paris</t>
        </is>
      </c>
      <c r="E46" s="45" t="inlineStr">
        <is>
          <t>706</t>
        </is>
      </c>
      <c r="F46" s="17" t="inlineStr">
        <is>
          <t>Prestations de formation — scolarité (initial)</t>
        </is>
      </c>
      <c r="G46" s="45" t="inlineStr">
        <is>
          <t>70 — Prestations de services</t>
        </is>
      </c>
      <c r="H46" s="45" t="inlineStr">
        <is>
          <t>Produit</t>
        </is>
      </c>
      <c r="I46" s="45" t="inlineStr">
        <is>
          <t>Produits</t>
        </is>
      </c>
      <c r="J46" s="45" t="inlineStr">
        <is>
          <t>2024ACT_VDEF</t>
        </is>
      </c>
      <c r="K46" s="45" t="inlineStr">
        <is>
          <t>2024 (N-2)</t>
        </is>
      </c>
      <c r="L46" s="13" t="n">
        <v>583126</v>
      </c>
    </row>
    <row r="47">
      <c r="A47" s="45" t="inlineStr">
        <is>
          <t>MBWAY_LYON</t>
        </is>
      </c>
      <c r="B47" s="17" t="inlineStr">
        <is>
          <t>MBway Lyon</t>
        </is>
      </c>
      <c r="C47" s="45" t="inlineStr">
        <is>
          <t>MBway</t>
        </is>
      </c>
      <c r="D47" s="45" t="inlineStr">
        <is>
          <t>Lyon</t>
        </is>
      </c>
      <c r="E47" s="45" t="inlineStr">
        <is>
          <t>706</t>
        </is>
      </c>
      <c r="F47" s="17" t="inlineStr">
        <is>
          <t>Prestations de formation — scolarité (initial)</t>
        </is>
      </c>
      <c r="G47" s="45" t="inlineStr">
        <is>
          <t>70 — Prestations de services</t>
        </is>
      </c>
      <c r="H47" s="45" t="inlineStr">
        <is>
          <t>Produit</t>
        </is>
      </c>
      <c r="I47" s="45" t="inlineStr">
        <is>
          <t>Produits</t>
        </is>
      </c>
      <c r="J47" s="45" t="inlineStr">
        <is>
          <t>2024ACT_VDEF</t>
        </is>
      </c>
      <c r="K47" s="45" t="inlineStr">
        <is>
          <t>2024 (N-2)</t>
        </is>
      </c>
      <c r="L47" s="13" t="n">
        <v>462576</v>
      </c>
    </row>
    <row r="48">
      <c r="A48" s="45" t="inlineStr">
        <is>
          <t>MBWAY_NANTES</t>
        </is>
      </c>
      <c r="B48" s="17" t="inlineStr">
        <is>
          <t>MBway Nantes</t>
        </is>
      </c>
      <c r="C48" s="45" t="inlineStr">
        <is>
          <t>MBway</t>
        </is>
      </c>
      <c r="D48" s="45" t="inlineStr">
        <is>
          <t>Nantes</t>
        </is>
      </c>
      <c r="E48" s="45" t="inlineStr">
        <is>
          <t>706</t>
        </is>
      </c>
      <c r="F48" s="17" t="inlineStr">
        <is>
          <t>Prestations de formation — scolarité (initial)</t>
        </is>
      </c>
      <c r="G48" s="45" t="inlineStr">
        <is>
          <t>70 — Prestations de services</t>
        </is>
      </c>
      <c r="H48" s="45" t="inlineStr">
        <is>
          <t>Produit</t>
        </is>
      </c>
      <c r="I48" s="45" t="inlineStr">
        <is>
          <t>Produits</t>
        </is>
      </c>
      <c r="J48" s="45" t="inlineStr">
        <is>
          <t>2024ACT_VDEF</t>
        </is>
      </c>
      <c r="K48" s="45" t="inlineStr">
        <is>
          <t>2024 (N-2)</t>
        </is>
      </c>
      <c r="L48" s="13" t="n">
        <v>400498</v>
      </c>
    </row>
    <row r="49">
      <c r="A49" s="45" t="inlineStr">
        <is>
          <t>MBWAY_BORDEAUX</t>
        </is>
      </c>
      <c r="B49" s="17" t="inlineStr">
        <is>
          <t>MBway Bordeaux</t>
        </is>
      </c>
      <c r="C49" s="45" t="inlineStr">
        <is>
          <t>MBway</t>
        </is>
      </c>
      <c r="D49" s="45" t="inlineStr">
        <is>
          <t>Bordeaux</t>
        </is>
      </c>
      <c r="E49" s="45" t="inlineStr">
        <is>
          <t>706</t>
        </is>
      </c>
      <c r="F49" s="17" t="inlineStr">
        <is>
          <t>Prestations de formation — scolarité (initial)</t>
        </is>
      </c>
      <c r="G49" s="45" t="inlineStr">
        <is>
          <t>70 — Prestations de services</t>
        </is>
      </c>
      <c r="H49" s="45" t="inlineStr">
        <is>
          <t>Produit</t>
        </is>
      </c>
      <c r="I49" s="45" t="inlineStr">
        <is>
          <t>Produits</t>
        </is>
      </c>
      <c r="J49" s="45" t="inlineStr">
        <is>
          <t>2024ACT_VDEF</t>
        </is>
      </c>
      <c r="K49" s="45" t="inlineStr">
        <is>
          <t>2024 (N-2)</t>
        </is>
      </c>
      <c r="L49" s="13" t="n">
        <v>330211</v>
      </c>
    </row>
    <row r="50">
      <c r="A50" s="45" t="inlineStr">
        <is>
          <t>ISCOM_PARIS</t>
        </is>
      </c>
      <c r="B50" s="17" t="inlineStr">
        <is>
          <t>ISCOM Paris</t>
        </is>
      </c>
      <c r="C50" s="45" t="inlineStr">
        <is>
          <t>ISCOM</t>
        </is>
      </c>
      <c r="D50" s="45" t="inlineStr">
        <is>
          <t>Paris</t>
        </is>
      </c>
      <c r="E50" s="45" t="inlineStr">
        <is>
          <t>706</t>
        </is>
      </c>
      <c r="F50" s="17" t="inlineStr">
        <is>
          <t>Prestations de formation — scolarité (initial)</t>
        </is>
      </c>
      <c r="G50" s="45" t="inlineStr">
        <is>
          <t>70 — Prestations de services</t>
        </is>
      </c>
      <c r="H50" s="45" t="inlineStr">
        <is>
          <t>Produit</t>
        </is>
      </c>
      <c r="I50" s="45" t="inlineStr">
        <is>
          <t>Produits</t>
        </is>
      </c>
      <c r="J50" s="45" t="inlineStr">
        <is>
          <t>2024ACT_VDEF</t>
        </is>
      </c>
      <c r="K50" s="45" t="inlineStr">
        <is>
          <t>2024 (N-2)</t>
        </is>
      </c>
      <c r="L50" s="13" t="n">
        <v>538270</v>
      </c>
    </row>
    <row r="51">
      <c r="A51" s="45" t="inlineStr">
        <is>
          <t>ISCOM_LILLE</t>
        </is>
      </c>
      <c r="B51" s="17" t="inlineStr">
        <is>
          <t>ISCOM Lille</t>
        </is>
      </c>
      <c r="C51" s="45" t="inlineStr">
        <is>
          <t>ISCOM</t>
        </is>
      </c>
      <c r="D51" s="45" t="inlineStr">
        <is>
          <t>Lille</t>
        </is>
      </c>
      <c r="E51" s="45" t="inlineStr">
        <is>
          <t>706</t>
        </is>
      </c>
      <c r="F51" s="17" t="inlineStr">
        <is>
          <t>Prestations de formation — scolarité (initial)</t>
        </is>
      </c>
      <c r="G51" s="45" t="inlineStr">
        <is>
          <t>70 — Prestations de services</t>
        </is>
      </c>
      <c r="H51" s="45" t="inlineStr">
        <is>
          <t>Produit</t>
        </is>
      </c>
      <c r="I51" s="45" t="inlineStr">
        <is>
          <t>Produits</t>
        </is>
      </c>
      <c r="J51" s="45" t="inlineStr">
        <is>
          <t>2024ACT_VDEF</t>
        </is>
      </c>
      <c r="K51" s="45" t="inlineStr">
        <is>
          <t>2024 (N-2)</t>
        </is>
      </c>
      <c r="L51" s="13" t="n">
        <v>327074</v>
      </c>
    </row>
    <row r="52">
      <c r="A52" s="45" t="inlineStr">
        <is>
          <t>ISCOM_TOULOUSE</t>
        </is>
      </c>
      <c r="B52" s="17" t="inlineStr">
        <is>
          <t>ISCOM Toulouse</t>
        </is>
      </c>
      <c r="C52" s="45" t="inlineStr">
        <is>
          <t>ISCOM</t>
        </is>
      </c>
      <c r="D52" s="45" t="inlineStr">
        <is>
          <t>Toulouse</t>
        </is>
      </c>
      <c r="E52" s="45" t="inlineStr">
        <is>
          <t>706</t>
        </is>
      </c>
      <c r="F52" s="17" t="inlineStr">
        <is>
          <t>Prestations de formation — scolarité (initial)</t>
        </is>
      </c>
      <c r="G52" s="45" t="inlineStr">
        <is>
          <t>70 — Prestations de services</t>
        </is>
      </c>
      <c r="H52" s="45" t="inlineStr">
        <is>
          <t>Produit</t>
        </is>
      </c>
      <c r="I52" s="45" t="inlineStr">
        <is>
          <t>Produits</t>
        </is>
      </c>
      <c r="J52" s="45" t="inlineStr">
        <is>
          <t>2024ACT_VDEF</t>
        </is>
      </c>
      <c r="K52" s="45" t="inlineStr">
        <is>
          <t>2024 (N-2)</t>
        </is>
      </c>
      <c r="L52" s="13" t="n">
        <v>301175</v>
      </c>
    </row>
    <row r="53">
      <c r="A53" s="45" t="inlineStr">
        <is>
          <t>MBWAY_PARIS</t>
        </is>
      </c>
      <c r="B53" s="17" t="inlineStr">
        <is>
          <t>MBway Paris</t>
        </is>
      </c>
      <c r="C53" s="45" t="inlineStr">
        <is>
          <t>MBway</t>
        </is>
      </c>
      <c r="D53" s="45" t="inlineStr">
        <is>
          <t>Paris</t>
        </is>
      </c>
      <c r="E53" s="45" t="inlineStr">
        <is>
          <t>706</t>
        </is>
      </c>
      <c r="F53" s="17" t="inlineStr">
        <is>
          <t>Prestations de formation — scolarité (initial)</t>
        </is>
      </c>
      <c r="G53" s="45" t="inlineStr">
        <is>
          <t>70 — Prestations de services</t>
        </is>
      </c>
      <c r="H53" s="45" t="inlineStr">
        <is>
          <t>Produit</t>
        </is>
      </c>
      <c r="I53" s="45" t="inlineStr">
        <is>
          <t>Produits</t>
        </is>
      </c>
      <c r="J53" s="45" t="inlineStr">
        <is>
          <t>2025ACT_VDEF</t>
        </is>
      </c>
      <c r="K53" s="45" t="inlineStr">
        <is>
          <t>2025 (N-1)</t>
        </is>
      </c>
      <c r="L53" s="13" t="n">
        <v>618113</v>
      </c>
    </row>
    <row r="54">
      <c r="A54" s="45" t="inlineStr">
        <is>
          <t>MBWAY_LYON</t>
        </is>
      </c>
      <c r="B54" s="17" t="inlineStr">
        <is>
          <t>MBway Lyon</t>
        </is>
      </c>
      <c r="C54" s="45" t="inlineStr">
        <is>
          <t>MBway</t>
        </is>
      </c>
      <c r="D54" s="45" t="inlineStr">
        <is>
          <t>Lyon</t>
        </is>
      </c>
      <c r="E54" s="45" t="inlineStr">
        <is>
          <t>706</t>
        </is>
      </c>
      <c r="F54" s="17" t="inlineStr">
        <is>
          <t>Prestations de formation — scolarité (initial)</t>
        </is>
      </c>
      <c r="G54" s="45" t="inlineStr">
        <is>
          <t>70 — Prestations de services</t>
        </is>
      </c>
      <c r="H54" s="45" t="inlineStr">
        <is>
          <t>Produit</t>
        </is>
      </c>
      <c r="I54" s="45" t="inlineStr">
        <is>
          <t>Produits</t>
        </is>
      </c>
      <c r="J54" s="45" t="inlineStr">
        <is>
          <t>2025ACT_VDEF</t>
        </is>
      </c>
      <c r="K54" s="45" t="inlineStr">
        <is>
          <t>2025 (N-1)</t>
        </is>
      </c>
      <c r="L54" s="13" t="n">
        <v>490330</v>
      </c>
    </row>
    <row r="55">
      <c r="A55" s="45" t="inlineStr">
        <is>
          <t>MBWAY_NANTES</t>
        </is>
      </c>
      <c r="B55" s="17" t="inlineStr">
        <is>
          <t>MBway Nantes</t>
        </is>
      </c>
      <c r="C55" s="45" t="inlineStr">
        <is>
          <t>MBway</t>
        </is>
      </c>
      <c r="D55" s="45" t="inlineStr">
        <is>
          <t>Nantes</t>
        </is>
      </c>
      <c r="E55" s="45" t="inlineStr">
        <is>
          <t>706</t>
        </is>
      </c>
      <c r="F55" s="17" t="inlineStr">
        <is>
          <t>Prestations de formation — scolarité (initial)</t>
        </is>
      </c>
      <c r="G55" s="45" t="inlineStr">
        <is>
          <t>70 — Prestations de services</t>
        </is>
      </c>
      <c r="H55" s="45" t="inlineStr">
        <is>
          <t>Produit</t>
        </is>
      </c>
      <c r="I55" s="45" t="inlineStr">
        <is>
          <t>Produits</t>
        </is>
      </c>
      <c r="J55" s="45" t="inlineStr">
        <is>
          <t>2025ACT_VDEF</t>
        </is>
      </c>
      <c r="K55" s="45" t="inlineStr">
        <is>
          <t>2025 (N-1)</t>
        </is>
      </c>
      <c r="L55" s="13" t="n">
        <v>424528</v>
      </c>
    </row>
    <row r="56">
      <c r="A56" s="45" t="inlineStr">
        <is>
          <t>MBWAY_BORDEAUX</t>
        </is>
      </c>
      <c r="B56" s="17" t="inlineStr">
        <is>
          <t>MBway Bordeaux</t>
        </is>
      </c>
      <c r="C56" s="45" t="inlineStr">
        <is>
          <t>MBway</t>
        </is>
      </c>
      <c r="D56" s="45" t="inlineStr">
        <is>
          <t>Bordeaux</t>
        </is>
      </c>
      <c r="E56" s="45" t="inlineStr">
        <is>
          <t>706</t>
        </is>
      </c>
      <c r="F56" s="17" t="inlineStr">
        <is>
          <t>Prestations de formation — scolarité (initial)</t>
        </is>
      </c>
      <c r="G56" s="45" t="inlineStr">
        <is>
          <t>70 — Prestations de services</t>
        </is>
      </c>
      <c r="H56" s="45" t="inlineStr">
        <is>
          <t>Produit</t>
        </is>
      </c>
      <c r="I56" s="45" t="inlineStr">
        <is>
          <t>Produits</t>
        </is>
      </c>
      <c r="J56" s="45" t="inlineStr">
        <is>
          <t>2025ACT_VDEF</t>
        </is>
      </c>
      <c r="K56" s="45" t="inlineStr">
        <is>
          <t>2025 (N-1)</t>
        </is>
      </c>
      <c r="L56" s="13" t="n">
        <v>350024</v>
      </c>
    </row>
    <row r="57">
      <c r="A57" s="45" t="inlineStr">
        <is>
          <t>ISCOM_PARIS</t>
        </is>
      </c>
      <c r="B57" s="17" t="inlineStr">
        <is>
          <t>ISCOM Paris</t>
        </is>
      </c>
      <c r="C57" s="45" t="inlineStr">
        <is>
          <t>ISCOM</t>
        </is>
      </c>
      <c r="D57" s="45" t="inlineStr">
        <is>
          <t>Paris</t>
        </is>
      </c>
      <c r="E57" s="45" t="inlineStr">
        <is>
          <t>706</t>
        </is>
      </c>
      <c r="F57" s="17" t="inlineStr">
        <is>
          <t>Prestations de formation — scolarité (initial)</t>
        </is>
      </c>
      <c r="G57" s="45" t="inlineStr">
        <is>
          <t>70 — Prestations de services</t>
        </is>
      </c>
      <c r="H57" s="45" t="inlineStr">
        <is>
          <t>Produit</t>
        </is>
      </c>
      <c r="I57" s="45" t="inlineStr">
        <is>
          <t>Produits</t>
        </is>
      </c>
      <c r="J57" s="45" t="inlineStr">
        <is>
          <t>2025ACT_VDEF</t>
        </is>
      </c>
      <c r="K57" s="45" t="inlineStr">
        <is>
          <t>2025 (N-1)</t>
        </is>
      </c>
      <c r="L57" s="13" t="n">
        <v>570566</v>
      </c>
    </row>
    <row r="58">
      <c r="A58" s="45" t="inlineStr">
        <is>
          <t>ISCOM_LILLE</t>
        </is>
      </c>
      <c r="B58" s="17" t="inlineStr">
        <is>
          <t>ISCOM Lille</t>
        </is>
      </c>
      <c r="C58" s="45" t="inlineStr">
        <is>
          <t>ISCOM</t>
        </is>
      </c>
      <c r="D58" s="45" t="inlineStr">
        <is>
          <t>Lille</t>
        </is>
      </c>
      <c r="E58" s="45" t="inlineStr">
        <is>
          <t>706</t>
        </is>
      </c>
      <c r="F58" s="17" t="inlineStr">
        <is>
          <t>Prestations de formation — scolarité (initial)</t>
        </is>
      </c>
      <c r="G58" s="45" t="inlineStr">
        <is>
          <t>70 — Prestations de services</t>
        </is>
      </c>
      <c r="H58" s="45" t="inlineStr">
        <is>
          <t>Produit</t>
        </is>
      </c>
      <c r="I58" s="45" t="inlineStr">
        <is>
          <t>Produits</t>
        </is>
      </c>
      <c r="J58" s="45" t="inlineStr">
        <is>
          <t>2025ACT_VDEF</t>
        </is>
      </c>
      <c r="K58" s="45" t="inlineStr">
        <is>
          <t>2025 (N-1)</t>
        </is>
      </c>
      <c r="L58" s="13" t="n">
        <v>346698</v>
      </c>
    </row>
    <row r="59">
      <c r="A59" s="45" t="inlineStr">
        <is>
          <t>ISCOM_TOULOUSE</t>
        </is>
      </c>
      <c r="B59" s="17" t="inlineStr">
        <is>
          <t>ISCOM Toulouse</t>
        </is>
      </c>
      <c r="C59" s="45" t="inlineStr">
        <is>
          <t>ISCOM</t>
        </is>
      </c>
      <c r="D59" s="45" t="inlineStr">
        <is>
          <t>Toulouse</t>
        </is>
      </c>
      <c r="E59" s="45" t="inlineStr">
        <is>
          <t>706</t>
        </is>
      </c>
      <c r="F59" s="17" t="inlineStr">
        <is>
          <t>Prestations de formation — scolarité (initial)</t>
        </is>
      </c>
      <c r="G59" s="45" t="inlineStr">
        <is>
          <t>70 — Prestations de services</t>
        </is>
      </c>
      <c r="H59" s="45" t="inlineStr">
        <is>
          <t>Produit</t>
        </is>
      </c>
      <c r="I59" s="45" t="inlineStr">
        <is>
          <t>Produits</t>
        </is>
      </c>
      <c r="J59" s="45" t="inlineStr">
        <is>
          <t>2025ACT_VDEF</t>
        </is>
      </c>
      <c r="K59" s="45" t="inlineStr">
        <is>
          <t>2025 (N-1)</t>
        </is>
      </c>
      <c r="L59" s="13" t="n">
        <v>319245</v>
      </c>
    </row>
    <row r="60">
      <c r="A60" s="45" t="inlineStr">
        <is>
          <t>MBWAY_PARIS</t>
        </is>
      </c>
      <c r="B60" s="17" t="inlineStr">
        <is>
          <t>MBway Paris</t>
        </is>
      </c>
      <c r="C60" s="45" t="inlineStr">
        <is>
          <t>MBway</t>
        </is>
      </c>
      <c r="D60" s="45" t="inlineStr">
        <is>
          <t>Paris</t>
        </is>
      </c>
      <c r="E60" s="45" t="inlineStr">
        <is>
          <t>706</t>
        </is>
      </c>
      <c r="F60" s="17" t="inlineStr">
        <is>
          <t>Prestations de formation — scolarité (initial)</t>
        </is>
      </c>
      <c r="G60" s="45" t="inlineStr">
        <is>
          <t>70 — Prestations de services</t>
        </is>
      </c>
      <c r="H60" s="45" t="inlineStr">
        <is>
          <t>Produit</t>
        </is>
      </c>
      <c r="I60" s="45" t="inlineStr">
        <is>
          <t>Produits</t>
        </is>
      </c>
      <c r="J60" s="45" t="inlineStr">
        <is>
          <t>2026ATT_VDEF</t>
        </is>
      </c>
      <c r="K60" s="45" t="inlineStr">
        <is>
          <t>2026 (Atterr.)</t>
        </is>
      </c>
      <c r="L60" s="13" t="n">
        <v>655200</v>
      </c>
    </row>
    <row r="61">
      <c r="A61" s="45" t="inlineStr">
        <is>
          <t>MBWAY_LYON</t>
        </is>
      </c>
      <c r="B61" s="17" t="inlineStr">
        <is>
          <t>MBway Lyon</t>
        </is>
      </c>
      <c r="C61" s="45" t="inlineStr">
        <is>
          <t>MBway</t>
        </is>
      </c>
      <c r="D61" s="45" t="inlineStr">
        <is>
          <t>Lyon</t>
        </is>
      </c>
      <c r="E61" s="45" t="inlineStr">
        <is>
          <t>706</t>
        </is>
      </c>
      <c r="F61" s="17" t="inlineStr">
        <is>
          <t>Prestations de formation — scolarité (initial)</t>
        </is>
      </c>
      <c r="G61" s="45" t="inlineStr">
        <is>
          <t>70 — Prestations de services</t>
        </is>
      </c>
      <c r="H61" s="45" t="inlineStr">
        <is>
          <t>Produit</t>
        </is>
      </c>
      <c r="I61" s="45" t="inlineStr">
        <is>
          <t>Produits</t>
        </is>
      </c>
      <c r="J61" s="45" t="inlineStr">
        <is>
          <t>2026ATT_VDEF</t>
        </is>
      </c>
      <c r="K61" s="45" t="inlineStr">
        <is>
          <t>2026 (Atterr.)</t>
        </is>
      </c>
      <c r="L61" s="13" t="n">
        <v>519750</v>
      </c>
    </row>
    <row r="62">
      <c r="A62" s="45" t="inlineStr">
        <is>
          <t>MBWAY_NANTES</t>
        </is>
      </c>
      <c r="B62" s="17" t="inlineStr">
        <is>
          <t>MBway Nantes</t>
        </is>
      </c>
      <c r="C62" s="45" t="inlineStr">
        <is>
          <t>MBway</t>
        </is>
      </c>
      <c r="D62" s="45" t="inlineStr">
        <is>
          <t>Nantes</t>
        </is>
      </c>
      <c r="E62" s="45" t="inlineStr">
        <is>
          <t>706</t>
        </is>
      </c>
      <c r="F62" s="17" t="inlineStr">
        <is>
          <t>Prestations de formation — scolarité (initial)</t>
        </is>
      </c>
      <c r="G62" s="45" t="inlineStr">
        <is>
          <t>70 — Prestations de services</t>
        </is>
      </c>
      <c r="H62" s="45" t="inlineStr">
        <is>
          <t>Produit</t>
        </is>
      </c>
      <c r="I62" s="45" t="inlineStr">
        <is>
          <t>Produits</t>
        </is>
      </c>
      <c r="J62" s="45" t="inlineStr">
        <is>
          <t>2026ATT_VDEF</t>
        </is>
      </c>
      <c r="K62" s="45" t="inlineStr">
        <is>
          <t>2026 (Atterr.)</t>
        </is>
      </c>
      <c r="L62" s="13" t="n">
        <v>450000</v>
      </c>
    </row>
    <row r="63">
      <c r="A63" s="45" t="inlineStr">
        <is>
          <t>MBWAY_BORDEAUX</t>
        </is>
      </c>
      <c r="B63" s="17" t="inlineStr">
        <is>
          <t>MBway Bordeaux</t>
        </is>
      </c>
      <c r="C63" s="45" t="inlineStr">
        <is>
          <t>MBway</t>
        </is>
      </c>
      <c r="D63" s="45" t="inlineStr">
        <is>
          <t>Bordeaux</t>
        </is>
      </c>
      <c r="E63" s="45" t="inlineStr">
        <is>
          <t>706</t>
        </is>
      </c>
      <c r="F63" s="17" t="inlineStr">
        <is>
          <t>Prestations de formation — scolarité (initial)</t>
        </is>
      </c>
      <c r="G63" s="45" t="inlineStr">
        <is>
          <t>70 — Prestations de services</t>
        </is>
      </c>
      <c r="H63" s="45" t="inlineStr">
        <is>
          <t>Produit</t>
        </is>
      </c>
      <c r="I63" s="45" t="inlineStr">
        <is>
          <t>Produits</t>
        </is>
      </c>
      <c r="J63" s="45" t="inlineStr">
        <is>
          <t>2026ATT_VDEF</t>
        </is>
      </c>
      <c r="K63" s="45" t="inlineStr">
        <is>
          <t>2026 (Atterr.)</t>
        </is>
      </c>
      <c r="L63" s="13" t="n">
        <v>371025</v>
      </c>
    </row>
    <row r="64">
      <c r="A64" s="45" t="inlineStr">
        <is>
          <t>ISCOM_PARIS</t>
        </is>
      </c>
      <c r="B64" s="17" t="inlineStr">
        <is>
          <t>ISCOM Paris</t>
        </is>
      </c>
      <c r="C64" s="45" t="inlineStr">
        <is>
          <t>ISCOM</t>
        </is>
      </c>
      <c r="D64" s="45" t="inlineStr">
        <is>
          <t>Paris</t>
        </is>
      </c>
      <c r="E64" s="45" t="inlineStr">
        <is>
          <t>706</t>
        </is>
      </c>
      <c r="F64" s="17" t="inlineStr">
        <is>
          <t>Prestations de formation — scolarité (initial)</t>
        </is>
      </c>
      <c r="G64" s="45" t="inlineStr">
        <is>
          <t>70 — Prestations de services</t>
        </is>
      </c>
      <c r="H64" s="45" t="inlineStr">
        <is>
          <t>Produit</t>
        </is>
      </c>
      <c r="I64" s="45" t="inlineStr">
        <is>
          <t>Produits</t>
        </is>
      </c>
      <c r="J64" s="45" t="inlineStr">
        <is>
          <t>2026ATT_VDEF</t>
        </is>
      </c>
      <c r="K64" s="45" t="inlineStr">
        <is>
          <t>2026 (Atterr.)</t>
        </is>
      </c>
      <c r="L64" s="13" t="n">
        <v>604800</v>
      </c>
    </row>
    <row r="65">
      <c r="A65" s="45" t="inlineStr">
        <is>
          <t>ISCOM_LILLE</t>
        </is>
      </c>
      <c r="B65" s="17" t="inlineStr">
        <is>
          <t>ISCOM Lille</t>
        </is>
      </c>
      <c r="C65" s="45" t="inlineStr">
        <is>
          <t>ISCOM</t>
        </is>
      </c>
      <c r="D65" s="45" t="inlineStr">
        <is>
          <t>Lille</t>
        </is>
      </c>
      <c r="E65" s="45" t="inlineStr">
        <is>
          <t>706</t>
        </is>
      </c>
      <c r="F65" s="17" t="inlineStr">
        <is>
          <t>Prestations de formation — scolarité (initial)</t>
        </is>
      </c>
      <c r="G65" s="45" t="inlineStr">
        <is>
          <t>70 — Prestations de services</t>
        </is>
      </c>
      <c r="H65" s="45" t="inlineStr">
        <is>
          <t>Produit</t>
        </is>
      </c>
      <c r="I65" s="45" t="inlineStr">
        <is>
          <t>Produits</t>
        </is>
      </c>
      <c r="J65" s="45" t="inlineStr">
        <is>
          <t>2026ATT_VDEF</t>
        </is>
      </c>
      <c r="K65" s="45" t="inlineStr">
        <is>
          <t>2026 (Atterr.)</t>
        </is>
      </c>
      <c r="L65" s="13" t="n">
        <v>367500</v>
      </c>
    </row>
    <row r="66">
      <c r="A66" s="45" t="inlineStr">
        <is>
          <t>ISCOM_TOULOUSE</t>
        </is>
      </c>
      <c r="B66" s="17" t="inlineStr">
        <is>
          <t>ISCOM Toulouse</t>
        </is>
      </c>
      <c r="C66" s="45" t="inlineStr">
        <is>
          <t>ISCOM</t>
        </is>
      </c>
      <c r="D66" s="45" t="inlineStr">
        <is>
          <t>Toulouse</t>
        </is>
      </c>
      <c r="E66" s="45" t="inlineStr">
        <is>
          <t>706</t>
        </is>
      </c>
      <c r="F66" s="17" t="inlineStr">
        <is>
          <t>Prestations de formation — scolarité (initial)</t>
        </is>
      </c>
      <c r="G66" s="45" t="inlineStr">
        <is>
          <t>70 — Prestations de services</t>
        </is>
      </c>
      <c r="H66" s="45" t="inlineStr">
        <is>
          <t>Produit</t>
        </is>
      </c>
      <c r="I66" s="45" t="inlineStr">
        <is>
          <t>Produits</t>
        </is>
      </c>
      <c r="J66" s="45" t="inlineStr">
        <is>
          <t>2026ATT_VDEF</t>
        </is>
      </c>
      <c r="K66" s="45" t="inlineStr">
        <is>
          <t>2026 (Atterr.)</t>
        </is>
      </c>
      <c r="L66" s="13" t="n">
        <v>338400</v>
      </c>
    </row>
    <row r="67">
      <c r="A67" s="45" t="inlineStr">
        <is>
          <t>MBWAY_PARIS</t>
        </is>
      </c>
      <c r="B67" s="17" t="inlineStr">
        <is>
          <t>MBway Paris</t>
        </is>
      </c>
      <c r="C67" s="45" t="inlineStr">
        <is>
          <t>MBway</t>
        </is>
      </c>
      <c r="D67" s="45" t="inlineStr">
        <is>
          <t>Paris</t>
        </is>
      </c>
      <c r="E67" s="45" t="inlineStr">
        <is>
          <t>708</t>
        </is>
      </c>
      <c r="F67" s="17" t="inlineStr">
        <is>
          <t>Frais de dossier &amp; droits d'inscription</t>
        </is>
      </c>
      <c r="G67" s="45" t="inlineStr">
        <is>
          <t>70 — Prestations de services</t>
        </is>
      </c>
      <c r="H67" s="45" t="inlineStr">
        <is>
          <t>Produit</t>
        </is>
      </c>
      <c r="I67" s="45" t="inlineStr">
        <is>
          <t>Produits</t>
        </is>
      </c>
      <c r="J67" s="45" t="inlineStr">
        <is>
          <t>2024ACT_VDEF</t>
        </is>
      </c>
      <c r="K67" s="45" t="inlineStr">
        <is>
          <t>2024 (N-2)</t>
        </is>
      </c>
      <c r="L67" s="13" t="n">
        <v>12496</v>
      </c>
    </row>
    <row r="68">
      <c r="A68" s="45" t="inlineStr">
        <is>
          <t>MBWAY_LYON</t>
        </is>
      </c>
      <c r="B68" s="17" t="inlineStr">
        <is>
          <t>MBway Lyon</t>
        </is>
      </c>
      <c r="C68" s="45" t="inlineStr">
        <is>
          <t>MBway</t>
        </is>
      </c>
      <c r="D68" s="45" t="inlineStr">
        <is>
          <t>Lyon</t>
        </is>
      </c>
      <c r="E68" s="45" t="inlineStr">
        <is>
          <t>708</t>
        </is>
      </c>
      <c r="F68" s="17" t="inlineStr">
        <is>
          <t>Frais de dossier &amp; droits d'inscription</t>
        </is>
      </c>
      <c r="G68" s="45" t="inlineStr">
        <is>
          <t>70 — Prestations de services</t>
        </is>
      </c>
      <c r="H68" s="45" t="inlineStr">
        <is>
          <t>Produit</t>
        </is>
      </c>
      <c r="I68" s="45" t="inlineStr">
        <is>
          <t>Produits</t>
        </is>
      </c>
      <c r="J68" s="45" t="inlineStr">
        <is>
          <t>2024ACT_VDEF</t>
        </is>
      </c>
      <c r="K68" s="45" t="inlineStr">
        <is>
          <t>2024 (N-2)</t>
        </is>
      </c>
      <c r="L68" s="13" t="n">
        <v>10573</v>
      </c>
    </row>
    <row r="69">
      <c r="A69" s="45" t="inlineStr">
        <is>
          <t>MBWAY_NANTES</t>
        </is>
      </c>
      <c r="B69" s="17" t="inlineStr">
        <is>
          <t>MBway Nantes</t>
        </is>
      </c>
      <c r="C69" s="45" t="inlineStr">
        <is>
          <t>MBway</t>
        </is>
      </c>
      <c r="D69" s="45" t="inlineStr">
        <is>
          <t>Nantes</t>
        </is>
      </c>
      <c r="E69" s="45" t="inlineStr">
        <is>
          <t>708</t>
        </is>
      </c>
      <c r="F69" s="17" t="inlineStr">
        <is>
          <t>Frais de dossier &amp; droits d'inscription</t>
        </is>
      </c>
      <c r="G69" s="45" t="inlineStr">
        <is>
          <t>70 — Prestations de services</t>
        </is>
      </c>
      <c r="H69" s="45" t="inlineStr">
        <is>
          <t>Produit</t>
        </is>
      </c>
      <c r="I69" s="45" t="inlineStr">
        <is>
          <t>Produits</t>
        </is>
      </c>
      <c r="J69" s="45" t="inlineStr">
        <is>
          <t>2024ACT_VDEF</t>
        </is>
      </c>
      <c r="K69" s="45" t="inlineStr">
        <is>
          <t>2024 (N-2)</t>
        </is>
      </c>
      <c r="L69" s="13" t="n">
        <v>9612</v>
      </c>
    </row>
    <row r="70">
      <c r="A70" s="45" t="inlineStr">
        <is>
          <t>MBWAY_BORDEAUX</t>
        </is>
      </c>
      <c r="B70" s="17" t="inlineStr">
        <is>
          <t>MBway Bordeaux</t>
        </is>
      </c>
      <c r="C70" s="45" t="inlineStr">
        <is>
          <t>MBway</t>
        </is>
      </c>
      <c r="D70" s="45" t="inlineStr">
        <is>
          <t>Bordeaux</t>
        </is>
      </c>
      <c r="E70" s="45" t="inlineStr">
        <is>
          <t>708</t>
        </is>
      </c>
      <c r="F70" s="17" t="inlineStr">
        <is>
          <t>Frais de dossier &amp; droits d'inscription</t>
        </is>
      </c>
      <c r="G70" s="45" t="inlineStr">
        <is>
          <t>70 — Prestations de services</t>
        </is>
      </c>
      <c r="H70" s="45" t="inlineStr">
        <is>
          <t>Produit</t>
        </is>
      </c>
      <c r="I70" s="45" t="inlineStr">
        <is>
          <t>Produits</t>
        </is>
      </c>
      <c r="J70" s="45" t="inlineStr">
        <is>
          <t>2024ACT_VDEF</t>
        </is>
      </c>
      <c r="K70" s="45" t="inlineStr">
        <is>
          <t>2024 (N-2)</t>
        </is>
      </c>
      <c r="L70" s="13" t="n">
        <v>8170</v>
      </c>
    </row>
    <row r="71">
      <c r="A71" s="45" t="inlineStr">
        <is>
          <t>ISCOM_PARIS</t>
        </is>
      </c>
      <c r="B71" s="17" t="inlineStr">
        <is>
          <t>ISCOM Paris</t>
        </is>
      </c>
      <c r="C71" s="45" t="inlineStr">
        <is>
          <t>ISCOM</t>
        </is>
      </c>
      <c r="D71" s="45" t="inlineStr">
        <is>
          <t>Paris</t>
        </is>
      </c>
      <c r="E71" s="45" t="inlineStr">
        <is>
          <t>708</t>
        </is>
      </c>
      <c r="F71" s="17" t="inlineStr">
        <is>
          <t>Frais de dossier &amp; droits d'inscription</t>
        </is>
      </c>
      <c r="G71" s="45" t="inlineStr">
        <is>
          <t>70 — Prestations de services</t>
        </is>
      </c>
      <c r="H71" s="45" t="inlineStr">
        <is>
          <t>Produit</t>
        </is>
      </c>
      <c r="I71" s="45" t="inlineStr">
        <is>
          <t>Produits</t>
        </is>
      </c>
      <c r="J71" s="45" t="inlineStr">
        <is>
          <t>2024ACT_VDEF</t>
        </is>
      </c>
      <c r="K71" s="45" t="inlineStr">
        <is>
          <t>2024 (N-2)</t>
        </is>
      </c>
      <c r="L71" s="13" t="n">
        <v>11534</v>
      </c>
    </row>
    <row r="72">
      <c r="A72" s="45" t="inlineStr">
        <is>
          <t>ISCOM_LILLE</t>
        </is>
      </c>
      <c r="B72" s="17" t="inlineStr">
        <is>
          <t>ISCOM Lille</t>
        </is>
      </c>
      <c r="C72" s="45" t="inlineStr">
        <is>
          <t>ISCOM</t>
        </is>
      </c>
      <c r="D72" s="45" t="inlineStr">
        <is>
          <t>Lille</t>
        </is>
      </c>
      <c r="E72" s="45" t="inlineStr">
        <is>
          <t>708</t>
        </is>
      </c>
      <c r="F72" s="17" t="inlineStr">
        <is>
          <t>Frais de dossier &amp; droits d'inscription</t>
        </is>
      </c>
      <c r="G72" s="45" t="inlineStr">
        <is>
          <t>70 — Prestations de services</t>
        </is>
      </c>
      <c r="H72" s="45" t="inlineStr">
        <is>
          <t>Produit</t>
        </is>
      </c>
      <c r="I72" s="45" t="inlineStr">
        <is>
          <t>Produits</t>
        </is>
      </c>
      <c r="J72" s="45" t="inlineStr">
        <is>
          <t>2024ACT_VDEF</t>
        </is>
      </c>
      <c r="K72" s="45" t="inlineStr">
        <is>
          <t>2024 (N-2)</t>
        </is>
      </c>
      <c r="L72" s="13" t="n">
        <v>8010</v>
      </c>
    </row>
    <row r="73">
      <c r="A73" s="45" t="inlineStr">
        <is>
          <t>ISCOM_TOULOUSE</t>
        </is>
      </c>
      <c r="B73" s="17" t="inlineStr">
        <is>
          <t>ISCOM Toulouse</t>
        </is>
      </c>
      <c r="C73" s="45" t="inlineStr">
        <is>
          <t>ISCOM</t>
        </is>
      </c>
      <c r="D73" s="45" t="inlineStr">
        <is>
          <t>Toulouse</t>
        </is>
      </c>
      <c r="E73" s="45" t="inlineStr">
        <is>
          <t>708</t>
        </is>
      </c>
      <c r="F73" s="17" t="inlineStr">
        <is>
          <t>Frais de dossier &amp; droits d'inscription</t>
        </is>
      </c>
      <c r="G73" s="45" t="inlineStr">
        <is>
          <t>70 — Prestations de services</t>
        </is>
      </c>
      <c r="H73" s="45" t="inlineStr">
        <is>
          <t>Produit</t>
        </is>
      </c>
      <c r="I73" s="45" t="inlineStr">
        <is>
          <t>Produits</t>
        </is>
      </c>
      <c r="J73" s="45" t="inlineStr">
        <is>
          <t>2024ACT_VDEF</t>
        </is>
      </c>
      <c r="K73" s="45" t="inlineStr">
        <is>
          <t>2024 (N-2)</t>
        </is>
      </c>
      <c r="L73" s="13" t="n">
        <v>7529</v>
      </c>
    </row>
    <row r="74">
      <c r="A74" s="45" t="inlineStr">
        <is>
          <t>IPAC_BACHELOR_FACTORY_NANTES</t>
        </is>
      </c>
      <c r="B74" s="17" t="inlineStr">
        <is>
          <t>Ipac Bachelor Factory Nantes</t>
        </is>
      </c>
      <c r="C74" s="45" t="inlineStr">
        <is>
          <t>Ipac Bachelor Factory</t>
        </is>
      </c>
      <c r="D74" s="45" t="inlineStr">
        <is>
          <t>Nantes</t>
        </is>
      </c>
      <c r="E74" s="45" t="inlineStr">
        <is>
          <t>708</t>
        </is>
      </c>
      <c r="F74" s="17" t="inlineStr">
        <is>
          <t>Frais de dossier &amp; droits d'inscription</t>
        </is>
      </c>
      <c r="G74" s="45" t="inlineStr">
        <is>
          <t>70 — Prestations de services</t>
        </is>
      </c>
      <c r="H74" s="45" t="inlineStr">
        <is>
          <t>Produit</t>
        </is>
      </c>
      <c r="I74" s="45" t="inlineStr">
        <is>
          <t>Produits</t>
        </is>
      </c>
      <c r="J74" s="45" t="inlineStr">
        <is>
          <t>2024ACT_VDEF</t>
        </is>
      </c>
      <c r="K74" s="45" t="inlineStr">
        <is>
          <t>2024 (N-2)</t>
        </is>
      </c>
      <c r="L74" s="13" t="n">
        <v>4005</v>
      </c>
    </row>
    <row r="75">
      <c r="A75" s="45" t="inlineStr">
        <is>
          <t>IPAC_BACHELOR_FACTORY_RENNES</t>
        </is>
      </c>
      <c r="B75" s="17" t="inlineStr">
        <is>
          <t>Ipac Bachelor Factory Rennes</t>
        </is>
      </c>
      <c r="C75" s="45" t="inlineStr">
        <is>
          <t>Ipac Bachelor Factory</t>
        </is>
      </c>
      <c r="D75" s="45" t="inlineStr">
        <is>
          <t>Rennes</t>
        </is>
      </c>
      <c r="E75" s="45" t="inlineStr">
        <is>
          <t>708</t>
        </is>
      </c>
      <c r="F75" s="17" t="inlineStr">
        <is>
          <t>Frais de dossier &amp; droits d'inscription</t>
        </is>
      </c>
      <c r="G75" s="45" t="inlineStr">
        <is>
          <t>70 — Prestations de services</t>
        </is>
      </c>
      <c r="H75" s="45" t="inlineStr">
        <is>
          <t>Produit</t>
        </is>
      </c>
      <c r="I75" s="45" t="inlineStr">
        <is>
          <t>Produits</t>
        </is>
      </c>
      <c r="J75" s="45" t="inlineStr">
        <is>
          <t>2024ACT_VDEF</t>
        </is>
      </c>
      <c r="K75" s="45" t="inlineStr">
        <is>
          <t>2024 (N-2)</t>
        </is>
      </c>
      <c r="L75" s="13" t="n">
        <v>3204</v>
      </c>
    </row>
    <row r="76">
      <c r="A76" s="45" t="inlineStr">
        <is>
          <t>IPAC_BACHELOR_FACTORY_MONTPELLIER</t>
        </is>
      </c>
      <c r="B76" s="17" t="inlineStr">
        <is>
          <t>Ipac Bachelor Factory Montpellier</t>
        </is>
      </c>
      <c r="C76" s="45" t="inlineStr">
        <is>
          <t>Ipac Bachelor Factory</t>
        </is>
      </c>
      <c r="D76" s="45" t="inlineStr">
        <is>
          <t>Montpellier</t>
        </is>
      </c>
      <c r="E76" s="45" t="inlineStr">
        <is>
          <t>708</t>
        </is>
      </c>
      <c r="F76" s="17" t="inlineStr">
        <is>
          <t>Frais de dossier &amp; droits d'inscription</t>
        </is>
      </c>
      <c r="G76" s="45" t="inlineStr">
        <is>
          <t>70 — Prestations de services</t>
        </is>
      </c>
      <c r="H76" s="45" t="inlineStr">
        <is>
          <t>Produit</t>
        </is>
      </c>
      <c r="I76" s="45" t="inlineStr">
        <is>
          <t>Produits</t>
        </is>
      </c>
      <c r="J76" s="45" t="inlineStr">
        <is>
          <t>2024ACT_VDEF</t>
        </is>
      </c>
      <c r="K76" s="45" t="inlineStr">
        <is>
          <t>2024 (N-2)</t>
        </is>
      </c>
      <c r="L76" s="13" t="n">
        <v>3204</v>
      </c>
    </row>
    <row r="77">
      <c r="A77" s="45" t="inlineStr">
        <is>
          <t>PIGIER_LYON</t>
        </is>
      </c>
      <c r="B77" s="17" t="inlineStr">
        <is>
          <t>Pigier Lyon</t>
        </is>
      </c>
      <c r="C77" s="45" t="inlineStr">
        <is>
          <t>Pigier</t>
        </is>
      </c>
      <c r="D77" s="45" t="inlineStr">
        <is>
          <t>Lyon</t>
        </is>
      </c>
      <c r="E77" s="45" t="inlineStr">
        <is>
          <t>708</t>
        </is>
      </c>
      <c r="F77" s="17" t="inlineStr">
        <is>
          <t>Frais de dossier &amp; droits d'inscription</t>
        </is>
      </c>
      <c r="G77" s="45" t="inlineStr">
        <is>
          <t>70 — Prestations de services</t>
        </is>
      </c>
      <c r="H77" s="45" t="inlineStr">
        <is>
          <t>Produit</t>
        </is>
      </c>
      <c r="I77" s="45" t="inlineStr">
        <is>
          <t>Produits</t>
        </is>
      </c>
      <c r="J77" s="45" t="inlineStr">
        <is>
          <t>2024ACT_VDEF</t>
        </is>
      </c>
      <c r="K77" s="45" t="inlineStr">
        <is>
          <t>2024 (N-2)</t>
        </is>
      </c>
      <c r="L77" s="13" t="n">
        <v>7369</v>
      </c>
    </row>
    <row r="78">
      <c r="A78" s="45" t="inlineStr">
        <is>
          <t>PIGIER_BORDEAUX</t>
        </is>
      </c>
      <c r="B78" s="17" t="inlineStr">
        <is>
          <t>Pigier Bordeaux</t>
        </is>
      </c>
      <c r="C78" s="45" t="inlineStr">
        <is>
          <t>Pigier</t>
        </is>
      </c>
      <c r="D78" s="45" t="inlineStr">
        <is>
          <t>Bordeaux</t>
        </is>
      </c>
      <c r="E78" s="45" t="inlineStr">
        <is>
          <t>708</t>
        </is>
      </c>
      <c r="F78" s="17" t="inlineStr">
        <is>
          <t>Frais de dossier &amp; droits d'inscription</t>
        </is>
      </c>
      <c r="G78" s="45" t="inlineStr">
        <is>
          <t>70 — Prestations de services</t>
        </is>
      </c>
      <c r="H78" s="45" t="inlineStr">
        <is>
          <t>Produit</t>
        </is>
      </c>
      <c r="I78" s="45" t="inlineStr">
        <is>
          <t>Produits</t>
        </is>
      </c>
      <c r="J78" s="45" t="inlineStr">
        <is>
          <t>2024ACT_VDEF</t>
        </is>
      </c>
      <c r="K78" s="45" t="inlineStr">
        <is>
          <t>2024 (N-2)</t>
        </is>
      </c>
      <c r="L78" s="13" t="n">
        <v>5767</v>
      </c>
    </row>
    <row r="79">
      <c r="A79" s="45" t="inlineStr">
        <is>
          <t>TUNON_PARIS</t>
        </is>
      </c>
      <c r="B79" s="17" t="inlineStr">
        <is>
          <t>Tunon Paris</t>
        </is>
      </c>
      <c r="C79" s="45" t="inlineStr">
        <is>
          <t>Tunon</t>
        </is>
      </c>
      <c r="D79" s="45" t="inlineStr">
        <is>
          <t>Paris</t>
        </is>
      </c>
      <c r="E79" s="45" t="inlineStr">
        <is>
          <t>708</t>
        </is>
      </c>
      <c r="F79" s="17" t="inlineStr">
        <is>
          <t>Frais de dossier &amp; droits d'inscription</t>
        </is>
      </c>
      <c r="G79" s="45" t="inlineStr">
        <is>
          <t>70 — Prestations de services</t>
        </is>
      </c>
      <c r="H79" s="45" t="inlineStr">
        <is>
          <t>Produit</t>
        </is>
      </c>
      <c r="I79" s="45" t="inlineStr">
        <is>
          <t>Produits</t>
        </is>
      </c>
      <c r="J79" s="45" t="inlineStr">
        <is>
          <t>2024ACT_VDEF</t>
        </is>
      </c>
      <c r="K79" s="45" t="inlineStr">
        <is>
          <t>2024 (N-2)</t>
        </is>
      </c>
      <c r="L79" s="13" t="n">
        <v>3765</v>
      </c>
    </row>
    <row r="80">
      <c r="A80" s="45" t="inlineStr">
        <is>
          <t>TUNON_LYON</t>
        </is>
      </c>
      <c r="B80" s="17" t="inlineStr">
        <is>
          <t>Tunon Lyon</t>
        </is>
      </c>
      <c r="C80" s="45" t="inlineStr">
        <is>
          <t>Tunon</t>
        </is>
      </c>
      <c r="D80" s="45" t="inlineStr">
        <is>
          <t>Lyon</t>
        </is>
      </c>
      <c r="E80" s="45" t="inlineStr">
        <is>
          <t>708</t>
        </is>
      </c>
      <c r="F80" s="17" t="inlineStr">
        <is>
          <t>Frais de dossier &amp; droits d'inscription</t>
        </is>
      </c>
      <c r="G80" s="45" t="inlineStr">
        <is>
          <t>70 — Prestations de services</t>
        </is>
      </c>
      <c r="H80" s="45" t="inlineStr">
        <is>
          <t>Produit</t>
        </is>
      </c>
      <c r="I80" s="45" t="inlineStr">
        <is>
          <t>Produits</t>
        </is>
      </c>
      <c r="J80" s="45" t="inlineStr">
        <is>
          <t>2024ACT_VDEF</t>
        </is>
      </c>
      <c r="K80" s="45" t="inlineStr">
        <is>
          <t>2024 (N-2)</t>
        </is>
      </c>
      <c r="L80" s="13" t="n">
        <v>3204</v>
      </c>
    </row>
    <row r="81">
      <c r="A81" s="45" t="inlineStr">
        <is>
          <t>MBWAY_PARIS</t>
        </is>
      </c>
      <c r="B81" s="17" t="inlineStr">
        <is>
          <t>MBway Paris</t>
        </is>
      </c>
      <c r="C81" s="45" t="inlineStr">
        <is>
          <t>MBway</t>
        </is>
      </c>
      <c r="D81" s="45" t="inlineStr">
        <is>
          <t>Paris</t>
        </is>
      </c>
      <c r="E81" s="45" t="inlineStr">
        <is>
          <t>708</t>
        </is>
      </c>
      <c r="F81" s="17" t="inlineStr">
        <is>
          <t>Frais de dossier &amp; droits d'inscription</t>
        </is>
      </c>
      <c r="G81" s="45" t="inlineStr">
        <is>
          <t>70 — Prestations de services</t>
        </is>
      </c>
      <c r="H81" s="45" t="inlineStr">
        <is>
          <t>Produit</t>
        </is>
      </c>
      <c r="I81" s="45" t="inlineStr">
        <is>
          <t>Produits</t>
        </is>
      </c>
      <c r="J81" s="45" t="inlineStr">
        <is>
          <t>2025ACT_VDEF</t>
        </is>
      </c>
      <c r="K81" s="45" t="inlineStr">
        <is>
          <t>2025 (N-1)</t>
        </is>
      </c>
      <c r="L81" s="13" t="n">
        <v>13245</v>
      </c>
    </row>
    <row r="82">
      <c r="A82" s="45" t="inlineStr">
        <is>
          <t>MBWAY_LYON</t>
        </is>
      </c>
      <c r="B82" s="17" t="inlineStr">
        <is>
          <t>MBway Lyon</t>
        </is>
      </c>
      <c r="C82" s="45" t="inlineStr">
        <is>
          <t>MBway</t>
        </is>
      </c>
      <c r="D82" s="45" t="inlineStr">
        <is>
          <t>Lyon</t>
        </is>
      </c>
      <c r="E82" s="45" t="inlineStr">
        <is>
          <t>708</t>
        </is>
      </c>
      <c r="F82" s="17" t="inlineStr">
        <is>
          <t>Frais de dossier &amp; droits d'inscription</t>
        </is>
      </c>
      <c r="G82" s="45" t="inlineStr">
        <is>
          <t>70 — Prestations de services</t>
        </is>
      </c>
      <c r="H82" s="45" t="inlineStr">
        <is>
          <t>Produit</t>
        </is>
      </c>
      <c r="I82" s="45" t="inlineStr">
        <is>
          <t>Produits</t>
        </is>
      </c>
      <c r="J82" s="45" t="inlineStr">
        <is>
          <t>2025ACT_VDEF</t>
        </is>
      </c>
      <c r="K82" s="45" t="inlineStr">
        <is>
          <t>2025 (N-1)</t>
        </is>
      </c>
      <c r="L82" s="13" t="n">
        <v>11208</v>
      </c>
    </row>
    <row r="83">
      <c r="A83" s="45" t="inlineStr">
        <is>
          <t>MBWAY_NANTES</t>
        </is>
      </c>
      <c r="B83" s="17" t="inlineStr">
        <is>
          <t>MBway Nantes</t>
        </is>
      </c>
      <c r="C83" s="45" t="inlineStr">
        <is>
          <t>MBway</t>
        </is>
      </c>
      <c r="D83" s="45" t="inlineStr">
        <is>
          <t>Nantes</t>
        </is>
      </c>
      <c r="E83" s="45" t="inlineStr">
        <is>
          <t>708</t>
        </is>
      </c>
      <c r="F83" s="17" t="inlineStr">
        <is>
          <t>Frais de dossier &amp; droits d'inscription</t>
        </is>
      </c>
      <c r="G83" s="45" t="inlineStr">
        <is>
          <t>70 — Prestations de services</t>
        </is>
      </c>
      <c r="H83" s="45" t="inlineStr">
        <is>
          <t>Produit</t>
        </is>
      </c>
      <c r="I83" s="45" t="inlineStr">
        <is>
          <t>Produits</t>
        </is>
      </c>
      <c r="J83" s="45" t="inlineStr">
        <is>
          <t>2025ACT_VDEF</t>
        </is>
      </c>
      <c r="K83" s="45" t="inlineStr">
        <is>
          <t>2025 (N-1)</t>
        </is>
      </c>
      <c r="L83" s="13" t="n">
        <v>10189</v>
      </c>
    </row>
    <row r="84">
      <c r="A84" s="45" t="inlineStr">
        <is>
          <t>MBWAY_BORDEAUX</t>
        </is>
      </c>
      <c r="B84" s="17" t="inlineStr">
        <is>
          <t>MBway Bordeaux</t>
        </is>
      </c>
      <c r="C84" s="45" t="inlineStr">
        <is>
          <t>MBway</t>
        </is>
      </c>
      <c r="D84" s="45" t="inlineStr">
        <is>
          <t>Bordeaux</t>
        </is>
      </c>
      <c r="E84" s="45" t="inlineStr">
        <is>
          <t>708</t>
        </is>
      </c>
      <c r="F84" s="17" t="inlineStr">
        <is>
          <t>Frais de dossier &amp; droits d'inscription</t>
        </is>
      </c>
      <c r="G84" s="45" t="inlineStr">
        <is>
          <t>70 — Prestations de services</t>
        </is>
      </c>
      <c r="H84" s="45" t="inlineStr">
        <is>
          <t>Produit</t>
        </is>
      </c>
      <c r="I84" s="45" t="inlineStr">
        <is>
          <t>Produits</t>
        </is>
      </c>
      <c r="J84" s="45" t="inlineStr">
        <is>
          <t>2025ACT_VDEF</t>
        </is>
      </c>
      <c r="K84" s="45" t="inlineStr">
        <is>
          <t>2025 (N-1)</t>
        </is>
      </c>
      <c r="L84" s="13" t="n">
        <v>8660</v>
      </c>
    </row>
    <row r="85">
      <c r="A85" s="45" t="inlineStr">
        <is>
          <t>ISCOM_PARIS</t>
        </is>
      </c>
      <c r="B85" s="17" t="inlineStr">
        <is>
          <t>ISCOM Paris</t>
        </is>
      </c>
      <c r="C85" s="45" t="inlineStr">
        <is>
          <t>ISCOM</t>
        </is>
      </c>
      <c r="D85" s="45" t="inlineStr">
        <is>
          <t>Paris</t>
        </is>
      </c>
      <c r="E85" s="45" t="inlineStr">
        <is>
          <t>708</t>
        </is>
      </c>
      <c r="F85" s="17" t="inlineStr">
        <is>
          <t>Frais de dossier &amp; droits d'inscription</t>
        </is>
      </c>
      <c r="G85" s="45" t="inlineStr">
        <is>
          <t>70 — Prestations de services</t>
        </is>
      </c>
      <c r="H85" s="45" t="inlineStr">
        <is>
          <t>Produit</t>
        </is>
      </c>
      <c r="I85" s="45" t="inlineStr">
        <is>
          <t>Produits</t>
        </is>
      </c>
      <c r="J85" s="45" t="inlineStr">
        <is>
          <t>2025ACT_VDEF</t>
        </is>
      </c>
      <c r="K85" s="45" t="inlineStr">
        <is>
          <t>2025 (N-1)</t>
        </is>
      </c>
      <c r="L85" s="13" t="n">
        <v>12226</v>
      </c>
    </row>
    <row r="86">
      <c r="A86" s="45" t="inlineStr">
        <is>
          <t>ISCOM_LILLE</t>
        </is>
      </c>
      <c r="B86" s="17" t="inlineStr">
        <is>
          <t>ISCOM Lille</t>
        </is>
      </c>
      <c r="C86" s="45" t="inlineStr">
        <is>
          <t>ISCOM</t>
        </is>
      </c>
      <c r="D86" s="45" t="inlineStr">
        <is>
          <t>Lille</t>
        </is>
      </c>
      <c r="E86" s="45" t="inlineStr">
        <is>
          <t>708</t>
        </is>
      </c>
      <c r="F86" s="17" t="inlineStr">
        <is>
          <t>Frais de dossier &amp; droits d'inscription</t>
        </is>
      </c>
      <c r="G86" s="45" t="inlineStr">
        <is>
          <t>70 — Prestations de services</t>
        </is>
      </c>
      <c r="H86" s="45" t="inlineStr">
        <is>
          <t>Produit</t>
        </is>
      </c>
      <c r="I86" s="45" t="inlineStr">
        <is>
          <t>Produits</t>
        </is>
      </c>
      <c r="J86" s="45" t="inlineStr">
        <is>
          <t>2025ACT_VDEF</t>
        </is>
      </c>
      <c r="K86" s="45" t="inlineStr">
        <is>
          <t>2025 (N-1)</t>
        </is>
      </c>
      <c r="L86" s="13" t="n">
        <v>8491</v>
      </c>
    </row>
    <row r="87">
      <c r="A87" s="45" t="inlineStr">
        <is>
          <t>ISCOM_TOULOUSE</t>
        </is>
      </c>
      <c r="B87" s="17" t="inlineStr">
        <is>
          <t>ISCOM Toulouse</t>
        </is>
      </c>
      <c r="C87" s="45" t="inlineStr">
        <is>
          <t>ISCOM</t>
        </is>
      </c>
      <c r="D87" s="45" t="inlineStr">
        <is>
          <t>Toulouse</t>
        </is>
      </c>
      <c r="E87" s="45" t="inlineStr">
        <is>
          <t>708</t>
        </is>
      </c>
      <c r="F87" s="17" t="inlineStr">
        <is>
          <t>Frais de dossier &amp; droits d'inscription</t>
        </is>
      </c>
      <c r="G87" s="45" t="inlineStr">
        <is>
          <t>70 — Prestations de services</t>
        </is>
      </c>
      <c r="H87" s="45" t="inlineStr">
        <is>
          <t>Produit</t>
        </is>
      </c>
      <c r="I87" s="45" t="inlineStr">
        <is>
          <t>Produits</t>
        </is>
      </c>
      <c r="J87" s="45" t="inlineStr">
        <is>
          <t>2025ACT_VDEF</t>
        </is>
      </c>
      <c r="K87" s="45" t="inlineStr">
        <is>
          <t>2025 (N-1)</t>
        </is>
      </c>
      <c r="L87" s="13" t="n">
        <v>7981</v>
      </c>
    </row>
    <row r="88">
      <c r="A88" s="45" t="inlineStr">
        <is>
          <t>IPAC_BACHELOR_FACTORY_NANTES</t>
        </is>
      </c>
      <c r="B88" s="17" t="inlineStr">
        <is>
          <t>Ipac Bachelor Factory Nantes</t>
        </is>
      </c>
      <c r="C88" s="45" t="inlineStr">
        <is>
          <t>Ipac Bachelor Factory</t>
        </is>
      </c>
      <c r="D88" s="45" t="inlineStr">
        <is>
          <t>Nantes</t>
        </is>
      </c>
      <c r="E88" s="45" t="inlineStr">
        <is>
          <t>708</t>
        </is>
      </c>
      <c r="F88" s="17" t="inlineStr">
        <is>
          <t>Frais de dossier &amp; droits d'inscription</t>
        </is>
      </c>
      <c r="G88" s="45" t="inlineStr">
        <is>
          <t>70 — Prestations de services</t>
        </is>
      </c>
      <c r="H88" s="45" t="inlineStr">
        <is>
          <t>Produit</t>
        </is>
      </c>
      <c r="I88" s="45" t="inlineStr">
        <is>
          <t>Produits</t>
        </is>
      </c>
      <c r="J88" s="45" t="inlineStr">
        <is>
          <t>2025ACT_VDEF</t>
        </is>
      </c>
      <c r="K88" s="45" t="inlineStr">
        <is>
          <t>2025 (N-1)</t>
        </is>
      </c>
      <c r="L88" s="13" t="n">
        <v>4245</v>
      </c>
    </row>
    <row r="89">
      <c r="A89" s="45" t="inlineStr">
        <is>
          <t>IPAC_BACHELOR_FACTORY_RENNES</t>
        </is>
      </c>
      <c r="B89" s="17" t="inlineStr">
        <is>
          <t>Ipac Bachelor Factory Rennes</t>
        </is>
      </c>
      <c r="C89" s="45" t="inlineStr">
        <is>
          <t>Ipac Bachelor Factory</t>
        </is>
      </c>
      <c r="D89" s="45" t="inlineStr">
        <is>
          <t>Rennes</t>
        </is>
      </c>
      <c r="E89" s="45" t="inlineStr">
        <is>
          <t>708</t>
        </is>
      </c>
      <c r="F89" s="17" t="inlineStr">
        <is>
          <t>Frais de dossier &amp; droits d'inscription</t>
        </is>
      </c>
      <c r="G89" s="45" t="inlineStr">
        <is>
          <t>70 — Prestations de services</t>
        </is>
      </c>
      <c r="H89" s="45" t="inlineStr">
        <is>
          <t>Produit</t>
        </is>
      </c>
      <c r="I89" s="45" t="inlineStr">
        <is>
          <t>Produits</t>
        </is>
      </c>
      <c r="J89" s="45" t="inlineStr">
        <is>
          <t>2025ACT_VDEF</t>
        </is>
      </c>
      <c r="K89" s="45" t="inlineStr">
        <is>
          <t>2025 (N-1)</t>
        </is>
      </c>
      <c r="L89" s="13" t="n">
        <v>3396</v>
      </c>
    </row>
    <row r="90">
      <c r="A90" s="45" t="inlineStr">
        <is>
          <t>IPAC_BACHELOR_FACTORY_MONTPELLIER</t>
        </is>
      </c>
      <c r="B90" s="17" t="inlineStr">
        <is>
          <t>Ipac Bachelor Factory Montpellier</t>
        </is>
      </c>
      <c r="C90" s="45" t="inlineStr">
        <is>
          <t>Ipac Bachelor Factory</t>
        </is>
      </c>
      <c r="D90" s="45" t="inlineStr">
        <is>
          <t>Montpellier</t>
        </is>
      </c>
      <c r="E90" s="45" t="inlineStr">
        <is>
          <t>708</t>
        </is>
      </c>
      <c r="F90" s="17" t="inlineStr">
        <is>
          <t>Frais de dossier &amp; droits d'inscription</t>
        </is>
      </c>
      <c r="G90" s="45" t="inlineStr">
        <is>
          <t>70 — Prestations de services</t>
        </is>
      </c>
      <c r="H90" s="45" t="inlineStr">
        <is>
          <t>Produit</t>
        </is>
      </c>
      <c r="I90" s="45" t="inlineStr">
        <is>
          <t>Produits</t>
        </is>
      </c>
      <c r="J90" s="45" t="inlineStr">
        <is>
          <t>2025ACT_VDEF</t>
        </is>
      </c>
      <c r="K90" s="45" t="inlineStr">
        <is>
          <t>2025 (N-1)</t>
        </is>
      </c>
      <c r="L90" s="13" t="n">
        <v>3396</v>
      </c>
    </row>
    <row r="91">
      <c r="A91" s="45" t="inlineStr">
        <is>
          <t>PIGIER_LYON</t>
        </is>
      </c>
      <c r="B91" s="17" t="inlineStr">
        <is>
          <t>Pigier Lyon</t>
        </is>
      </c>
      <c r="C91" s="45" t="inlineStr">
        <is>
          <t>Pigier</t>
        </is>
      </c>
      <c r="D91" s="45" t="inlineStr">
        <is>
          <t>Lyon</t>
        </is>
      </c>
      <c r="E91" s="45" t="inlineStr">
        <is>
          <t>708</t>
        </is>
      </c>
      <c r="F91" s="17" t="inlineStr">
        <is>
          <t>Frais de dossier &amp; droits d'inscription</t>
        </is>
      </c>
      <c r="G91" s="45" t="inlineStr">
        <is>
          <t>70 — Prestations de services</t>
        </is>
      </c>
      <c r="H91" s="45" t="inlineStr">
        <is>
          <t>Produit</t>
        </is>
      </c>
      <c r="I91" s="45" t="inlineStr">
        <is>
          <t>Produits</t>
        </is>
      </c>
      <c r="J91" s="45" t="inlineStr">
        <is>
          <t>2025ACT_VDEF</t>
        </is>
      </c>
      <c r="K91" s="45" t="inlineStr">
        <is>
          <t>2025 (N-1)</t>
        </is>
      </c>
      <c r="L91" s="13" t="n">
        <v>7811</v>
      </c>
    </row>
    <row r="92">
      <c r="A92" s="45" t="inlineStr">
        <is>
          <t>PIGIER_BORDEAUX</t>
        </is>
      </c>
      <c r="B92" s="17" t="inlineStr">
        <is>
          <t>Pigier Bordeaux</t>
        </is>
      </c>
      <c r="C92" s="45" t="inlineStr">
        <is>
          <t>Pigier</t>
        </is>
      </c>
      <c r="D92" s="45" t="inlineStr">
        <is>
          <t>Bordeaux</t>
        </is>
      </c>
      <c r="E92" s="45" t="inlineStr">
        <is>
          <t>708</t>
        </is>
      </c>
      <c r="F92" s="17" t="inlineStr">
        <is>
          <t>Frais de dossier &amp; droits d'inscription</t>
        </is>
      </c>
      <c r="G92" s="45" t="inlineStr">
        <is>
          <t>70 — Prestations de services</t>
        </is>
      </c>
      <c r="H92" s="45" t="inlineStr">
        <is>
          <t>Produit</t>
        </is>
      </c>
      <c r="I92" s="45" t="inlineStr">
        <is>
          <t>Produits</t>
        </is>
      </c>
      <c r="J92" s="45" t="inlineStr">
        <is>
          <t>2025ACT_VDEF</t>
        </is>
      </c>
      <c r="K92" s="45" t="inlineStr">
        <is>
          <t>2025 (N-1)</t>
        </is>
      </c>
      <c r="L92" s="13" t="n">
        <v>6113</v>
      </c>
    </row>
    <row r="93">
      <c r="A93" s="45" t="inlineStr">
        <is>
          <t>TUNON_PARIS</t>
        </is>
      </c>
      <c r="B93" s="17" t="inlineStr">
        <is>
          <t>Tunon Paris</t>
        </is>
      </c>
      <c r="C93" s="45" t="inlineStr">
        <is>
          <t>Tunon</t>
        </is>
      </c>
      <c r="D93" s="45" t="inlineStr">
        <is>
          <t>Paris</t>
        </is>
      </c>
      <c r="E93" s="45" t="inlineStr">
        <is>
          <t>708</t>
        </is>
      </c>
      <c r="F93" s="17" t="inlineStr">
        <is>
          <t>Frais de dossier &amp; droits d'inscription</t>
        </is>
      </c>
      <c r="G93" s="45" t="inlineStr">
        <is>
          <t>70 — Prestations de services</t>
        </is>
      </c>
      <c r="H93" s="45" t="inlineStr">
        <is>
          <t>Produit</t>
        </is>
      </c>
      <c r="I93" s="45" t="inlineStr">
        <is>
          <t>Produits</t>
        </is>
      </c>
      <c r="J93" s="45" t="inlineStr">
        <is>
          <t>2025ACT_VDEF</t>
        </is>
      </c>
      <c r="K93" s="45" t="inlineStr">
        <is>
          <t>2025 (N-1)</t>
        </is>
      </c>
      <c r="L93" s="13" t="n">
        <v>3991</v>
      </c>
    </row>
    <row r="94">
      <c r="A94" s="45" t="inlineStr">
        <is>
          <t>TUNON_LYON</t>
        </is>
      </c>
      <c r="B94" s="17" t="inlineStr">
        <is>
          <t>Tunon Lyon</t>
        </is>
      </c>
      <c r="C94" s="45" t="inlineStr">
        <is>
          <t>Tunon</t>
        </is>
      </c>
      <c r="D94" s="45" t="inlineStr">
        <is>
          <t>Lyon</t>
        </is>
      </c>
      <c r="E94" s="45" t="inlineStr">
        <is>
          <t>708</t>
        </is>
      </c>
      <c r="F94" s="17" t="inlineStr">
        <is>
          <t>Frais de dossier &amp; droits d'inscription</t>
        </is>
      </c>
      <c r="G94" s="45" t="inlineStr">
        <is>
          <t>70 — Prestations de services</t>
        </is>
      </c>
      <c r="H94" s="45" t="inlineStr">
        <is>
          <t>Produit</t>
        </is>
      </c>
      <c r="I94" s="45" t="inlineStr">
        <is>
          <t>Produits</t>
        </is>
      </c>
      <c r="J94" s="45" t="inlineStr">
        <is>
          <t>2025ACT_VDEF</t>
        </is>
      </c>
      <c r="K94" s="45" t="inlineStr">
        <is>
          <t>2025 (N-1)</t>
        </is>
      </c>
      <c r="L94" s="13" t="n">
        <v>3396</v>
      </c>
    </row>
    <row r="95">
      <c r="A95" s="45" t="inlineStr">
        <is>
          <t>MBWAY_PARIS</t>
        </is>
      </c>
      <c r="B95" s="17" t="inlineStr">
        <is>
          <t>MBway Paris</t>
        </is>
      </c>
      <c r="C95" s="45" t="inlineStr">
        <is>
          <t>MBway</t>
        </is>
      </c>
      <c r="D95" s="45" t="inlineStr">
        <is>
          <t>Paris</t>
        </is>
      </c>
      <c r="E95" s="45" t="inlineStr">
        <is>
          <t>708</t>
        </is>
      </c>
      <c r="F95" s="17" t="inlineStr">
        <is>
          <t>Frais de dossier &amp; droits d'inscription</t>
        </is>
      </c>
      <c r="G95" s="45" t="inlineStr">
        <is>
          <t>70 — Prestations de services</t>
        </is>
      </c>
      <c r="H95" s="45" t="inlineStr">
        <is>
          <t>Produit</t>
        </is>
      </c>
      <c r="I95" s="45" t="inlineStr">
        <is>
          <t>Produits</t>
        </is>
      </c>
      <c r="J95" s="45" t="inlineStr">
        <is>
          <t>2026ATT_VDEF</t>
        </is>
      </c>
      <c r="K95" s="45" t="inlineStr">
        <is>
          <t>2026 (Atterr.)</t>
        </is>
      </c>
      <c r="L95" s="13" t="n">
        <v>14040</v>
      </c>
    </row>
    <row r="96">
      <c r="A96" s="45" t="inlineStr">
        <is>
          <t>MBWAY_LYON</t>
        </is>
      </c>
      <c r="B96" s="17" t="inlineStr">
        <is>
          <t>MBway Lyon</t>
        </is>
      </c>
      <c r="C96" s="45" t="inlineStr">
        <is>
          <t>MBway</t>
        </is>
      </c>
      <c r="D96" s="45" t="inlineStr">
        <is>
          <t>Lyon</t>
        </is>
      </c>
      <c r="E96" s="45" t="inlineStr">
        <is>
          <t>708</t>
        </is>
      </c>
      <c r="F96" s="17" t="inlineStr">
        <is>
          <t>Frais de dossier &amp; droits d'inscription</t>
        </is>
      </c>
      <c r="G96" s="45" t="inlineStr">
        <is>
          <t>70 — Prestations de services</t>
        </is>
      </c>
      <c r="H96" s="45" t="inlineStr">
        <is>
          <t>Produit</t>
        </is>
      </c>
      <c r="I96" s="45" t="inlineStr">
        <is>
          <t>Produits</t>
        </is>
      </c>
      <c r="J96" s="45" t="inlineStr">
        <is>
          <t>2026ATT_VDEF</t>
        </is>
      </c>
      <c r="K96" s="45" t="inlineStr">
        <is>
          <t>2026 (Atterr.)</t>
        </is>
      </c>
      <c r="L96" s="13" t="n">
        <v>11880</v>
      </c>
    </row>
    <row r="97">
      <c r="A97" s="45" t="inlineStr">
        <is>
          <t>MBWAY_NANTES</t>
        </is>
      </c>
      <c r="B97" s="17" t="inlineStr">
        <is>
          <t>MBway Nantes</t>
        </is>
      </c>
      <c r="C97" s="45" t="inlineStr">
        <is>
          <t>MBway</t>
        </is>
      </c>
      <c r="D97" s="45" t="inlineStr">
        <is>
          <t>Nantes</t>
        </is>
      </c>
      <c r="E97" s="45" t="inlineStr">
        <is>
          <t>708</t>
        </is>
      </c>
      <c r="F97" s="17" t="inlineStr">
        <is>
          <t>Frais de dossier &amp; droits d'inscription</t>
        </is>
      </c>
      <c r="G97" s="45" t="inlineStr">
        <is>
          <t>70 — Prestations de services</t>
        </is>
      </c>
      <c r="H97" s="45" t="inlineStr">
        <is>
          <t>Produit</t>
        </is>
      </c>
      <c r="I97" s="45" t="inlineStr">
        <is>
          <t>Produits</t>
        </is>
      </c>
      <c r="J97" s="45" t="inlineStr">
        <is>
          <t>2026ATT_VDEF</t>
        </is>
      </c>
      <c r="K97" s="45" t="inlineStr">
        <is>
          <t>2026 (Atterr.)</t>
        </is>
      </c>
      <c r="L97" s="13" t="n">
        <v>10800</v>
      </c>
    </row>
    <row r="98">
      <c r="A98" s="45" t="inlineStr">
        <is>
          <t>MBWAY_BORDEAUX</t>
        </is>
      </c>
      <c r="B98" s="17" t="inlineStr">
        <is>
          <t>MBway Bordeaux</t>
        </is>
      </c>
      <c r="C98" s="45" t="inlineStr">
        <is>
          <t>MBway</t>
        </is>
      </c>
      <c r="D98" s="45" t="inlineStr">
        <is>
          <t>Bordeaux</t>
        </is>
      </c>
      <c r="E98" s="45" t="inlineStr">
        <is>
          <t>708</t>
        </is>
      </c>
      <c r="F98" s="17" t="inlineStr">
        <is>
          <t>Frais de dossier &amp; droits d'inscription</t>
        </is>
      </c>
      <c r="G98" s="45" t="inlineStr">
        <is>
          <t>70 — Prestations de services</t>
        </is>
      </c>
      <c r="H98" s="45" t="inlineStr">
        <is>
          <t>Produit</t>
        </is>
      </c>
      <c r="I98" s="45" t="inlineStr">
        <is>
          <t>Produits</t>
        </is>
      </c>
      <c r="J98" s="45" t="inlineStr">
        <is>
          <t>2026ATT_VDEF</t>
        </is>
      </c>
      <c r="K98" s="45" t="inlineStr">
        <is>
          <t>2026 (Atterr.)</t>
        </is>
      </c>
      <c r="L98" s="13" t="n">
        <v>9180</v>
      </c>
    </row>
    <row r="99">
      <c r="A99" s="45" t="inlineStr">
        <is>
          <t>ISCOM_PARIS</t>
        </is>
      </c>
      <c r="B99" s="17" t="inlineStr">
        <is>
          <t>ISCOM Paris</t>
        </is>
      </c>
      <c r="C99" s="45" t="inlineStr">
        <is>
          <t>ISCOM</t>
        </is>
      </c>
      <c r="D99" s="45" t="inlineStr">
        <is>
          <t>Paris</t>
        </is>
      </c>
      <c r="E99" s="45" t="inlineStr">
        <is>
          <t>708</t>
        </is>
      </c>
      <c r="F99" s="17" t="inlineStr">
        <is>
          <t>Frais de dossier &amp; droits d'inscription</t>
        </is>
      </c>
      <c r="G99" s="45" t="inlineStr">
        <is>
          <t>70 — Prestations de services</t>
        </is>
      </c>
      <c r="H99" s="45" t="inlineStr">
        <is>
          <t>Produit</t>
        </is>
      </c>
      <c r="I99" s="45" t="inlineStr">
        <is>
          <t>Produits</t>
        </is>
      </c>
      <c r="J99" s="45" t="inlineStr">
        <is>
          <t>2026ATT_VDEF</t>
        </is>
      </c>
      <c r="K99" s="45" t="inlineStr">
        <is>
          <t>2026 (Atterr.)</t>
        </is>
      </c>
      <c r="L99" s="13" t="n">
        <v>12960</v>
      </c>
    </row>
    <row r="100">
      <c r="A100" s="45" t="inlineStr">
        <is>
          <t>ISCOM_LILLE</t>
        </is>
      </c>
      <c r="B100" s="17" t="inlineStr">
        <is>
          <t>ISCOM Lille</t>
        </is>
      </c>
      <c r="C100" s="45" t="inlineStr">
        <is>
          <t>ISCOM</t>
        </is>
      </c>
      <c r="D100" s="45" t="inlineStr">
        <is>
          <t>Lille</t>
        </is>
      </c>
      <c r="E100" s="45" t="inlineStr">
        <is>
          <t>708</t>
        </is>
      </c>
      <c r="F100" s="17" t="inlineStr">
        <is>
          <t>Frais de dossier &amp; droits d'inscription</t>
        </is>
      </c>
      <c r="G100" s="45" t="inlineStr">
        <is>
          <t>70 — Prestations de services</t>
        </is>
      </c>
      <c r="H100" s="45" t="inlineStr">
        <is>
          <t>Produit</t>
        </is>
      </c>
      <c r="I100" s="45" t="inlineStr">
        <is>
          <t>Produits</t>
        </is>
      </c>
      <c r="J100" s="45" t="inlineStr">
        <is>
          <t>2026ATT_VDEF</t>
        </is>
      </c>
      <c r="K100" s="45" t="inlineStr">
        <is>
          <t>2026 (Atterr.)</t>
        </is>
      </c>
      <c r="L100" s="13" t="n">
        <v>9000</v>
      </c>
    </row>
    <row r="101">
      <c r="A101" s="45" t="inlineStr">
        <is>
          <t>ISCOM_TOULOUSE</t>
        </is>
      </c>
      <c r="B101" s="17" t="inlineStr">
        <is>
          <t>ISCOM Toulouse</t>
        </is>
      </c>
      <c r="C101" s="45" t="inlineStr">
        <is>
          <t>ISCOM</t>
        </is>
      </c>
      <c r="D101" s="45" t="inlineStr">
        <is>
          <t>Toulouse</t>
        </is>
      </c>
      <c r="E101" s="45" t="inlineStr">
        <is>
          <t>708</t>
        </is>
      </c>
      <c r="F101" s="17" t="inlineStr">
        <is>
          <t>Frais de dossier &amp; droits d'inscription</t>
        </is>
      </c>
      <c r="G101" s="45" t="inlineStr">
        <is>
          <t>70 — Prestations de services</t>
        </is>
      </c>
      <c r="H101" s="45" t="inlineStr">
        <is>
          <t>Produit</t>
        </is>
      </c>
      <c r="I101" s="45" t="inlineStr">
        <is>
          <t>Produits</t>
        </is>
      </c>
      <c r="J101" s="45" t="inlineStr">
        <is>
          <t>2026ATT_VDEF</t>
        </is>
      </c>
      <c r="K101" s="45" t="inlineStr">
        <is>
          <t>2026 (Atterr.)</t>
        </is>
      </c>
      <c r="L101" s="13" t="n">
        <v>8460</v>
      </c>
    </row>
    <row r="102">
      <c r="A102" s="45" t="inlineStr">
        <is>
          <t>IPAC_BACHELOR_FACTORY_NANTES</t>
        </is>
      </c>
      <c r="B102" s="17" t="inlineStr">
        <is>
          <t>Ipac Bachelor Factory Nantes</t>
        </is>
      </c>
      <c r="C102" s="45" t="inlineStr">
        <is>
          <t>Ipac Bachelor Factory</t>
        </is>
      </c>
      <c r="D102" s="45" t="inlineStr">
        <is>
          <t>Nantes</t>
        </is>
      </c>
      <c r="E102" s="45" t="inlineStr">
        <is>
          <t>708</t>
        </is>
      </c>
      <c r="F102" s="17" t="inlineStr">
        <is>
          <t>Frais de dossier &amp; droits d'inscription</t>
        </is>
      </c>
      <c r="G102" s="45" t="inlineStr">
        <is>
          <t>70 — Prestations de services</t>
        </is>
      </c>
      <c r="H102" s="45" t="inlineStr">
        <is>
          <t>Produit</t>
        </is>
      </c>
      <c r="I102" s="45" t="inlineStr">
        <is>
          <t>Produits</t>
        </is>
      </c>
      <c r="J102" s="45" t="inlineStr">
        <is>
          <t>2026ATT_VDEF</t>
        </is>
      </c>
      <c r="K102" s="45" t="inlineStr">
        <is>
          <t>2026 (Atterr.)</t>
        </is>
      </c>
      <c r="L102" s="13" t="n">
        <v>4500</v>
      </c>
    </row>
    <row r="103">
      <c r="A103" s="45" t="inlineStr">
        <is>
          <t>IPAC_BACHELOR_FACTORY_RENNES</t>
        </is>
      </c>
      <c r="B103" s="17" t="inlineStr">
        <is>
          <t>Ipac Bachelor Factory Rennes</t>
        </is>
      </c>
      <c r="C103" s="45" t="inlineStr">
        <is>
          <t>Ipac Bachelor Factory</t>
        </is>
      </c>
      <c r="D103" s="45" t="inlineStr">
        <is>
          <t>Rennes</t>
        </is>
      </c>
      <c r="E103" s="45" t="inlineStr">
        <is>
          <t>708</t>
        </is>
      </c>
      <c r="F103" s="17" t="inlineStr">
        <is>
          <t>Frais de dossier &amp; droits d'inscription</t>
        </is>
      </c>
      <c r="G103" s="45" t="inlineStr">
        <is>
          <t>70 — Prestations de services</t>
        </is>
      </c>
      <c r="H103" s="45" t="inlineStr">
        <is>
          <t>Produit</t>
        </is>
      </c>
      <c r="I103" s="45" t="inlineStr">
        <is>
          <t>Produits</t>
        </is>
      </c>
      <c r="J103" s="45" t="inlineStr">
        <is>
          <t>2026ATT_VDEF</t>
        </is>
      </c>
      <c r="K103" s="45" t="inlineStr">
        <is>
          <t>2026 (Atterr.)</t>
        </is>
      </c>
      <c r="L103" s="13" t="n">
        <v>3600</v>
      </c>
    </row>
    <row r="104">
      <c r="A104" s="45" t="inlineStr">
        <is>
          <t>IPAC_BACHELOR_FACTORY_MONTPELLIER</t>
        </is>
      </c>
      <c r="B104" s="17" t="inlineStr">
        <is>
          <t>Ipac Bachelor Factory Montpellier</t>
        </is>
      </c>
      <c r="C104" s="45" t="inlineStr">
        <is>
          <t>Ipac Bachelor Factory</t>
        </is>
      </c>
      <c r="D104" s="45" t="inlineStr">
        <is>
          <t>Montpellier</t>
        </is>
      </c>
      <c r="E104" s="45" t="inlineStr">
        <is>
          <t>708</t>
        </is>
      </c>
      <c r="F104" s="17" t="inlineStr">
        <is>
          <t>Frais de dossier &amp; droits d'inscription</t>
        </is>
      </c>
      <c r="G104" s="45" t="inlineStr">
        <is>
          <t>70 — Prestations de services</t>
        </is>
      </c>
      <c r="H104" s="45" t="inlineStr">
        <is>
          <t>Produit</t>
        </is>
      </c>
      <c r="I104" s="45" t="inlineStr">
        <is>
          <t>Produits</t>
        </is>
      </c>
      <c r="J104" s="45" t="inlineStr">
        <is>
          <t>2026ATT_VDEF</t>
        </is>
      </c>
      <c r="K104" s="45" t="inlineStr">
        <is>
          <t>2026 (Atterr.)</t>
        </is>
      </c>
      <c r="L104" s="13" t="n">
        <v>3600</v>
      </c>
    </row>
    <row r="105">
      <c r="A105" s="45" t="inlineStr">
        <is>
          <t>PIGIER_LYON</t>
        </is>
      </c>
      <c r="B105" s="17" t="inlineStr">
        <is>
          <t>Pigier Lyon</t>
        </is>
      </c>
      <c r="C105" s="45" t="inlineStr">
        <is>
          <t>Pigier</t>
        </is>
      </c>
      <c r="D105" s="45" t="inlineStr">
        <is>
          <t>Lyon</t>
        </is>
      </c>
      <c r="E105" s="45" t="inlineStr">
        <is>
          <t>708</t>
        </is>
      </c>
      <c r="F105" s="17" t="inlineStr">
        <is>
          <t>Frais de dossier &amp; droits d'inscription</t>
        </is>
      </c>
      <c r="G105" s="45" t="inlineStr">
        <is>
          <t>70 — Prestations de services</t>
        </is>
      </c>
      <c r="H105" s="45" t="inlineStr">
        <is>
          <t>Produit</t>
        </is>
      </c>
      <c r="I105" s="45" t="inlineStr">
        <is>
          <t>Produits</t>
        </is>
      </c>
      <c r="J105" s="45" t="inlineStr">
        <is>
          <t>2026ATT_VDEF</t>
        </is>
      </c>
      <c r="K105" s="45" t="inlineStr">
        <is>
          <t>2026 (Atterr.)</t>
        </is>
      </c>
      <c r="L105" s="13" t="n">
        <v>8280</v>
      </c>
    </row>
    <row r="106">
      <c r="A106" s="45" t="inlineStr">
        <is>
          <t>PIGIER_BORDEAUX</t>
        </is>
      </c>
      <c r="B106" s="17" t="inlineStr">
        <is>
          <t>Pigier Bordeaux</t>
        </is>
      </c>
      <c r="C106" s="45" t="inlineStr">
        <is>
          <t>Pigier</t>
        </is>
      </c>
      <c r="D106" s="45" t="inlineStr">
        <is>
          <t>Bordeaux</t>
        </is>
      </c>
      <c r="E106" s="45" t="inlineStr">
        <is>
          <t>708</t>
        </is>
      </c>
      <c r="F106" s="17" t="inlineStr">
        <is>
          <t>Frais de dossier &amp; droits d'inscription</t>
        </is>
      </c>
      <c r="G106" s="45" t="inlineStr">
        <is>
          <t>70 — Prestations de services</t>
        </is>
      </c>
      <c r="H106" s="45" t="inlineStr">
        <is>
          <t>Produit</t>
        </is>
      </c>
      <c r="I106" s="45" t="inlineStr">
        <is>
          <t>Produits</t>
        </is>
      </c>
      <c r="J106" s="45" t="inlineStr">
        <is>
          <t>2026ATT_VDEF</t>
        </is>
      </c>
      <c r="K106" s="45" t="inlineStr">
        <is>
          <t>2026 (Atterr.)</t>
        </is>
      </c>
      <c r="L106" s="13" t="n">
        <v>6480</v>
      </c>
    </row>
    <row r="107">
      <c r="A107" s="45" t="inlineStr">
        <is>
          <t>TUNON_PARIS</t>
        </is>
      </c>
      <c r="B107" s="17" t="inlineStr">
        <is>
          <t>Tunon Paris</t>
        </is>
      </c>
      <c r="C107" s="45" t="inlineStr">
        <is>
          <t>Tunon</t>
        </is>
      </c>
      <c r="D107" s="45" t="inlineStr">
        <is>
          <t>Paris</t>
        </is>
      </c>
      <c r="E107" s="45" t="inlineStr">
        <is>
          <t>708</t>
        </is>
      </c>
      <c r="F107" s="17" t="inlineStr">
        <is>
          <t>Frais de dossier &amp; droits d'inscription</t>
        </is>
      </c>
      <c r="G107" s="45" t="inlineStr">
        <is>
          <t>70 — Prestations de services</t>
        </is>
      </c>
      <c r="H107" s="45" t="inlineStr">
        <is>
          <t>Produit</t>
        </is>
      </c>
      <c r="I107" s="45" t="inlineStr">
        <is>
          <t>Produits</t>
        </is>
      </c>
      <c r="J107" s="45" t="inlineStr">
        <is>
          <t>2026ATT_VDEF</t>
        </is>
      </c>
      <c r="K107" s="45" t="inlineStr">
        <is>
          <t>2026 (Atterr.)</t>
        </is>
      </c>
      <c r="L107" s="13" t="n">
        <v>4230</v>
      </c>
    </row>
    <row r="108">
      <c r="A108" s="45" t="inlineStr">
        <is>
          <t>TUNON_LYON</t>
        </is>
      </c>
      <c r="B108" s="17" t="inlineStr">
        <is>
          <t>Tunon Lyon</t>
        </is>
      </c>
      <c r="C108" s="45" t="inlineStr">
        <is>
          <t>Tunon</t>
        </is>
      </c>
      <c r="D108" s="45" t="inlineStr">
        <is>
          <t>Lyon</t>
        </is>
      </c>
      <c r="E108" s="45" t="inlineStr">
        <is>
          <t>708</t>
        </is>
      </c>
      <c r="F108" s="17" t="inlineStr">
        <is>
          <t>Frais de dossier &amp; droits d'inscription</t>
        </is>
      </c>
      <c r="G108" s="45" t="inlineStr">
        <is>
          <t>70 — Prestations de services</t>
        </is>
      </c>
      <c r="H108" s="45" t="inlineStr">
        <is>
          <t>Produit</t>
        </is>
      </c>
      <c r="I108" s="45" t="inlineStr">
        <is>
          <t>Produits</t>
        </is>
      </c>
      <c r="J108" s="45" t="inlineStr">
        <is>
          <t>2026ATT_VDEF</t>
        </is>
      </c>
      <c r="K108" s="45" t="inlineStr">
        <is>
          <t>2026 (Atterr.)</t>
        </is>
      </c>
      <c r="L108" s="13" t="n">
        <v>3600</v>
      </c>
    </row>
    <row r="109">
      <c r="A109" s="45" t="inlineStr">
        <is>
          <t>MBWAY_PARIS</t>
        </is>
      </c>
      <c r="B109" s="17" t="inlineStr">
        <is>
          <t>MBway Paris</t>
        </is>
      </c>
      <c r="C109" s="45" t="inlineStr">
        <is>
          <t>MBway</t>
        </is>
      </c>
      <c r="D109" s="45" t="inlineStr">
        <is>
          <t>Paris</t>
        </is>
      </c>
      <c r="E109" s="45" t="inlineStr">
        <is>
          <t>621</t>
        </is>
      </c>
      <c r="F109" s="17" t="inlineStr">
        <is>
          <t>Personnel extérieur — vacataires &amp; intervenants</t>
        </is>
      </c>
      <c r="G109" s="45" t="inlineStr">
        <is>
          <t>62 — Autres services extérieurs</t>
        </is>
      </c>
      <c r="H109" s="45" t="inlineStr">
        <is>
          <t>Charge</t>
        </is>
      </c>
      <c r="I109" s="45" t="inlineStr">
        <is>
          <t>Coûts directs</t>
        </is>
      </c>
      <c r="J109" s="45" t="inlineStr">
        <is>
          <t>2024ACT_VDEF</t>
        </is>
      </c>
      <c r="K109" s="45" t="inlineStr">
        <is>
          <t>2024 (N-2)</t>
        </is>
      </c>
      <c r="L109" s="13" t="n">
        <v>165271</v>
      </c>
    </row>
    <row r="110">
      <c r="A110" s="45" t="inlineStr">
        <is>
          <t>MBWAY_LYON</t>
        </is>
      </c>
      <c r="B110" s="17" t="inlineStr">
        <is>
          <t>MBway Lyon</t>
        </is>
      </c>
      <c r="C110" s="45" t="inlineStr">
        <is>
          <t>MBway</t>
        </is>
      </c>
      <c r="D110" s="45" t="inlineStr">
        <is>
          <t>Lyon</t>
        </is>
      </c>
      <c r="E110" s="45" t="inlineStr">
        <is>
          <t>621</t>
        </is>
      </c>
      <c r="F110" s="17" t="inlineStr">
        <is>
          <t>Personnel extérieur — vacataires &amp; intervenants</t>
        </is>
      </c>
      <c r="G110" s="45" t="inlineStr">
        <is>
          <t>62 — Autres services extérieurs</t>
        </is>
      </c>
      <c r="H110" s="45" t="inlineStr">
        <is>
          <t>Charge</t>
        </is>
      </c>
      <c r="I110" s="45" t="inlineStr">
        <is>
          <t>Coûts directs</t>
        </is>
      </c>
      <c r="J110" s="45" t="inlineStr">
        <is>
          <t>2024ACT_VDEF</t>
        </is>
      </c>
      <c r="K110" s="45" t="inlineStr">
        <is>
          <t>2024 (N-2)</t>
        </is>
      </c>
      <c r="L110" s="13" t="n">
        <v>143235</v>
      </c>
    </row>
    <row r="111">
      <c r="A111" s="45" t="inlineStr">
        <is>
          <t>MBWAY_NANTES</t>
        </is>
      </c>
      <c r="B111" s="17" t="inlineStr">
        <is>
          <t>MBway Nantes</t>
        </is>
      </c>
      <c r="C111" s="45" t="inlineStr">
        <is>
          <t>MBway</t>
        </is>
      </c>
      <c r="D111" s="45" t="inlineStr">
        <is>
          <t>Nantes</t>
        </is>
      </c>
      <c r="E111" s="45" t="inlineStr">
        <is>
          <t>621</t>
        </is>
      </c>
      <c r="F111" s="17" t="inlineStr">
        <is>
          <t>Personnel extérieur — vacataires &amp; intervenants</t>
        </is>
      </c>
      <c r="G111" s="45" t="inlineStr">
        <is>
          <t>62 — Autres services extérieurs</t>
        </is>
      </c>
      <c r="H111" s="45" t="inlineStr">
        <is>
          <t>Charge</t>
        </is>
      </c>
      <c r="I111" s="45" t="inlineStr">
        <is>
          <t>Coûts directs</t>
        </is>
      </c>
      <c r="J111" s="45" t="inlineStr">
        <is>
          <t>2024ACT_VDEF</t>
        </is>
      </c>
      <c r="K111" s="45" t="inlineStr">
        <is>
          <t>2024 (N-2)</t>
        </is>
      </c>
      <c r="L111" s="13" t="n">
        <v>132216</v>
      </c>
    </row>
    <row r="112">
      <c r="A112" s="45" t="inlineStr">
        <is>
          <t>MBWAY_BORDEAUX</t>
        </is>
      </c>
      <c r="B112" s="17" t="inlineStr">
        <is>
          <t>MBway Bordeaux</t>
        </is>
      </c>
      <c r="C112" s="45" t="inlineStr">
        <is>
          <t>MBway</t>
        </is>
      </c>
      <c r="D112" s="45" t="inlineStr">
        <is>
          <t>Bordeaux</t>
        </is>
      </c>
      <c r="E112" s="45" t="inlineStr">
        <is>
          <t>621</t>
        </is>
      </c>
      <c r="F112" s="17" t="inlineStr">
        <is>
          <t>Personnel extérieur — vacataires &amp; intervenants</t>
        </is>
      </c>
      <c r="G112" s="45" t="inlineStr">
        <is>
          <t>62 — Autres services extérieurs</t>
        </is>
      </c>
      <c r="H112" s="45" t="inlineStr">
        <is>
          <t>Charge</t>
        </is>
      </c>
      <c r="I112" s="45" t="inlineStr">
        <is>
          <t>Coûts directs</t>
        </is>
      </c>
      <c r="J112" s="45" t="inlineStr">
        <is>
          <t>2024ACT_VDEF</t>
        </is>
      </c>
      <c r="K112" s="45" t="inlineStr">
        <is>
          <t>2024 (N-2)</t>
        </is>
      </c>
      <c r="L112" s="13" t="n">
        <v>110180</v>
      </c>
    </row>
    <row r="113">
      <c r="A113" s="45" t="inlineStr">
        <is>
          <t>ISCOM_PARIS</t>
        </is>
      </c>
      <c r="B113" s="17" t="inlineStr">
        <is>
          <t>ISCOM Paris</t>
        </is>
      </c>
      <c r="C113" s="45" t="inlineStr">
        <is>
          <t>ISCOM</t>
        </is>
      </c>
      <c r="D113" s="45" t="inlineStr">
        <is>
          <t>Paris</t>
        </is>
      </c>
      <c r="E113" s="45" t="inlineStr">
        <is>
          <t>621</t>
        </is>
      </c>
      <c r="F113" s="17" t="inlineStr">
        <is>
          <t>Personnel extérieur — vacataires &amp; intervenants</t>
        </is>
      </c>
      <c r="G113" s="45" t="inlineStr">
        <is>
          <t>62 — Autres services extérieurs</t>
        </is>
      </c>
      <c r="H113" s="45" t="inlineStr">
        <is>
          <t>Charge</t>
        </is>
      </c>
      <c r="I113" s="45" t="inlineStr">
        <is>
          <t>Coûts directs</t>
        </is>
      </c>
      <c r="J113" s="45" t="inlineStr">
        <is>
          <t>2024ACT_VDEF</t>
        </is>
      </c>
      <c r="K113" s="45" t="inlineStr">
        <is>
          <t>2024 (N-2)</t>
        </is>
      </c>
      <c r="L113" s="13" t="n">
        <v>165271</v>
      </c>
    </row>
    <row r="114">
      <c r="A114" s="45" t="inlineStr">
        <is>
          <t>ISCOM_LILLE</t>
        </is>
      </c>
      <c r="B114" s="17" t="inlineStr">
        <is>
          <t>ISCOM Lille</t>
        </is>
      </c>
      <c r="C114" s="45" t="inlineStr">
        <is>
          <t>ISCOM</t>
        </is>
      </c>
      <c r="D114" s="45" t="inlineStr">
        <is>
          <t>Lille</t>
        </is>
      </c>
      <c r="E114" s="45" t="inlineStr">
        <is>
          <t>621</t>
        </is>
      </c>
      <c r="F114" s="17" t="inlineStr">
        <is>
          <t>Personnel extérieur — vacataires &amp; intervenants</t>
        </is>
      </c>
      <c r="G114" s="45" t="inlineStr">
        <is>
          <t>62 — Autres services extérieurs</t>
        </is>
      </c>
      <c r="H114" s="45" t="inlineStr">
        <is>
          <t>Charge</t>
        </is>
      </c>
      <c r="I114" s="45" t="inlineStr">
        <is>
          <t>Coûts directs</t>
        </is>
      </c>
      <c r="J114" s="45" t="inlineStr">
        <is>
          <t>2024ACT_VDEF</t>
        </is>
      </c>
      <c r="K114" s="45" t="inlineStr">
        <is>
          <t>2024 (N-2)</t>
        </is>
      </c>
      <c r="L114" s="13" t="n">
        <v>110180</v>
      </c>
    </row>
    <row r="115">
      <c r="A115" s="45" t="inlineStr">
        <is>
          <t>ISCOM_TOULOUSE</t>
        </is>
      </c>
      <c r="B115" s="17" t="inlineStr">
        <is>
          <t>ISCOM Toulouse</t>
        </is>
      </c>
      <c r="C115" s="45" t="inlineStr">
        <is>
          <t>ISCOM</t>
        </is>
      </c>
      <c r="D115" s="45" t="inlineStr">
        <is>
          <t>Toulouse</t>
        </is>
      </c>
      <c r="E115" s="45" t="inlineStr">
        <is>
          <t>621</t>
        </is>
      </c>
      <c r="F115" s="17" t="inlineStr">
        <is>
          <t>Personnel extérieur — vacataires &amp; intervenants</t>
        </is>
      </c>
      <c r="G115" s="45" t="inlineStr">
        <is>
          <t>62 — Autres services extérieurs</t>
        </is>
      </c>
      <c r="H115" s="45" t="inlineStr">
        <is>
          <t>Charge</t>
        </is>
      </c>
      <c r="I115" s="45" t="inlineStr">
        <is>
          <t>Coûts directs</t>
        </is>
      </c>
      <c r="J115" s="45" t="inlineStr">
        <is>
          <t>2024ACT_VDEF</t>
        </is>
      </c>
      <c r="K115" s="45" t="inlineStr">
        <is>
          <t>2024 (N-2)</t>
        </is>
      </c>
      <c r="L115" s="13" t="n">
        <v>110180</v>
      </c>
    </row>
    <row r="116">
      <c r="A116" s="45" t="inlineStr">
        <is>
          <t>IPAC_BACHELOR_FACTORY_NANTES</t>
        </is>
      </c>
      <c r="B116" s="17" t="inlineStr">
        <is>
          <t>Ipac Bachelor Factory Nantes</t>
        </is>
      </c>
      <c r="C116" s="45" t="inlineStr">
        <is>
          <t>Ipac Bachelor Factory</t>
        </is>
      </c>
      <c r="D116" s="45" t="inlineStr">
        <is>
          <t>Nantes</t>
        </is>
      </c>
      <c r="E116" s="45" t="inlineStr">
        <is>
          <t>621</t>
        </is>
      </c>
      <c r="F116" s="17" t="inlineStr">
        <is>
          <t>Personnel extérieur — vacataires &amp; intervenants</t>
        </is>
      </c>
      <c r="G116" s="45" t="inlineStr">
        <is>
          <t>62 — Autres services extérieurs</t>
        </is>
      </c>
      <c r="H116" s="45" t="inlineStr">
        <is>
          <t>Charge</t>
        </is>
      </c>
      <c r="I116" s="45" t="inlineStr">
        <is>
          <t>Coûts directs</t>
        </is>
      </c>
      <c r="J116" s="45" t="inlineStr">
        <is>
          <t>2024ACT_VDEF</t>
        </is>
      </c>
      <c r="K116" s="45" t="inlineStr">
        <is>
          <t>2024 (N-2)</t>
        </is>
      </c>
      <c r="L116" s="13" t="n">
        <v>66108</v>
      </c>
    </row>
    <row r="117">
      <c r="A117" s="45" t="inlineStr">
        <is>
          <t>IPAC_BACHELOR_FACTORY_RENNES</t>
        </is>
      </c>
      <c r="B117" s="17" t="inlineStr">
        <is>
          <t>Ipac Bachelor Factory Rennes</t>
        </is>
      </c>
      <c r="C117" s="45" t="inlineStr">
        <is>
          <t>Ipac Bachelor Factory</t>
        </is>
      </c>
      <c r="D117" s="45" t="inlineStr">
        <is>
          <t>Rennes</t>
        </is>
      </c>
      <c r="E117" s="45" t="inlineStr">
        <is>
          <t>621</t>
        </is>
      </c>
      <c r="F117" s="17" t="inlineStr">
        <is>
          <t>Personnel extérieur — vacataires &amp; intervenants</t>
        </is>
      </c>
      <c r="G117" s="45" t="inlineStr">
        <is>
          <t>62 — Autres services extérieurs</t>
        </is>
      </c>
      <c r="H117" s="45" t="inlineStr">
        <is>
          <t>Charge</t>
        </is>
      </c>
      <c r="I117" s="45" t="inlineStr">
        <is>
          <t>Coûts directs</t>
        </is>
      </c>
      <c r="J117" s="45" t="inlineStr">
        <is>
          <t>2024ACT_VDEF</t>
        </is>
      </c>
      <c r="K117" s="45" t="inlineStr">
        <is>
          <t>2024 (N-2)</t>
        </is>
      </c>
      <c r="L117" s="13" t="n">
        <v>66108</v>
      </c>
    </row>
    <row r="118">
      <c r="A118" s="45" t="inlineStr">
        <is>
          <t>IPAC_BACHELOR_FACTORY_MONTPELLIER</t>
        </is>
      </c>
      <c r="B118" s="17" t="inlineStr">
        <is>
          <t>Ipac Bachelor Factory Montpellier</t>
        </is>
      </c>
      <c r="C118" s="45" t="inlineStr">
        <is>
          <t>Ipac Bachelor Factory</t>
        </is>
      </c>
      <c r="D118" s="45" t="inlineStr">
        <is>
          <t>Montpellier</t>
        </is>
      </c>
      <c r="E118" s="45" t="inlineStr">
        <is>
          <t>621</t>
        </is>
      </c>
      <c r="F118" s="17" t="inlineStr">
        <is>
          <t>Personnel extérieur — vacataires &amp; intervenants</t>
        </is>
      </c>
      <c r="G118" s="45" t="inlineStr">
        <is>
          <t>62 — Autres services extérieurs</t>
        </is>
      </c>
      <c r="H118" s="45" t="inlineStr">
        <is>
          <t>Charge</t>
        </is>
      </c>
      <c r="I118" s="45" t="inlineStr">
        <is>
          <t>Coûts directs</t>
        </is>
      </c>
      <c r="J118" s="45" t="inlineStr">
        <is>
          <t>2024ACT_VDEF</t>
        </is>
      </c>
      <c r="K118" s="45" t="inlineStr">
        <is>
          <t>2024 (N-2)</t>
        </is>
      </c>
      <c r="L118" s="13" t="n">
        <v>66108</v>
      </c>
    </row>
    <row r="119">
      <c r="A119" s="45" t="inlineStr">
        <is>
          <t>PIGIER_LYON</t>
        </is>
      </c>
      <c r="B119" s="17" t="inlineStr">
        <is>
          <t>Pigier Lyon</t>
        </is>
      </c>
      <c r="C119" s="45" t="inlineStr">
        <is>
          <t>Pigier</t>
        </is>
      </c>
      <c r="D119" s="45" t="inlineStr">
        <is>
          <t>Lyon</t>
        </is>
      </c>
      <c r="E119" s="45" t="inlineStr">
        <is>
          <t>621</t>
        </is>
      </c>
      <c r="F119" s="17" t="inlineStr">
        <is>
          <t>Personnel extérieur — vacataires &amp; intervenants</t>
        </is>
      </c>
      <c r="G119" s="45" t="inlineStr">
        <is>
          <t>62 — Autres services extérieurs</t>
        </is>
      </c>
      <c r="H119" s="45" t="inlineStr">
        <is>
          <t>Charge</t>
        </is>
      </c>
      <c r="I119" s="45" t="inlineStr">
        <is>
          <t>Coûts directs</t>
        </is>
      </c>
      <c r="J119" s="45" t="inlineStr">
        <is>
          <t>2024ACT_VDEF</t>
        </is>
      </c>
      <c r="K119" s="45" t="inlineStr">
        <is>
          <t>2024 (N-2)</t>
        </is>
      </c>
      <c r="L119" s="13" t="n">
        <v>88144</v>
      </c>
    </row>
    <row r="120">
      <c r="A120" s="45" t="inlineStr">
        <is>
          <t>PIGIER_BORDEAUX</t>
        </is>
      </c>
      <c r="B120" s="17" t="inlineStr">
        <is>
          <t>Pigier Bordeaux</t>
        </is>
      </c>
      <c r="C120" s="45" t="inlineStr">
        <is>
          <t>Pigier</t>
        </is>
      </c>
      <c r="D120" s="45" t="inlineStr">
        <is>
          <t>Bordeaux</t>
        </is>
      </c>
      <c r="E120" s="45" t="inlineStr">
        <is>
          <t>621</t>
        </is>
      </c>
      <c r="F120" s="17" t="inlineStr">
        <is>
          <t>Personnel extérieur — vacataires &amp; intervenants</t>
        </is>
      </c>
      <c r="G120" s="45" t="inlineStr">
        <is>
          <t>62 — Autres services extérieurs</t>
        </is>
      </c>
      <c r="H120" s="45" t="inlineStr">
        <is>
          <t>Charge</t>
        </is>
      </c>
      <c r="I120" s="45" t="inlineStr">
        <is>
          <t>Coûts directs</t>
        </is>
      </c>
      <c r="J120" s="45" t="inlineStr">
        <is>
          <t>2024ACT_VDEF</t>
        </is>
      </c>
      <c r="K120" s="45" t="inlineStr">
        <is>
          <t>2024 (N-2)</t>
        </is>
      </c>
      <c r="L120" s="13" t="n">
        <v>88144</v>
      </c>
    </row>
    <row r="121">
      <c r="A121" s="45" t="inlineStr">
        <is>
          <t>TUNON_PARIS</t>
        </is>
      </c>
      <c r="B121" s="17" t="inlineStr">
        <is>
          <t>Tunon Paris</t>
        </is>
      </c>
      <c r="C121" s="45" t="inlineStr">
        <is>
          <t>Tunon</t>
        </is>
      </c>
      <c r="D121" s="45" t="inlineStr">
        <is>
          <t>Paris</t>
        </is>
      </c>
      <c r="E121" s="45" t="inlineStr">
        <is>
          <t>621</t>
        </is>
      </c>
      <c r="F121" s="17" t="inlineStr">
        <is>
          <t>Personnel extérieur — vacataires &amp; intervenants</t>
        </is>
      </c>
      <c r="G121" s="45" t="inlineStr">
        <is>
          <t>62 — Autres services extérieurs</t>
        </is>
      </c>
      <c r="H121" s="45" t="inlineStr">
        <is>
          <t>Charge</t>
        </is>
      </c>
      <c r="I121" s="45" t="inlineStr">
        <is>
          <t>Coûts directs</t>
        </is>
      </c>
      <c r="J121" s="45" t="inlineStr">
        <is>
          <t>2024ACT_VDEF</t>
        </is>
      </c>
      <c r="K121" s="45" t="inlineStr">
        <is>
          <t>2024 (N-2)</t>
        </is>
      </c>
      <c r="L121" s="13" t="n">
        <v>66108</v>
      </c>
    </row>
    <row r="122">
      <c r="A122" s="45" t="inlineStr">
        <is>
          <t>TUNON_LYON</t>
        </is>
      </c>
      <c r="B122" s="17" t="inlineStr">
        <is>
          <t>Tunon Lyon</t>
        </is>
      </c>
      <c r="C122" s="45" t="inlineStr">
        <is>
          <t>Tunon</t>
        </is>
      </c>
      <c r="D122" s="45" t="inlineStr">
        <is>
          <t>Lyon</t>
        </is>
      </c>
      <c r="E122" s="45" t="inlineStr">
        <is>
          <t>621</t>
        </is>
      </c>
      <c r="F122" s="17" t="inlineStr">
        <is>
          <t>Personnel extérieur — vacataires &amp; intervenants</t>
        </is>
      </c>
      <c r="G122" s="45" t="inlineStr">
        <is>
          <t>62 — Autres services extérieurs</t>
        </is>
      </c>
      <c r="H122" s="45" t="inlineStr">
        <is>
          <t>Charge</t>
        </is>
      </c>
      <c r="I122" s="45" t="inlineStr">
        <is>
          <t>Coûts directs</t>
        </is>
      </c>
      <c r="J122" s="45" t="inlineStr">
        <is>
          <t>2024ACT_VDEF</t>
        </is>
      </c>
      <c r="K122" s="45" t="inlineStr">
        <is>
          <t>2024 (N-2)</t>
        </is>
      </c>
      <c r="L122" s="13" t="n">
        <v>66108</v>
      </c>
    </row>
    <row r="123">
      <c r="A123" s="45" t="inlineStr">
        <is>
          <t>MBWAY_PARIS</t>
        </is>
      </c>
      <c r="B123" s="17" t="inlineStr">
        <is>
          <t>MBway Paris</t>
        </is>
      </c>
      <c r="C123" s="45" t="inlineStr">
        <is>
          <t>MBway</t>
        </is>
      </c>
      <c r="D123" s="45" t="inlineStr">
        <is>
          <t>Paris</t>
        </is>
      </c>
      <c r="E123" s="45" t="inlineStr">
        <is>
          <t>621</t>
        </is>
      </c>
      <c r="F123" s="17" t="inlineStr">
        <is>
          <t>Personnel extérieur — vacataires &amp; intervenants</t>
        </is>
      </c>
      <c r="G123" s="45" t="inlineStr">
        <is>
          <t>62 — Autres services extérieurs</t>
        </is>
      </c>
      <c r="H123" s="45" t="inlineStr">
        <is>
          <t>Charge</t>
        </is>
      </c>
      <c r="I123" s="45" t="inlineStr">
        <is>
          <t>Coûts directs</t>
        </is>
      </c>
      <c r="J123" s="45" t="inlineStr">
        <is>
          <t>2025ACT_VDEF</t>
        </is>
      </c>
      <c r="K123" s="45" t="inlineStr">
        <is>
          <t>2025 (N-1)</t>
        </is>
      </c>
      <c r="L123" s="13" t="n">
        <v>172844</v>
      </c>
    </row>
    <row r="124">
      <c r="A124" s="45" t="inlineStr">
        <is>
          <t>MBWAY_LYON</t>
        </is>
      </c>
      <c r="B124" s="17" t="inlineStr">
        <is>
          <t>MBway Lyon</t>
        </is>
      </c>
      <c r="C124" s="45" t="inlineStr">
        <is>
          <t>MBway</t>
        </is>
      </c>
      <c r="D124" s="45" t="inlineStr">
        <is>
          <t>Lyon</t>
        </is>
      </c>
      <c r="E124" s="45" t="inlineStr">
        <is>
          <t>621</t>
        </is>
      </c>
      <c r="F124" s="17" t="inlineStr">
        <is>
          <t>Personnel extérieur — vacataires &amp; intervenants</t>
        </is>
      </c>
      <c r="G124" s="45" t="inlineStr">
        <is>
          <t>62 — Autres services extérieurs</t>
        </is>
      </c>
      <c r="H124" s="45" t="inlineStr">
        <is>
          <t>Charge</t>
        </is>
      </c>
      <c r="I124" s="45" t="inlineStr">
        <is>
          <t>Coûts directs</t>
        </is>
      </c>
      <c r="J124" s="45" t="inlineStr">
        <is>
          <t>2025ACT_VDEF</t>
        </is>
      </c>
      <c r="K124" s="45" t="inlineStr">
        <is>
          <t>2025 (N-1)</t>
        </is>
      </c>
      <c r="L124" s="13" t="n">
        <v>149798</v>
      </c>
    </row>
    <row r="125">
      <c r="A125" s="45" t="inlineStr">
        <is>
          <t>MBWAY_NANTES</t>
        </is>
      </c>
      <c r="B125" s="17" t="inlineStr">
        <is>
          <t>MBway Nantes</t>
        </is>
      </c>
      <c r="C125" s="45" t="inlineStr">
        <is>
          <t>MBway</t>
        </is>
      </c>
      <c r="D125" s="45" t="inlineStr">
        <is>
          <t>Nantes</t>
        </is>
      </c>
      <c r="E125" s="45" t="inlineStr">
        <is>
          <t>621</t>
        </is>
      </c>
      <c r="F125" s="17" t="inlineStr">
        <is>
          <t>Personnel extérieur — vacataires &amp; intervenants</t>
        </is>
      </c>
      <c r="G125" s="45" t="inlineStr">
        <is>
          <t>62 — Autres services extérieurs</t>
        </is>
      </c>
      <c r="H125" s="45" t="inlineStr">
        <is>
          <t>Charge</t>
        </is>
      </c>
      <c r="I125" s="45" t="inlineStr">
        <is>
          <t>Coûts directs</t>
        </is>
      </c>
      <c r="J125" s="45" t="inlineStr">
        <is>
          <t>2025ACT_VDEF</t>
        </is>
      </c>
      <c r="K125" s="45" t="inlineStr">
        <is>
          <t>2025 (N-1)</t>
        </is>
      </c>
      <c r="L125" s="13" t="n">
        <v>138275</v>
      </c>
    </row>
    <row r="126">
      <c r="A126" s="45" t="inlineStr">
        <is>
          <t>MBWAY_BORDEAUX</t>
        </is>
      </c>
      <c r="B126" s="17" t="inlineStr">
        <is>
          <t>MBway Bordeaux</t>
        </is>
      </c>
      <c r="C126" s="45" t="inlineStr">
        <is>
          <t>MBway</t>
        </is>
      </c>
      <c r="D126" s="45" t="inlineStr">
        <is>
          <t>Bordeaux</t>
        </is>
      </c>
      <c r="E126" s="45" t="inlineStr">
        <is>
          <t>621</t>
        </is>
      </c>
      <c r="F126" s="17" t="inlineStr">
        <is>
          <t>Personnel extérieur — vacataires &amp; intervenants</t>
        </is>
      </c>
      <c r="G126" s="45" t="inlineStr">
        <is>
          <t>62 — Autres services extérieurs</t>
        </is>
      </c>
      <c r="H126" s="45" t="inlineStr">
        <is>
          <t>Charge</t>
        </is>
      </c>
      <c r="I126" s="45" t="inlineStr">
        <is>
          <t>Coûts directs</t>
        </is>
      </c>
      <c r="J126" s="45" t="inlineStr">
        <is>
          <t>2025ACT_VDEF</t>
        </is>
      </c>
      <c r="K126" s="45" t="inlineStr">
        <is>
          <t>2025 (N-1)</t>
        </is>
      </c>
      <c r="L126" s="13" t="n">
        <v>115229</v>
      </c>
    </row>
    <row r="127">
      <c r="A127" s="45" t="inlineStr">
        <is>
          <t>ISCOM_PARIS</t>
        </is>
      </c>
      <c r="B127" s="17" t="inlineStr">
        <is>
          <t>ISCOM Paris</t>
        </is>
      </c>
      <c r="C127" s="45" t="inlineStr">
        <is>
          <t>ISCOM</t>
        </is>
      </c>
      <c r="D127" s="45" t="inlineStr">
        <is>
          <t>Paris</t>
        </is>
      </c>
      <c r="E127" s="45" t="inlineStr">
        <is>
          <t>621</t>
        </is>
      </c>
      <c r="F127" s="17" t="inlineStr">
        <is>
          <t>Personnel extérieur — vacataires &amp; intervenants</t>
        </is>
      </c>
      <c r="G127" s="45" t="inlineStr">
        <is>
          <t>62 — Autres services extérieurs</t>
        </is>
      </c>
      <c r="H127" s="45" t="inlineStr">
        <is>
          <t>Charge</t>
        </is>
      </c>
      <c r="I127" s="45" t="inlineStr">
        <is>
          <t>Coûts directs</t>
        </is>
      </c>
      <c r="J127" s="45" t="inlineStr">
        <is>
          <t>2025ACT_VDEF</t>
        </is>
      </c>
      <c r="K127" s="45" t="inlineStr">
        <is>
          <t>2025 (N-1)</t>
        </is>
      </c>
      <c r="L127" s="13" t="n">
        <v>172844</v>
      </c>
    </row>
    <row r="128">
      <c r="A128" s="45" t="inlineStr">
        <is>
          <t>ISCOM_LILLE</t>
        </is>
      </c>
      <c r="B128" s="17" t="inlineStr">
        <is>
          <t>ISCOM Lille</t>
        </is>
      </c>
      <c r="C128" s="45" t="inlineStr">
        <is>
          <t>ISCOM</t>
        </is>
      </c>
      <c r="D128" s="45" t="inlineStr">
        <is>
          <t>Lille</t>
        </is>
      </c>
      <c r="E128" s="45" t="inlineStr">
        <is>
          <t>621</t>
        </is>
      </c>
      <c r="F128" s="17" t="inlineStr">
        <is>
          <t>Personnel extérieur — vacataires &amp; intervenants</t>
        </is>
      </c>
      <c r="G128" s="45" t="inlineStr">
        <is>
          <t>62 — Autres services extérieurs</t>
        </is>
      </c>
      <c r="H128" s="45" t="inlineStr">
        <is>
          <t>Charge</t>
        </is>
      </c>
      <c r="I128" s="45" t="inlineStr">
        <is>
          <t>Coûts directs</t>
        </is>
      </c>
      <c r="J128" s="45" t="inlineStr">
        <is>
          <t>2025ACT_VDEF</t>
        </is>
      </c>
      <c r="K128" s="45" t="inlineStr">
        <is>
          <t>2025 (N-1)</t>
        </is>
      </c>
      <c r="L128" s="13" t="n">
        <v>115229</v>
      </c>
    </row>
    <row r="129">
      <c r="A129" s="45" t="inlineStr">
        <is>
          <t>ISCOM_TOULOUSE</t>
        </is>
      </c>
      <c r="B129" s="17" t="inlineStr">
        <is>
          <t>ISCOM Toulouse</t>
        </is>
      </c>
      <c r="C129" s="45" t="inlineStr">
        <is>
          <t>ISCOM</t>
        </is>
      </c>
      <c r="D129" s="45" t="inlineStr">
        <is>
          <t>Toulouse</t>
        </is>
      </c>
      <c r="E129" s="45" t="inlineStr">
        <is>
          <t>621</t>
        </is>
      </c>
      <c r="F129" s="17" t="inlineStr">
        <is>
          <t>Personnel extérieur — vacataires &amp; intervenants</t>
        </is>
      </c>
      <c r="G129" s="45" t="inlineStr">
        <is>
          <t>62 — Autres services extérieurs</t>
        </is>
      </c>
      <c r="H129" s="45" t="inlineStr">
        <is>
          <t>Charge</t>
        </is>
      </c>
      <c r="I129" s="45" t="inlineStr">
        <is>
          <t>Coûts directs</t>
        </is>
      </c>
      <c r="J129" s="45" t="inlineStr">
        <is>
          <t>2025ACT_VDEF</t>
        </is>
      </c>
      <c r="K129" s="45" t="inlineStr">
        <is>
          <t>2025 (N-1)</t>
        </is>
      </c>
      <c r="L129" s="13" t="n">
        <v>115229</v>
      </c>
    </row>
    <row r="130">
      <c r="A130" s="45" t="inlineStr">
        <is>
          <t>IPAC_BACHELOR_FACTORY_NANTES</t>
        </is>
      </c>
      <c r="B130" s="17" t="inlineStr">
        <is>
          <t>Ipac Bachelor Factory Nantes</t>
        </is>
      </c>
      <c r="C130" s="45" t="inlineStr">
        <is>
          <t>Ipac Bachelor Factory</t>
        </is>
      </c>
      <c r="D130" s="45" t="inlineStr">
        <is>
          <t>Nantes</t>
        </is>
      </c>
      <c r="E130" s="45" t="inlineStr">
        <is>
          <t>621</t>
        </is>
      </c>
      <c r="F130" s="17" t="inlineStr">
        <is>
          <t>Personnel extérieur — vacataires &amp; intervenants</t>
        </is>
      </c>
      <c r="G130" s="45" t="inlineStr">
        <is>
          <t>62 — Autres services extérieurs</t>
        </is>
      </c>
      <c r="H130" s="45" t="inlineStr">
        <is>
          <t>Charge</t>
        </is>
      </c>
      <c r="I130" s="45" t="inlineStr">
        <is>
          <t>Coûts directs</t>
        </is>
      </c>
      <c r="J130" s="45" t="inlineStr">
        <is>
          <t>2025ACT_VDEF</t>
        </is>
      </c>
      <c r="K130" s="45" t="inlineStr">
        <is>
          <t>2025 (N-1)</t>
        </is>
      </c>
      <c r="L130" s="13" t="n">
        <v>69137</v>
      </c>
    </row>
    <row r="131">
      <c r="A131" s="45" t="inlineStr">
        <is>
          <t>IPAC_BACHELOR_FACTORY_RENNES</t>
        </is>
      </c>
      <c r="B131" s="17" t="inlineStr">
        <is>
          <t>Ipac Bachelor Factory Rennes</t>
        </is>
      </c>
      <c r="C131" s="45" t="inlineStr">
        <is>
          <t>Ipac Bachelor Factory</t>
        </is>
      </c>
      <c r="D131" s="45" t="inlineStr">
        <is>
          <t>Rennes</t>
        </is>
      </c>
      <c r="E131" s="45" t="inlineStr">
        <is>
          <t>621</t>
        </is>
      </c>
      <c r="F131" s="17" t="inlineStr">
        <is>
          <t>Personnel extérieur — vacataires &amp; intervenants</t>
        </is>
      </c>
      <c r="G131" s="45" t="inlineStr">
        <is>
          <t>62 — Autres services extérieurs</t>
        </is>
      </c>
      <c r="H131" s="45" t="inlineStr">
        <is>
          <t>Charge</t>
        </is>
      </c>
      <c r="I131" s="45" t="inlineStr">
        <is>
          <t>Coûts directs</t>
        </is>
      </c>
      <c r="J131" s="45" t="inlineStr">
        <is>
          <t>2025ACT_VDEF</t>
        </is>
      </c>
      <c r="K131" s="45" t="inlineStr">
        <is>
          <t>2025 (N-1)</t>
        </is>
      </c>
      <c r="L131" s="13" t="n">
        <v>69137</v>
      </c>
    </row>
    <row r="132">
      <c r="A132" s="45" t="inlineStr">
        <is>
          <t>IPAC_BACHELOR_FACTORY_MONTPELLIER</t>
        </is>
      </c>
      <c r="B132" s="17" t="inlineStr">
        <is>
          <t>Ipac Bachelor Factory Montpellier</t>
        </is>
      </c>
      <c r="C132" s="45" t="inlineStr">
        <is>
          <t>Ipac Bachelor Factory</t>
        </is>
      </c>
      <c r="D132" s="45" t="inlineStr">
        <is>
          <t>Montpellier</t>
        </is>
      </c>
      <c r="E132" s="45" t="inlineStr">
        <is>
          <t>621</t>
        </is>
      </c>
      <c r="F132" s="17" t="inlineStr">
        <is>
          <t>Personnel extérieur — vacataires &amp; intervenants</t>
        </is>
      </c>
      <c r="G132" s="45" t="inlineStr">
        <is>
          <t>62 — Autres services extérieurs</t>
        </is>
      </c>
      <c r="H132" s="45" t="inlineStr">
        <is>
          <t>Charge</t>
        </is>
      </c>
      <c r="I132" s="45" t="inlineStr">
        <is>
          <t>Coûts directs</t>
        </is>
      </c>
      <c r="J132" s="45" t="inlineStr">
        <is>
          <t>2025ACT_VDEF</t>
        </is>
      </c>
      <c r="K132" s="45" t="inlineStr">
        <is>
          <t>2025 (N-1)</t>
        </is>
      </c>
      <c r="L132" s="13" t="n">
        <v>69137</v>
      </c>
    </row>
    <row r="133">
      <c r="A133" s="45" t="inlineStr">
        <is>
          <t>PIGIER_LYON</t>
        </is>
      </c>
      <c r="B133" s="17" t="inlineStr">
        <is>
          <t>Pigier Lyon</t>
        </is>
      </c>
      <c r="C133" s="45" t="inlineStr">
        <is>
          <t>Pigier</t>
        </is>
      </c>
      <c r="D133" s="45" t="inlineStr">
        <is>
          <t>Lyon</t>
        </is>
      </c>
      <c r="E133" s="45" t="inlineStr">
        <is>
          <t>621</t>
        </is>
      </c>
      <c r="F133" s="17" t="inlineStr">
        <is>
          <t>Personnel extérieur — vacataires &amp; intervenants</t>
        </is>
      </c>
      <c r="G133" s="45" t="inlineStr">
        <is>
          <t>62 — Autres services extérieurs</t>
        </is>
      </c>
      <c r="H133" s="45" t="inlineStr">
        <is>
          <t>Charge</t>
        </is>
      </c>
      <c r="I133" s="45" t="inlineStr">
        <is>
          <t>Coûts directs</t>
        </is>
      </c>
      <c r="J133" s="45" t="inlineStr">
        <is>
          <t>2025ACT_VDEF</t>
        </is>
      </c>
      <c r="K133" s="45" t="inlineStr">
        <is>
          <t>2025 (N-1)</t>
        </is>
      </c>
      <c r="L133" s="13" t="n">
        <v>92183</v>
      </c>
    </row>
    <row r="134">
      <c r="A134" s="45" t="inlineStr">
        <is>
          <t>PIGIER_BORDEAUX</t>
        </is>
      </c>
      <c r="B134" s="17" t="inlineStr">
        <is>
          <t>Pigier Bordeaux</t>
        </is>
      </c>
      <c r="C134" s="45" t="inlineStr">
        <is>
          <t>Pigier</t>
        </is>
      </c>
      <c r="D134" s="45" t="inlineStr">
        <is>
          <t>Bordeaux</t>
        </is>
      </c>
      <c r="E134" s="45" t="inlineStr">
        <is>
          <t>621</t>
        </is>
      </c>
      <c r="F134" s="17" t="inlineStr">
        <is>
          <t>Personnel extérieur — vacataires &amp; intervenants</t>
        </is>
      </c>
      <c r="G134" s="45" t="inlineStr">
        <is>
          <t>62 — Autres services extérieurs</t>
        </is>
      </c>
      <c r="H134" s="45" t="inlineStr">
        <is>
          <t>Charge</t>
        </is>
      </c>
      <c r="I134" s="45" t="inlineStr">
        <is>
          <t>Coûts directs</t>
        </is>
      </c>
      <c r="J134" s="45" t="inlineStr">
        <is>
          <t>2025ACT_VDEF</t>
        </is>
      </c>
      <c r="K134" s="45" t="inlineStr">
        <is>
          <t>2025 (N-1)</t>
        </is>
      </c>
      <c r="L134" s="13" t="n">
        <v>92183</v>
      </c>
    </row>
    <row r="135">
      <c r="A135" s="45" t="inlineStr">
        <is>
          <t>TUNON_PARIS</t>
        </is>
      </c>
      <c r="B135" s="17" t="inlineStr">
        <is>
          <t>Tunon Paris</t>
        </is>
      </c>
      <c r="C135" s="45" t="inlineStr">
        <is>
          <t>Tunon</t>
        </is>
      </c>
      <c r="D135" s="45" t="inlineStr">
        <is>
          <t>Paris</t>
        </is>
      </c>
      <c r="E135" s="45" t="inlineStr">
        <is>
          <t>621</t>
        </is>
      </c>
      <c r="F135" s="17" t="inlineStr">
        <is>
          <t>Personnel extérieur — vacataires &amp; intervenants</t>
        </is>
      </c>
      <c r="G135" s="45" t="inlineStr">
        <is>
          <t>62 — Autres services extérieurs</t>
        </is>
      </c>
      <c r="H135" s="45" t="inlineStr">
        <is>
          <t>Charge</t>
        </is>
      </c>
      <c r="I135" s="45" t="inlineStr">
        <is>
          <t>Coûts directs</t>
        </is>
      </c>
      <c r="J135" s="45" t="inlineStr">
        <is>
          <t>2025ACT_VDEF</t>
        </is>
      </c>
      <c r="K135" s="45" t="inlineStr">
        <is>
          <t>2025 (N-1)</t>
        </is>
      </c>
      <c r="L135" s="13" t="n">
        <v>69137</v>
      </c>
    </row>
    <row r="136">
      <c r="A136" s="45" t="inlineStr">
        <is>
          <t>TUNON_LYON</t>
        </is>
      </c>
      <c r="B136" s="17" t="inlineStr">
        <is>
          <t>Tunon Lyon</t>
        </is>
      </c>
      <c r="C136" s="45" t="inlineStr">
        <is>
          <t>Tunon</t>
        </is>
      </c>
      <c r="D136" s="45" t="inlineStr">
        <is>
          <t>Lyon</t>
        </is>
      </c>
      <c r="E136" s="45" t="inlineStr">
        <is>
          <t>621</t>
        </is>
      </c>
      <c r="F136" s="17" t="inlineStr">
        <is>
          <t>Personnel extérieur — vacataires &amp; intervenants</t>
        </is>
      </c>
      <c r="G136" s="45" t="inlineStr">
        <is>
          <t>62 — Autres services extérieurs</t>
        </is>
      </c>
      <c r="H136" s="45" t="inlineStr">
        <is>
          <t>Charge</t>
        </is>
      </c>
      <c r="I136" s="45" t="inlineStr">
        <is>
          <t>Coûts directs</t>
        </is>
      </c>
      <c r="J136" s="45" t="inlineStr">
        <is>
          <t>2025ACT_VDEF</t>
        </is>
      </c>
      <c r="K136" s="45" t="inlineStr">
        <is>
          <t>2025 (N-1)</t>
        </is>
      </c>
      <c r="L136" s="13" t="n">
        <v>69137</v>
      </c>
    </row>
    <row r="137">
      <c r="A137" s="45" t="inlineStr">
        <is>
          <t>MBWAY_PARIS</t>
        </is>
      </c>
      <c r="B137" s="17" t="inlineStr">
        <is>
          <t>MBway Paris</t>
        </is>
      </c>
      <c r="C137" s="45" t="inlineStr">
        <is>
          <t>MBway</t>
        </is>
      </c>
      <c r="D137" s="45" t="inlineStr">
        <is>
          <t>Paris</t>
        </is>
      </c>
      <c r="E137" s="45" t="inlineStr">
        <is>
          <t>621</t>
        </is>
      </c>
      <c r="F137" s="17" t="inlineStr">
        <is>
          <t>Personnel extérieur — vacataires &amp; intervenants</t>
        </is>
      </c>
      <c r="G137" s="45" t="inlineStr">
        <is>
          <t>62 — Autres services extérieurs</t>
        </is>
      </c>
      <c r="H137" s="45" t="inlineStr">
        <is>
          <t>Charge</t>
        </is>
      </c>
      <c r="I137" s="45" t="inlineStr">
        <is>
          <t>Coûts directs</t>
        </is>
      </c>
      <c r="J137" s="45" t="inlineStr">
        <is>
          <t>2026ATT_VDEF</t>
        </is>
      </c>
      <c r="K137" s="45" t="inlineStr">
        <is>
          <t>2026 (Atterr.)</t>
        </is>
      </c>
      <c r="L137" s="13" t="n">
        <v>181094</v>
      </c>
    </row>
    <row r="138">
      <c r="A138" s="45" t="inlineStr">
        <is>
          <t>MBWAY_LYON</t>
        </is>
      </c>
      <c r="B138" s="17" t="inlineStr">
        <is>
          <t>MBway Lyon</t>
        </is>
      </c>
      <c r="C138" s="45" t="inlineStr">
        <is>
          <t>MBway</t>
        </is>
      </c>
      <c r="D138" s="45" t="inlineStr">
        <is>
          <t>Lyon</t>
        </is>
      </c>
      <c r="E138" s="45" t="inlineStr">
        <is>
          <t>621</t>
        </is>
      </c>
      <c r="F138" s="17" t="inlineStr">
        <is>
          <t>Personnel extérieur — vacataires &amp; intervenants</t>
        </is>
      </c>
      <c r="G138" s="45" t="inlineStr">
        <is>
          <t>62 — Autres services extérieurs</t>
        </is>
      </c>
      <c r="H138" s="45" t="inlineStr">
        <is>
          <t>Charge</t>
        </is>
      </c>
      <c r="I138" s="45" t="inlineStr">
        <is>
          <t>Coûts directs</t>
        </is>
      </c>
      <c r="J138" s="45" t="inlineStr">
        <is>
          <t>2026ATT_VDEF</t>
        </is>
      </c>
      <c r="K138" s="45" t="inlineStr">
        <is>
          <t>2026 (Atterr.)</t>
        </is>
      </c>
      <c r="L138" s="13" t="n">
        <v>156948</v>
      </c>
    </row>
    <row r="139">
      <c r="A139" s="45" t="inlineStr">
        <is>
          <t>MBWAY_NANTES</t>
        </is>
      </c>
      <c r="B139" s="17" t="inlineStr">
        <is>
          <t>MBway Nantes</t>
        </is>
      </c>
      <c r="C139" s="45" t="inlineStr">
        <is>
          <t>MBway</t>
        </is>
      </c>
      <c r="D139" s="45" t="inlineStr">
        <is>
          <t>Nantes</t>
        </is>
      </c>
      <c r="E139" s="45" t="inlineStr">
        <is>
          <t>621</t>
        </is>
      </c>
      <c r="F139" s="17" t="inlineStr">
        <is>
          <t>Personnel extérieur — vacataires &amp; intervenants</t>
        </is>
      </c>
      <c r="G139" s="45" t="inlineStr">
        <is>
          <t>62 — Autres services extérieurs</t>
        </is>
      </c>
      <c r="H139" s="45" t="inlineStr">
        <is>
          <t>Charge</t>
        </is>
      </c>
      <c r="I139" s="45" t="inlineStr">
        <is>
          <t>Coûts directs</t>
        </is>
      </c>
      <c r="J139" s="45" t="inlineStr">
        <is>
          <t>2026ATT_VDEF</t>
        </is>
      </c>
      <c r="K139" s="45" t="inlineStr">
        <is>
          <t>2026 (Atterr.)</t>
        </is>
      </c>
      <c r="L139" s="13" t="n">
        <v>144875</v>
      </c>
    </row>
    <row r="140">
      <c r="A140" s="45" t="inlineStr">
        <is>
          <t>MBWAY_BORDEAUX</t>
        </is>
      </c>
      <c r="B140" s="17" t="inlineStr">
        <is>
          <t>MBway Bordeaux</t>
        </is>
      </c>
      <c r="C140" s="45" t="inlineStr">
        <is>
          <t>MBway</t>
        </is>
      </c>
      <c r="D140" s="45" t="inlineStr">
        <is>
          <t>Bordeaux</t>
        </is>
      </c>
      <c r="E140" s="45" t="inlineStr">
        <is>
          <t>621</t>
        </is>
      </c>
      <c r="F140" s="17" t="inlineStr">
        <is>
          <t>Personnel extérieur — vacataires &amp; intervenants</t>
        </is>
      </c>
      <c r="G140" s="45" t="inlineStr">
        <is>
          <t>62 — Autres services extérieurs</t>
        </is>
      </c>
      <c r="H140" s="45" t="inlineStr">
        <is>
          <t>Charge</t>
        </is>
      </c>
      <c r="I140" s="45" t="inlineStr">
        <is>
          <t>Coûts directs</t>
        </is>
      </c>
      <c r="J140" s="45" t="inlineStr">
        <is>
          <t>2026ATT_VDEF</t>
        </is>
      </c>
      <c r="K140" s="45" t="inlineStr">
        <is>
          <t>2026 (Atterr.)</t>
        </is>
      </c>
      <c r="L140" s="13" t="n">
        <v>120729</v>
      </c>
    </row>
    <row r="141">
      <c r="A141" s="45" t="inlineStr">
        <is>
          <t>ISCOM_PARIS</t>
        </is>
      </c>
      <c r="B141" s="17" t="inlineStr">
        <is>
          <t>ISCOM Paris</t>
        </is>
      </c>
      <c r="C141" s="45" t="inlineStr">
        <is>
          <t>ISCOM</t>
        </is>
      </c>
      <c r="D141" s="45" t="inlineStr">
        <is>
          <t>Paris</t>
        </is>
      </c>
      <c r="E141" s="45" t="inlineStr">
        <is>
          <t>621</t>
        </is>
      </c>
      <c r="F141" s="17" t="inlineStr">
        <is>
          <t>Personnel extérieur — vacataires &amp; intervenants</t>
        </is>
      </c>
      <c r="G141" s="45" t="inlineStr">
        <is>
          <t>62 — Autres services extérieurs</t>
        </is>
      </c>
      <c r="H141" s="45" t="inlineStr">
        <is>
          <t>Charge</t>
        </is>
      </c>
      <c r="I141" s="45" t="inlineStr">
        <is>
          <t>Coûts directs</t>
        </is>
      </c>
      <c r="J141" s="45" t="inlineStr">
        <is>
          <t>2026ATT_VDEF</t>
        </is>
      </c>
      <c r="K141" s="45" t="inlineStr">
        <is>
          <t>2026 (Atterr.)</t>
        </is>
      </c>
      <c r="L141" s="13" t="n">
        <v>181094</v>
      </c>
    </row>
    <row r="142">
      <c r="A142" s="45" t="inlineStr">
        <is>
          <t>ISCOM_LILLE</t>
        </is>
      </c>
      <c r="B142" s="17" t="inlineStr">
        <is>
          <t>ISCOM Lille</t>
        </is>
      </c>
      <c r="C142" s="45" t="inlineStr">
        <is>
          <t>ISCOM</t>
        </is>
      </c>
      <c r="D142" s="45" t="inlineStr">
        <is>
          <t>Lille</t>
        </is>
      </c>
      <c r="E142" s="45" t="inlineStr">
        <is>
          <t>621</t>
        </is>
      </c>
      <c r="F142" s="17" t="inlineStr">
        <is>
          <t>Personnel extérieur — vacataires &amp; intervenants</t>
        </is>
      </c>
      <c r="G142" s="45" t="inlineStr">
        <is>
          <t>62 — Autres services extérieurs</t>
        </is>
      </c>
      <c r="H142" s="45" t="inlineStr">
        <is>
          <t>Charge</t>
        </is>
      </c>
      <c r="I142" s="45" t="inlineStr">
        <is>
          <t>Coûts directs</t>
        </is>
      </c>
      <c r="J142" s="45" t="inlineStr">
        <is>
          <t>2026ATT_VDEF</t>
        </is>
      </c>
      <c r="K142" s="45" t="inlineStr">
        <is>
          <t>2026 (Atterr.)</t>
        </is>
      </c>
      <c r="L142" s="13" t="n">
        <v>120729</v>
      </c>
    </row>
    <row r="143">
      <c r="A143" s="45" t="inlineStr">
        <is>
          <t>ISCOM_TOULOUSE</t>
        </is>
      </c>
      <c r="B143" s="17" t="inlineStr">
        <is>
          <t>ISCOM Toulouse</t>
        </is>
      </c>
      <c r="C143" s="45" t="inlineStr">
        <is>
          <t>ISCOM</t>
        </is>
      </c>
      <c r="D143" s="45" t="inlineStr">
        <is>
          <t>Toulouse</t>
        </is>
      </c>
      <c r="E143" s="45" t="inlineStr">
        <is>
          <t>621</t>
        </is>
      </c>
      <c r="F143" s="17" t="inlineStr">
        <is>
          <t>Personnel extérieur — vacataires &amp; intervenants</t>
        </is>
      </c>
      <c r="G143" s="45" t="inlineStr">
        <is>
          <t>62 — Autres services extérieurs</t>
        </is>
      </c>
      <c r="H143" s="45" t="inlineStr">
        <is>
          <t>Charge</t>
        </is>
      </c>
      <c r="I143" s="45" t="inlineStr">
        <is>
          <t>Coûts directs</t>
        </is>
      </c>
      <c r="J143" s="45" t="inlineStr">
        <is>
          <t>2026ATT_VDEF</t>
        </is>
      </c>
      <c r="K143" s="45" t="inlineStr">
        <is>
          <t>2026 (Atterr.)</t>
        </is>
      </c>
      <c r="L143" s="13" t="n">
        <v>120729</v>
      </c>
    </row>
    <row r="144">
      <c r="A144" s="45" t="inlineStr">
        <is>
          <t>IPAC_BACHELOR_FACTORY_NANTES</t>
        </is>
      </c>
      <c r="B144" s="17" t="inlineStr">
        <is>
          <t>Ipac Bachelor Factory Nantes</t>
        </is>
      </c>
      <c r="C144" s="45" t="inlineStr">
        <is>
          <t>Ipac Bachelor Factory</t>
        </is>
      </c>
      <c r="D144" s="45" t="inlineStr">
        <is>
          <t>Nantes</t>
        </is>
      </c>
      <c r="E144" s="45" t="inlineStr">
        <is>
          <t>621</t>
        </is>
      </c>
      <c r="F144" s="17" t="inlineStr">
        <is>
          <t>Personnel extérieur — vacataires &amp; intervenants</t>
        </is>
      </c>
      <c r="G144" s="45" t="inlineStr">
        <is>
          <t>62 — Autres services extérieurs</t>
        </is>
      </c>
      <c r="H144" s="45" t="inlineStr">
        <is>
          <t>Charge</t>
        </is>
      </c>
      <c r="I144" s="45" t="inlineStr">
        <is>
          <t>Coûts directs</t>
        </is>
      </c>
      <c r="J144" s="45" t="inlineStr">
        <is>
          <t>2026ATT_VDEF</t>
        </is>
      </c>
      <c r="K144" s="45" t="inlineStr">
        <is>
          <t>2026 (Atterr.)</t>
        </is>
      </c>
      <c r="L144" s="13" t="n">
        <v>72438</v>
      </c>
    </row>
    <row r="145">
      <c r="A145" s="45" t="inlineStr">
        <is>
          <t>IPAC_BACHELOR_FACTORY_RENNES</t>
        </is>
      </c>
      <c r="B145" s="17" t="inlineStr">
        <is>
          <t>Ipac Bachelor Factory Rennes</t>
        </is>
      </c>
      <c r="C145" s="45" t="inlineStr">
        <is>
          <t>Ipac Bachelor Factory</t>
        </is>
      </c>
      <c r="D145" s="45" t="inlineStr">
        <is>
          <t>Rennes</t>
        </is>
      </c>
      <c r="E145" s="45" t="inlineStr">
        <is>
          <t>621</t>
        </is>
      </c>
      <c r="F145" s="17" t="inlineStr">
        <is>
          <t>Personnel extérieur — vacataires &amp; intervenants</t>
        </is>
      </c>
      <c r="G145" s="45" t="inlineStr">
        <is>
          <t>62 — Autres services extérieurs</t>
        </is>
      </c>
      <c r="H145" s="45" t="inlineStr">
        <is>
          <t>Charge</t>
        </is>
      </c>
      <c r="I145" s="45" t="inlineStr">
        <is>
          <t>Coûts directs</t>
        </is>
      </c>
      <c r="J145" s="45" t="inlineStr">
        <is>
          <t>2026ATT_VDEF</t>
        </is>
      </c>
      <c r="K145" s="45" t="inlineStr">
        <is>
          <t>2026 (Atterr.)</t>
        </is>
      </c>
      <c r="L145" s="13" t="n">
        <v>72438</v>
      </c>
    </row>
    <row r="146">
      <c r="A146" s="45" t="inlineStr">
        <is>
          <t>IPAC_BACHELOR_FACTORY_MONTPELLIER</t>
        </is>
      </c>
      <c r="B146" s="17" t="inlineStr">
        <is>
          <t>Ipac Bachelor Factory Montpellier</t>
        </is>
      </c>
      <c r="C146" s="45" t="inlineStr">
        <is>
          <t>Ipac Bachelor Factory</t>
        </is>
      </c>
      <c r="D146" s="45" t="inlineStr">
        <is>
          <t>Montpellier</t>
        </is>
      </c>
      <c r="E146" s="45" t="inlineStr">
        <is>
          <t>621</t>
        </is>
      </c>
      <c r="F146" s="17" t="inlineStr">
        <is>
          <t>Personnel extérieur — vacataires &amp; intervenants</t>
        </is>
      </c>
      <c r="G146" s="45" t="inlineStr">
        <is>
          <t>62 — Autres services extérieurs</t>
        </is>
      </c>
      <c r="H146" s="45" t="inlineStr">
        <is>
          <t>Charge</t>
        </is>
      </c>
      <c r="I146" s="45" t="inlineStr">
        <is>
          <t>Coûts directs</t>
        </is>
      </c>
      <c r="J146" s="45" t="inlineStr">
        <is>
          <t>2026ATT_VDEF</t>
        </is>
      </c>
      <c r="K146" s="45" t="inlineStr">
        <is>
          <t>2026 (Atterr.)</t>
        </is>
      </c>
      <c r="L146" s="13" t="n">
        <v>72438</v>
      </c>
    </row>
    <row r="147">
      <c r="A147" s="45" t="inlineStr">
        <is>
          <t>PIGIER_LYON</t>
        </is>
      </c>
      <c r="B147" s="17" t="inlineStr">
        <is>
          <t>Pigier Lyon</t>
        </is>
      </c>
      <c r="C147" s="45" t="inlineStr">
        <is>
          <t>Pigier</t>
        </is>
      </c>
      <c r="D147" s="45" t="inlineStr">
        <is>
          <t>Lyon</t>
        </is>
      </c>
      <c r="E147" s="45" t="inlineStr">
        <is>
          <t>621</t>
        </is>
      </c>
      <c r="F147" s="17" t="inlineStr">
        <is>
          <t>Personnel extérieur — vacataires &amp; intervenants</t>
        </is>
      </c>
      <c r="G147" s="45" t="inlineStr">
        <is>
          <t>62 — Autres services extérieurs</t>
        </is>
      </c>
      <c r="H147" s="45" t="inlineStr">
        <is>
          <t>Charge</t>
        </is>
      </c>
      <c r="I147" s="45" t="inlineStr">
        <is>
          <t>Coûts directs</t>
        </is>
      </c>
      <c r="J147" s="45" t="inlineStr">
        <is>
          <t>2026ATT_VDEF</t>
        </is>
      </c>
      <c r="K147" s="45" t="inlineStr">
        <is>
          <t>2026 (Atterr.)</t>
        </is>
      </c>
      <c r="L147" s="13" t="n">
        <v>96583</v>
      </c>
    </row>
    <row r="148">
      <c r="A148" s="45" t="inlineStr">
        <is>
          <t>PIGIER_BORDEAUX</t>
        </is>
      </c>
      <c r="B148" s="17" t="inlineStr">
        <is>
          <t>Pigier Bordeaux</t>
        </is>
      </c>
      <c r="C148" s="45" t="inlineStr">
        <is>
          <t>Pigier</t>
        </is>
      </c>
      <c r="D148" s="45" t="inlineStr">
        <is>
          <t>Bordeaux</t>
        </is>
      </c>
      <c r="E148" s="45" t="inlineStr">
        <is>
          <t>621</t>
        </is>
      </c>
      <c r="F148" s="17" t="inlineStr">
        <is>
          <t>Personnel extérieur — vacataires &amp; intervenants</t>
        </is>
      </c>
      <c r="G148" s="45" t="inlineStr">
        <is>
          <t>62 — Autres services extérieurs</t>
        </is>
      </c>
      <c r="H148" s="45" t="inlineStr">
        <is>
          <t>Charge</t>
        </is>
      </c>
      <c r="I148" s="45" t="inlineStr">
        <is>
          <t>Coûts directs</t>
        </is>
      </c>
      <c r="J148" s="45" t="inlineStr">
        <is>
          <t>2026ATT_VDEF</t>
        </is>
      </c>
      <c r="K148" s="45" t="inlineStr">
        <is>
          <t>2026 (Atterr.)</t>
        </is>
      </c>
      <c r="L148" s="13" t="n">
        <v>96583</v>
      </c>
    </row>
    <row r="149">
      <c r="A149" s="45" t="inlineStr">
        <is>
          <t>TUNON_PARIS</t>
        </is>
      </c>
      <c r="B149" s="17" t="inlineStr">
        <is>
          <t>Tunon Paris</t>
        </is>
      </c>
      <c r="C149" s="45" t="inlineStr">
        <is>
          <t>Tunon</t>
        </is>
      </c>
      <c r="D149" s="45" t="inlineStr">
        <is>
          <t>Paris</t>
        </is>
      </c>
      <c r="E149" s="45" t="inlineStr">
        <is>
          <t>621</t>
        </is>
      </c>
      <c r="F149" s="17" t="inlineStr">
        <is>
          <t>Personnel extérieur — vacataires &amp; intervenants</t>
        </is>
      </c>
      <c r="G149" s="45" t="inlineStr">
        <is>
          <t>62 — Autres services extérieurs</t>
        </is>
      </c>
      <c r="H149" s="45" t="inlineStr">
        <is>
          <t>Charge</t>
        </is>
      </c>
      <c r="I149" s="45" t="inlineStr">
        <is>
          <t>Coûts directs</t>
        </is>
      </c>
      <c r="J149" s="45" t="inlineStr">
        <is>
          <t>2026ATT_VDEF</t>
        </is>
      </c>
      <c r="K149" s="45" t="inlineStr">
        <is>
          <t>2026 (Atterr.)</t>
        </is>
      </c>
      <c r="L149" s="13" t="n">
        <v>72438</v>
      </c>
    </row>
    <row r="150">
      <c r="A150" s="45" t="inlineStr">
        <is>
          <t>TUNON_LYON</t>
        </is>
      </c>
      <c r="B150" s="17" t="inlineStr">
        <is>
          <t>Tunon Lyon</t>
        </is>
      </c>
      <c r="C150" s="45" t="inlineStr">
        <is>
          <t>Tunon</t>
        </is>
      </c>
      <c r="D150" s="45" t="inlineStr">
        <is>
          <t>Lyon</t>
        </is>
      </c>
      <c r="E150" s="45" t="inlineStr">
        <is>
          <t>621</t>
        </is>
      </c>
      <c r="F150" s="17" t="inlineStr">
        <is>
          <t>Personnel extérieur — vacataires &amp; intervenants</t>
        </is>
      </c>
      <c r="G150" s="45" t="inlineStr">
        <is>
          <t>62 — Autres services extérieurs</t>
        </is>
      </c>
      <c r="H150" s="45" t="inlineStr">
        <is>
          <t>Charge</t>
        </is>
      </c>
      <c r="I150" s="45" t="inlineStr">
        <is>
          <t>Coûts directs</t>
        </is>
      </c>
      <c r="J150" s="45" t="inlineStr">
        <is>
          <t>2026ATT_VDEF</t>
        </is>
      </c>
      <c r="K150" s="45" t="inlineStr">
        <is>
          <t>2026 (Atterr.)</t>
        </is>
      </c>
      <c r="L150" s="13" t="n">
        <v>72438</v>
      </c>
    </row>
    <row r="151">
      <c r="A151" s="45" t="inlineStr">
        <is>
          <t>MBWAY_PARIS</t>
        </is>
      </c>
      <c r="B151" s="17" t="inlineStr">
        <is>
          <t>MBway Paris</t>
        </is>
      </c>
      <c r="C151" s="45" t="inlineStr">
        <is>
          <t>MBway</t>
        </is>
      </c>
      <c r="D151" s="45" t="inlineStr">
        <is>
          <t>Paris</t>
        </is>
      </c>
      <c r="E151" s="45" t="inlineStr">
        <is>
          <t>604</t>
        </is>
      </c>
      <c r="F151" s="17" t="inlineStr">
        <is>
          <t>Sous-traitance pédagogique</t>
        </is>
      </c>
      <c r="G151" s="45" t="inlineStr">
        <is>
          <t>60 — Achats</t>
        </is>
      </c>
      <c r="H151" s="45" t="inlineStr">
        <is>
          <t>Charge</t>
        </is>
      </c>
      <c r="I151" s="45" t="inlineStr">
        <is>
          <t>Coûts directs</t>
        </is>
      </c>
      <c r="J151" s="45" t="inlineStr">
        <is>
          <t>2024ACT_VDEF</t>
        </is>
      </c>
      <c r="K151" s="45" t="inlineStr">
        <is>
          <t>2024 (N-2)</t>
        </is>
      </c>
      <c r="L151" s="13" t="n">
        <v>77832</v>
      </c>
    </row>
    <row r="152">
      <c r="A152" s="45" t="inlineStr">
        <is>
          <t>MBWAY_LYON</t>
        </is>
      </c>
      <c r="B152" s="17" t="inlineStr">
        <is>
          <t>MBway Lyon</t>
        </is>
      </c>
      <c r="C152" s="45" t="inlineStr">
        <is>
          <t>MBway</t>
        </is>
      </c>
      <c r="D152" s="45" t="inlineStr">
        <is>
          <t>Lyon</t>
        </is>
      </c>
      <c r="E152" s="45" t="inlineStr">
        <is>
          <t>604</t>
        </is>
      </c>
      <c r="F152" s="17" t="inlineStr">
        <is>
          <t>Sous-traitance pédagogique</t>
        </is>
      </c>
      <c r="G152" s="45" t="inlineStr">
        <is>
          <t>60 — Achats</t>
        </is>
      </c>
      <c r="H152" s="45" t="inlineStr">
        <is>
          <t>Charge</t>
        </is>
      </c>
      <c r="I152" s="45" t="inlineStr">
        <is>
          <t>Coûts directs</t>
        </is>
      </c>
      <c r="J152" s="45" t="inlineStr">
        <is>
          <t>2024ACT_VDEF</t>
        </is>
      </c>
      <c r="K152" s="45" t="inlineStr">
        <is>
          <t>2024 (N-2)</t>
        </is>
      </c>
      <c r="L152" s="13" t="n">
        <v>66015</v>
      </c>
    </row>
    <row r="153">
      <c r="A153" s="45" t="inlineStr">
        <is>
          <t>MBWAY_NANTES</t>
        </is>
      </c>
      <c r="B153" s="17" t="inlineStr">
        <is>
          <t>MBway Nantes</t>
        </is>
      </c>
      <c r="C153" s="45" t="inlineStr">
        <is>
          <t>MBway</t>
        </is>
      </c>
      <c r="D153" s="45" t="inlineStr">
        <is>
          <t>Nantes</t>
        </is>
      </c>
      <c r="E153" s="45" t="inlineStr">
        <is>
          <t>604</t>
        </is>
      </c>
      <c r="F153" s="17" t="inlineStr">
        <is>
          <t>Sous-traitance pédagogique</t>
        </is>
      </c>
      <c r="G153" s="45" t="inlineStr">
        <is>
          <t>60 — Achats</t>
        </is>
      </c>
      <c r="H153" s="45" t="inlineStr">
        <is>
          <t>Charge</t>
        </is>
      </c>
      <c r="I153" s="45" t="inlineStr">
        <is>
          <t>Coûts directs</t>
        </is>
      </c>
      <c r="J153" s="45" t="inlineStr">
        <is>
          <t>2024ACT_VDEF</t>
        </is>
      </c>
      <c r="K153" s="45" t="inlineStr">
        <is>
          <t>2024 (N-2)</t>
        </is>
      </c>
      <c r="L153" s="13" t="n">
        <v>59902</v>
      </c>
    </row>
    <row r="154">
      <c r="A154" s="45" t="inlineStr">
        <is>
          <t>MBWAY_BORDEAUX</t>
        </is>
      </c>
      <c r="B154" s="17" t="inlineStr">
        <is>
          <t>MBway Bordeaux</t>
        </is>
      </c>
      <c r="C154" s="45" t="inlineStr">
        <is>
          <t>MBway</t>
        </is>
      </c>
      <c r="D154" s="45" t="inlineStr">
        <is>
          <t>Bordeaux</t>
        </is>
      </c>
      <c r="E154" s="45" t="inlineStr">
        <is>
          <t>604</t>
        </is>
      </c>
      <c r="F154" s="17" t="inlineStr">
        <is>
          <t>Sous-traitance pédagogique</t>
        </is>
      </c>
      <c r="G154" s="45" t="inlineStr">
        <is>
          <t>60 — Achats</t>
        </is>
      </c>
      <c r="H154" s="45" t="inlineStr">
        <is>
          <t>Charge</t>
        </is>
      </c>
      <c r="I154" s="45" t="inlineStr">
        <is>
          <t>Coûts directs</t>
        </is>
      </c>
      <c r="J154" s="45" t="inlineStr">
        <is>
          <t>2024ACT_VDEF</t>
        </is>
      </c>
      <c r="K154" s="45" t="inlineStr">
        <is>
          <t>2024 (N-2)</t>
        </is>
      </c>
      <c r="L154" s="13" t="n">
        <v>50734</v>
      </c>
    </row>
    <row r="155">
      <c r="A155" s="45" t="inlineStr">
        <is>
          <t>ISCOM_PARIS</t>
        </is>
      </c>
      <c r="B155" s="17" t="inlineStr">
        <is>
          <t>ISCOM Paris</t>
        </is>
      </c>
      <c r="C155" s="45" t="inlineStr">
        <is>
          <t>ISCOM</t>
        </is>
      </c>
      <c r="D155" s="45" t="inlineStr">
        <is>
          <t>Paris</t>
        </is>
      </c>
      <c r="E155" s="45" t="inlineStr">
        <is>
          <t>604</t>
        </is>
      </c>
      <c r="F155" s="17" t="inlineStr">
        <is>
          <t>Sous-traitance pédagogique</t>
        </is>
      </c>
      <c r="G155" s="45" t="inlineStr">
        <is>
          <t>60 — Achats</t>
        </is>
      </c>
      <c r="H155" s="45" t="inlineStr">
        <is>
          <t>Charge</t>
        </is>
      </c>
      <c r="I155" s="45" t="inlineStr">
        <is>
          <t>Coûts directs</t>
        </is>
      </c>
      <c r="J155" s="45" t="inlineStr">
        <is>
          <t>2024ACT_VDEF</t>
        </is>
      </c>
      <c r="K155" s="45" t="inlineStr">
        <is>
          <t>2024 (N-2)</t>
        </is>
      </c>
      <c r="L155" s="13" t="n">
        <v>72127</v>
      </c>
    </row>
    <row r="156">
      <c r="A156" s="45" t="inlineStr">
        <is>
          <t>ISCOM_LILLE</t>
        </is>
      </c>
      <c r="B156" s="17" t="inlineStr">
        <is>
          <t>ISCOM Lille</t>
        </is>
      </c>
      <c r="C156" s="45" t="inlineStr">
        <is>
          <t>ISCOM</t>
        </is>
      </c>
      <c r="D156" s="45" t="inlineStr">
        <is>
          <t>Lille</t>
        </is>
      </c>
      <c r="E156" s="45" t="inlineStr">
        <is>
          <t>604</t>
        </is>
      </c>
      <c r="F156" s="17" t="inlineStr">
        <is>
          <t>Sous-traitance pédagogique</t>
        </is>
      </c>
      <c r="G156" s="45" t="inlineStr">
        <is>
          <t>60 — Achats</t>
        </is>
      </c>
      <c r="H156" s="45" t="inlineStr">
        <is>
          <t>Charge</t>
        </is>
      </c>
      <c r="I156" s="45" t="inlineStr">
        <is>
          <t>Coûts directs</t>
        </is>
      </c>
      <c r="J156" s="45" t="inlineStr">
        <is>
          <t>2024ACT_VDEF</t>
        </is>
      </c>
      <c r="K156" s="45" t="inlineStr">
        <is>
          <t>2024 (N-2)</t>
        </is>
      </c>
      <c r="L156" s="13" t="n">
        <v>49715</v>
      </c>
    </row>
    <row r="157">
      <c r="A157" s="45" t="inlineStr">
        <is>
          <t>ISCOM_TOULOUSE</t>
        </is>
      </c>
      <c r="B157" s="17" t="inlineStr">
        <is>
          <t>ISCOM Toulouse</t>
        </is>
      </c>
      <c r="C157" s="45" t="inlineStr">
        <is>
          <t>ISCOM</t>
        </is>
      </c>
      <c r="D157" s="45" t="inlineStr">
        <is>
          <t>Toulouse</t>
        </is>
      </c>
      <c r="E157" s="45" t="inlineStr">
        <is>
          <t>604</t>
        </is>
      </c>
      <c r="F157" s="17" t="inlineStr">
        <is>
          <t>Sous-traitance pédagogique</t>
        </is>
      </c>
      <c r="G157" s="45" t="inlineStr">
        <is>
          <t>60 — Achats</t>
        </is>
      </c>
      <c r="H157" s="45" t="inlineStr">
        <is>
          <t>Charge</t>
        </is>
      </c>
      <c r="I157" s="45" t="inlineStr">
        <is>
          <t>Coûts directs</t>
        </is>
      </c>
      <c r="J157" s="45" t="inlineStr">
        <is>
          <t>2024ACT_VDEF</t>
        </is>
      </c>
      <c r="K157" s="45" t="inlineStr">
        <is>
          <t>2024 (N-2)</t>
        </is>
      </c>
      <c r="L157" s="13" t="n">
        <v>47066</v>
      </c>
    </row>
    <row r="158">
      <c r="A158" s="45" t="inlineStr">
        <is>
          <t>IPAC_BACHELOR_FACTORY_NANTES</t>
        </is>
      </c>
      <c r="B158" s="17" t="inlineStr">
        <is>
          <t>Ipac Bachelor Factory Nantes</t>
        </is>
      </c>
      <c r="C158" s="45" t="inlineStr">
        <is>
          <t>Ipac Bachelor Factory</t>
        </is>
      </c>
      <c r="D158" s="45" t="inlineStr">
        <is>
          <t>Nantes</t>
        </is>
      </c>
      <c r="E158" s="45" t="inlineStr">
        <is>
          <t>604</t>
        </is>
      </c>
      <c r="F158" s="17" t="inlineStr">
        <is>
          <t>Sous-traitance pédagogique</t>
        </is>
      </c>
      <c r="G158" s="45" t="inlineStr">
        <is>
          <t>60 — Achats</t>
        </is>
      </c>
      <c r="H158" s="45" t="inlineStr">
        <is>
          <t>Charge</t>
        </is>
      </c>
      <c r="I158" s="45" t="inlineStr">
        <is>
          <t>Coûts directs</t>
        </is>
      </c>
      <c r="J158" s="45" t="inlineStr">
        <is>
          <t>2024ACT_VDEF</t>
        </is>
      </c>
      <c r="K158" s="45" t="inlineStr">
        <is>
          <t>2024 (N-2)</t>
        </is>
      </c>
      <c r="L158" s="13" t="n">
        <v>29544</v>
      </c>
    </row>
    <row r="159">
      <c r="A159" s="45" t="inlineStr">
        <is>
          <t>IPAC_BACHELOR_FACTORY_RENNES</t>
        </is>
      </c>
      <c r="B159" s="17" t="inlineStr">
        <is>
          <t>Ipac Bachelor Factory Rennes</t>
        </is>
      </c>
      <c r="C159" s="45" t="inlineStr">
        <is>
          <t>Ipac Bachelor Factory</t>
        </is>
      </c>
      <c r="D159" s="45" t="inlineStr">
        <is>
          <t>Rennes</t>
        </is>
      </c>
      <c r="E159" s="45" t="inlineStr">
        <is>
          <t>604</t>
        </is>
      </c>
      <c r="F159" s="17" t="inlineStr">
        <is>
          <t>Sous-traitance pédagogique</t>
        </is>
      </c>
      <c r="G159" s="45" t="inlineStr">
        <is>
          <t>60 — Achats</t>
        </is>
      </c>
      <c r="H159" s="45" t="inlineStr">
        <is>
          <t>Charge</t>
        </is>
      </c>
      <c r="I159" s="45" t="inlineStr">
        <is>
          <t>Coûts directs</t>
        </is>
      </c>
      <c r="J159" s="45" t="inlineStr">
        <is>
          <t>2024ACT_VDEF</t>
        </is>
      </c>
      <c r="K159" s="45" t="inlineStr">
        <is>
          <t>2024 (N-2)</t>
        </is>
      </c>
      <c r="L159" s="13" t="n">
        <v>23839</v>
      </c>
    </row>
    <row r="160">
      <c r="A160" s="45" t="inlineStr">
        <is>
          <t>IPAC_BACHELOR_FACTORY_MONTPELLIER</t>
        </is>
      </c>
      <c r="B160" s="17" t="inlineStr">
        <is>
          <t>Ipac Bachelor Factory Montpellier</t>
        </is>
      </c>
      <c r="C160" s="45" t="inlineStr">
        <is>
          <t>Ipac Bachelor Factory</t>
        </is>
      </c>
      <c r="D160" s="45" t="inlineStr">
        <is>
          <t>Montpellier</t>
        </is>
      </c>
      <c r="E160" s="45" t="inlineStr">
        <is>
          <t>604</t>
        </is>
      </c>
      <c r="F160" s="17" t="inlineStr">
        <is>
          <t>Sous-traitance pédagogique</t>
        </is>
      </c>
      <c r="G160" s="45" t="inlineStr">
        <is>
          <t>60 — Achats</t>
        </is>
      </c>
      <c r="H160" s="45" t="inlineStr">
        <is>
          <t>Charge</t>
        </is>
      </c>
      <c r="I160" s="45" t="inlineStr">
        <is>
          <t>Coûts directs</t>
        </is>
      </c>
      <c r="J160" s="45" t="inlineStr">
        <is>
          <t>2024ACT_VDEF</t>
        </is>
      </c>
      <c r="K160" s="45" t="inlineStr">
        <is>
          <t>2024 (N-2)</t>
        </is>
      </c>
      <c r="L160" s="13" t="n">
        <v>23839</v>
      </c>
    </row>
    <row r="161">
      <c r="A161" s="45" t="inlineStr">
        <is>
          <t>PIGIER_LYON</t>
        </is>
      </c>
      <c r="B161" s="17" t="inlineStr">
        <is>
          <t>Pigier Lyon</t>
        </is>
      </c>
      <c r="C161" s="45" t="inlineStr">
        <is>
          <t>Pigier</t>
        </is>
      </c>
      <c r="D161" s="45" t="inlineStr">
        <is>
          <t>Lyon</t>
        </is>
      </c>
      <c r="E161" s="45" t="inlineStr">
        <is>
          <t>604</t>
        </is>
      </c>
      <c r="F161" s="17" t="inlineStr">
        <is>
          <t>Sous-traitance pédagogique</t>
        </is>
      </c>
      <c r="G161" s="45" t="inlineStr">
        <is>
          <t>60 — Achats</t>
        </is>
      </c>
      <c r="H161" s="45" t="inlineStr">
        <is>
          <t>Charge</t>
        </is>
      </c>
      <c r="I161" s="45" t="inlineStr">
        <is>
          <t>Coûts directs</t>
        </is>
      </c>
      <c r="J161" s="45" t="inlineStr">
        <is>
          <t>2024ACT_VDEF</t>
        </is>
      </c>
      <c r="K161" s="45" t="inlineStr">
        <is>
          <t>2024 (N-2)</t>
        </is>
      </c>
      <c r="L161" s="13" t="n">
        <v>37082</v>
      </c>
    </row>
    <row r="162">
      <c r="A162" s="45" t="inlineStr">
        <is>
          <t>PIGIER_BORDEAUX</t>
        </is>
      </c>
      <c r="B162" s="17" t="inlineStr">
        <is>
          <t>Pigier Bordeaux</t>
        </is>
      </c>
      <c r="C162" s="45" t="inlineStr">
        <is>
          <t>Pigier</t>
        </is>
      </c>
      <c r="D162" s="45" t="inlineStr">
        <is>
          <t>Bordeaux</t>
        </is>
      </c>
      <c r="E162" s="45" t="inlineStr">
        <is>
          <t>604</t>
        </is>
      </c>
      <c r="F162" s="17" t="inlineStr">
        <is>
          <t>Sous-traitance pédagogique</t>
        </is>
      </c>
      <c r="G162" s="45" t="inlineStr">
        <is>
          <t>60 — Achats</t>
        </is>
      </c>
      <c r="H162" s="45" t="inlineStr">
        <is>
          <t>Charge</t>
        </is>
      </c>
      <c r="I162" s="45" t="inlineStr">
        <is>
          <t>Coûts directs</t>
        </is>
      </c>
      <c r="J162" s="45" t="inlineStr">
        <is>
          <t>2024ACT_VDEF</t>
        </is>
      </c>
      <c r="K162" s="45" t="inlineStr">
        <is>
          <t>2024 (N-2)</t>
        </is>
      </c>
      <c r="L162" s="13" t="n">
        <v>28932</v>
      </c>
    </row>
    <row r="163">
      <c r="A163" s="45" t="inlineStr">
        <is>
          <t>TUNON_PARIS</t>
        </is>
      </c>
      <c r="B163" s="17" t="inlineStr">
        <is>
          <t>Tunon Paris</t>
        </is>
      </c>
      <c r="C163" s="45" t="inlineStr">
        <is>
          <t>Tunon</t>
        </is>
      </c>
      <c r="D163" s="45" t="inlineStr">
        <is>
          <t>Paris</t>
        </is>
      </c>
      <c r="E163" s="45" t="inlineStr">
        <is>
          <t>604</t>
        </is>
      </c>
      <c r="F163" s="17" t="inlineStr">
        <is>
          <t>Sous-traitance pédagogique</t>
        </is>
      </c>
      <c r="G163" s="45" t="inlineStr">
        <is>
          <t>60 — Achats</t>
        </is>
      </c>
      <c r="H163" s="45" t="inlineStr">
        <is>
          <t>Charge</t>
        </is>
      </c>
      <c r="I163" s="45" t="inlineStr">
        <is>
          <t>Coûts directs</t>
        </is>
      </c>
      <c r="J163" s="45" t="inlineStr">
        <is>
          <t>2024ACT_VDEF</t>
        </is>
      </c>
      <c r="K163" s="45" t="inlineStr">
        <is>
          <t>2024 (N-2)</t>
        </is>
      </c>
      <c r="L163" s="13" t="n">
        <v>28117</v>
      </c>
    </row>
    <row r="164">
      <c r="A164" s="45" t="inlineStr">
        <is>
          <t>TUNON_LYON</t>
        </is>
      </c>
      <c r="B164" s="17" t="inlineStr">
        <is>
          <t>Tunon Lyon</t>
        </is>
      </c>
      <c r="C164" s="45" t="inlineStr">
        <is>
          <t>Tunon</t>
        </is>
      </c>
      <c r="D164" s="45" t="inlineStr">
        <is>
          <t>Lyon</t>
        </is>
      </c>
      <c r="E164" s="45" t="inlineStr">
        <is>
          <t>604</t>
        </is>
      </c>
      <c r="F164" s="17" t="inlineStr">
        <is>
          <t>Sous-traitance pédagogique</t>
        </is>
      </c>
      <c r="G164" s="45" t="inlineStr">
        <is>
          <t>60 — Achats</t>
        </is>
      </c>
      <c r="H164" s="45" t="inlineStr">
        <is>
          <t>Charge</t>
        </is>
      </c>
      <c r="I164" s="45" t="inlineStr">
        <is>
          <t>Coûts directs</t>
        </is>
      </c>
      <c r="J164" s="45" t="inlineStr">
        <is>
          <t>2024ACT_VDEF</t>
        </is>
      </c>
      <c r="K164" s="45" t="inlineStr">
        <is>
          <t>2024 (N-2)</t>
        </is>
      </c>
      <c r="L164" s="13" t="n">
        <v>23839</v>
      </c>
    </row>
    <row r="165">
      <c r="A165" s="45" t="inlineStr">
        <is>
          <t>MBWAY_PARIS</t>
        </is>
      </c>
      <c r="B165" s="17" t="inlineStr">
        <is>
          <t>MBway Paris</t>
        </is>
      </c>
      <c r="C165" s="45" t="inlineStr">
        <is>
          <t>MBway</t>
        </is>
      </c>
      <c r="D165" s="45" t="inlineStr">
        <is>
          <t>Paris</t>
        </is>
      </c>
      <c r="E165" s="45" t="inlineStr">
        <is>
          <t>604</t>
        </is>
      </c>
      <c r="F165" s="17" t="inlineStr">
        <is>
          <t>Sous-traitance pédagogique</t>
        </is>
      </c>
      <c r="G165" s="45" t="inlineStr">
        <is>
          <t>60 — Achats</t>
        </is>
      </c>
      <c r="H165" s="45" t="inlineStr">
        <is>
          <t>Charge</t>
        </is>
      </c>
      <c r="I165" s="45" t="inlineStr">
        <is>
          <t>Coûts directs</t>
        </is>
      </c>
      <c r="J165" s="45" t="inlineStr">
        <is>
          <t>2025ACT_VDEF</t>
        </is>
      </c>
      <c r="K165" s="45" t="inlineStr">
        <is>
          <t>2025 (N-1)</t>
        </is>
      </c>
      <c r="L165" s="13" t="n">
        <v>81399</v>
      </c>
    </row>
    <row r="166">
      <c r="A166" s="45" t="inlineStr">
        <is>
          <t>MBWAY_LYON</t>
        </is>
      </c>
      <c r="B166" s="17" t="inlineStr">
        <is>
          <t>MBway Lyon</t>
        </is>
      </c>
      <c r="C166" s="45" t="inlineStr">
        <is>
          <t>MBway</t>
        </is>
      </c>
      <c r="D166" s="45" t="inlineStr">
        <is>
          <t>Lyon</t>
        </is>
      </c>
      <c r="E166" s="45" t="inlineStr">
        <is>
          <t>604</t>
        </is>
      </c>
      <c r="F166" s="17" t="inlineStr">
        <is>
          <t>Sous-traitance pédagogique</t>
        </is>
      </c>
      <c r="G166" s="45" t="inlineStr">
        <is>
          <t>60 — Achats</t>
        </is>
      </c>
      <c r="H166" s="45" t="inlineStr">
        <is>
          <t>Charge</t>
        </is>
      </c>
      <c r="I166" s="45" t="inlineStr">
        <is>
          <t>Coûts directs</t>
        </is>
      </c>
      <c r="J166" s="45" t="inlineStr">
        <is>
          <t>2025ACT_VDEF</t>
        </is>
      </c>
      <c r="K166" s="45" t="inlineStr">
        <is>
          <t>2025 (N-1)</t>
        </is>
      </c>
      <c r="L166" s="13" t="n">
        <v>69040</v>
      </c>
    </row>
    <row r="167">
      <c r="A167" s="45" t="inlineStr">
        <is>
          <t>MBWAY_NANTES</t>
        </is>
      </c>
      <c r="B167" s="17" t="inlineStr">
        <is>
          <t>MBway Nantes</t>
        </is>
      </c>
      <c r="C167" s="45" t="inlineStr">
        <is>
          <t>MBway</t>
        </is>
      </c>
      <c r="D167" s="45" t="inlineStr">
        <is>
          <t>Nantes</t>
        </is>
      </c>
      <c r="E167" s="45" t="inlineStr">
        <is>
          <t>604</t>
        </is>
      </c>
      <c r="F167" s="17" t="inlineStr">
        <is>
          <t>Sous-traitance pédagogique</t>
        </is>
      </c>
      <c r="G167" s="45" t="inlineStr">
        <is>
          <t>60 — Achats</t>
        </is>
      </c>
      <c r="H167" s="45" t="inlineStr">
        <is>
          <t>Charge</t>
        </is>
      </c>
      <c r="I167" s="45" t="inlineStr">
        <is>
          <t>Coûts directs</t>
        </is>
      </c>
      <c r="J167" s="45" t="inlineStr">
        <is>
          <t>2025ACT_VDEF</t>
        </is>
      </c>
      <c r="K167" s="45" t="inlineStr">
        <is>
          <t>2025 (N-1)</t>
        </is>
      </c>
      <c r="L167" s="13" t="n">
        <v>62647</v>
      </c>
    </row>
    <row r="168">
      <c r="A168" s="45" t="inlineStr">
        <is>
          <t>MBWAY_BORDEAUX</t>
        </is>
      </c>
      <c r="B168" s="17" t="inlineStr">
        <is>
          <t>MBway Bordeaux</t>
        </is>
      </c>
      <c r="C168" s="45" t="inlineStr">
        <is>
          <t>MBway</t>
        </is>
      </c>
      <c r="D168" s="45" t="inlineStr">
        <is>
          <t>Bordeaux</t>
        </is>
      </c>
      <c r="E168" s="45" t="inlineStr">
        <is>
          <t>604</t>
        </is>
      </c>
      <c r="F168" s="17" t="inlineStr">
        <is>
          <t>Sous-traitance pédagogique</t>
        </is>
      </c>
      <c r="G168" s="45" t="inlineStr">
        <is>
          <t>60 — Achats</t>
        </is>
      </c>
      <c r="H168" s="45" t="inlineStr">
        <is>
          <t>Charge</t>
        </is>
      </c>
      <c r="I168" s="45" t="inlineStr">
        <is>
          <t>Coûts directs</t>
        </is>
      </c>
      <c r="J168" s="45" t="inlineStr">
        <is>
          <t>2025ACT_VDEF</t>
        </is>
      </c>
      <c r="K168" s="45" t="inlineStr">
        <is>
          <t>2025 (N-1)</t>
        </is>
      </c>
      <c r="L168" s="13" t="n">
        <v>53058</v>
      </c>
    </row>
    <row r="169">
      <c r="A169" s="45" t="inlineStr">
        <is>
          <t>ISCOM_PARIS</t>
        </is>
      </c>
      <c r="B169" s="17" t="inlineStr">
        <is>
          <t>ISCOM Paris</t>
        </is>
      </c>
      <c r="C169" s="45" t="inlineStr">
        <is>
          <t>ISCOM</t>
        </is>
      </c>
      <c r="D169" s="45" t="inlineStr">
        <is>
          <t>Paris</t>
        </is>
      </c>
      <c r="E169" s="45" t="inlineStr">
        <is>
          <t>604</t>
        </is>
      </c>
      <c r="F169" s="17" t="inlineStr">
        <is>
          <t>Sous-traitance pédagogique</t>
        </is>
      </c>
      <c r="G169" s="45" t="inlineStr">
        <is>
          <t>60 — Achats</t>
        </is>
      </c>
      <c r="H169" s="45" t="inlineStr">
        <is>
          <t>Charge</t>
        </is>
      </c>
      <c r="I169" s="45" t="inlineStr">
        <is>
          <t>Coûts directs</t>
        </is>
      </c>
      <c r="J169" s="45" t="inlineStr">
        <is>
          <t>2025ACT_VDEF</t>
        </is>
      </c>
      <c r="K169" s="45" t="inlineStr">
        <is>
          <t>2025 (N-1)</t>
        </is>
      </c>
      <c r="L169" s="13" t="n">
        <v>75432</v>
      </c>
    </row>
    <row r="170">
      <c r="A170" s="45" t="inlineStr">
        <is>
          <t>ISCOM_LILLE</t>
        </is>
      </c>
      <c r="B170" s="17" t="inlineStr">
        <is>
          <t>ISCOM Lille</t>
        </is>
      </c>
      <c r="C170" s="45" t="inlineStr">
        <is>
          <t>ISCOM</t>
        </is>
      </c>
      <c r="D170" s="45" t="inlineStr">
        <is>
          <t>Lille</t>
        </is>
      </c>
      <c r="E170" s="45" t="inlineStr">
        <is>
          <t>604</t>
        </is>
      </c>
      <c r="F170" s="17" t="inlineStr">
        <is>
          <t>Sous-traitance pédagogique</t>
        </is>
      </c>
      <c r="G170" s="45" t="inlineStr">
        <is>
          <t>60 — Achats</t>
        </is>
      </c>
      <c r="H170" s="45" t="inlineStr">
        <is>
          <t>Charge</t>
        </is>
      </c>
      <c r="I170" s="45" t="inlineStr">
        <is>
          <t>Coûts directs</t>
        </is>
      </c>
      <c r="J170" s="45" t="inlineStr">
        <is>
          <t>2025ACT_VDEF</t>
        </is>
      </c>
      <c r="K170" s="45" t="inlineStr">
        <is>
          <t>2025 (N-1)</t>
        </is>
      </c>
      <c r="L170" s="13" t="n">
        <v>51993</v>
      </c>
    </row>
    <row r="171">
      <c r="A171" s="45" t="inlineStr">
        <is>
          <t>ISCOM_TOULOUSE</t>
        </is>
      </c>
      <c r="B171" s="17" t="inlineStr">
        <is>
          <t>ISCOM Toulouse</t>
        </is>
      </c>
      <c r="C171" s="45" t="inlineStr">
        <is>
          <t>ISCOM</t>
        </is>
      </c>
      <c r="D171" s="45" t="inlineStr">
        <is>
          <t>Toulouse</t>
        </is>
      </c>
      <c r="E171" s="45" t="inlineStr">
        <is>
          <t>604</t>
        </is>
      </c>
      <c r="F171" s="17" t="inlineStr">
        <is>
          <t>Sous-traitance pédagogique</t>
        </is>
      </c>
      <c r="G171" s="45" t="inlineStr">
        <is>
          <t>60 — Achats</t>
        </is>
      </c>
      <c r="H171" s="45" t="inlineStr">
        <is>
          <t>Charge</t>
        </is>
      </c>
      <c r="I171" s="45" t="inlineStr">
        <is>
          <t>Coûts directs</t>
        </is>
      </c>
      <c r="J171" s="45" t="inlineStr">
        <is>
          <t>2025ACT_VDEF</t>
        </is>
      </c>
      <c r="K171" s="45" t="inlineStr">
        <is>
          <t>2025 (N-1)</t>
        </is>
      </c>
      <c r="L171" s="13" t="n">
        <v>49223</v>
      </c>
    </row>
    <row r="172">
      <c r="A172" s="45" t="inlineStr">
        <is>
          <t>IPAC_BACHELOR_FACTORY_NANTES</t>
        </is>
      </c>
      <c r="B172" s="17" t="inlineStr">
        <is>
          <t>Ipac Bachelor Factory Nantes</t>
        </is>
      </c>
      <c r="C172" s="45" t="inlineStr">
        <is>
          <t>Ipac Bachelor Factory</t>
        </is>
      </c>
      <c r="D172" s="45" t="inlineStr">
        <is>
          <t>Nantes</t>
        </is>
      </c>
      <c r="E172" s="45" t="inlineStr">
        <is>
          <t>604</t>
        </is>
      </c>
      <c r="F172" s="17" t="inlineStr">
        <is>
          <t>Sous-traitance pédagogique</t>
        </is>
      </c>
      <c r="G172" s="45" t="inlineStr">
        <is>
          <t>60 — Achats</t>
        </is>
      </c>
      <c r="H172" s="45" t="inlineStr">
        <is>
          <t>Charge</t>
        </is>
      </c>
      <c r="I172" s="45" t="inlineStr">
        <is>
          <t>Coûts directs</t>
        </is>
      </c>
      <c r="J172" s="45" t="inlineStr">
        <is>
          <t>2025ACT_VDEF</t>
        </is>
      </c>
      <c r="K172" s="45" t="inlineStr">
        <is>
          <t>2025 (N-1)</t>
        </is>
      </c>
      <c r="L172" s="13" t="n">
        <v>30897</v>
      </c>
    </row>
    <row r="173">
      <c r="A173" s="45" t="inlineStr">
        <is>
          <t>IPAC_BACHELOR_FACTORY_RENNES</t>
        </is>
      </c>
      <c r="B173" s="17" t="inlineStr">
        <is>
          <t>Ipac Bachelor Factory Rennes</t>
        </is>
      </c>
      <c r="C173" s="45" t="inlineStr">
        <is>
          <t>Ipac Bachelor Factory</t>
        </is>
      </c>
      <c r="D173" s="45" t="inlineStr">
        <is>
          <t>Rennes</t>
        </is>
      </c>
      <c r="E173" s="45" t="inlineStr">
        <is>
          <t>604</t>
        </is>
      </c>
      <c r="F173" s="17" t="inlineStr">
        <is>
          <t>Sous-traitance pédagogique</t>
        </is>
      </c>
      <c r="G173" s="45" t="inlineStr">
        <is>
          <t>60 — Achats</t>
        </is>
      </c>
      <c r="H173" s="45" t="inlineStr">
        <is>
          <t>Charge</t>
        </is>
      </c>
      <c r="I173" s="45" t="inlineStr">
        <is>
          <t>Coûts directs</t>
        </is>
      </c>
      <c r="J173" s="45" t="inlineStr">
        <is>
          <t>2025ACT_VDEF</t>
        </is>
      </c>
      <c r="K173" s="45" t="inlineStr">
        <is>
          <t>2025 (N-1)</t>
        </is>
      </c>
      <c r="L173" s="13" t="n">
        <v>24931</v>
      </c>
    </row>
    <row r="174">
      <c r="A174" s="45" t="inlineStr">
        <is>
          <t>IPAC_BACHELOR_FACTORY_MONTPELLIER</t>
        </is>
      </c>
      <c r="B174" s="17" t="inlineStr">
        <is>
          <t>Ipac Bachelor Factory Montpellier</t>
        </is>
      </c>
      <c r="C174" s="45" t="inlineStr">
        <is>
          <t>Ipac Bachelor Factory</t>
        </is>
      </c>
      <c r="D174" s="45" t="inlineStr">
        <is>
          <t>Montpellier</t>
        </is>
      </c>
      <c r="E174" s="45" t="inlineStr">
        <is>
          <t>604</t>
        </is>
      </c>
      <c r="F174" s="17" t="inlineStr">
        <is>
          <t>Sous-traitance pédagogique</t>
        </is>
      </c>
      <c r="G174" s="45" t="inlineStr">
        <is>
          <t>60 — Achats</t>
        </is>
      </c>
      <c r="H174" s="45" t="inlineStr">
        <is>
          <t>Charge</t>
        </is>
      </c>
      <c r="I174" s="45" t="inlineStr">
        <is>
          <t>Coûts directs</t>
        </is>
      </c>
      <c r="J174" s="45" t="inlineStr">
        <is>
          <t>2025ACT_VDEF</t>
        </is>
      </c>
      <c r="K174" s="45" t="inlineStr">
        <is>
          <t>2025 (N-1)</t>
        </is>
      </c>
      <c r="L174" s="13" t="n">
        <v>24931</v>
      </c>
    </row>
    <row r="175">
      <c r="A175" s="45" t="inlineStr">
        <is>
          <t>PIGIER_LYON</t>
        </is>
      </c>
      <c r="B175" s="17" t="inlineStr">
        <is>
          <t>Pigier Lyon</t>
        </is>
      </c>
      <c r="C175" s="45" t="inlineStr">
        <is>
          <t>Pigier</t>
        </is>
      </c>
      <c r="D175" s="45" t="inlineStr">
        <is>
          <t>Lyon</t>
        </is>
      </c>
      <c r="E175" s="45" t="inlineStr">
        <is>
          <t>604</t>
        </is>
      </c>
      <c r="F175" s="17" t="inlineStr">
        <is>
          <t>Sous-traitance pédagogique</t>
        </is>
      </c>
      <c r="G175" s="45" t="inlineStr">
        <is>
          <t>60 — Achats</t>
        </is>
      </c>
      <c r="H175" s="45" t="inlineStr">
        <is>
          <t>Charge</t>
        </is>
      </c>
      <c r="I175" s="45" t="inlineStr">
        <is>
          <t>Coûts directs</t>
        </is>
      </c>
      <c r="J175" s="45" t="inlineStr">
        <is>
          <t>2025ACT_VDEF</t>
        </is>
      </c>
      <c r="K175" s="45" t="inlineStr">
        <is>
          <t>2025 (N-1)</t>
        </is>
      </c>
      <c r="L175" s="13" t="n">
        <v>38782</v>
      </c>
    </row>
    <row r="176">
      <c r="A176" s="45" t="inlineStr">
        <is>
          <t>PIGIER_BORDEAUX</t>
        </is>
      </c>
      <c r="B176" s="17" t="inlineStr">
        <is>
          <t>Pigier Bordeaux</t>
        </is>
      </c>
      <c r="C176" s="45" t="inlineStr">
        <is>
          <t>Pigier</t>
        </is>
      </c>
      <c r="D176" s="45" t="inlineStr">
        <is>
          <t>Bordeaux</t>
        </is>
      </c>
      <c r="E176" s="45" t="inlineStr">
        <is>
          <t>604</t>
        </is>
      </c>
      <c r="F176" s="17" t="inlineStr">
        <is>
          <t>Sous-traitance pédagogique</t>
        </is>
      </c>
      <c r="G176" s="45" t="inlineStr">
        <is>
          <t>60 — Achats</t>
        </is>
      </c>
      <c r="H176" s="45" t="inlineStr">
        <is>
          <t>Charge</t>
        </is>
      </c>
      <c r="I176" s="45" t="inlineStr">
        <is>
          <t>Coûts directs</t>
        </is>
      </c>
      <c r="J176" s="45" t="inlineStr">
        <is>
          <t>2025ACT_VDEF</t>
        </is>
      </c>
      <c r="K176" s="45" t="inlineStr">
        <is>
          <t>2025 (N-1)</t>
        </is>
      </c>
      <c r="L176" s="13" t="n">
        <v>30258</v>
      </c>
    </row>
    <row r="177">
      <c r="A177" s="45" t="inlineStr">
        <is>
          <t>TUNON_PARIS</t>
        </is>
      </c>
      <c r="B177" s="17" t="inlineStr">
        <is>
          <t>Tunon Paris</t>
        </is>
      </c>
      <c r="C177" s="45" t="inlineStr">
        <is>
          <t>Tunon</t>
        </is>
      </c>
      <c r="D177" s="45" t="inlineStr">
        <is>
          <t>Paris</t>
        </is>
      </c>
      <c r="E177" s="45" t="inlineStr">
        <is>
          <t>604</t>
        </is>
      </c>
      <c r="F177" s="17" t="inlineStr">
        <is>
          <t>Sous-traitance pédagogique</t>
        </is>
      </c>
      <c r="G177" s="45" t="inlineStr">
        <is>
          <t>60 — Achats</t>
        </is>
      </c>
      <c r="H177" s="45" t="inlineStr">
        <is>
          <t>Charge</t>
        </is>
      </c>
      <c r="I177" s="45" t="inlineStr">
        <is>
          <t>Coûts directs</t>
        </is>
      </c>
      <c r="J177" s="45" t="inlineStr">
        <is>
          <t>2025ACT_VDEF</t>
        </is>
      </c>
      <c r="K177" s="45" t="inlineStr">
        <is>
          <t>2025 (N-1)</t>
        </is>
      </c>
      <c r="L177" s="13" t="n">
        <v>29406</v>
      </c>
    </row>
    <row r="178">
      <c r="A178" s="45" t="inlineStr">
        <is>
          <t>TUNON_LYON</t>
        </is>
      </c>
      <c r="B178" s="17" t="inlineStr">
        <is>
          <t>Tunon Lyon</t>
        </is>
      </c>
      <c r="C178" s="45" t="inlineStr">
        <is>
          <t>Tunon</t>
        </is>
      </c>
      <c r="D178" s="45" t="inlineStr">
        <is>
          <t>Lyon</t>
        </is>
      </c>
      <c r="E178" s="45" t="inlineStr">
        <is>
          <t>604</t>
        </is>
      </c>
      <c r="F178" s="17" t="inlineStr">
        <is>
          <t>Sous-traitance pédagogique</t>
        </is>
      </c>
      <c r="G178" s="45" t="inlineStr">
        <is>
          <t>60 — Achats</t>
        </is>
      </c>
      <c r="H178" s="45" t="inlineStr">
        <is>
          <t>Charge</t>
        </is>
      </c>
      <c r="I178" s="45" t="inlineStr">
        <is>
          <t>Coûts directs</t>
        </is>
      </c>
      <c r="J178" s="45" t="inlineStr">
        <is>
          <t>2025ACT_VDEF</t>
        </is>
      </c>
      <c r="K178" s="45" t="inlineStr">
        <is>
          <t>2025 (N-1)</t>
        </is>
      </c>
      <c r="L178" s="13" t="n">
        <v>24931</v>
      </c>
    </row>
    <row r="179">
      <c r="A179" s="45" t="inlineStr">
        <is>
          <t>MBWAY_PARIS</t>
        </is>
      </c>
      <c r="B179" s="17" t="inlineStr">
        <is>
          <t>MBway Paris</t>
        </is>
      </c>
      <c r="C179" s="45" t="inlineStr">
        <is>
          <t>MBway</t>
        </is>
      </c>
      <c r="D179" s="45" t="inlineStr">
        <is>
          <t>Paris</t>
        </is>
      </c>
      <c r="E179" s="45" t="inlineStr">
        <is>
          <t>604</t>
        </is>
      </c>
      <c r="F179" s="17" t="inlineStr">
        <is>
          <t>Sous-traitance pédagogique</t>
        </is>
      </c>
      <c r="G179" s="45" t="inlineStr">
        <is>
          <t>60 — Achats</t>
        </is>
      </c>
      <c r="H179" s="45" t="inlineStr">
        <is>
          <t>Charge</t>
        </is>
      </c>
      <c r="I179" s="45" t="inlineStr">
        <is>
          <t>Coûts directs</t>
        </is>
      </c>
      <c r="J179" s="45" t="inlineStr">
        <is>
          <t>2026ATT_VDEF</t>
        </is>
      </c>
      <c r="K179" s="45" t="inlineStr">
        <is>
          <t>2026 (Atterr.)</t>
        </is>
      </c>
      <c r="L179" s="13" t="n">
        <v>85284</v>
      </c>
    </row>
    <row r="180">
      <c r="A180" s="45" t="inlineStr">
        <is>
          <t>MBWAY_LYON</t>
        </is>
      </c>
      <c r="B180" s="17" t="inlineStr">
        <is>
          <t>MBway Lyon</t>
        </is>
      </c>
      <c r="C180" s="45" t="inlineStr">
        <is>
          <t>MBway</t>
        </is>
      </c>
      <c r="D180" s="45" t="inlineStr">
        <is>
          <t>Lyon</t>
        </is>
      </c>
      <c r="E180" s="45" t="inlineStr">
        <is>
          <t>604</t>
        </is>
      </c>
      <c r="F180" s="17" t="inlineStr">
        <is>
          <t>Sous-traitance pédagogique</t>
        </is>
      </c>
      <c r="G180" s="45" t="inlineStr">
        <is>
          <t>60 — Achats</t>
        </is>
      </c>
      <c r="H180" s="45" t="inlineStr">
        <is>
          <t>Charge</t>
        </is>
      </c>
      <c r="I180" s="45" t="inlineStr">
        <is>
          <t>Coûts directs</t>
        </is>
      </c>
      <c r="J180" s="45" t="inlineStr">
        <is>
          <t>2026ATT_VDEF</t>
        </is>
      </c>
      <c r="K180" s="45" t="inlineStr">
        <is>
          <t>2026 (Atterr.)</t>
        </is>
      </c>
      <c r="L180" s="13" t="n">
        <v>72335</v>
      </c>
    </row>
    <row r="181">
      <c r="A181" s="45" t="inlineStr">
        <is>
          <t>MBWAY_NANTES</t>
        </is>
      </c>
      <c r="B181" s="17" t="inlineStr">
        <is>
          <t>MBway Nantes</t>
        </is>
      </c>
      <c r="C181" s="45" t="inlineStr">
        <is>
          <t>MBway</t>
        </is>
      </c>
      <c r="D181" s="45" t="inlineStr">
        <is>
          <t>Nantes</t>
        </is>
      </c>
      <c r="E181" s="45" t="inlineStr">
        <is>
          <t>604</t>
        </is>
      </c>
      <c r="F181" s="17" t="inlineStr">
        <is>
          <t>Sous-traitance pédagogique</t>
        </is>
      </c>
      <c r="G181" s="45" t="inlineStr">
        <is>
          <t>60 — Achats</t>
        </is>
      </c>
      <c r="H181" s="45" t="inlineStr">
        <is>
          <t>Charge</t>
        </is>
      </c>
      <c r="I181" s="45" t="inlineStr">
        <is>
          <t>Coûts directs</t>
        </is>
      </c>
      <c r="J181" s="45" t="inlineStr">
        <is>
          <t>2026ATT_VDEF</t>
        </is>
      </c>
      <c r="K181" s="45" t="inlineStr">
        <is>
          <t>2026 (Atterr.)</t>
        </is>
      </c>
      <c r="L181" s="13" t="n">
        <v>65638</v>
      </c>
    </row>
    <row r="182">
      <c r="A182" s="45" t="inlineStr">
        <is>
          <t>MBWAY_BORDEAUX</t>
        </is>
      </c>
      <c r="B182" s="17" t="inlineStr">
        <is>
          <t>MBway Bordeaux</t>
        </is>
      </c>
      <c r="C182" s="45" t="inlineStr">
        <is>
          <t>MBway</t>
        </is>
      </c>
      <c r="D182" s="45" t="inlineStr">
        <is>
          <t>Bordeaux</t>
        </is>
      </c>
      <c r="E182" s="45" t="inlineStr">
        <is>
          <t>604</t>
        </is>
      </c>
      <c r="F182" s="17" t="inlineStr">
        <is>
          <t>Sous-traitance pédagogique</t>
        </is>
      </c>
      <c r="G182" s="45" t="inlineStr">
        <is>
          <t>60 — Achats</t>
        </is>
      </c>
      <c r="H182" s="45" t="inlineStr">
        <is>
          <t>Charge</t>
        </is>
      </c>
      <c r="I182" s="45" t="inlineStr">
        <is>
          <t>Coûts directs</t>
        </is>
      </c>
      <c r="J182" s="45" t="inlineStr">
        <is>
          <t>2026ATT_VDEF</t>
        </is>
      </c>
      <c r="K182" s="45" t="inlineStr">
        <is>
          <t>2026 (Atterr.)</t>
        </is>
      </c>
      <c r="L182" s="13" t="n">
        <v>55591</v>
      </c>
    </row>
    <row r="183">
      <c r="A183" s="45" t="inlineStr">
        <is>
          <t>ISCOM_PARIS</t>
        </is>
      </c>
      <c r="B183" s="17" t="inlineStr">
        <is>
          <t>ISCOM Paris</t>
        </is>
      </c>
      <c r="C183" s="45" t="inlineStr">
        <is>
          <t>ISCOM</t>
        </is>
      </c>
      <c r="D183" s="45" t="inlineStr">
        <is>
          <t>Paris</t>
        </is>
      </c>
      <c r="E183" s="45" t="inlineStr">
        <is>
          <t>604</t>
        </is>
      </c>
      <c r="F183" s="17" t="inlineStr">
        <is>
          <t>Sous-traitance pédagogique</t>
        </is>
      </c>
      <c r="G183" s="45" t="inlineStr">
        <is>
          <t>60 — Achats</t>
        </is>
      </c>
      <c r="H183" s="45" t="inlineStr">
        <is>
          <t>Charge</t>
        </is>
      </c>
      <c r="I183" s="45" t="inlineStr">
        <is>
          <t>Coûts directs</t>
        </is>
      </c>
      <c r="J183" s="45" t="inlineStr">
        <is>
          <t>2026ATT_VDEF</t>
        </is>
      </c>
      <c r="K183" s="45" t="inlineStr">
        <is>
          <t>2026 (Atterr.)</t>
        </is>
      </c>
      <c r="L183" s="13" t="n">
        <v>79033</v>
      </c>
    </row>
    <row r="184">
      <c r="A184" s="45" t="inlineStr">
        <is>
          <t>ISCOM_LILLE</t>
        </is>
      </c>
      <c r="B184" s="17" t="inlineStr">
        <is>
          <t>ISCOM Lille</t>
        </is>
      </c>
      <c r="C184" s="45" t="inlineStr">
        <is>
          <t>ISCOM</t>
        </is>
      </c>
      <c r="D184" s="45" t="inlineStr">
        <is>
          <t>Lille</t>
        </is>
      </c>
      <c r="E184" s="45" t="inlineStr">
        <is>
          <t>604</t>
        </is>
      </c>
      <c r="F184" s="17" t="inlineStr">
        <is>
          <t>Sous-traitance pédagogique</t>
        </is>
      </c>
      <c r="G184" s="45" t="inlineStr">
        <is>
          <t>60 — Achats</t>
        </is>
      </c>
      <c r="H184" s="45" t="inlineStr">
        <is>
          <t>Charge</t>
        </is>
      </c>
      <c r="I184" s="45" t="inlineStr">
        <is>
          <t>Coûts directs</t>
        </is>
      </c>
      <c r="J184" s="45" t="inlineStr">
        <is>
          <t>2026ATT_VDEF</t>
        </is>
      </c>
      <c r="K184" s="45" t="inlineStr">
        <is>
          <t>2026 (Atterr.)</t>
        </is>
      </c>
      <c r="L184" s="13" t="n">
        <v>54475</v>
      </c>
    </row>
    <row r="185">
      <c r="A185" s="45" t="inlineStr">
        <is>
          <t>ISCOM_TOULOUSE</t>
        </is>
      </c>
      <c r="B185" s="17" t="inlineStr">
        <is>
          <t>ISCOM Toulouse</t>
        </is>
      </c>
      <c r="C185" s="45" t="inlineStr">
        <is>
          <t>ISCOM</t>
        </is>
      </c>
      <c r="D185" s="45" t="inlineStr">
        <is>
          <t>Toulouse</t>
        </is>
      </c>
      <c r="E185" s="45" t="inlineStr">
        <is>
          <t>604</t>
        </is>
      </c>
      <c r="F185" s="17" t="inlineStr">
        <is>
          <t>Sous-traitance pédagogique</t>
        </is>
      </c>
      <c r="G185" s="45" t="inlineStr">
        <is>
          <t>60 — Achats</t>
        </is>
      </c>
      <c r="H185" s="45" t="inlineStr">
        <is>
          <t>Charge</t>
        </is>
      </c>
      <c r="I185" s="45" t="inlineStr">
        <is>
          <t>Coûts directs</t>
        </is>
      </c>
      <c r="J185" s="45" t="inlineStr">
        <is>
          <t>2026ATT_VDEF</t>
        </is>
      </c>
      <c r="K185" s="45" t="inlineStr">
        <is>
          <t>2026 (Atterr.)</t>
        </is>
      </c>
      <c r="L185" s="13" t="n">
        <v>51572</v>
      </c>
    </row>
    <row r="186">
      <c r="A186" s="45" t="inlineStr">
        <is>
          <t>IPAC_BACHELOR_FACTORY_NANTES</t>
        </is>
      </c>
      <c r="B186" s="17" t="inlineStr">
        <is>
          <t>Ipac Bachelor Factory Nantes</t>
        </is>
      </c>
      <c r="C186" s="45" t="inlineStr">
        <is>
          <t>Ipac Bachelor Factory</t>
        </is>
      </c>
      <c r="D186" s="45" t="inlineStr">
        <is>
          <t>Nantes</t>
        </is>
      </c>
      <c r="E186" s="45" t="inlineStr">
        <is>
          <t>604</t>
        </is>
      </c>
      <c r="F186" s="17" t="inlineStr">
        <is>
          <t>Sous-traitance pédagogique</t>
        </is>
      </c>
      <c r="G186" s="45" t="inlineStr">
        <is>
          <t>60 — Achats</t>
        </is>
      </c>
      <c r="H186" s="45" t="inlineStr">
        <is>
          <t>Charge</t>
        </is>
      </c>
      <c r="I186" s="45" t="inlineStr">
        <is>
          <t>Coûts directs</t>
        </is>
      </c>
      <c r="J186" s="45" t="inlineStr">
        <is>
          <t>2026ATT_VDEF</t>
        </is>
      </c>
      <c r="K186" s="45" t="inlineStr">
        <is>
          <t>2026 (Atterr.)</t>
        </is>
      </c>
      <c r="L186" s="13" t="n">
        <v>32372</v>
      </c>
    </row>
    <row r="187">
      <c r="A187" s="45" t="inlineStr">
        <is>
          <t>IPAC_BACHELOR_FACTORY_RENNES</t>
        </is>
      </c>
      <c r="B187" s="17" t="inlineStr">
        <is>
          <t>Ipac Bachelor Factory Rennes</t>
        </is>
      </c>
      <c r="C187" s="45" t="inlineStr">
        <is>
          <t>Ipac Bachelor Factory</t>
        </is>
      </c>
      <c r="D187" s="45" t="inlineStr">
        <is>
          <t>Rennes</t>
        </is>
      </c>
      <c r="E187" s="45" t="inlineStr">
        <is>
          <t>604</t>
        </is>
      </c>
      <c r="F187" s="17" t="inlineStr">
        <is>
          <t>Sous-traitance pédagogique</t>
        </is>
      </c>
      <c r="G187" s="45" t="inlineStr">
        <is>
          <t>60 — Achats</t>
        </is>
      </c>
      <c r="H187" s="45" t="inlineStr">
        <is>
          <t>Charge</t>
        </is>
      </c>
      <c r="I187" s="45" t="inlineStr">
        <is>
          <t>Coûts directs</t>
        </is>
      </c>
      <c r="J187" s="45" t="inlineStr">
        <is>
          <t>2026ATT_VDEF</t>
        </is>
      </c>
      <c r="K187" s="45" t="inlineStr">
        <is>
          <t>2026 (Atterr.)</t>
        </is>
      </c>
      <c r="L187" s="13" t="n">
        <v>26121</v>
      </c>
    </row>
    <row r="188">
      <c r="A188" s="45" t="inlineStr">
        <is>
          <t>IPAC_BACHELOR_FACTORY_MONTPELLIER</t>
        </is>
      </c>
      <c r="B188" s="17" t="inlineStr">
        <is>
          <t>Ipac Bachelor Factory Montpellier</t>
        </is>
      </c>
      <c r="C188" s="45" t="inlineStr">
        <is>
          <t>Ipac Bachelor Factory</t>
        </is>
      </c>
      <c r="D188" s="45" t="inlineStr">
        <is>
          <t>Montpellier</t>
        </is>
      </c>
      <c r="E188" s="45" t="inlineStr">
        <is>
          <t>604</t>
        </is>
      </c>
      <c r="F188" s="17" t="inlineStr">
        <is>
          <t>Sous-traitance pédagogique</t>
        </is>
      </c>
      <c r="G188" s="45" t="inlineStr">
        <is>
          <t>60 — Achats</t>
        </is>
      </c>
      <c r="H188" s="45" t="inlineStr">
        <is>
          <t>Charge</t>
        </is>
      </c>
      <c r="I188" s="45" t="inlineStr">
        <is>
          <t>Coûts directs</t>
        </is>
      </c>
      <c r="J188" s="45" t="inlineStr">
        <is>
          <t>2026ATT_VDEF</t>
        </is>
      </c>
      <c r="K188" s="45" t="inlineStr">
        <is>
          <t>2026 (Atterr.)</t>
        </is>
      </c>
      <c r="L188" s="13" t="n">
        <v>26121</v>
      </c>
    </row>
    <row r="189">
      <c r="A189" s="45" t="inlineStr">
        <is>
          <t>PIGIER_LYON</t>
        </is>
      </c>
      <c r="B189" s="17" t="inlineStr">
        <is>
          <t>Pigier Lyon</t>
        </is>
      </c>
      <c r="C189" s="45" t="inlineStr">
        <is>
          <t>Pigier</t>
        </is>
      </c>
      <c r="D189" s="45" t="inlineStr">
        <is>
          <t>Lyon</t>
        </is>
      </c>
      <c r="E189" s="45" t="inlineStr">
        <is>
          <t>604</t>
        </is>
      </c>
      <c r="F189" s="17" t="inlineStr">
        <is>
          <t>Sous-traitance pédagogique</t>
        </is>
      </c>
      <c r="G189" s="45" t="inlineStr">
        <is>
          <t>60 — Achats</t>
        </is>
      </c>
      <c r="H189" s="45" t="inlineStr">
        <is>
          <t>Charge</t>
        </is>
      </c>
      <c r="I189" s="45" t="inlineStr">
        <is>
          <t>Coûts directs</t>
        </is>
      </c>
      <c r="J189" s="45" t="inlineStr">
        <is>
          <t>2026ATT_VDEF</t>
        </is>
      </c>
      <c r="K189" s="45" t="inlineStr">
        <is>
          <t>2026 (Atterr.)</t>
        </is>
      </c>
      <c r="L189" s="13" t="n">
        <v>40633</v>
      </c>
    </row>
    <row r="190">
      <c r="A190" s="45" t="inlineStr">
        <is>
          <t>PIGIER_BORDEAUX</t>
        </is>
      </c>
      <c r="B190" s="17" t="inlineStr">
        <is>
          <t>Pigier Bordeaux</t>
        </is>
      </c>
      <c r="C190" s="45" t="inlineStr">
        <is>
          <t>Pigier</t>
        </is>
      </c>
      <c r="D190" s="45" t="inlineStr">
        <is>
          <t>Bordeaux</t>
        </is>
      </c>
      <c r="E190" s="45" t="inlineStr">
        <is>
          <t>604</t>
        </is>
      </c>
      <c r="F190" s="17" t="inlineStr">
        <is>
          <t>Sous-traitance pédagogique</t>
        </is>
      </c>
      <c r="G190" s="45" t="inlineStr">
        <is>
          <t>60 — Achats</t>
        </is>
      </c>
      <c r="H190" s="45" t="inlineStr">
        <is>
          <t>Charge</t>
        </is>
      </c>
      <c r="I190" s="45" t="inlineStr">
        <is>
          <t>Coûts directs</t>
        </is>
      </c>
      <c r="J190" s="45" t="inlineStr">
        <is>
          <t>2026ATT_VDEF</t>
        </is>
      </c>
      <c r="K190" s="45" t="inlineStr">
        <is>
          <t>2026 (Atterr.)</t>
        </is>
      </c>
      <c r="L190" s="13" t="n">
        <v>31703</v>
      </c>
    </row>
    <row r="191">
      <c r="A191" s="45" t="inlineStr">
        <is>
          <t>TUNON_PARIS</t>
        </is>
      </c>
      <c r="B191" s="17" t="inlineStr">
        <is>
          <t>Tunon Paris</t>
        </is>
      </c>
      <c r="C191" s="45" t="inlineStr">
        <is>
          <t>Tunon</t>
        </is>
      </c>
      <c r="D191" s="45" t="inlineStr">
        <is>
          <t>Paris</t>
        </is>
      </c>
      <c r="E191" s="45" t="inlineStr">
        <is>
          <t>604</t>
        </is>
      </c>
      <c r="F191" s="17" t="inlineStr">
        <is>
          <t>Sous-traitance pédagogique</t>
        </is>
      </c>
      <c r="G191" s="45" t="inlineStr">
        <is>
          <t>60 — Achats</t>
        </is>
      </c>
      <c r="H191" s="45" t="inlineStr">
        <is>
          <t>Charge</t>
        </is>
      </c>
      <c r="I191" s="45" t="inlineStr">
        <is>
          <t>Coûts directs</t>
        </is>
      </c>
      <c r="J191" s="45" t="inlineStr">
        <is>
          <t>2026ATT_VDEF</t>
        </is>
      </c>
      <c r="K191" s="45" t="inlineStr">
        <is>
          <t>2026 (Atterr.)</t>
        </is>
      </c>
      <c r="L191" s="13" t="n">
        <v>30809</v>
      </c>
    </row>
    <row r="192">
      <c r="A192" s="45" t="inlineStr">
        <is>
          <t>TUNON_LYON</t>
        </is>
      </c>
      <c r="B192" s="17" t="inlineStr">
        <is>
          <t>Tunon Lyon</t>
        </is>
      </c>
      <c r="C192" s="45" t="inlineStr">
        <is>
          <t>Tunon</t>
        </is>
      </c>
      <c r="D192" s="45" t="inlineStr">
        <is>
          <t>Lyon</t>
        </is>
      </c>
      <c r="E192" s="45" t="inlineStr">
        <is>
          <t>604</t>
        </is>
      </c>
      <c r="F192" s="17" t="inlineStr">
        <is>
          <t>Sous-traitance pédagogique</t>
        </is>
      </c>
      <c r="G192" s="45" t="inlineStr">
        <is>
          <t>60 — Achats</t>
        </is>
      </c>
      <c r="H192" s="45" t="inlineStr">
        <is>
          <t>Charge</t>
        </is>
      </c>
      <c r="I192" s="45" t="inlineStr">
        <is>
          <t>Coûts directs</t>
        </is>
      </c>
      <c r="J192" s="45" t="inlineStr">
        <is>
          <t>2026ATT_VDEF</t>
        </is>
      </c>
      <c r="K192" s="45" t="inlineStr">
        <is>
          <t>2026 (Atterr.)</t>
        </is>
      </c>
      <c r="L192" s="13" t="n">
        <v>26121</v>
      </c>
    </row>
    <row r="193">
      <c r="A193" s="45" t="inlineStr">
        <is>
          <t>MBWAY_PARIS</t>
        </is>
      </c>
      <c r="B193" s="17" t="inlineStr">
        <is>
          <t>MBway Paris</t>
        </is>
      </c>
      <c r="C193" s="45" t="inlineStr">
        <is>
          <t>MBway</t>
        </is>
      </c>
      <c r="D193" s="45" t="inlineStr">
        <is>
          <t>Paris</t>
        </is>
      </c>
      <c r="E193" s="45" t="inlineStr">
        <is>
          <t>6063</t>
        </is>
      </c>
      <c r="F193" s="17" t="inlineStr">
        <is>
          <t>Fournitures pédagogiques &amp; petit équipement</t>
        </is>
      </c>
      <c r="G193" s="45" t="inlineStr">
        <is>
          <t>60 — Achats</t>
        </is>
      </c>
      <c r="H193" s="45" t="inlineStr">
        <is>
          <t>Charge</t>
        </is>
      </c>
      <c r="I193" s="45" t="inlineStr">
        <is>
          <t>Coûts directs</t>
        </is>
      </c>
      <c r="J193" s="45" t="inlineStr">
        <is>
          <t>2024ACT_VDEF</t>
        </is>
      </c>
      <c r="K193" s="45" t="inlineStr">
        <is>
          <t>2024 (N-2)</t>
        </is>
      </c>
      <c r="L193" s="13" t="n">
        <v>51888</v>
      </c>
    </row>
    <row r="194">
      <c r="A194" s="45" t="inlineStr">
        <is>
          <t>MBWAY_LYON</t>
        </is>
      </c>
      <c r="B194" s="17" t="inlineStr">
        <is>
          <t>MBway Lyon</t>
        </is>
      </c>
      <c r="C194" s="45" t="inlineStr">
        <is>
          <t>MBway</t>
        </is>
      </c>
      <c r="D194" s="45" t="inlineStr">
        <is>
          <t>Lyon</t>
        </is>
      </c>
      <c r="E194" s="45" t="inlineStr">
        <is>
          <t>6063</t>
        </is>
      </c>
      <c r="F194" s="17" t="inlineStr">
        <is>
          <t>Fournitures pédagogiques &amp; petit équipement</t>
        </is>
      </c>
      <c r="G194" s="45" t="inlineStr">
        <is>
          <t>60 — Achats</t>
        </is>
      </c>
      <c r="H194" s="45" t="inlineStr">
        <is>
          <t>Charge</t>
        </is>
      </c>
      <c r="I194" s="45" t="inlineStr">
        <is>
          <t>Coûts directs</t>
        </is>
      </c>
      <c r="J194" s="45" t="inlineStr">
        <is>
          <t>2024ACT_VDEF</t>
        </is>
      </c>
      <c r="K194" s="45" t="inlineStr">
        <is>
          <t>2024 (N-2)</t>
        </is>
      </c>
      <c r="L194" s="13" t="n">
        <v>44010</v>
      </c>
    </row>
    <row r="195">
      <c r="A195" s="45" t="inlineStr">
        <is>
          <t>MBWAY_NANTES</t>
        </is>
      </c>
      <c r="B195" s="17" t="inlineStr">
        <is>
          <t>MBway Nantes</t>
        </is>
      </c>
      <c r="C195" s="45" t="inlineStr">
        <is>
          <t>MBway</t>
        </is>
      </c>
      <c r="D195" s="45" t="inlineStr">
        <is>
          <t>Nantes</t>
        </is>
      </c>
      <c r="E195" s="45" t="inlineStr">
        <is>
          <t>6063</t>
        </is>
      </c>
      <c r="F195" s="17" t="inlineStr">
        <is>
          <t>Fournitures pédagogiques &amp; petit équipement</t>
        </is>
      </c>
      <c r="G195" s="45" t="inlineStr">
        <is>
          <t>60 — Achats</t>
        </is>
      </c>
      <c r="H195" s="45" t="inlineStr">
        <is>
          <t>Charge</t>
        </is>
      </c>
      <c r="I195" s="45" t="inlineStr">
        <is>
          <t>Coûts directs</t>
        </is>
      </c>
      <c r="J195" s="45" t="inlineStr">
        <is>
          <t>2024ACT_VDEF</t>
        </is>
      </c>
      <c r="K195" s="45" t="inlineStr">
        <is>
          <t>2024 (N-2)</t>
        </is>
      </c>
      <c r="L195" s="13" t="n">
        <v>39935</v>
      </c>
    </row>
    <row r="196">
      <c r="A196" s="45" t="inlineStr">
        <is>
          <t>MBWAY_BORDEAUX</t>
        </is>
      </c>
      <c r="B196" s="17" t="inlineStr">
        <is>
          <t>MBway Bordeaux</t>
        </is>
      </c>
      <c r="C196" s="45" t="inlineStr">
        <is>
          <t>MBway</t>
        </is>
      </c>
      <c r="D196" s="45" t="inlineStr">
        <is>
          <t>Bordeaux</t>
        </is>
      </c>
      <c r="E196" s="45" t="inlineStr">
        <is>
          <t>6063</t>
        </is>
      </c>
      <c r="F196" s="17" t="inlineStr">
        <is>
          <t>Fournitures pédagogiques &amp; petit équipement</t>
        </is>
      </c>
      <c r="G196" s="45" t="inlineStr">
        <is>
          <t>60 — Achats</t>
        </is>
      </c>
      <c r="H196" s="45" t="inlineStr">
        <is>
          <t>Charge</t>
        </is>
      </c>
      <c r="I196" s="45" t="inlineStr">
        <is>
          <t>Coûts directs</t>
        </is>
      </c>
      <c r="J196" s="45" t="inlineStr">
        <is>
          <t>2024ACT_VDEF</t>
        </is>
      </c>
      <c r="K196" s="45" t="inlineStr">
        <is>
          <t>2024 (N-2)</t>
        </is>
      </c>
      <c r="L196" s="13" t="n">
        <v>33822</v>
      </c>
    </row>
    <row r="197">
      <c r="A197" s="45" t="inlineStr">
        <is>
          <t>ISCOM_PARIS</t>
        </is>
      </c>
      <c r="B197" s="17" t="inlineStr">
        <is>
          <t>ISCOM Paris</t>
        </is>
      </c>
      <c r="C197" s="45" t="inlineStr">
        <is>
          <t>ISCOM</t>
        </is>
      </c>
      <c r="D197" s="45" t="inlineStr">
        <is>
          <t>Paris</t>
        </is>
      </c>
      <c r="E197" s="45" t="inlineStr">
        <is>
          <t>6063</t>
        </is>
      </c>
      <c r="F197" s="17" t="inlineStr">
        <is>
          <t>Fournitures pédagogiques &amp; petit équipement</t>
        </is>
      </c>
      <c r="G197" s="45" t="inlineStr">
        <is>
          <t>60 — Achats</t>
        </is>
      </c>
      <c r="H197" s="45" t="inlineStr">
        <is>
          <t>Charge</t>
        </is>
      </c>
      <c r="I197" s="45" t="inlineStr">
        <is>
          <t>Coûts directs</t>
        </is>
      </c>
      <c r="J197" s="45" t="inlineStr">
        <is>
          <t>2024ACT_VDEF</t>
        </is>
      </c>
      <c r="K197" s="45" t="inlineStr">
        <is>
          <t>2024 (N-2)</t>
        </is>
      </c>
      <c r="L197" s="13" t="n">
        <v>48085</v>
      </c>
    </row>
    <row r="198">
      <c r="A198" s="45" t="inlineStr">
        <is>
          <t>ISCOM_LILLE</t>
        </is>
      </c>
      <c r="B198" s="17" t="inlineStr">
        <is>
          <t>ISCOM Lille</t>
        </is>
      </c>
      <c r="C198" s="45" t="inlineStr">
        <is>
          <t>ISCOM</t>
        </is>
      </c>
      <c r="D198" s="45" t="inlineStr">
        <is>
          <t>Lille</t>
        </is>
      </c>
      <c r="E198" s="45" t="inlineStr">
        <is>
          <t>6063</t>
        </is>
      </c>
      <c r="F198" s="17" t="inlineStr">
        <is>
          <t>Fournitures pédagogiques &amp; petit équipement</t>
        </is>
      </c>
      <c r="G198" s="45" t="inlineStr">
        <is>
          <t>60 — Achats</t>
        </is>
      </c>
      <c r="H198" s="45" t="inlineStr">
        <is>
          <t>Charge</t>
        </is>
      </c>
      <c r="I198" s="45" t="inlineStr">
        <is>
          <t>Coûts directs</t>
        </is>
      </c>
      <c r="J198" s="45" t="inlineStr">
        <is>
          <t>2024ACT_VDEF</t>
        </is>
      </c>
      <c r="K198" s="45" t="inlineStr">
        <is>
          <t>2024 (N-2)</t>
        </is>
      </c>
      <c r="L198" s="13" t="n">
        <v>33143</v>
      </c>
    </row>
    <row r="199">
      <c r="A199" s="45" t="inlineStr">
        <is>
          <t>ISCOM_TOULOUSE</t>
        </is>
      </c>
      <c r="B199" s="17" t="inlineStr">
        <is>
          <t>ISCOM Toulouse</t>
        </is>
      </c>
      <c r="C199" s="45" t="inlineStr">
        <is>
          <t>ISCOM</t>
        </is>
      </c>
      <c r="D199" s="45" t="inlineStr">
        <is>
          <t>Toulouse</t>
        </is>
      </c>
      <c r="E199" s="45" t="inlineStr">
        <is>
          <t>6063</t>
        </is>
      </c>
      <c r="F199" s="17" t="inlineStr">
        <is>
          <t>Fournitures pédagogiques &amp; petit équipement</t>
        </is>
      </c>
      <c r="G199" s="45" t="inlineStr">
        <is>
          <t>60 — Achats</t>
        </is>
      </c>
      <c r="H199" s="45" t="inlineStr">
        <is>
          <t>Charge</t>
        </is>
      </c>
      <c r="I199" s="45" t="inlineStr">
        <is>
          <t>Coûts directs</t>
        </is>
      </c>
      <c r="J199" s="45" t="inlineStr">
        <is>
          <t>2024ACT_VDEF</t>
        </is>
      </c>
      <c r="K199" s="45" t="inlineStr">
        <is>
          <t>2024 (N-2)</t>
        </is>
      </c>
      <c r="L199" s="13" t="n">
        <v>31377</v>
      </c>
    </row>
    <row r="200">
      <c r="A200" s="45" t="inlineStr">
        <is>
          <t>IPAC_BACHELOR_FACTORY_NANTES</t>
        </is>
      </c>
      <c r="B200" s="17" t="inlineStr">
        <is>
          <t>Ipac Bachelor Factory Nantes</t>
        </is>
      </c>
      <c r="C200" s="45" t="inlineStr">
        <is>
          <t>Ipac Bachelor Factory</t>
        </is>
      </c>
      <c r="D200" s="45" t="inlineStr">
        <is>
          <t>Nantes</t>
        </is>
      </c>
      <c r="E200" s="45" t="inlineStr">
        <is>
          <t>6063</t>
        </is>
      </c>
      <c r="F200" s="17" t="inlineStr">
        <is>
          <t>Fournitures pédagogiques &amp; petit équipement</t>
        </is>
      </c>
      <c r="G200" s="45" t="inlineStr">
        <is>
          <t>60 — Achats</t>
        </is>
      </c>
      <c r="H200" s="45" t="inlineStr">
        <is>
          <t>Charge</t>
        </is>
      </c>
      <c r="I200" s="45" t="inlineStr">
        <is>
          <t>Coûts directs</t>
        </is>
      </c>
      <c r="J200" s="45" t="inlineStr">
        <is>
          <t>2024ACT_VDEF</t>
        </is>
      </c>
      <c r="K200" s="45" t="inlineStr">
        <is>
          <t>2024 (N-2)</t>
        </is>
      </c>
      <c r="L200" s="13" t="n">
        <v>19696</v>
      </c>
    </row>
    <row r="201">
      <c r="A201" s="45" t="inlineStr">
        <is>
          <t>IPAC_BACHELOR_FACTORY_RENNES</t>
        </is>
      </c>
      <c r="B201" s="17" t="inlineStr">
        <is>
          <t>Ipac Bachelor Factory Rennes</t>
        </is>
      </c>
      <c r="C201" s="45" t="inlineStr">
        <is>
          <t>Ipac Bachelor Factory</t>
        </is>
      </c>
      <c r="D201" s="45" t="inlineStr">
        <is>
          <t>Rennes</t>
        </is>
      </c>
      <c r="E201" s="45" t="inlineStr">
        <is>
          <t>6063</t>
        </is>
      </c>
      <c r="F201" s="17" t="inlineStr">
        <is>
          <t>Fournitures pédagogiques &amp; petit équipement</t>
        </is>
      </c>
      <c r="G201" s="45" t="inlineStr">
        <is>
          <t>60 — Achats</t>
        </is>
      </c>
      <c r="H201" s="45" t="inlineStr">
        <is>
          <t>Charge</t>
        </is>
      </c>
      <c r="I201" s="45" t="inlineStr">
        <is>
          <t>Coûts directs</t>
        </is>
      </c>
      <c r="J201" s="45" t="inlineStr">
        <is>
          <t>2024ACT_VDEF</t>
        </is>
      </c>
      <c r="K201" s="45" t="inlineStr">
        <is>
          <t>2024 (N-2)</t>
        </is>
      </c>
      <c r="L201" s="13" t="n">
        <v>15892</v>
      </c>
    </row>
    <row r="202">
      <c r="A202" s="45" t="inlineStr">
        <is>
          <t>IPAC_BACHELOR_FACTORY_MONTPELLIER</t>
        </is>
      </c>
      <c r="B202" s="17" t="inlineStr">
        <is>
          <t>Ipac Bachelor Factory Montpellier</t>
        </is>
      </c>
      <c r="C202" s="45" t="inlineStr">
        <is>
          <t>Ipac Bachelor Factory</t>
        </is>
      </c>
      <c r="D202" s="45" t="inlineStr">
        <is>
          <t>Montpellier</t>
        </is>
      </c>
      <c r="E202" s="45" t="inlineStr">
        <is>
          <t>6063</t>
        </is>
      </c>
      <c r="F202" s="17" t="inlineStr">
        <is>
          <t>Fournitures pédagogiques &amp; petit équipement</t>
        </is>
      </c>
      <c r="G202" s="45" t="inlineStr">
        <is>
          <t>60 — Achats</t>
        </is>
      </c>
      <c r="H202" s="45" t="inlineStr">
        <is>
          <t>Charge</t>
        </is>
      </c>
      <c r="I202" s="45" t="inlineStr">
        <is>
          <t>Coûts directs</t>
        </is>
      </c>
      <c r="J202" s="45" t="inlineStr">
        <is>
          <t>2024ACT_VDEF</t>
        </is>
      </c>
      <c r="K202" s="45" t="inlineStr">
        <is>
          <t>2024 (N-2)</t>
        </is>
      </c>
      <c r="L202" s="13" t="n">
        <v>15892</v>
      </c>
    </row>
    <row r="203">
      <c r="A203" s="45" t="inlineStr">
        <is>
          <t>PIGIER_LYON</t>
        </is>
      </c>
      <c r="B203" s="17" t="inlineStr">
        <is>
          <t>Pigier Lyon</t>
        </is>
      </c>
      <c r="C203" s="45" t="inlineStr">
        <is>
          <t>Pigier</t>
        </is>
      </c>
      <c r="D203" s="45" t="inlineStr">
        <is>
          <t>Lyon</t>
        </is>
      </c>
      <c r="E203" s="45" t="inlineStr">
        <is>
          <t>6063</t>
        </is>
      </c>
      <c r="F203" s="17" t="inlineStr">
        <is>
          <t>Fournitures pédagogiques &amp; petit équipement</t>
        </is>
      </c>
      <c r="G203" s="45" t="inlineStr">
        <is>
          <t>60 — Achats</t>
        </is>
      </c>
      <c r="H203" s="45" t="inlineStr">
        <is>
          <t>Charge</t>
        </is>
      </c>
      <c r="I203" s="45" t="inlineStr">
        <is>
          <t>Coûts directs</t>
        </is>
      </c>
      <c r="J203" s="45" t="inlineStr">
        <is>
          <t>2024ACT_VDEF</t>
        </is>
      </c>
      <c r="K203" s="45" t="inlineStr">
        <is>
          <t>2024 (N-2)</t>
        </is>
      </c>
      <c r="L203" s="13" t="n">
        <v>24722</v>
      </c>
    </row>
    <row r="204">
      <c r="A204" s="45" t="inlineStr">
        <is>
          <t>PIGIER_BORDEAUX</t>
        </is>
      </c>
      <c r="B204" s="17" t="inlineStr">
        <is>
          <t>Pigier Bordeaux</t>
        </is>
      </c>
      <c r="C204" s="45" t="inlineStr">
        <is>
          <t>Pigier</t>
        </is>
      </c>
      <c r="D204" s="45" t="inlineStr">
        <is>
          <t>Bordeaux</t>
        </is>
      </c>
      <c r="E204" s="45" t="inlineStr">
        <is>
          <t>6063</t>
        </is>
      </c>
      <c r="F204" s="17" t="inlineStr">
        <is>
          <t>Fournitures pédagogiques &amp; petit équipement</t>
        </is>
      </c>
      <c r="G204" s="45" t="inlineStr">
        <is>
          <t>60 — Achats</t>
        </is>
      </c>
      <c r="H204" s="45" t="inlineStr">
        <is>
          <t>Charge</t>
        </is>
      </c>
      <c r="I204" s="45" t="inlineStr">
        <is>
          <t>Coûts directs</t>
        </is>
      </c>
      <c r="J204" s="45" t="inlineStr">
        <is>
          <t>2024ACT_VDEF</t>
        </is>
      </c>
      <c r="K204" s="45" t="inlineStr">
        <is>
          <t>2024 (N-2)</t>
        </is>
      </c>
      <c r="L204" s="13" t="n">
        <v>19288</v>
      </c>
    </row>
    <row r="205">
      <c r="A205" s="45" t="inlineStr">
        <is>
          <t>TUNON_PARIS</t>
        </is>
      </c>
      <c r="B205" s="17" t="inlineStr">
        <is>
          <t>Tunon Paris</t>
        </is>
      </c>
      <c r="C205" s="45" t="inlineStr">
        <is>
          <t>Tunon</t>
        </is>
      </c>
      <c r="D205" s="45" t="inlineStr">
        <is>
          <t>Paris</t>
        </is>
      </c>
      <c r="E205" s="45" t="inlineStr">
        <is>
          <t>6063</t>
        </is>
      </c>
      <c r="F205" s="17" t="inlineStr">
        <is>
          <t>Fournitures pédagogiques &amp; petit équipement</t>
        </is>
      </c>
      <c r="G205" s="45" t="inlineStr">
        <is>
          <t>60 — Achats</t>
        </is>
      </c>
      <c r="H205" s="45" t="inlineStr">
        <is>
          <t>Charge</t>
        </is>
      </c>
      <c r="I205" s="45" t="inlineStr">
        <is>
          <t>Coûts directs</t>
        </is>
      </c>
      <c r="J205" s="45" t="inlineStr">
        <is>
          <t>2024ACT_VDEF</t>
        </is>
      </c>
      <c r="K205" s="45" t="inlineStr">
        <is>
          <t>2024 (N-2)</t>
        </is>
      </c>
      <c r="L205" s="13" t="n">
        <v>18745</v>
      </c>
    </row>
    <row r="206">
      <c r="A206" s="45" t="inlineStr">
        <is>
          <t>TUNON_LYON</t>
        </is>
      </c>
      <c r="B206" s="17" t="inlineStr">
        <is>
          <t>Tunon Lyon</t>
        </is>
      </c>
      <c r="C206" s="45" t="inlineStr">
        <is>
          <t>Tunon</t>
        </is>
      </c>
      <c r="D206" s="45" t="inlineStr">
        <is>
          <t>Lyon</t>
        </is>
      </c>
      <c r="E206" s="45" t="inlineStr">
        <is>
          <t>6063</t>
        </is>
      </c>
      <c r="F206" s="17" t="inlineStr">
        <is>
          <t>Fournitures pédagogiques &amp; petit équipement</t>
        </is>
      </c>
      <c r="G206" s="45" t="inlineStr">
        <is>
          <t>60 — Achats</t>
        </is>
      </c>
      <c r="H206" s="45" t="inlineStr">
        <is>
          <t>Charge</t>
        </is>
      </c>
      <c r="I206" s="45" t="inlineStr">
        <is>
          <t>Coûts directs</t>
        </is>
      </c>
      <c r="J206" s="45" t="inlineStr">
        <is>
          <t>2024ACT_VDEF</t>
        </is>
      </c>
      <c r="K206" s="45" t="inlineStr">
        <is>
          <t>2024 (N-2)</t>
        </is>
      </c>
      <c r="L206" s="13" t="n">
        <v>15892</v>
      </c>
    </row>
    <row r="207">
      <c r="A207" s="45" t="inlineStr">
        <is>
          <t>MBWAY_PARIS</t>
        </is>
      </c>
      <c r="B207" s="17" t="inlineStr">
        <is>
          <t>MBway Paris</t>
        </is>
      </c>
      <c r="C207" s="45" t="inlineStr">
        <is>
          <t>MBway</t>
        </is>
      </c>
      <c r="D207" s="45" t="inlineStr">
        <is>
          <t>Paris</t>
        </is>
      </c>
      <c r="E207" s="45" t="inlineStr">
        <is>
          <t>6063</t>
        </is>
      </c>
      <c r="F207" s="17" t="inlineStr">
        <is>
          <t>Fournitures pédagogiques &amp; petit équipement</t>
        </is>
      </c>
      <c r="G207" s="45" t="inlineStr">
        <is>
          <t>60 — Achats</t>
        </is>
      </c>
      <c r="H207" s="45" t="inlineStr">
        <is>
          <t>Charge</t>
        </is>
      </c>
      <c r="I207" s="45" t="inlineStr">
        <is>
          <t>Coûts directs</t>
        </is>
      </c>
      <c r="J207" s="45" t="inlineStr">
        <is>
          <t>2025ACT_VDEF</t>
        </is>
      </c>
      <c r="K207" s="45" t="inlineStr">
        <is>
          <t>2025 (N-1)</t>
        </is>
      </c>
      <c r="L207" s="13" t="n">
        <v>54266</v>
      </c>
    </row>
    <row r="208">
      <c r="A208" s="45" t="inlineStr">
        <is>
          <t>MBWAY_LYON</t>
        </is>
      </c>
      <c r="B208" s="17" t="inlineStr">
        <is>
          <t>MBway Lyon</t>
        </is>
      </c>
      <c r="C208" s="45" t="inlineStr">
        <is>
          <t>MBway</t>
        </is>
      </c>
      <c r="D208" s="45" t="inlineStr">
        <is>
          <t>Lyon</t>
        </is>
      </c>
      <c r="E208" s="45" t="inlineStr">
        <is>
          <t>6063</t>
        </is>
      </c>
      <c r="F208" s="17" t="inlineStr">
        <is>
          <t>Fournitures pédagogiques &amp; petit équipement</t>
        </is>
      </c>
      <c r="G208" s="45" t="inlineStr">
        <is>
          <t>60 — Achats</t>
        </is>
      </c>
      <c r="H208" s="45" t="inlineStr">
        <is>
          <t>Charge</t>
        </is>
      </c>
      <c r="I208" s="45" t="inlineStr">
        <is>
          <t>Coûts directs</t>
        </is>
      </c>
      <c r="J208" s="45" t="inlineStr">
        <is>
          <t>2025ACT_VDEF</t>
        </is>
      </c>
      <c r="K208" s="45" t="inlineStr">
        <is>
          <t>2025 (N-1)</t>
        </is>
      </c>
      <c r="L208" s="13" t="n">
        <v>46027</v>
      </c>
    </row>
    <row r="209">
      <c r="A209" s="45" t="inlineStr">
        <is>
          <t>MBWAY_NANTES</t>
        </is>
      </c>
      <c r="B209" s="17" t="inlineStr">
        <is>
          <t>MBway Nantes</t>
        </is>
      </c>
      <c r="C209" s="45" t="inlineStr">
        <is>
          <t>MBway</t>
        </is>
      </c>
      <c r="D209" s="45" t="inlineStr">
        <is>
          <t>Nantes</t>
        </is>
      </c>
      <c r="E209" s="45" t="inlineStr">
        <is>
          <t>6063</t>
        </is>
      </c>
      <c r="F209" s="17" t="inlineStr">
        <is>
          <t>Fournitures pédagogiques &amp; petit équipement</t>
        </is>
      </c>
      <c r="G209" s="45" t="inlineStr">
        <is>
          <t>60 — Achats</t>
        </is>
      </c>
      <c r="H209" s="45" t="inlineStr">
        <is>
          <t>Charge</t>
        </is>
      </c>
      <c r="I209" s="45" t="inlineStr">
        <is>
          <t>Coûts directs</t>
        </is>
      </c>
      <c r="J209" s="45" t="inlineStr">
        <is>
          <t>2025ACT_VDEF</t>
        </is>
      </c>
      <c r="K209" s="45" t="inlineStr">
        <is>
          <t>2025 (N-1)</t>
        </is>
      </c>
      <c r="L209" s="13" t="n">
        <v>41765</v>
      </c>
    </row>
    <row r="210">
      <c r="A210" s="45" t="inlineStr">
        <is>
          <t>MBWAY_BORDEAUX</t>
        </is>
      </c>
      <c r="B210" s="17" t="inlineStr">
        <is>
          <t>MBway Bordeaux</t>
        </is>
      </c>
      <c r="C210" s="45" t="inlineStr">
        <is>
          <t>MBway</t>
        </is>
      </c>
      <c r="D210" s="45" t="inlineStr">
        <is>
          <t>Bordeaux</t>
        </is>
      </c>
      <c r="E210" s="45" t="inlineStr">
        <is>
          <t>6063</t>
        </is>
      </c>
      <c r="F210" s="17" t="inlineStr">
        <is>
          <t>Fournitures pédagogiques &amp; petit équipement</t>
        </is>
      </c>
      <c r="G210" s="45" t="inlineStr">
        <is>
          <t>60 — Achats</t>
        </is>
      </c>
      <c r="H210" s="45" t="inlineStr">
        <is>
          <t>Charge</t>
        </is>
      </c>
      <c r="I210" s="45" t="inlineStr">
        <is>
          <t>Coûts directs</t>
        </is>
      </c>
      <c r="J210" s="45" t="inlineStr">
        <is>
          <t>2025ACT_VDEF</t>
        </is>
      </c>
      <c r="K210" s="45" t="inlineStr">
        <is>
          <t>2025 (N-1)</t>
        </is>
      </c>
      <c r="L210" s="13" t="n">
        <v>35372</v>
      </c>
    </row>
    <row r="211">
      <c r="A211" s="45" t="inlineStr">
        <is>
          <t>ISCOM_PARIS</t>
        </is>
      </c>
      <c r="B211" s="17" t="inlineStr">
        <is>
          <t>ISCOM Paris</t>
        </is>
      </c>
      <c r="C211" s="45" t="inlineStr">
        <is>
          <t>ISCOM</t>
        </is>
      </c>
      <c r="D211" s="45" t="inlineStr">
        <is>
          <t>Paris</t>
        </is>
      </c>
      <c r="E211" s="45" t="inlineStr">
        <is>
          <t>6063</t>
        </is>
      </c>
      <c r="F211" s="17" t="inlineStr">
        <is>
          <t>Fournitures pédagogiques &amp; petit équipement</t>
        </is>
      </c>
      <c r="G211" s="45" t="inlineStr">
        <is>
          <t>60 — Achats</t>
        </is>
      </c>
      <c r="H211" s="45" t="inlineStr">
        <is>
          <t>Charge</t>
        </is>
      </c>
      <c r="I211" s="45" t="inlineStr">
        <is>
          <t>Coûts directs</t>
        </is>
      </c>
      <c r="J211" s="45" t="inlineStr">
        <is>
          <t>2025ACT_VDEF</t>
        </is>
      </c>
      <c r="K211" s="45" t="inlineStr">
        <is>
          <t>2025 (N-1)</t>
        </is>
      </c>
      <c r="L211" s="13" t="n">
        <v>50288</v>
      </c>
    </row>
    <row r="212">
      <c r="A212" s="45" t="inlineStr">
        <is>
          <t>ISCOM_LILLE</t>
        </is>
      </c>
      <c r="B212" s="17" t="inlineStr">
        <is>
          <t>ISCOM Lille</t>
        </is>
      </c>
      <c r="C212" s="45" t="inlineStr">
        <is>
          <t>ISCOM</t>
        </is>
      </c>
      <c r="D212" s="45" t="inlineStr">
        <is>
          <t>Lille</t>
        </is>
      </c>
      <c r="E212" s="45" t="inlineStr">
        <is>
          <t>6063</t>
        </is>
      </c>
      <c r="F212" s="17" t="inlineStr">
        <is>
          <t>Fournitures pédagogiques &amp; petit équipement</t>
        </is>
      </c>
      <c r="G212" s="45" t="inlineStr">
        <is>
          <t>60 — Achats</t>
        </is>
      </c>
      <c r="H212" s="45" t="inlineStr">
        <is>
          <t>Charge</t>
        </is>
      </c>
      <c r="I212" s="45" t="inlineStr">
        <is>
          <t>Coûts directs</t>
        </is>
      </c>
      <c r="J212" s="45" t="inlineStr">
        <is>
          <t>2025ACT_VDEF</t>
        </is>
      </c>
      <c r="K212" s="45" t="inlineStr">
        <is>
          <t>2025 (N-1)</t>
        </is>
      </c>
      <c r="L212" s="13" t="n">
        <v>34662</v>
      </c>
    </row>
    <row r="213">
      <c r="A213" s="45" t="inlineStr">
        <is>
          <t>ISCOM_TOULOUSE</t>
        </is>
      </c>
      <c r="B213" s="17" t="inlineStr">
        <is>
          <t>ISCOM Toulouse</t>
        </is>
      </c>
      <c r="C213" s="45" t="inlineStr">
        <is>
          <t>ISCOM</t>
        </is>
      </c>
      <c r="D213" s="45" t="inlineStr">
        <is>
          <t>Toulouse</t>
        </is>
      </c>
      <c r="E213" s="45" t="inlineStr">
        <is>
          <t>6063</t>
        </is>
      </c>
      <c r="F213" s="17" t="inlineStr">
        <is>
          <t>Fournitures pédagogiques &amp; petit équipement</t>
        </is>
      </c>
      <c r="G213" s="45" t="inlineStr">
        <is>
          <t>60 — Achats</t>
        </is>
      </c>
      <c r="H213" s="45" t="inlineStr">
        <is>
          <t>Charge</t>
        </is>
      </c>
      <c r="I213" s="45" t="inlineStr">
        <is>
          <t>Coûts directs</t>
        </is>
      </c>
      <c r="J213" s="45" t="inlineStr">
        <is>
          <t>2025ACT_VDEF</t>
        </is>
      </c>
      <c r="K213" s="45" t="inlineStr">
        <is>
          <t>2025 (N-1)</t>
        </is>
      </c>
      <c r="L213" s="13" t="n">
        <v>32815</v>
      </c>
    </row>
    <row r="214">
      <c r="A214" s="45" t="inlineStr">
        <is>
          <t>IPAC_BACHELOR_FACTORY_NANTES</t>
        </is>
      </c>
      <c r="B214" s="17" t="inlineStr">
        <is>
          <t>Ipac Bachelor Factory Nantes</t>
        </is>
      </c>
      <c r="C214" s="45" t="inlineStr">
        <is>
          <t>Ipac Bachelor Factory</t>
        </is>
      </c>
      <c r="D214" s="45" t="inlineStr">
        <is>
          <t>Nantes</t>
        </is>
      </c>
      <c r="E214" s="45" t="inlineStr">
        <is>
          <t>6063</t>
        </is>
      </c>
      <c r="F214" s="17" t="inlineStr">
        <is>
          <t>Fournitures pédagogiques &amp; petit équipement</t>
        </is>
      </c>
      <c r="G214" s="45" t="inlineStr">
        <is>
          <t>60 — Achats</t>
        </is>
      </c>
      <c r="H214" s="45" t="inlineStr">
        <is>
          <t>Charge</t>
        </is>
      </c>
      <c r="I214" s="45" t="inlineStr">
        <is>
          <t>Coûts directs</t>
        </is>
      </c>
      <c r="J214" s="45" t="inlineStr">
        <is>
          <t>2025ACT_VDEF</t>
        </is>
      </c>
      <c r="K214" s="45" t="inlineStr">
        <is>
          <t>2025 (N-1)</t>
        </is>
      </c>
      <c r="L214" s="13" t="n">
        <v>20598</v>
      </c>
    </row>
    <row r="215">
      <c r="A215" s="45" t="inlineStr">
        <is>
          <t>IPAC_BACHELOR_FACTORY_RENNES</t>
        </is>
      </c>
      <c r="B215" s="17" t="inlineStr">
        <is>
          <t>Ipac Bachelor Factory Rennes</t>
        </is>
      </c>
      <c r="C215" s="45" t="inlineStr">
        <is>
          <t>Ipac Bachelor Factory</t>
        </is>
      </c>
      <c r="D215" s="45" t="inlineStr">
        <is>
          <t>Rennes</t>
        </is>
      </c>
      <c r="E215" s="45" t="inlineStr">
        <is>
          <t>6063</t>
        </is>
      </c>
      <c r="F215" s="17" t="inlineStr">
        <is>
          <t>Fournitures pédagogiques &amp; petit équipement</t>
        </is>
      </c>
      <c r="G215" s="45" t="inlineStr">
        <is>
          <t>60 — Achats</t>
        </is>
      </c>
      <c r="H215" s="45" t="inlineStr">
        <is>
          <t>Charge</t>
        </is>
      </c>
      <c r="I215" s="45" t="inlineStr">
        <is>
          <t>Coûts directs</t>
        </is>
      </c>
      <c r="J215" s="45" t="inlineStr">
        <is>
          <t>2025ACT_VDEF</t>
        </is>
      </c>
      <c r="K215" s="45" t="inlineStr">
        <is>
          <t>2025 (N-1)</t>
        </is>
      </c>
      <c r="L215" s="13" t="n">
        <v>16621</v>
      </c>
    </row>
    <row r="216">
      <c r="A216" s="45" t="inlineStr">
        <is>
          <t>IPAC_BACHELOR_FACTORY_MONTPELLIER</t>
        </is>
      </c>
      <c r="B216" s="17" t="inlineStr">
        <is>
          <t>Ipac Bachelor Factory Montpellier</t>
        </is>
      </c>
      <c r="C216" s="45" t="inlineStr">
        <is>
          <t>Ipac Bachelor Factory</t>
        </is>
      </c>
      <c r="D216" s="45" t="inlineStr">
        <is>
          <t>Montpellier</t>
        </is>
      </c>
      <c r="E216" s="45" t="inlineStr">
        <is>
          <t>6063</t>
        </is>
      </c>
      <c r="F216" s="17" t="inlineStr">
        <is>
          <t>Fournitures pédagogiques &amp; petit équipement</t>
        </is>
      </c>
      <c r="G216" s="45" t="inlineStr">
        <is>
          <t>60 — Achats</t>
        </is>
      </c>
      <c r="H216" s="45" t="inlineStr">
        <is>
          <t>Charge</t>
        </is>
      </c>
      <c r="I216" s="45" t="inlineStr">
        <is>
          <t>Coûts directs</t>
        </is>
      </c>
      <c r="J216" s="45" t="inlineStr">
        <is>
          <t>2025ACT_VDEF</t>
        </is>
      </c>
      <c r="K216" s="45" t="inlineStr">
        <is>
          <t>2025 (N-1)</t>
        </is>
      </c>
      <c r="L216" s="13" t="n">
        <v>16621</v>
      </c>
    </row>
    <row r="217">
      <c r="A217" s="45" t="inlineStr">
        <is>
          <t>PIGIER_LYON</t>
        </is>
      </c>
      <c r="B217" s="17" t="inlineStr">
        <is>
          <t>Pigier Lyon</t>
        </is>
      </c>
      <c r="C217" s="45" t="inlineStr">
        <is>
          <t>Pigier</t>
        </is>
      </c>
      <c r="D217" s="45" t="inlineStr">
        <is>
          <t>Lyon</t>
        </is>
      </c>
      <c r="E217" s="45" t="inlineStr">
        <is>
          <t>6063</t>
        </is>
      </c>
      <c r="F217" s="17" t="inlineStr">
        <is>
          <t>Fournitures pédagogiques &amp; petit équipement</t>
        </is>
      </c>
      <c r="G217" s="45" t="inlineStr">
        <is>
          <t>60 — Achats</t>
        </is>
      </c>
      <c r="H217" s="45" t="inlineStr">
        <is>
          <t>Charge</t>
        </is>
      </c>
      <c r="I217" s="45" t="inlineStr">
        <is>
          <t>Coûts directs</t>
        </is>
      </c>
      <c r="J217" s="45" t="inlineStr">
        <is>
          <t>2025ACT_VDEF</t>
        </is>
      </c>
      <c r="K217" s="45" t="inlineStr">
        <is>
          <t>2025 (N-1)</t>
        </is>
      </c>
      <c r="L217" s="13" t="n">
        <v>25854</v>
      </c>
    </row>
    <row r="218">
      <c r="A218" s="45" t="inlineStr">
        <is>
          <t>PIGIER_BORDEAUX</t>
        </is>
      </c>
      <c r="B218" s="17" t="inlineStr">
        <is>
          <t>Pigier Bordeaux</t>
        </is>
      </c>
      <c r="C218" s="45" t="inlineStr">
        <is>
          <t>Pigier</t>
        </is>
      </c>
      <c r="D218" s="45" t="inlineStr">
        <is>
          <t>Bordeaux</t>
        </is>
      </c>
      <c r="E218" s="45" t="inlineStr">
        <is>
          <t>6063</t>
        </is>
      </c>
      <c r="F218" s="17" t="inlineStr">
        <is>
          <t>Fournitures pédagogiques &amp; petit équipement</t>
        </is>
      </c>
      <c r="G218" s="45" t="inlineStr">
        <is>
          <t>60 — Achats</t>
        </is>
      </c>
      <c r="H218" s="45" t="inlineStr">
        <is>
          <t>Charge</t>
        </is>
      </c>
      <c r="I218" s="45" t="inlineStr">
        <is>
          <t>Coûts directs</t>
        </is>
      </c>
      <c r="J218" s="45" t="inlineStr">
        <is>
          <t>2025ACT_VDEF</t>
        </is>
      </c>
      <c r="K218" s="45" t="inlineStr">
        <is>
          <t>2025 (N-1)</t>
        </is>
      </c>
      <c r="L218" s="13" t="n">
        <v>20172</v>
      </c>
    </row>
    <row r="219">
      <c r="A219" s="45" t="inlineStr">
        <is>
          <t>TUNON_PARIS</t>
        </is>
      </c>
      <c r="B219" s="17" t="inlineStr">
        <is>
          <t>Tunon Paris</t>
        </is>
      </c>
      <c r="C219" s="45" t="inlineStr">
        <is>
          <t>Tunon</t>
        </is>
      </c>
      <c r="D219" s="45" t="inlineStr">
        <is>
          <t>Paris</t>
        </is>
      </c>
      <c r="E219" s="45" t="inlineStr">
        <is>
          <t>6063</t>
        </is>
      </c>
      <c r="F219" s="17" t="inlineStr">
        <is>
          <t>Fournitures pédagogiques &amp; petit équipement</t>
        </is>
      </c>
      <c r="G219" s="45" t="inlineStr">
        <is>
          <t>60 — Achats</t>
        </is>
      </c>
      <c r="H219" s="45" t="inlineStr">
        <is>
          <t>Charge</t>
        </is>
      </c>
      <c r="I219" s="45" t="inlineStr">
        <is>
          <t>Coûts directs</t>
        </is>
      </c>
      <c r="J219" s="45" t="inlineStr">
        <is>
          <t>2025ACT_VDEF</t>
        </is>
      </c>
      <c r="K219" s="45" t="inlineStr">
        <is>
          <t>2025 (N-1)</t>
        </is>
      </c>
      <c r="L219" s="13" t="n">
        <v>19604</v>
      </c>
    </row>
    <row r="220">
      <c r="A220" s="45" t="inlineStr">
        <is>
          <t>TUNON_LYON</t>
        </is>
      </c>
      <c r="B220" s="17" t="inlineStr">
        <is>
          <t>Tunon Lyon</t>
        </is>
      </c>
      <c r="C220" s="45" t="inlineStr">
        <is>
          <t>Tunon</t>
        </is>
      </c>
      <c r="D220" s="45" t="inlineStr">
        <is>
          <t>Lyon</t>
        </is>
      </c>
      <c r="E220" s="45" t="inlineStr">
        <is>
          <t>6063</t>
        </is>
      </c>
      <c r="F220" s="17" t="inlineStr">
        <is>
          <t>Fournitures pédagogiques &amp; petit équipement</t>
        </is>
      </c>
      <c r="G220" s="45" t="inlineStr">
        <is>
          <t>60 — Achats</t>
        </is>
      </c>
      <c r="H220" s="45" t="inlineStr">
        <is>
          <t>Charge</t>
        </is>
      </c>
      <c r="I220" s="45" t="inlineStr">
        <is>
          <t>Coûts directs</t>
        </is>
      </c>
      <c r="J220" s="45" t="inlineStr">
        <is>
          <t>2025ACT_VDEF</t>
        </is>
      </c>
      <c r="K220" s="45" t="inlineStr">
        <is>
          <t>2025 (N-1)</t>
        </is>
      </c>
      <c r="L220" s="13" t="n">
        <v>16621</v>
      </c>
    </row>
    <row r="221">
      <c r="A221" s="45" t="inlineStr">
        <is>
          <t>MBWAY_PARIS</t>
        </is>
      </c>
      <c r="B221" s="17" t="inlineStr">
        <is>
          <t>MBway Paris</t>
        </is>
      </c>
      <c r="C221" s="45" t="inlineStr">
        <is>
          <t>MBway</t>
        </is>
      </c>
      <c r="D221" s="45" t="inlineStr">
        <is>
          <t>Paris</t>
        </is>
      </c>
      <c r="E221" s="45" t="inlineStr">
        <is>
          <t>6063</t>
        </is>
      </c>
      <c r="F221" s="17" t="inlineStr">
        <is>
          <t>Fournitures pédagogiques &amp; petit équipement</t>
        </is>
      </c>
      <c r="G221" s="45" t="inlineStr">
        <is>
          <t>60 — Achats</t>
        </is>
      </c>
      <c r="H221" s="45" t="inlineStr">
        <is>
          <t>Charge</t>
        </is>
      </c>
      <c r="I221" s="45" t="inlineStr">
        <is>
          <t>Coûts directs</t>
        </is>
      </c>
      <c r="J221" s="45" t="inlineStr">
        <is>
          <t>2026ATT_VDEF</t>
        </is>
      </c>
      <c r="K221" s="45" t="inlineStr">
        <is>
          <t>2026 (Atterr.)</t>
        </is>
      </c>
      <c r="L221" s="13" t="n">
        <v>56856</v>
      </c>
    </row>
    <row r="222">
      <c r="A222" s="45" t="inlineStr">
        <is>
          <t>MBWAY_LYON</t>
        </is>
      </c>
      <c r="B222" s="17" t="inlineStr">
        <is>
          <t>MBway Lyon</t>
        </is>
      </c>
      <c r="C222" s="45" t="inlineStr">
        <is>
          <t>MBway</t>
        </is>
      </c>
      <c r="D222" s="45" t="inlineStr">
        <is>
          <t>Lyon</t>
        </is>
      </c>
      <c r="E222" s="45" t="inlineStr">
        <is>
          <t>6063</t>
        </is>
      </c>
      <c r="F222" s="17" t="inlineStr">
        <is>
          <t>Fournitures pédagogiques &amp; petit équipement</t>
        </is>
      </c>
      <c r="G222" s="45" t="inlineStr">
        <is>
          <t>60 — Achats</t>
        </is>
      </c>
      <c r="H222" s="45" t="inlineStr">
        <is>
          <t>Charge</t>
        </is>
      </c>
      <c r="I222" s="45" t="inlineStr">
        <is>
          <t>Coûts directs</t>
        </is>
      </c>
      <c r="J222" s="45" t="inlineStr">
        <is>
          <t>2026ATT_VDEF</t>
        </is>
      </c>
      <c r="K222" s="45" t="inlineStr">
        <is>
          <t>2026 (Atterr.)</t>
        </is>
      </c>
      <c r="L222" s="13" t="n">
        <v>48224</v>
      </c>
    </row>
    <row r="223">
      <c r="A223" s="45" t="inlineStr">
        <is>
          <t>MBWAY_NANTES</t>
        </is>
      </c>
      <c r="B223" s="17" t="inlineStr">
        <is>
          <t>MBway Nantes</t>
        </is>
      </c>
      <c r="C223" s="45" t="inlineStr">
        <is>
          <t>MBway</t>
        </is>
      </c>
      <c r="D223" s="45" t="inlineStr">
        <is>
          <t>Nantes</t>
        </is>
      </c>
      <c r="E223" s="45" t="inlineStr">
        <is>
          <t>6063</t>
        </is>
      </c>
      <c r="F223" s="17" t="inlineStr">
        <is>
          <t>Fournitures pédagogiques &amp; petit équipement</t>
        </is>
      </c>
      <c r="G223" s="45" t="inlineStr">
        <is>
          <t>60 — Achats</t>
        </is>
      </c>
      <c r="H223" s="45" t="inlineStr">
        <is>
          <t>Charge</t>
        </is>
      </c>
      <c r="I223" s="45" t="inlineStr">
        <is>
          <t>Coûts directs</t>
        </is>
      </c>
      <c r="J223" s="45" t="inlineStr">
        <is>
          <t>2026ATT_VDEF</t>
        </is>
      </c>
      <c r="K223" s="45" t="inlineStr">
        <is>
          <t>2026 (Atterr.)</t>
        </is>
      </c>
      <c r="L223" s="13" t="n">
        <v>43758</v>
      </c>
    </row>
    <row r="224">
      <c r="A224" s="45" t="inlineStr">
        <is>
          <t>MBWAY_BORDEAUX</t>
        </is>
      </c>
      <c r="B224" s="17" t="inlineStr">
        <is>
          <t>MBway Bordeaux</t>
        </is>
      </c>
      <c r="C224" s="45" t="inlineStr">
        <is>
          <t>MBway</t>
        </is>
      </c>
      <c r="D224" s="45" t="inlineStr">
        <is>
          <t>Bordeaux</t>
        </is>
      </c>
      <c r="E224" s="45" t="inlineStr">
        <is>
          <t>6063</t>
        </is>
      </c>
      <c r="F224" s="17" t="inlineStr">
        <is>
          <t>Fournitures pédagogiques &amp; petit équipement</t>
        </is>
      </c>
      <c r="G224" s="45" t="inlineStr">
        <is>
          <t>60 — Achats</t>
        </is>
      </c>
      <c r="H224" s="45" t="inlineStr">
        <is>
          <t>Charge</t>
        </is>
      </c>
      <c r="I224" s="45" t="inlineStr">
        <is>
          <t>Coûts directs</t>
        </is>
      </c>
      <c r="J224" s="45" t="inlineStr">
        <is>
          <t>2026ATT_VDEF</t>
        </is>
      </c>
      <c r="K224" s="45" t="inlineStr">
        <is>
          <t>2026 (Atterr.)</t>
        </is>
      </c>
      <c r="L224" s="13" t="n">
        <v>37061</v>
      </c>
    </row>
    <row r="225">
      <c r="A225" s="45" t="inlineStr">
        <is>
          <t>ISCOM_PARIS</t>
        </is>
      </c>
      <c r="B225" s="17" t="inlineStr">
        <is>
          <t>ISCOM Paris</t>
        </is>
      </c>
      <c r="C225" s="45" t="inlineStr">
        <is>
          <t>ISCOM</t>
        </is>
      </c>
      <c r="D225" s="45" t="inlineStr">
        <is>
          <t>Paris</t>
        </is>
      </c>
      <c r="E225" s="45" t="inlineStr">
        <is>
          <t>6063</t>
        </is>
      </c>
      <c r="F225" s="17" t="inlineStr">
        <is>
          <t>Fournitures pédagogiques &amp; petit équipement</t>
        </is>
      </c>
      <c r="G225" s="45" t="inlineStr">
        <is>
          <t>60 — Achats</t>
        </is>
      </c>
      <c r="H225" s="45" t="inlineStr">
        <is>
          <t>Charge</t>
        </is>
      </c>
      <c r="I225" s="45" t="inlineStr">
        <is>
          <t>Coûts directs</t>
        </is>
      </c>
      <c r="J225" s="45" t="inlineStr">
        <is>
          <t>2026ATT_VDEF</t>
        </is>
      </c>
      <c r="K225" s="45" t="inlineStr">
        <is>
          <t>2026 (Atterr.)</t>
        </is>
      </c>
      <c r="L225" s="13" t="n">
        <v>52689</v>
      </c>
    </row>
    <row r="226">
      <c r="A226" s="45" t="inlineStr">
        <is>
          <t>ISCOM_LILLE</t>
        </is>
      </c>
      <c r="B226" s="17" t="inlineStr">
        <is>
          <t>ISCOM Lille</t>
        </is>
      </c>
      <c r="C226" s="45" t="inlineStr">
        <is>
          <t>ISCOM</t>
        </is>
      </c>
      <c r="D226" s="45" t="inlineStr">
        <is>
          <t>Lille</t>
        </is>
      </c>
      <c r="E226" s="45" t="inlineStr">
        <is>
          <t>6063</t>
        </is>
      </c>
      <c r="F226" s="17" t="inlineStr">
        <is>
          <t>Fournitures pédagogiques &amp; petit équipement</t>
        </is>
      </c>
      <c r="G226" s="45" t="inlineStr">
        <is>
          <t>60 — Achats</t>
        </is>
      </c>
      <c r="H226" s="45" t="inlineStr">
        <is>
          <t>Charge</t>
        </is>
      </c>
      <c r="I226" s="45" t="inlineStr">
        <is>
          <t>Coûts directs</t>
        </is>
      </c>
      <c r="J226" s="45" t="inlineStr">
        <is>
          <t>2026ATT_VDEF</t>
        </is>
      </c>
      <c r="K226" s="45" t="inlineStr">
        <is>
          <t>2026 (Atterr.)</t>
        </is>
      </c>
      <c r="L226" s="13" t="n">
        <v>36316</v>
      </c>
    </row>
    <row r="227">
      <c r="A227" s="45" t="inlineStr">
        <is>
          <t>ISCOM_TOULOUSE</t>
        </is>
      </c>
      <c r="B227" s="17" t="inlineStr">
        <is>
          <t>ISCOM Toulouse</t>
        </is>
      </c>
      <c r="C227" s="45" t="inlineStr">
        <is>
          <t>ISCOM</t>
        </is>
      </c>
      <c r="D227" s="45" t="inlineStr">
        <is>
          <t>Toulouse</t>
        </is>
      </c>
      <c r="E227" s="45" t="inlineStr">
        <is>
          <t>6063</t>
        </is>
      </c>
      <c r="F227" s="17" t="inlineStr">
        <is>
          <t>Fournitures pédagogiques &amp; petit équipement</t>
        </is>
      </c>
      <c r="G227" s="45" t="inlineStr">
        <is>
          <t>60 — Achats</t>
        </is>
      </c>
      <c r="H227" s="45" t="inlineStr">
        <is>
          <t>Charge</t>
        </is>
      </c>
      <c r="I227" s="45" t="inlineStr">
        <is>
          <t>Coûts directs</t>
        </is>
      </c>
      <c r="J227" s="45" t="inlineStr">
        <is>
          <t>2026ATT_VDEF</t>
        </is>
      </c>
      <c r="K227" s="45" t="inlineStr">
        <is>
          <t>2026 (Atterr.)</t>
        </is>
      </c>
      <c r="L227" s="13" t="n">
        <v>34382</v>
      </c>
    </row>
    <row r="228">
      <c r="A228" s="45" t="inlineStr">
        <is>
          <t>IPAC_BACHELOR_FACTORY_NANTES</t>
        </is>
      </c>
      <c r="B228" s="17" t="inlineStr">
        <is>
          <t>Ipac Bachelor Factory Nantes</t>
        </is>
      </c>
      <c r="C228" s="45" t="inlineStr">
        <is>
          <t>Ipac Bachelor Factory</t>
        </is>
      </c>
      <c r="D228" s="45" t="inlineStr">
        <is>
          <t>Nantes</t>
        </is>
      </c>
      <c r="E228" s="45" t="inlineStr">
        <is>
          <t>6063</t>
        </is>
      </c>
      <c r="F228" s="17" t="inlineStr">
        <is>
          <t>Fournitures pédagogiques &amp; petit équipement</t>
        </is>
      </c>
      <c r="G228" s="45" t="inlineStr">
        <is>
          <t>60 — Achats</t>
        </is>
      </c>
      <c r="H228" s="45" t="inlineStr">
        <is>
          <t>Charge</t>
        </is>
      </c>
      <c r="I228" s="45" t="inlineStr">
        <is>
          <t>Coûts directs</t>
        </is>
      </c>
      <c r="J228" s="45" t="inlineStr">
        <is>
          <t>2026ATT_VDEF</t>
        </is>
      </c>
      <c r="K228" s="45" t="inlineStr">
        <is>
          <t>2026 (Atterr.)</t>
        </is>
      </c>
      <c r="L228" s="13" t="n">
        <v>21582</v>
      </c>
    </row>
    <row r="229">
      <c r="A229" s="45" t="inlineStr">
        <is>
          <t>IPAC_BACHELOR_FACTORY_RENNES</t>
        </is>
      </c>
      <c r="B229" s="17" t="inlineStr">
        <is>
          <t>Ipac Bachelor Factory Rennes</t>
        </is>
      </c>
      <c r="C229" s="45" t="inlineStr">
        <is>
          <t>Ipac Bachelor Factory</t>
        </is>
      </c>
      <c r="D229" s="45" t="inlineStr">
        <is>
          <t>Rennes</t>
        </is>
      </c>
      <c r="E229" s="45" t="inlineStr">
        <is>
          <t>6063</t>
        </is>
      </c>
      <c r="F229" s="17" t="inlineStr">
        <is>
          <t>Fournitures pédagogiques &amp; petit équipement</t>
        </is>
      </c>
      <c r="G229" s="45" t="inlineStr">
        <is>
          <t>60 — Achats</t>
        </is>
      </c>
      <c r="H229" s="45" t="inlineStr">
        <is>
          <t>Charge</t>
        </is>
      </c>
      <c r="I229" s="45" t="inlineStr">
        <is>
          <t>Coûts directs</t>
        </is>
      </c>
      <c r="J229" s="45" t="inlineStr">
        <is>
          <t>2026ATT_VDEF</t>
        </is>
      </c>
      <c r="K229" s="45" t="inlineStr">
        <is>
          <t>2026 (Atterr.)</t>
        </is>
      </c>
      <c r="L229" s="13" t="n">
        <v>17414</v>
      </c>
    </row>
    <row r="230">
      <c r="A230" s="45" t="inlineStr">
        <is>
          <t>IPAC_BACHELOR_FACTORY_MONTPELLIER</t>
        </is>
      </c>
      <c r="B230" s="17" t="inlineStr">
        <is>
          <t>Ipac Bachelor Factory Montpellier</t>
        </is>
      </c>
      <c r="C230" s="45" t="inlineStr">
        <is>
          <t>Ipac Bachelor Factory</t>
        </is>
      </c>
      <c r="D230" s="45" t="inlineStr">
        <is>
          <t>Montpellier</t>
        </is>
      </c>
      <c r="E230" s="45" t="inlineStr">
        <is>
          <t>6063</t>
        </is>
      </c>
      <c r="F230" s="17" t="inlineStr">
        <is>
          <t>Fournitures pédagogiques &amp; petit équipement</t>
        </is>
      </c>
      <c r="G230" s="45" t="inlineStr">
        <is>
          <t>60 — Achats</t>
        </is>
      </c>
      <c r="H230" s="45" t="inlineStr">
        <is>
          <t>Charge</t>
        </is>
      </c>
      <c r="I230" s="45" t="inlineStr">
        <is>
          <t>Coûts directs</t>
        </is>
      </c>
      <c r="J230" s="45" t="inlineStr">
        <is>
          <t>2026ATT_VDEF</t>
        </is>
      </c>
      <c r="K230" s="45" t="inlineStr">
        <is>
          <t>2026 (Atterr.)</t>
        </is>
      </c>
      <c r="L230" s="13" t="n">
        <v>17414</v>
      </c>
    </row>
    <row r="231">
      <c r="A231" s="45" t="inlineStr">
        <is>
          <t>PIGIER_LYON</t>
        </is>
      </c>
      <c r="B231" s="17" t="inlineStr">
        <is>
          <t>Pigier Lyon</t>
        </is>
      </c>
      <c r="C231" s="45" t="inlineStr">
        <is>
          <t>Pigier</t>
        </is>
      </c>
      <c r="D231" s="45" t="inlineStr">
        <is>
          <t>Lyon</t>
        </is>
      </c>
      <c r="E231" s="45" t="inlineStr">
        <is>
          <t>6063</t>
        </is>
      </c>
      <c r="F231" s="17" t="inlineStr">
        <is>
          <t>Fournitures pédagogiques &amp; petit équipement</t>
        </is>
      </c>
      <c r="G231" s="45" t="inlineStr">
        <is>
          <t>60 — Achats</t>
        </is>
      </c>
      <c r="H231" s="45" t="inlineStr">
        <is>
          <t>Charge</t>
        </is>
      </c>
      <c r="I231" s="45" t="inlineStr">
        <is>
          <t>Coûts directs</t>
        </is>
      </c>
      <c r="J231" s="45" t="inlineStr">
        <is>
          <t>2026ATT_VDEF</t>
        </is>
      </c>
      <c r="K231" s="45" t="inlineStr">
        <is>
          <t>2026 (Atterr.)</t>
        </is>
      </c>
      <c r="L231" s="13" t="n">
        <v>27089</v>
      </c>
    </row>
    <row r="232">
      <c r="A232" s="45" t="inlineStr">
        <is>
          <t>PIGIER_BORDEAUX</t>
        </is>
      </c>
      <c r="B232" s="17" t="inlineStr">
        <is>
          <t>Pigier Bordeaux</t>
        </is>
      </c>
      <c r="C232" s="45" t="inlineStr">
        <is>
          <t>Pigier</t>
        </is>
      </c>
      <c r="D232" s="45" t="inlineStr">
        <is>
          <t>Bordeaux</t>
        </is>
      </c>
      <c r="E232" s="45" t="inlineStr">
        <is>
          <t>6063</t>
        </is>
      </c>
      <c r="F232" s="17" t="inlineStr">
        <is>
          <t>Fournitures pédagogiques &amp; petit équipement</t>
        </is>
      </c>
      <c r="G232" s="45" t="inlineStr">
        <is>
          <t>60 — Achats</t>
        </is>
      </c>
      <c r="H232" s="45" t="inlineStr">
        <is>
          <t>Charge</t>
        </is>
      </c>
      <c r="I232" s="45" t="inlineStr">
        <is>
          <t>Coûts directs</t>
        </is>
      </c>
      <c r="J232" s="45" t="inlineStr">
        <is>
          <t>2026ATT_VDEF</t>
        </is>
      </c>
      <c r="K232" s="45" t="inlineStr">
        <is>
          <t>2026 (Atterr.)</t>
        </is>
      </c>
      <c r="L232" s="13" t="n">
        <v>21135</v>
      </c>
    </row>
    <row r="233">
      <c r="A233" s="45" t="inlineStr">
        <is>
          <t>TUNON_PARIS</t>
        </is>
      </c>
      <c r="B233" s="17" t="inlineStr">
        <is>
          <t>Tunon Paris</t>
        </is>
      </c>
      <c r="C233" s="45" t="inlineStr">
        <is>
          <t>Tunon</t>
        </is>
      </c>
      <c r="D233" s="45" t="inlineStr">
        <is>
          <t>Paris</t>
        </is>
      </c>
      <c r="E233" s="45" t="inlineStr">
        <is>
          <t>6063</t>
        </is>
      </c>
      <c r="F233" s="17" t="inlineStr">
        <is>
          <t>Fournitures pédagogiques &amp; petit équipement</t>
        </is>
      </c>
      <c r="G233" s="45" t="inlineStr">
        <is>
          <t>60 — Achats</t>
        </is>
      </c>
      <c r="H233" s="45" t="inlineStr">
        <is>
          <t>Charge</t>
        </is>
      </c>
      <c r="I233" s="45" t="inlineStr">
        <is>
          <t>Coûts directs</t>
        </is>
      </c>
      <c r="J233" s="45" t="inlineStr">
        <is>
          <t>2026ATT_VDEF</t>
        </is>
      </c>
      <c r="K233" s="45" t="inlineStr">
        <is>
          <t>2026 (Atterr.)</t>
        </is>
      </c>
      <c r="L233" s="13" t="n">
        <v>20540</v>
      </c>
    </row>
    <row r="234">
      <c r="A234" s="45" t="inlineStr">
        <is>
          <t>TUNON_LYON</t>
        </is>
      </c>
      <c r="B234" s="17" t="inlineStr">
        <is>
          <t>Tunon Lyon</t>
        </is>
      </c>
      <c r="C234" s="45" t="inlineStr">
        <is>
          <t>Tunon</t>
        </is>
      </c>
      <c r="D234" s="45" t="inlineStr">
        <is>
          <t>Lyon</t>
        </is>
      </c>
      <c r="E234" s="45" t="inlineStr">
        <is>
          <t>6063</t>
        </is>
      </c>
      <c r="F234" s="17" t="inlineStr">
        <is>
          <t>Fournitures pédagogiques &amp; petit équipement</t>
        </is>
      </c>
      <c r="G234" s="45" t="inlineStr">
        <is>
          <t>60 — Achats</t>
        </is>
      </c>
      <c r="H234" s="45" t="inlineStr">
        <is>
          <t>Charge</t>
        </is>
      </c>
      <c r="I234" s="45" t="inlineStr">
        <is>
          <t>Coûts directs</t>
        </is>
      </c>
      <c r="J234" s="45" t="inlineStr">
        <is>
          <t>2026ATT_VDEF</t>
        </is>
      </c>
      <c r="K234" s="45" t="inlineStr">
        <is>
          <t>2026 (Atterr.)</t>
        </is>
      </c>
      <c r="L234" s="13" t="n">
        <v>17414</v>
      </c>
    </row>
    <row r="235">
      <c r="A235" s="45" t="inlineStr">
        <is>
          <t>MBWAY_PARIS</t>
        </is>
      </c>
      <c r="B235" s="17" t="inlineStr">
        <is>
          <t>MBway Paris</t>
        </is>
      </c>
      <c r="C235" s="45" t="inlineStr">
        <is>
          <t>MBway</t>
        </is>
      </c>
      <c r="D235" s="45" t="inlineStr">
        <is>
          <t>Paris</t>
        </is>
      </c>
      <c r="E235" s="45" t="inlineStr">
        <is>
          <t>6231</t>
        </is>
      </c>
      <c r="F235" s="17" t="inlineStr">
        <is>
          <t>Publicité &amp; marketing d'acquisition (leads)</t>
        </is>
      </c>
      <c r="G235" s="45" t="inlineStr">
        <is>
          <t>62 — Autres services extérieurs</t>
        </is>
      </c>
      <c r="H235" s="45" t="inlineStr">
        <is>
          <t>Charge</t>
        </is>
      </c>
      <c r="I235" s="45" t="inlineStr">
        <is>
          <t>Coûts directs</t>
        </is>
      </c>
      <c r="J235" s="45" t="inlineStr">
        <is>
          <t>2024ACT_VDEF</t>
        </is>
      </c>
      <c r="K235" s="45" t="inlineStr">
        <is>
          <t>2024 (N-2)</t>
        </is>
      </c>
      <c r="L235" s="13" t="n">
        <v>56438</v>
      </c>
    </row>
    <row r="236">
      <c r="A236" s="45" t="inlineStr">
        <is>
          <t>MBWAY_LYON</t>
        </is>
      </c>
      <c r="B236" s="17" t="inlineStr">
        <is>
          <t>MBway Lyon</t>
        </is>
      </c>
      <c r="C236" s="45" t="inlineStr">
        <is>
          <t>MBway</t>
        </is>
      </c>
      <c r="D236" s="45" t="inlineStr">
        <is>
          <t>Lyon</t>
        </is>
      </c>
      <c r="E236" s="45" t="inlineStr">
        <is>
          <t>6231</t>
        </is>
      </c>
      <c r="F236" s="17" t="inlineStr">
        <is>
          <t>Publicité &amp; marketing d'acquisition (leads)</t>
        </is>
      </c>
      <c r="G236" s="45" t="inlineStr">
        <is>
          <t>62 — Autres services extérieurs</t>
        </is>
      </c>
      <c r="H236" s="45" t="inlineStr">
        <is>
          <t>Charge</t>
        </is>
      </c>
      <c r="I236" s="45" t="inlineStr">
        <is>
          <t>Coûts directs</t>
        </is>
      </c>
      <c r="J236" s="45" t="inlineStr">
        <is>
          <t>2024ACT_VDEF</t>
        </is>
      </c>
      <c r="K236" s="45" t="inlineStr">
        <is>
          <t>2024 (N-2)</t>
        </is>
      </c>
      <c r="L236" s="13" t="n">
        <v>34532</v>
      </c>
    </row>
    <row r="237">
      <c r="A237" s="45" t="inlineStr">
        <is>
          <t>MBWAY_NANTES</t>
        </is>
      </c>
      <c r="B237" s="17" t="inlineStr">
        <is>
          <t>MBway Nantes</t>
        </is>
      </c>
      <c r="C237" s="45" t="inlineStr">
        <is>
          <t>MBway</t>
        </is>
      </c>
      <c r="D237" s="45" t="inlineStr">
        <is>
          <t>Nantes</t>
        </is>
      </c>
      <c r="E237" s="45" t="inlineStr">
        <is>
          <t>6231</t>
        </is>
      </c>
      <c r="F237" s="17" t="inlineStr">
        <is>
          <t>Publicité &amp; marketing d'acquisition (leads)</t>
        </is>
      </c>
      <c r="G237" s="45" t="inlineStr">
        <is>
          <t>62 — Autres services extérieurs</t>
        </is>
      </c>
      <c r="H237" s="45" t="inlineStr">
        <is>
          <t>Charge</t>
        </is>
      </c>
      <c r="I237" s="45" t="inlineStr">
        <is>
          <t>Coûts directs</t>
        </is>
      </c>
      <c r="J237" s="45" t="inlineStr">
        <is>
          <t>2024ACT_VDEF</t>
        </is>
      </c>
      <c r="K237" s="45" t="inlineStr">
        <is>
          <t>2024 (N-2)</t>
        </is>
      </c>
      <c r="L237" s="13" t="n">
        <v>26060</v>
      </c>
    </row>
    <row r="238">
      <c r="A238" s="45" t="inlineStr">
        <is>
          <t>MBWAY_BORDEAUX</t>
        </is>
      </c>
      <c r="B238" s="17" t="inlineStr">
        <is>
          <t>MBway Bordeaux</t>
        </is>
      </c>
      <c r="C238" s="45" t="inlineStr">
        <is>
          <t>MBway</t>
        </is>
      </c>
      <c r="D238" s="45" t="inlineStr">
        <is>
          <t>Bordeaux</t>
        </is>
      </c>
      <c r="E238" s="45" t="inlineStr">
        <is>
          <t>6231</t>
        </is>
      </c>
      <c r="F238" s="17" t="inlineStr">
        <is>
          <t>Publicité &amp; marketing d'acquisition (leads)</t>
        </is>
      </c>
      <c r="G238" s="45" t="inlineStr">
        <is>
          <t>62 — Autres services extérieurs</t>
        </is>
      </c>
      <c r="H238" s="45" t="inlineStr">
        <is>
          <t>Charge</t>
        </is>
      </c>
      <c r="I238" s="45" t="inlineStr">
        <is>
          <t>Coûts directs</t>
        </is>
      </c>
      <c r="J238" s="45" t="inlineStr">
        <is>
          <t>2024ACT_VDEF</t>
        </is>
      </c>
      <c r="K238" s="45" t="inlineStr">
        <is>
          <t>2024 (N-2)</t>
        </is>
      </c>
      <c r="L238" s="13" t="n">
        <v>20597</v>
      </c>
    </row>
    <row r="239">
      <c r="A239" s="45" t="inlineStr">
        <is>
          <t>ISCOM_PARIS</t>
        </is>
      </c>
      <c r="B239" s="17" t="inlineStr">
        <is>
          <t>ISCOM Paris</t>
        </is>
      </c>
      <c r="C239" s="45" t="inlineStr">
        <is>
          <t>ISCOM</t>
        </is>
      </c>
      <c r="D239" s="45" t="inlineStr">
        <is>
          <t>Paris</t>
        </is>
      </c>
      <c r="E239" s="45" t="inlineStr">
        <is>
          <t>6231</t>
        </is>
      </c>
      <c r="F239" s="17" t="inlineStr">
        <is>
          <t>Publicité &amp; marketing d'acquisition (leads)</t>
        </is>
      </c>
      <c r="G239" s="45" t="inlineStr">
        <is>
          <t>62 — Autres services extérieurs</t>
        </is>
      </c>
      <c r="H239" s="45" t="inlineStr">
        <is>
          <t>Charge</t>
        </is>
      </c>
      <c r="I239" s="45" t="inlineStr">
        <is>
          <t>Coûts directs</t>
        </is>
      </c>
      <c r="J239" s="45" t="inlineStr">
        <is>
          <t>2024ACT_VDEF</t>
        </is>
      </c>
      <c r="K239" s="45" t="inlineStr">
        <is>
          <t>2024 (N-2)</t>
        </is>
      </c>
      <c r="L239" s="13" t="n">
        <v>50248</v>
      </c>
    </row>
    <row r="240">
      <c r="A240" s="45" t="inlineStr">
        <is>
          <t>ISCOM_LILLE</t>
        </is>
      </c>
      <c r="B240" s="17" t="inlineStr">
        <is>
          <t>ISCOM Lille</t>
        </is>
      </c>
      <c r="C240" s="45" t="inlineStr">
        <is>
          <t>ISCOM</t>
        </is>
      </c>
      <c r="D240" s="45" t="inlineStr">
        <is>
          <t>Lille</t>
        </is>
      </c>
      <c r="E240" s="45" t="inlineStr">
        <is>
          <t>6231</t>
        </is>
      </c>
      <c r="F240" s="17" t="inlineStr">
        <is>
          <t>Publicité &amp; marketing d'acquisition (leads)</t>
        </is>
      </c>
      <c r="G240" s="45" t="inlineStr">
        <is>
          <t>62 — Autres services extérieurs</t>
        </is>
      </c>
      <c r="H240" s="45" t="inlineStr">
        <is>
          <t>Charge</t>
        </is>
      </c>
      <c r="I240" s="45" t="inlineStr">
        <is>
          <t>Coûts directs</t>
        </is>
      </c>
      <c r="J240" s="45" t="inlineStr">
        <is>
          <t>2024ACT_VDEF</t>
        </is>
      </c>
      <c r="K240" s="45" t="inlineStr">
        <is>
          <t>2024 (N-2)</t>
        </is>
      </c>
      <c r="L240" s="13" t="n">
        <v>20843</v>
      </c>
    </row>
    <row r="241">
      <c r="A241" s="45" t="inlineStr">
        <is>
          <t>ISCOM_TOULOUSE</t>
        </is>
      </c>
      <c r="B241" s="17" t="inlineStr">
        <is>
          <t>ISCOM Toulouse</t>
        </is>
      </c>
      <c r="C241" s="45" t="inlineStr">
        <is>
          <t>ISCOM</t>
        </is>
      </c>
      <c r="D241" s="45" t="inlineStr">
        <is>
          <t>Toulouse</t>
        </is>
      </c>
      <c r="E241" s="45" t="inlineStr">
        <is>
          <t>6231</t>
        </is>
      </c>
      <c r="F241" s="17" t="inlineStr">
        <is>
          <t>Publicité &amp; marketing d'acquisition (leads)</t>
        </is>
      </c>
      <c r="G241" s="45" t="inlineStr">
        <is>
          <t>62 — Autres services extérieurs</t>
        </is>
      </c>
      <c r="H241" s="45" t="inlineStr">
        <is>
          <t>Charge</t>
        </is>
      </c>
      <c r="I241" s="45" t="inlineStr">
        <is>
          <t>Coûts directs</t>
        </is>
      </c>
      <c r="J241" s="45" t="inlineStr">
        <is>
          <t>2024ACT_VDEF</t>
        </is>
      </c>
      <c r="K241" s="45" t="inlineStr">
        <is>
          <t>2024 (N-2)</t>
        </is>
      </c>
      <c r="L241" s="13" t="n">
        <v>18251</v>
      </c>
    </row>
    <row r="242">
      <c r="A242" s="45" t="inlineStr">
        <is>
          <t>IPAC_BACHELOR_FACTORY_NANTES</t>
        </is>
      </c>
      <c r="B242" s="17" t="inlineStr">
        <is>
          <t>Ipac Bachelor Factory Nantes</t>
        </is>
      </c>
      <c r="C242" s="45" t="inlineStr">
        <is>
          <t>Ipac Bachelor Factory</t>
        </is>
      </c>
      <c r="D242" s="45" t="inlineStr">
        <is>
          <t>Nantes</t>
        </is>
      </c>
      <c r="E242" s="45" t="inlineStr">
        <is>
          <t>6231</t>
        </is>
      </c>
      <c r="F242" s="17" t="inlineStr">
        <is>
          <t>Publicité &amp; marketing d'acquisition (leads)</t>
        </is>
      </c>
      <c r="G242" s="45" t="inlineStr">
        <is>
          <t>62 — Autres services extérieurs</t>
        </is>
      </c>
      <c r="H242" s="45" t="inlineStr">
        <is>
          <t>Charge</t>
        </is>
      </c>
      <c r="I242" s="45" t="inlineStr">
        <is>
          <t>Coûts directs</t>
        </is>
      </c>
      <c r="J242" s="45" t="inlineStr">
        <is>
          <t>2024ACT_VDEF</t>
        </is>
      </c>
      <c r="K242" s="45" t="inlineStr">
        <is>
          <t>2024 (N-2)</t>
        </is>
      </c>
      <c r="L242" s="13" t="n">
        <v>17983</v>
      </c>
    </row>
    <row r="243">
      <c r="A243" s="45" t="inlineStr">
        <is>
          <t>IPAC_BACHELOR_FACTORY_RENNES</t>
        </is>
      </c>
      <c r="B243" s="17" t="inlineStr">
        <is>
          <t>Ipac Bachelor Factory Rennes</t>
        </is>
      </c>
      <c r="C243" s="45" t="inlineStr">
        <is>
          <t>Ipac Bachelor Factory</t>
        </is>
      </c>
      <c r="D243" s="45" t="inlineStr">
        <is>
          <t>Rennes</t>
        </is>
      </c>
      <c r="E243" s="45" t="inlineStr">
        <is>
          <t>6231</t>
        </is>
      </c>
      <c r="F243" s="17" t="inlineStr">
        <is>
          <t>Publicité &amp; marketing d'acquisition (leads)</t>
        </is>
      </c>
      <c r="G243" s="45" t="inlineStr">
        <is>
          <t>62 — Autres services extérieurs</t>
        </is>
      </c>
      <c r="H243" s="45" t="inlineStr">
        <is>
          <t>Charge</t>
        </is>
      </c>
      <c r="I243" s="45" t="inlineStr">
        <is>
          <t>Coûts directs</t>
        </is>
      </c>
      <c r="J243" s="45" t="inlineStr">
        <is>
          <t>2024ACT_VDEF</t>
        </is>
      </c>
      <c r="K243" s="45" t="inlineStr">
        <is>
          <t>2024 (N-2)</t>
        </is>
      </c>
      <c r="L243" s="13" t="n">
        <v>12341</v>
      </c>
    </row>
    <row r="244">
      <c r="A244" s="45" t="inlineStr">
        <is>
          <t>IPAC_BACHELOR_FACTORY_MONTPELLIER</t>
        </is>
      </c>
      <c r="B244" s="17" t="inlineStr">
        <is>
          <t>Ipac Bachelor Factory Montpellier</t>
        </is>
      </c>
      <c r="C244" s="45" t="inlineStr">
        <is>
          <t>Ipac Bachelor Factory</t>
        </is>
      </c>
      <c r="D244" s="45" t="inlineStr">
        <is>
          <t>Montpellier</t>
        </is>
      </c>
      <c r="E244" s="45" t="inlineStr">
        <is>
          <t>6231</t>
        </is>
      </c>
      <c r="F244" s="17" t="inlineStr">
        <is>
          <t>Publicité &amp; marketing d'acquisition (leads)</t>
        </is>
      </c>
      <c r="G244" s="45" t="inlineStr">
        <is>
          <t>62 — Autres services extérieurs</t>
        </is>
      </c>
      <c r="H244" s="45" t="inlineStr">
        <is>
          <t>Charge</t>
        </is>
      </c>
      <c r="I244" s="45" t="inlineStr">
        <is>
          <t>Coûts directs</t>
        </is>
      </c>
      <c r="J244" s="45" t="inlineStr">
        <is>
          <t>2024ACT_VDEF</t>
        </is>
      </c>
      <c r="K244" s="45" t="inlineStr">
        <is>
          <t>2024 (N-2)</t>
        </is>
      </c>
      <c r="L244" s="13" t="n">
        <v>12543</v>
      </c>
    </row>
    <row r="245">
      <c r="A245" s="45" t="inlineStr">
        <is>
          <t>PIGIER_LYON</t>
        </is>
      </c>
      <c r="B245" s="17" t="inlineStr">
        <is>
          <t>Pigier Lyon</t>
        </is>
      </c>
      <c r="C245" s="45" t="inlineStr">
        <is>
          <t>Pigier</t>
        </is>
      </c>
      <c r="D245" s="45" t="inlineStr">
        <is>
          <t>Lyon</t>
        </is>
      </c>
      <c r="E245" s="45" t="inlineStr">
        <is>
          <t>6231</t>
        </is>
      </c>
      <c r="F245" s="17" t="inlineStr">
        <is>
          <t>Publicité &amp; marketing d'acquisition (leads)</t>
        </is>
      </c>
      <c r="G245" s="45" t="inlineStr">
        <is>
          <t>62 — Autres services extérieurs</t>
        </is>
      </c>
      <c r="H245" s="45" t="inlineStr">
        <is>
          <t>Charge</t>
        </is>
      </c>
      <c r="I245" s="45" t="inlineStr">
        <is>
          <t>Coûts directs</t>
        </is>
      </c>
      <c r="J245" s="45" t="inlineStr">
        <is>
          <t>2024ACT_VDEF</t>
        </is>
      </c>
      <c r="K245" s="45" t="inlineStr">
        <is>
          <t>2024 (N-2)</t>
        </is>
      </c>
      <c r="L245" s="13" t="n">
        <v>30258</v>
      </c>
    </row>
    <row r="246">
      <c r="A246" s="45" t="inlineStr">
        <is>
          <t>PIGIER_BORDEAUX</t>
        </is>
      </c>
      <c r="B246" s="17" t="inlineStr">
        <is>
          <t>Pigier Bordeaux</t>
        </is>
      </c>
      <c r="C246" s="45" t="inlineStr">
        <is>
          <t>Pigier</t>
        </is>
      </c>
      <c r="D246" s="45" t="inlineStr">
        <is>
          <t>Bordeaux</t>
        </is>
      </c>
      <c r="E246" s="45" t="inlineStr">
        <is>
          <t>6231</t>
        </is>
      </c>
      <c r="F246" s="17" t="inlineStr">
        <is>
          <t>Publicité &amp; marketing d'acquisition (leads)</t>
        </is>
      </c>
      <c r="G246" s="45" t="inlineStr">
        <is>
          <t>62 — Autres services extérieurs</t>
        </is>
      </c>
      <c r="H246" s="45" t="inlineStr">
        <is>
          <t>Charge</t>
        </is>
      </c>
      <c r="I246" s="45" t="inlineStr">
        <is>
          <t>Coûts directs</t>
        </is>
      </c>
      <c r="J246" s="45" t="inlineStr">
        <is>
          <t>2024ACT_VDEF</t>
        </is>
      </c>
      <c r="K246" s="45" t="inlineStr">
        <is>
          <t>2024 (N-2)</t>
        </is>
      </c>
      <c r="L246" s="13" t="n">
        <v>18155</v>
      </c>
    </row>
    <row r="247">
      <c r="A247" s="45" t="inlineStr">
        <is>
          <t>TUNON_PARIS</t>
        </is>
      </c>
      <c r="B247" s="17" t="inlineStr">
        <is>
          <t>Tunon Paris</t>
        </is>
      </c>
      <c r="C247" s="45" t="inlineStr">
        <is>
          <t>Tunon</t>
        </is>
      </c>
      <c r="D247" s="45" t="inlineStr">
        <is>
          <t>Paris</t>
        </is>
      </c>
      <c r="E247" s="45" t="inlineStr">
        <is>
          <t>6231</t>
        </is>
      </c>
      <c r="F247" s="17" t="inlineStr">
        <is>
          <t>Publicité &amp; marketing d'acquisition (leads)</t>
        </is>
      </c>
      <c r="G247" s="45" t="inlineStr">
        <is>
          <t>62 — Autres services extérieurs</t>
        </is>
      </c>
      <c r="H247" s="45" t="inlineStr">
        <is>
          <t>Charge</t>
        </is>
      </c>
      <c r="I247" s="45" t="inlineStr">
        <is>
          <t>Coûts directs</t>
        </is>
      </c>
      <c r="J247" s="45" t="inlineStr">
        <is>
          <t>2024ACT_VDEF</t>
        </is>
      </c>
      <c r="K247" s="45" t="inlineStr">
        <is>
          <t>2024 (N-2)</t>
        </is>
      </c>
      <c r="L247" s="13" t="n">
        <v>24992</v>
      </c>
    </row>
    <row r="248">
      <c r="A248" s="45" t="inlineStr">
        <is>
          <t>TUNON_LYON</t>
        </is>
      </c>
      <c r="B248" s="17" t="inlineStr">
        <is>
          <t>Tunon Lyon</t>
        </is>
      </c>
      <c r="C248" s="45" t="inlineStr">
        <is>
          <t>Tunon</t>
        </is>
      </c>
      <c r="D248" s="45" t="inlineStr">
        <is>
          <t>Lyon</t>
        </is>
      </c>
      <c r="E248" s="45" t="inlineStr">
        <is>
          <t>6231</t>
        </is>
      </c>
      <c r="F248" s="17" t="inlineStr">
        <is>
          <t>Publicité &amp; marketing d'acquisition (leads)</t>
        </is>
      </c>
      <c r="G248" s="45" t="inlineStr">
        <is>
          <t>62 — Autres services extérieurs</t>
        </is>
      </c>
      <c r="H248" s="45" t="inlineStr">
        <is>
          <t>Charge</t>
        </is>
      </c>
      <c r="I248" s="45" t="inlineStr">
        <is>
          <t>Coûts directs</t>
        </is>
      </c>
      <c r="J248" s="45" t="inlineStr">
        <is>
          <t>2024ACT_VDEF</t>
        </is>
      </c>
      <c r="K248" s="45" t="inlineStr">
        <is>
          <t>2024 (N-2)</t>
        </is>
      </c>
      <c r="L248" s="13" t="n">
        <v>15578</v>
      </c>
    </row>
    <row r="249">
      <c r="A249" s="45" t="inlineStr">
        <is>
          <t>MBWAY_PARIS</t>
        </is>
      </c>
      <c r="B249" s="17" t="inlineStr">
        <is>
          <t>MBway Paris</t>
        </is>
      </c>
      <c r="C249" s="45" t="inlineStr">
        <is>
          <t>MBway</t>
        </is>
      </c>
      <c r="D249" s="45" t="inlineStr">
        <is>
          <t>Paris</t>
        </is>
      </c>
      <c r="E249" s="45" t="inlineStr">
        <is>
          <t>6231</t>
        </is>
      </c>
      <c r="F249" s="17" t="inlineStr">
        <is>
          <t>Publicité &amp; marketing d'acquisition (leads)</t>
        </is>
      </c>
      <c r="G249" s="45" t="inlineStr">
        <is>
          <t>62 — Autres services extérieurs</t>
        </is>
      </c>
      <c r="H249" s="45" t="inlineStr">
        <is>
          <t>Charge</t>
        </is>
      </c>
      <c r="I249" s="45" t="inlineStr">
        <is>
          <t>Coûts directs</t>
        </is>
      </c>
      <c r="J249" s="45" t="inlineStr">
        <is>
          <t>2025ACT_VDEF</t>
        </is>
      </c>
      <c r="K249" s="45" t="inlineStr">
        <is>
          <t>2025 (N-1)</t>
        </is>
      </c>
      <c r="L249" s="13" t="n">
        <v>62082</v>
      </c>
    </row>
    <row r="250">
      <c r="A250" s="45" t="inlineStr">
        <is>
          <t>MBWAY_LYON</t>
        </is>
      </c>
      <c r="B250" s="17" t="inlineStr">
        <is>
          <t>MBway Lyon</t>
        </is>
      </c>
      <c r="C250" s="45" t="inlineStr">
        <is>
          <t>MBway</t>
        </is>
      </c>
      <c r="D250" s="45" t="inlineStr">
        <is>
          <t>Lyon</t>
        </is>
      </c>
      <c r="E250" s="45" t="inlineStr">
        <is>
          <t>6231</t>
        </is>
      </c>
      <c r="F250" s="17" t="inlineStr">
        <is>
          <t>Publicité &amp; marketing d'acquisition (leads)</t>
        </is>
      </c>
      <c r="G250" s="45" t="inlineStr">
        <is>
          <t>62 — Autres services extérieurs</t>
        </is>
      </c>
      <c r="H250" s="45" t="inlineStr">
        <is>
          <t>Charge</t>
        </is>
      </c>
      <c r="I250" s="45" t="inlineStr">
        <is>
          <t>Coûts directs</t>
        </is>
      </c>
      <c r="J250" s="45" t="inlineStr">
        <is>
          <t>2025ACT_VDEF</t>
        </is>
      </c>
      <c r="K250" s="45" t="inlineStr">
        <is>
          <t>2025 (N-1)</t>
        </is>
      </c>
      <c r="L250" s="13" t="n">
        <v>37985</v>
      </c>
    </row>
    <row r="251">
      <c r="A251" s="45" t="inlineStr">
        <is>
          <t>MBWAY_NANTES</t>
        </is>
      </c>
      <c r="B251" s="17" t="inlineStr">
        <is>
          <t>MBway Nantes</t>
        </is>
      </c>
      <c r="C251" s="45" t="inlineStr">
        <is>
          <t>MBway</t>
        </is>
      </c>
      <c r="D251" s="45" t="inlineStr">
        <is>
          <t>Nantes</t>
        </is>
      </c>
      <c r="E251" s="45" t="inlineStr">
        <is>
          <t>6231</t>
        </is>
      </c>
      <c r="F251" s="17" t="inlineStr">
        <is>
          <t>Publicité &amp; marketing d'acquisition (leads)</t>
        </is>
      </c>
      <c r="G251" s="45" t="inlineStr">
        <is>
          <t>62 — Autres services extérieurs</t>
        </is>
      </c>
      <c r="H251" s="45" t="inlineStr">
        <is>
          <t>Charge</t>
        </is>
      </c>
      <c r="I251" s="45" t="inlineStr">
        <is>
          <t>Coûts directs</t>
        </is>
      </c>
      <c r="J251" s="45" t="inlineStr">
        <is>
          <t>2025ACT_VDEF</t>
        </is>
      </c>
      <c r="K251" s="45" t="inlineStr">
        <is>
          <t>2025 (N-1)</t>
        </is>
      </c>
      <c r="L251" s="13" t="n">
        <v>28666</v>
      </c>
    </row>
    <row r="252">
      <c r="A252" s="45" t="inlineStr">
        <is>
          <t>MBWAY_BORDEAUX</t>
        </is>
      </c>
      <c r="B252" s="17" t="inlineStr">
        <is>
          <t>MBway Bordeaux</t>
        </is>
      </c>
      <c r="C252" s="45" t="inlineStr">
        <is>
          <t>MBway</t>
        </is>
      </c>
      <c r="D252" s="45" t="inlineStr">
        <is>
          <t>Bordeaux</t>
        </is>
      </c>
      <c r="E252" s="45" t="inlineStr">
        <is>
          <t>6231</t>
        </is>
      </c>
      <c r="F252" s="17" t="inlineStr">
        <is>
          <t>Publicité &amp; marketing d'acquisition (leads)</t>
        </is>
      </c>
      <c r="G252" s="45" t="inlineStr">
        <is>
          <t>62 — Autres services extérieurs</t>
        </is>
      </c>
      <c r="H252" s="45" t="inlineStr">
        <is>
          <t>Charge</t>
        </is>
      </c>
      <c r="I252" s="45" t="inlineStr">
        <is>
          <t>Coûts directs</t>
        </is>
      </c>
      <c r="J252" s="45" t="inlineStr">
        <is>
          <t>2025ACT_VDEF</t>
        </is>
      </c>
      <c r="K252" s="45" t="inlineStr">
        <is>
          <t>2025 (N-1)</t>
        </is>
      </c>
      <c r="L252" s="13" t="n">
        <v>22657</v>
      </c>
    </row>
    <row r="253">
      <c r="A253" s="45" t="inlineStr">
        <is>
          <t>ISCOM_PARIS</t>
        </is>
      </c>
      <c r="B253" s="17" t="inlineStr">
        <is>
          <t>ISCOM Paris</t>
        </is>
      </c>
      <c r="C253" s="45" t="inlineStr">
        <is>
          <t>ISCOM</t>
        </is>
      </c>
      <c r="D253" s="45" t="inlineStr">
        <is>
          <t>Paris</t>
        </is>
      </c>
      <c r="E253" s="45" t="inlineStr">
        <is>
          <t>6231</t>
        </is>
      </c>
      <c r="F253" s="17" t="inlineStr">
        <is>
          <t>Publicité &amp; marketing d'acquisition (leads)</t>
        </is>
      </c>
      <c r="G253" s="45" t="inlineStr">
        <is>
          <t>62 — Autres services extérieurs</t>
        </is>
      </c>
      <c r="H253" s="45" t="inlineStr">
        <is>
          <t>Charge</t>
        </is>
      </c>
      <c r="I253" s="45" t="inlineStr">
        <is>
          <t>Coûts directs</t>
        </is>
      </c>
      <c r="J253" s="45" t="inlineStr">
        <is>
          <t>2025ACT_VDEF</t>
        </is>
      </c>
      <c r="K253" s="45" t="inlineStr">
        <is>
          <t>2025 (N-1)</t>
        </is>
      </c>
      <c r="L253" s="13" t="n">
        <v>55272</v>
      </c>
    </row>
    <row r="254">
      <c r="A254" s="45" t="inlineStr">
        <is>
          <t>ISCOM_LILLE</t>
        </is>
      </c>
      <c r="B254" s="17" t="inlineStr">
        <is>
          <t>ISCOM Lille</t>
        </is>
      </c>
      <c r="C254" s="45" t="inlineStr">
        <is>
          <t>ISCOM</t>
        </is>
      </c>
      <c r="D254" s="45" t="inlineStr">
        <is>
          <t>Lille</t>
        </is>
      </c>
      <c r="E254" s="45" t="inlineStr">
        <is>
          <t>6231</t>
        </is>
      </c>
      <c r="F254" s="17" t="inlineStr">
        <is>
          <t>Publicité &amp; marketing d'acquisition (leads)</t>
        </is>
      </c>
      <c r="G254" s="45" t="inlineStr">
        <is>
          <t>62 — Autres services extérieurs</t>
        </is>
      </c>
      <c r="H254" s="45" t="inlineStr">
        <is>
          <t>Charge</t>
        </is>
      </c>
      <c r="I254" s="45" t="inlineStr">
        <is>
          <t>Coûts directs</t>
        </is>
      </c>
      <c r="J254" s="45" t="inlineStr">
        <is>
          <t>2025ACT_VDEF</t>
        </is>
      </c>
      <c r="K254" s="45" t="inlineStr">
        <is>
          <t>2025 (N-1)</t>
        </is>
      </c>
      <c r="L254" s="13" t="n">
        <v>22927</v>
      </c>
    </row>
    <row r="255">
      <c r="A255" s="45" t="inlineStr">
        <is>
          <t>ISCOM_TOULOUSE</t>
        </is>
      </c>
      <c r="B255" s="17" t="inlineStr">
        <is>
          <t>ISCOM Toulouse</t>
        </is>
      </c>
      <c r="C255" s="45" t="inlineStr">
        <is>
          <t>ISCOM</t>
        </is>
      </c>
      <c r="D255" s="45" t="inlineStr">
        <is>
          <t>Toulouse</t>
        </is>
      </c>
      <c r="E255" s="45" t="inlineStr">
        <is>
          <t>6231</t>
        </is>
      </c>
      <c r="F255" s="17" t="inlineStr">
        <is>
          <t>Publicité &amp; marketing d'acquisition (leads)</t>
        </is>
      </c>
      <c r="G255" s="45" t="inlineStr">
        <is>
          <t>62 — Autres services extérieurs</t>
        </is>
      </c>
      <c r="H255" s="45" t="inlineStr">
        <is>
          <t>Charge</t>
        </is>
      </c>
      <c r="I255" s="45" t="inlineStr">
        <is>
          <t>Coûts directs</t>
        </is>
      </c>
      <c r="J255" s="45" t="inlineStr">
        <is>
          <t>2025ACT_VDEF</t>
        </is>
      </c>
      <c r="K255" s="45" t="inlineStr">
        <is>
          <t>2025 (N-1)</t>
        </is>
      </c>
      <c r="L255" s="13" t="n">
        <v>20076</v>
      </c>
    </row>
    <row r="256">
      <c r="A256" s="45" t="inlineStr">
        <is>
          <t>IPAC_BACHELOR_FACTORY_NANTES</t>
        </is>
      </c>
      <c r="B256" s="17" t="inlineStr">
        <is>
          <t>Ipac Bachelor Factory Nantes</t>
        </is>
      </c>
      <c r="C256" s="45" t="inlineStr">
        <is>
          <t>Ipac Bachelor Factory</t>
        </is>
      </c>
      <c r="D256" s="45" t="inlineStr">
        <is>
          <t>Nantes</t>
        </is>
      </c>
      <c r="E256" s="45" t="inlineStr">
        <is>
          <t>6231</t>
        </is>
      </c>
      <c r="F256" s="17" t="inlineStr">
        <is>
          <t>Publicité &amp; marketing d'acquisition (leads)</t>
        </is>
      </c>
      <c r="G256" s="45" t="inlineStr">
        <is>
          <t>62 — Autres services extérieurs</t>
        </is>
      </c>
      <c r="H256" s="45" t="inlineStr">
        <is>
          <t>Charge</t>
        </is>
      </c>
      <c r="I256" s="45" t="inlineStr">
        <is>
          <t>Coûts directs</t>
        </is>
      </c>
      <c r="J256" s="45" t="inlineStr">
        <is>
          <t>2025ACT_VDEF</t>
        </is>
      </c>
      <c r="K256" s="45" t="inlineStr">
        <is>
          <t>2025 (N-1)</t>
        </is>
      </c>
      <c r="L256" s="13" t="n">
        <v>19782</v>
      </c>
    </row>
    <row r="257">
      <c r="A257" s="45" t="inlineStr">
        <is>
          <t>IPAC_BACHELOR_FACTORY_RENNES</t>
        </is>
      </c>
      <c r="B257" s="17" t="inlineStr">
        <is>
          <t>Ipac Bachelor Factory Rennes</t>
        </is>
      </c>
      <c r="C257" s="45" t="inlineStr">
        <is>
          <t>Ipac Bachelor Factory</t>
        </is>
      </c>
      <c r="D257" s="45" t="inlineStr">
        <is>
          <t>Rennes</t>
        </is>
      </c>
      <c r="E257" s="45" t="inlineStr">
        <is>
          <t>6231</t>
        </is>
      </c>
      <c r="F257" s="17" t="inlineStr">
        <is>
          <t>Publicité &amp; marketing d'acquisition (leads)</t>
        </is>
      </c>
      <c r="G257" s="45" t="inlineStr">
        <is>
          <t>62 — Autres services extérieurs</t>
        </is>
      </c>
      <c r="H257" s="45" t="inlineStr">
        <is>
          <t>Charge</t>
        </is>
      </c>
      <c r="I257" s="45" t="inlineStr">
        <is>
          <t>Coûts directs</t>
        </is>
      </c>
      <c r="J257" s="45" t="inlineStr">
        <is>
          <t>2025ACT_VDEF</t>
        </is>
      </c>
      <c r="K257" s="45" t="inlineStr">
        <is>
          <t>2025 (N-1)</t>
        </is>
      </c>
      <c r="L257" s="13" t="n">
        <v>13575</v>
      </c>
    </row>
    <row r="258">
      <c r="A258" s="45" t="inlineStr">
        <is>
          <t>IPAC_BACHELOR_FACTORY_MONTPELLIER</t>
        </is>
      </c>
      <c r="B258" s="17" t="inlineStr">
        <is>
          <t>Ipac Bachelor Factory Montpellier</t>
        </is>
      </c>
      <c r="C258" s="45" t="inlineStr">
        <is>
          <t>Ipac Bachelor Factory</t>
        </is>
      </c>
      <c r="D258" s="45" t="inlineStr">
        <is>
          <t>Montpellier</t>
        </is>
      </c>
      <c r="E258" s="45" t="inlineStr">
        <is>
          <t>6231</t>
        </is>
      </c>
      <c r="F258" s="17" t="inlineStr">
        <is>
          <t>Publicité &amp; marketing d'acquisition (leads)</t>
        </is>
      </c>
      <c r="G258" s="45" t="inlineStr">
        <is>
          <t>62 — Autres services extérieurs</t>
        </is>
      </c>
      <c r="H258" s="45" t="inlineStr">
        <is>
          <t>Charge</t>
        </is>
      </c>
      <c r="I258" s="45" t="inlineStr">
        <is>
          <t>Coûts directs</t>
        </is>
      </c>
      <c r="J258" s="45" t="inlineStr">
        <is>
          <t>2025ACT_VDEF</t>
        </is>
      </c>
      <c r="K258" s="45" t="inlineStr">
        <is>
          <t>2025 (N-1)</t>
        </is>
      </c>
      <c r="L258" s="13" t="n">
        <v>13798</v>
      </c>
    </row>
    <row r="259">
      <c r="A259" s="45" t="inlineStr">
        <is>
          <t>PIGIER_LYON</t>
        </is>
      </c>
      <c r="B259" s="17" t="inlineStr">
        <is>
          <t>Pigier Lyon</t>
        </is>
      </c>
      <c r="C259" s="45" t="inlineStr">
        <is>
          <t>Pigier</t>
        </is>
      </c>
      <c r="D259" s="45" t="inlineStr">
        <is>
          <t>Lyon</t>
        </is>
      </c>
      <c r="E259" s="45" t="inlineStr">
        <is>
          <t>6231</t>
        </is>
      </c>
      <c r="F259" s="17" t="inlineStr">
        <is>
          <t>Publicité &amp; marketing d'acquisition (leads)</t>
        </is>
      </c>
      <c r="G259" s="45" t="inlineStr">
        <is>
          <t>62 — Autres services extérieurs</t>
        </is>
      </c>
      <c r="H259" s="45" t="inlineStr">
        <is>
          <t>Charge</t>
        </is>
      </c>
      <c r="I259" s="45" t="inlineStr">
        <is>
          <t>Coûts directs</t>
        </is>
      </c>
      <c r="J259" s="45" t="inlineStr">
        <is>
          <t>2025ACT_VDEF</t>
        </is>
      </c>
      <c r="K259" s="45" t="inlineStr">
        <is>
          <t>2025 (N-1)</t>
        </is>
      </c>
      <c r="L259" s="13" t="n">
        <v>33284</v>
      </c>
    </row>
    <row r="260">
      <c r="A260" s="45" t="inlineStr">
        <is>
          <t>PIGIER_BORDEAUX</t>
        </is>
      </c>
      <c r="B260" s="17" t="inlineStr">
        <is>
          <t>Pigier Bordeaux</t>
        </is>
      </c>
      <c r="C260" s="45" t="inlineStr">
        <is>
          <t>Pigier</t>
        </is>
      </c>
      <c r="D260" s="45" t="inlineStr">
        <is>
          <t>Bordeaux</t>
        </is>
      </c>
      <c r="E260" s="45" t="inlineStr">
        <is>
          <t>6231</t>
        </is>
      </c>
      <c r="F260" s="17" t="inlineStr">
        <is>
          <t>Publicité &amp; marketing d'acquisition (leads)</t>
        </is>
      </c>
      <c r="G260" s="45" t="inlineStr">
        <is>
          <t>62 — Autres services extérieurs</t>
        </is>
      </c>
      <c r="H260" s="45" t="inlineStr">
        <is>
          <t>Charge</t>
        </is>
      </c>
      <c r="I260" s="45" t="inlineStr">
        <is>
          <t>Coûts directs</t>
        </is>
      </c>
      <c r="J260" s="45" t="inlineStr">
        <is>
          <t>2025ACT_VDEF</t>
        </is>
      </c>
      <c r="K260" s="45" t="inlineStr">
        <is>
          <t>2025 (N-1)</t>
        </is>
      </c>
      <c r="L260" s="13" t="n">
        <v>19971</v>
      </c>
    </row>
    <row r="261">
      <c r="A261" s="45" t="inlineStr">
        <is>
          <t>TUNON_PARIS</t>
        </is>
      </c>
      <c r="B261" s="17" t="inlineStr">
        <is>
          <t>Tunon Paris</t>
        </is>
      </c>
      <c r="C261" s="45" t="inlineStr">
        <is>
          <t>Tunon</t>
        </is>
      </c>
      <c r="D261" s="45" t="inlineStr">
        <is>
          <t>Paris</t>
        </is>
      </c>
      <c r="E261" s="45" t="inlineStr">
        <is>
          <t>6231</t>
        </is>
      </c>
      <c r="F261" s="17" t="inlineStr">
        <is>
          <t>Publicité &amp; marketing d'acquisition (leads)</t>
        </is>
      </c>
      <c r="G261" s="45" t="inlineStr">
        <is>
          <t>62 — Autres services extérieurs</t>
        </is>
      </c>
      <c r="H261" s="45" t="inlineStr">
        <is>
          <t>Charge</t>
        </is>
      </c>
      <c r="I261" s="45" t="inlineStr">
        <is>
          <t>Coûts directs</t>
        </is>
      </c>
      <c r="J261" s="45" t="inlineStr">
        <is>
          <t>2025ACT_VDEF</t>
        </is>
      </c>
      <c r="K261" s="45" t="inlineStr">
        <is>
          <t>2025 (N-1)</t>
        </is>
      </c>
      <c r="L261" s="13" t="n">
        <v>27491</v>
      </c>
    </row>
    <row r="262">
      <c r="A262" s="45" t="inlineStr">
        <is>
          <t>TUNON_LYON</t>
        </is>
      </c>
      <c r="B262" s="17" t="inlineStr">
        <is>
          <t>Tunon Lyon</t>
        </is>
      </c>
      <c r="C262" s="45" t="inlineStr">
        <is>
          <t>Tunon</t>
        </is>
      </c>
      <c r="D262" s="45" t="inlineStr">
        <is>
          <t>Lyon</t>
        </is>
      </c>
      <c r="E262" s="45" t="inlineStr">
        <is>
          <t>6231</t>
        </is>
      </c>
      <c r="F262" s="17" t="inlineStr">
        <is>
          <t>Publicité &amp; marketing d'acquisition (leads)</t>
        </is>
      </c>
      <c r="G262" s="45" t="inlineStr">
        <is>
          <t>62 — Autres services extérieurs</t>
        </is>
      </c>
      <c r="H262" s="45" t="inlineStr">
        <is>
          <t>Charge</t>
        </is>
      </c>
      <c r="I262" s="45" t="inlineStr">
        <is>
          <t>Coûts directs</t>
        </is>
      </c>
      <c r="J262" s="45" t="inlineStr">
        <is>
          <t>2025ACT_VDEF</t>
        </is>
      </c>
      <c r="K262" s="45" t="inlineStr">
        <is>
          <t>2025 (N-1)</t>
        </is>
      </c>
      <c r="L262" s="13" t="n">
        <v>17136</v>
      </c>
    </row>
    <row r="263">
      <c r="A263" s="45" t="inlineStr">
        <is>
          <t>MBWAY_PARIS</t>
        </is>
      </c>
      <c r="B263" s="17" t="inlineStr">
        <is>
          <t>MBway Paris</t>
        </is>
      </c>
      <c r="C263" s="45" t="inlineStr">
        <is>
          <t>MBway</t>
        </is>
      </c>
      <c r="D263" s="45" t="inlineStr">
        <is>
          <t>Paris</t>
        </is>
      </c>
      <c r="E263" s="45" t="inlineStr">
        <is>
          <t>6231</t>
        </is>
      </c>
      <c r="F263" s="17" t="inlineStr">
        <is>
          <t>Publicité &amp; marketing d'acquisition (leads)</t>
        </is>
      </c>
      <c r="G263" s="45" t="inlineStr">
        <is>
          <t>62 — Autres services extérieurs</t>
        </is>
      </c>
      <c r="H263" s="45" t="inlineStr">
        <is>
          <t>Charge</t>
        </is>
      </c>
      <c r="I263" s="45" t="inlineStr">
        <is>
          <t>Coûts directs</t>
        </is>
      </c>
      <c r="J263" s="45" t="inlineStr">
        <is>
          <t>2026ATT_VDEF</t>
        </is>
      </c>
      <c r="K263" s="45" t="inlineStr">
        <is>
          <t>2026 (Atterr.)</t>
        </is>
      </c>
      <c r="L263" s="13" t="n">
        <v>68291</v>
      </c>
    </row>
    <row r="264">
      <c r="A264" s="45" t="inlineStr">
        <is>
          <t>MBWAY_LYON</t>
        </is>
      </c>
      <c r="B264" s="17" t="inlineStr">
        <is>
          <t>MBway Lyon</t>
        </is>
      </c>
      <c r="C264" s="45" t="inlineStr">
        <is>
          <t>MBway</t>
        </is>
      </c>
      <c r="D264" s="45" t="inlineStr">
        <is>
          <t>Lyon</t>
        </is>
      </c>
      <c r="E264" s="45" t="inlineStr">
        <is>
          <t>6231</t>
        </is>
      </c>
      <c r="F264" s="17" t="inlineStr">
        <is>
          <t>Publicité &amp; marketing d'acquisition (leads)</t>
        </is>
      </c>
      <c r="G264" s="45" t="inlineStr">
        <is>
          <t>62 — Autres services extérieurs</t>
        </is>
      </c>
      <c r="H264" s="45" t="inlineStr">
        <is>
          <t>Charge</t>
        </is>
      </c>
      <c r="I264" s="45" t="inlineStr">
        <is>
          <t>Coûts directs</t>
        </is>
      </c>
      <c r="J264" s="45" t="inlineStr">
        <is>
          <t>2026ATT_VDEF</t>
        </is>
      </c>
      <c r="K264" s="45" t="inlineStr">
        <is>
          <t>2026 (Atterr.)</t>
        </is>
      </c>
      <c r="L264" s="13" t="n">
        <v>41783</v>
      </c>
    </row>
    <row r="265">
      <c r="A265" s="45" t="inlineStr">
        <is>
          <t>MBWAY_NANTES</t>
        </is>
      </c>
      <c r="B265" s="17" t="inlineStr">
        <is>
          <t>MBway Nantes</t>
        </is>
      </c>
      <c r="C265" s="45" t="inlineStr">
        <is>
          <t>MBway</t>
        </is>
      </c>
      <c r="D265" s="45" t="inlineStr">
        <is>
          <t>Nantes</t>
        </is>
      </c>
      <c r="E265" s="45" t="inlineStr">
        <is>
          <t>6231</t>
        </is>
      </c>
      <c r="F265" s="17" t="inlineStr">
        <is>
          <t>Publicité &amp; marketing d'acquisition (leads)</t>
        </is>
      </c>
      <c r="G265" s="45" t="inlineStr">
        <is>
          <t>62 — Autres services extérieurs</t>
        </is>
      </c>
      <c r="H265" s="45" t="inlineStr">
        <is>
          <t>Charge</t>
        </is>
      </c>
      <c r="I265" s="45" t="inlineStr">
        <is>
          <t>Coûts directs</t>
        </is>
      </c>
      <c r="J265" s="45" t="inlineStr">
        <is>
          <t>2026ATT_VDEF</t>
        </is>
      </c>
      <c r="K265" s="45" t="inlineStr">
        <is>
          <t>2026 (Atterr.)</t>
        </is>
      </c>
      <c r="L265" s="13" t="n">
        <v>31533</v>
      </c>
    </row>
    <row r="266">
      <c r="A266" s="45" t="inlineStr">
        <is>
          <t>MBWAY_BORDEAUX</t>
        </is>
      </c>
      <c r="B266" s="17" t="inlineStr">
        <is>
          <t>MBway Bordeaux</t>
        </is>
      </c>
      <c r="C266" s="45" t="inlineStr">
        <is>
          <t>MBway</t>
        </is>
      </c>
      <c r="D266" s="45" t="inlineStr">
        <is>
          <t>Bordeaux</t>
        </is>
      </c>
      <c r="E266" s="45" t="inlineStr">
        <is>
          <t>6231</t>
        </is>
      </c>
      <c r="F266" s="17" t="inlineStr">
        <is>
          <t>Publicité &amp; marketing d'acquisition (leads)</t>
        </is>
      </c>
      <c r="G266" s="45" t="inlineStr">
        <is>
          <t>62 — Autres services extérieurs</t>
        </is>
      </c>
      <c r="H266" s="45" t="inlineStr">
        <is>
          <t>Charge</t>
        </is>
      </c>
      <c r="I266" s="45" t="inlineStr">
        <is>
          <t>Coûts directs</t>
        </is>
      </c>
      <c r="J266" s="45" t="inlineStr">
        <is>
          <t>2026ATT_VDEF</t>
        </is>
      </c>
      <c r="K266" s="45" t="inlineStr">
        <is>
          <t>2026 (Atterr.)</t>
        </is>
      </c>
      <c r="L266" s="13" t="n">
        <v>24923</v>
      </c>
    </row>
    <row r="267">
      <c r="A267" s="45" t="inlineStr">
        <is>
          <t>ISCOM_PARIS</t>
        </is>
      </c>
      <c r="B267" s="17" t="inlineStr">
        <is>
          <t>ISCOM Paris</t>
        </is>
      </c>
      <c r="C267" s="45" t="inlineStr">
        <is>
          <t>ISCOM</t>
        </is>
      </c>
      <c r="D267" s="45" t="inlineStr">
        <is>
          <t>Paris</t>
        </is>
      </c>
      <c r="E267" s="45" t="inlineStr">
        <is>
          <t>6231</t>
        </is>
      </c>
      <c r="F267" s="17" t="inlineStr">
        <is>
          <t>Publicité &amp; marketing d'acquisition (leads)</t>
        </is>
      </c>
      <c r="G267" s="45" t="inlineStr">
        <is>
          <t>62 — Autres services extérieurs</t>
        </is>
      </c>
      <c r="H267" s="45" t="inlineStr">
        <is>
          <t>Charge</t>
        </is>
      </c>
      <c r="I267" s="45" t="inlineStr">
        <is>
          <t>Coûts directs</t>
        </is>
      </c>
      <c r="J267" s="45" t="inlineStr">
        <is>
          <t>2026ATT_VDEF</t>
        </is>
      </c>
      <c r="K267" s="45" t="inlineStr">
        <is>
          <t>2026 (Atterr.)</t>
        </is>
      </c>
      <c r="L267" s="13" t="n">
        <v>60800</v>
      </c>
    </row>
    <row r="268">
      <c r="A268" s="45" t="inlineStr">
        <is>
          <t>ISCOM_LILLE</t>
        </is>
      </c>
      <c r="B268" s="17" t="inlineStr">
        <is>
          <t>ISCOM Lille</t>
        </is>
      </c>
      <c r="C268" s="45" t="inlineStr">
        <is>
          <t>ISCOM</t>
        </is>
      </c>
      <c r="D268" s="45" t="inlineStr">
        <is>
          <t>Lille</t>
        </is>
      </c>
      <c r="E268" s="45" t="inlineStr">
        <is>
          <t>6231</t>
        </is>
      </c>
      <c r="F268" s="17" t="inlineStr">
        <is>
          <t>Publicité &amp; marketing d'acquisition (leads)</t>
        </is>
      </c>
      <c r="G268" s="45" t="inlineStr">
        <is>
          <t>62 — Autres services extérieurs</t>
        </is>
      </c>
      <c r="H268" s="45" t="inlineStr">
        <is>
          <t>Charge</t>
        </is>
      </c>
      <c r="I268" s="45" t="inlineStr">
        <is>
          <t>Coûts directs</t>
        </is>
      </c>
      <c r="J268" s="45" t="inlineStr">
        <is>
          <t>2026ATT_VDEF</t>
        </is>
      </c>
      <c r="K268" s="45" t="inlineStr">
        <is>
          <t>2026 (Atterr.)</t>
        </is>
      </c>
      <c r="L268" s="13" t="n">
        <v>25220</v>
      </c>
    </row>
    <row r="269">
      <c r="A269" s="45" t="inlineStr">
        <is>
          <t>ISCOM_TOULOUSE</t>
        </is>
      </c>
      <c r="B269" s="17" t="inlineStr">
        <is>
          <t>ISCOM Toulouse</t>
        </is>
      </c>
      <c r="C269" s="45" t="inlineStr">
        <is>
          <t>ISCOM</t>
        </is>
      </c>
      <c r="D269" s="45" t="inlineStr">
        <is>
          <t>Toulouse</t>
        </is>
      </c>
      <c r="E269" s="45" t="inlineStr">
        <is>
          <t>6231</t>
        </is>
      </c>
      <c r="F269" s="17" t="inlineStr">
        <is>
          <t>Publicité &amp; marketing d'acquisition (leads)</t>
        </is>
      </c>
      <c r="G269" s="45" t="inlineStr">
        <is>
          <t>62 — Autres services extérieurs</t>
        </is>
      </c>
      <c r="H269" s="45" t="inlineStr">
        <is>
          <t>Charge</t>
        </is>
      </c>
      <c r="I269" s="45" t="inlineStr">
        <is>
          <t>Coûts directs</t>
        </is>
      </c>
      <c r="J269" s="45" t="inlineStr">
        <is>
          <t>2026ATT_VDEF</t>
        </is>
      </c>
      <c r="K269" s="45" t="inlineStr">
        <is>
          <t>2026 (Atterr.)</t>
        </is>
      </c>
      <c r="L269" s="13" t="n">
        <v>22083</v>
      </c>
    </row>
    <row r="270">
      <c r="A270" s="45" t="inlineStr">
        <is>
          <t>IPAC_BACHELOR_FACTORY_NANTES</t>
        </is>
      </c>
      <c r="B270" s="17" t="inlineStr">
        <is>
          <t>Ipac Bachelor Factory Nantes</t>
        </is>
      </c>
      <c r="C270" s="45" t="inlineStr">
        <is>
          <t>Ipac Bachelor Factory</t>
        </is>
      </c>
      <c r="D270" s="45" t="inlineStr">
        <is>
          <t>Nantes</t>
        </is>
      </c>
      <c r="E270" s="45" t="inlineStr">
        <is>
          <t>6231</t>
        </is>
      </c>
      <c r="F270" s="17" t="inlineStr">
        <is>
          <t>Publicité &amp; marketing d'acquisition (leads)</t>
        </is>
      </c>
      <c r="G270" s="45" t="inlineStr">
        <is>
          <t>62 — Autres services extérieurs</t>
        </is>
      </c>
      <c r="H270" s="45" t="inlineStr">
        <is>
          <t>Charge</t>
        </is>
      </c>
      <c r="I270" s="45" t="inlineStr">
        <is>
          <t>Coûts directs</t>
        </is>
      </c>
      <c r="J270" s="45" t="inlineStr">
        <is>
          <t>2026ATT_VDEF</t>
        </is>
      </c>
      <c r="K270" s="45" t="inlineStr">
        <is>
          <t>2026 (Atterr.)</t>
        </is>
      </c>
      <c r="L270" s="13" t="n">
        <v>21760</v>
      </c>
    </row>
    <row r="271">
      <c r="A271" s="45" t="inlineStr">
        <is>
          <t>IPAC_BACHELOR_FACTORY_RENNES</t>
        </is>
      </c>
      <c r="B271" s="17" t="inlineStr">
        <is>
          <t>Ipac Bachelor Factory Rennes</t>
        </is>
      </c>
      <c r="C271" s="45" t="inlineStr">
        <is>
          <t>Ipac Bachelor Factory</t>
        </is>
      </c>
      <c r="D271" s="45" t="inlineStr">
        <is>
          <t>Rennes</t>
        </is>
      </c>
      <c r="E271" s="45" t="inlineStr">
        <is>
          <t>6231</t>
        </is>
      </c>
      <c r="F271" s="17" t="inlineStr">
        <is>
          <t>Publicité &amp; marketing d'acquisition (leads)</t>
        </is>
      </c>
      <c r="G271" s="45" t="inlineStr">
        <is>
          <t>62 — Autres services extérieurs</t>
        </is>
      </c>
      <c r="H271" s="45" t="inlineStr">
        <is>
          <t>Charge</t>
        </is>
      </c>
      <c r="I271" s="45" t="inlineStr">
        <is>
          <t>Coûts directs</t>
        </is>
      </c>
      <c r="J271" s="45" t="inlineStr">
        <is>
          <t>2026ATT_VDEF</t>
        </is>
      </c>
      <c r="K271" s="45" t="inlineStr">
        <is>
          <t>2026 (Atterr.)</t>
        </is>
      </c>
      <c r="L271" s="13" t="n">
        <v>14933</v>
      </c>
    </row>
    <row r="272">
      <c r="A272" s="45" t="inlineStr">
        <is>
          <t>IPAC_BACHELOR_FACTORY_MONTPELLIER</t>
        </is>
      </c>
      <c r="B272" s="17" t="inlineStr">
        <is>
          <t>Ipac Bachelor Factory Montpellier</t>
        </is>
      </c>
      <c r="C272" s="45" t="inlineStr">
        <is>
          <t>Ipac Bachelor Factory</t>
        </is>
      </c>
      <c r="D272" s="45" t="inlineStr">
        <is>
          <t>Montpellier</t>
        </is>
      </c>
      <c r="E272" s="45" t="inlineStr">
        <is>
          <t>6231</t>
        </is>
      </c>
      <c r="F272" s="17" t="inlineStr">
        <is>
          <t>Publicité &amp; marketing d'acquisition (leads)</t>
        </is>
      </c>
      <c r="G272" s="45" t="inlineStr">
        <is>
          <t>62 — Autres services extérieurs</t>
        </is>
      </c>
      <c r="H272" s="45" t="inlineStr">
        <is>
          <t>Charge</t>
        </is>
      </c>
      <c r="I272" s="45" t="inlineStr">
        <is>
          <t>Coûts directs</t>
        </is>
      </c>
      <c r="J272" s="45" t="inlineStr">
        <is>
          <t>2026ATT_VDEF</t>
        </is>
      </c>
      <c r="K272" s="45" t="inlineStr">
        <is>
          <t>2026 (Atterr.)</t>
        </is>
      </c>
      <c r="L272" s="13" t="n">
        <v>15178</v>
      </c>
    </row>
    <row r="273">
      <c r="A273" s="45" t="inlineStr">
        <is>
          <t>PIGIER_LYON</t>
        </is>
      </c>
      <c r="B273" s="17" t="inlineStr">
        <is>
          <t>Pigier Lyon</t>
        </is>
      </c>
      <c r="C273" s="45" t="inlineStr">
        <is>
          <t>Pigier</t>
        </is>
      </c>
      <c r="D273" s="45" t="inlineStr">
        <is>
          <t>Lyon</t>
        </is>
      </c>
      <c r="E273" s="45" t="inlineStr">
        <is>
          <t>6231</t>
        </is>
      </c>
      <c r="F273" s="17" t="inlineStr">
        <is>
          <t>Publicité &amp; marketing d'acquisition (leads)</t>
        </is>
      </c>
      <c r="G273" s="45" t="inlineStr">
        <is>
          <t>62 — Autres services extérieurs</t>
        </is>
      </c>
      <c r="H273" s="45" t="inlineStr">
        <is>
          <t>Charge</t>
        </is>
      </c>
      <c r="I273" s="45" t="inlineStr">
        <is>
          <t>Coûts directs</t>
        </is>
      </c>
      <c r="J273" s="45" t="inlineStr">
        <is>
          <t>2026ATT_VDEF</t>
        </is>
      </c>
      <c r="K273" s="45" t="inlineStr">
        <is>
          <t>2026 (Atterr.)</t>
        </is>
      </c>
      <c r="L273" s="13" t="n">
        <v>36612</v>
      </c>
    </row>
    <row r="274">
      <c r="A274" s="45" t="inlineStr">
        <is>
          <t>PIGIER_BORDEAUX</t>
        </is>
      </c>
      <c r="B274" s="17" t="inlineStr">
        <is>
          <t>Pigier Bordeaux</t>
        </is>
      </c>
      <c r="C274" s="45" t="inlineStr">
        <is>
          <t>Pigier</t>
        </is>
      </c>
      <c r="D274" s="45" t="inlineStr">
        <is>
          <t>Bordeaux</t>
        </is>
      </c>
      <c r="E274" s="45" t="inlineStr">
        <is>
          <t>6231</t>
        </is>
      </c>
      <c r="F274" s="17" t="inlineStr">
        <is>
          <t>Publicité &amp; marketing d'acquisition (leads)</t>
        </is>
      </c>
      <c r="G274" s="45" t="inlineStr">
        <is>
          <t>62 — Autres services extérieurs</t>
        </is>
      </c>
      <c r="H274" s="45" t="inlineStr">
        <is>
          <t>Charge</t>
        </is>
      </c>
      <c r="I274" s="45" t="inlineStr">
        <is>
          <t>Coûts directs</t>
        </is>
      </c>
      <c r="J274" s="45" t="inlineStr">
        <is>
          <t>2026ATT_VDEF</t>
        </is>
      </c>
      <c r="K274" s="45" t="inlineStr">
        <is>
          <t>2026 (Atterr.)</t>
        </is>
      </c>
      <c r="L274" s="13" t="n">
        <v>21968</v>
      </c>
    </row>
    <row r="275">
      <c r="A275" s="45" t="inlineStr">
        <is>
          <t>TUNON_PARIS</t>
        </is>
      </c>
      <c r="B275" s="17" t="inlineStr">
        <is>
          <t>Tunon Paris</t>
        </is>
      </c>
      <c r="C275" s="45" t="inlineStr">
        <is>
          <t>Tunon</t>
        </is>
      </c>
      <c r="D275" s="45" t="inlineStr">
        <is>
          <t>Paris</t>
        </is>
      </c>
      <c r="E275" s="45" t="inlineStr">
        <is>
          <t>6231</t>
        </is>
      </c>
      <c r="F275" s="17" t="inlineStr">
        <is>
          <t>Publicité &amp; marketing d'acquisition (leads)</t>
        </is>
      </c>
      <c r="G275" s="45" t="inlineStr">
        <is>
          <t>62 — Autres services extérieurs</t>
        </is>
      </c>
      <c r="H275" s="45" t="inlineStr">
        <is>
          <t>Charge</t>
        </is>
      </c>
      <c r="I275" s="45" t="inlineStr">
        <is>
          <t>Coûts directs</t>
        </is>
      </c>
      <c r="J275" s="45" t="inlineStr">
        <is>
          <t>2026ATT_VDEF</t>
        </is>
      </c>
      <c r="K275" s="45" t="inlineStr">
        <is>
          <t>2026 (Atterr.)</t>
        </is>
      </c>
      <c r="L275" s="13" t="n">
        <v>30240</v>
      </c>
    </row>
    <row r="276">
      <c r="A276" s="45" t="inlineStr">
        <is>
          <t>TUNON_LYON</t>
        </is>
      </c>
      <c r="B276" s="17" t="inlineStr">
        <is>
          <t>Tunon Lyon</t>
        </is>
      </c>
      <c r="C276" s="45" t="inlineStr">
        <is>
          <t>Tunon</t>
        </is>
      </c>
      <c r="D276" s="45" t="inlineStr">
        <is>
          <t>Lyon</t>
        </is>
      </c>
      <c r="E276" s="45" t="inlineStr">
        <is>
          <t>6231</t>
        </is>
      </c>
      <c r="F276" s="17" t="inlineStr">
        <is>
          <t>Publicité &amp; marketing d'acquisition (leads)</t>
        </is>
      </c>
      <c r="G276" s="45" t="inlineStr">
        <is>
          <t>62 — Autres services extérieurs</t>
        </is>
      </c>
      <c r="H276" s="45" t="inlineStr">
        <is>
          <t>Charge</t>
        </is>
      </c>
      <c r="I276" s="45" t="inlineStr">
        <is>
          <t>Coûts directs</t>
        </is>
      </c>
      <c r="J276" s="45" t="inlineStr">
        <is>
          <t>2026ATT_VDEF</t>
        </is>
      </c>
      <c r="K276" s="45" t="inlineStr">
        <is>
          <t>2026 (Atterr.)</t>
        </is>
      </c>
      <c r="L276" s="13" t="n">
        <v>18850</v>
      </c>
    </row>
    <row r="277">
      <c r="A277" s="45" t="inlineStr">
        <is>
          <t>MBWAY_PARIS</t>
        </is>
      </c>
      <c r="B277" s="17" t="inlineStr">
        <is>
          <t>MBway Paris</t>
        </is>
      </c>
      <c r="C277" s="45" t="inlineStr">
        <is>
          <t>MBway</t>
        </is>
      </c>
      <c r="D277" s="45" t="inlineStr">
        <is>
          <t>Paris</t>
        </is>
      </c>
      <c r="E277" s="45" t="inlineStr">
        <is>
          <t>6411</t>
        </is>
      </c>
      <c r="F277" s="17" t="inlineStr">
        <is>
          <t>Rémunération enseignants permanents</t>
        </is>
      </c>
      <c r="G277" s="45" t="inlineStr">
        <is>
          <t>64 — Charges de personnel</t>
        </is>
      </c>
      <c r="H277" s="45" t="inlineStr">
        <is>
          <t>Charge</t>
        </is>
      </c>
      <c r="I277" s="45" t="inlineStr">
        <is>
          <t>Personnel</t>
        </is>
      </c>
      <c r="J277" s="45" t="inlineStr">
        <is>
          <t>2024ACT_VDEF</t>
        </is>
      </c>
      <c r="K277" s="45" t="inlineStr">
        <is>
          <t>2024 (N-2)</t>
        </is>
      </c>
      <c r="L277" s="13" t="n">
        <v>401371</v>
      </c>
    </row>
    <row r="278">
      <c r="A278" s="45" t="inlineStr">
        <is>
          <t>MBWAY_LYON</t>
        </is>
      </c>
      <c r="B278" s="17" t="inlineStr">
        <is>
          <t>MBway Lyon</t>
        </is>
      </c>
      <c r="C278" s="45" t="inlineStr">
        <is>
          <t>MBway</t>
        </is>
      </c>
      <c r="D278" s="45" t="inlineStr">
        <is>
          <t>Lyon</t>
        </is>
      </c>
      <c r="E278" s="45" t="inlineStr">
        <is>
          <t>6411</t>
        </is>
      </c>
      <c r="F278" s="17" t="inlineStr">
        <is>
          <t>Rémunération enseignants permanents</t>
        </is>
      </c>
      <c r="G278" s="45" t="inlineStr">
        <is>
          <t>64 — Charges de personnel</t>
        </is>
      </c>
      <c r="H278" s="45" t="inlineStr">
        <is>
          <t>Charge</t>
        </is>
      </c>
      <c r="I278" s="45" t="inlineStr">
        <is>
          <t>Personnel</t>
        </is>
      </c>
      <c r="J278" s="45" t="inlineStr">
        <is>
          <t>2024ACT_VDEF</t>
        </is>
      </c>
      <c r="K278" s="45" t="inlineStr">
        <is>
          <t>2024 (N-2)</t>
        </is>
      </c>
      <c r="L278" s="13" t="n">
        <v>347855</v>
      </c>
    </row>
    <row r="279">
      <c r="A279" s="45" t="inlineStr">
        <is>
          <t>MBWAY_NANTES</t>
        </is>
      </c>
      <c r="B279" s="17" t="inlineStr">
        <is>
          <t>MBway Nantes</t>
        </is>
      </c>
      <c r="C279" s="45" t="inlineStr">
        <is>
          <t>MBway</t>
        </is>
      </c>
      <c r="D279" s="45" t="inlineStr">
        <is>
          <t>Nantes</t>
        </is>
      </c>
      <c r="E279" s="45" t="inlineStr">
        <is>
          <t>6411</t>
        </is>
      </c>
      <c r="F279" s="17" t="inlineStr">
        <is>
          <t>Rémunération enseignants permanents</t>
        </is>
      </c>
      <c r="G279" s="45" t="inlineStr">
        <is>
          <t>64 — Charges de personnel</t>
        </is>
      </c>
      <c r="H279" s="45" t="inlineStr">
        <is>
          <t>Charge</t>
        </is>
      </c>
      <c r="I279" s="45" t="inlineStr">
        <is>
          <t>Personnel</t>
        </is>
      </c>
      <c r="J279" s="45" t="inlineStr">
        <is>
          <t>2024ACT_VDEF</t>
        </is>
      </c>
      <c r="K279" s="45" t="inlineStr">
        <is>
          <t>2024 (N-2)</t>
        </is>
      </c>
      <c r="L279" s="13" t="n">
        <v>321097</v>
      </c>
    </row>
    <row r="280">
      <c r="A280" s="45" t="inlineStr">
        <is>
          <t>MBWAY_BORDEAUX</t>
        </is>
      </c>
      <c r="B280" s="17" t="inlineStr">
        <is>
          <t>MBway Bordeaux</t>
        </is>
      </c>
      <c r="C280" s="45" t="inlineStr">
        <is>
          <t>MBway</t>
        </is>
      </c>
      <c r="D280" s="45" t="inlineStr">
        <is>
          <t>Bordeaux</t>
        </is>
      </c>
      <c r="E280" s="45" t="inlineStr">
        <is>
          <t>6411</t>
        </is>
      </c>
      <c r="F280" s="17" t="inlineStr">
        <is>
          <t>Rémunération enseignants permanents</t>
        </is>
      </c>
      <c r="G280" s="45" t="inlineStr">
        <is>
          <t>64 — Charges de personnel</t>
        </is>
      </c>
      <c r="H280" s="45" t="inlineStr">
        <is>
          <t>Charge</t>
        </is>
      </c>
      <c r="I280" s="45" t="inlineStr">
        <is>
          <t>Personnel</t>
        </is>
      </c>
      <c r="J280" s="45" t="inlineStr">
        <is>
          <t>2024ACT_VDEF</t>
        </is>
      </c>
      <c r="K280" s="45" t="inlineStr">
        <is>
          <t>2024 (N-2)</t>
        </is>
      </c>
      <c r="L280" s="13" t="n">
        <v>267581</v>
      </c>
    </row>
    <row r="281">
      <c r="A281" s="45" t="inlineStr">
        <is>
          <t>ISCOM_PARIS</t>
        </is>
      </c>
      <c r="B281" s="17" t="inlineStr">
        <is>
          <t>ISCOM Paris</t>
        </is>
      </c>
      <c r="C281" s="45" t="inlineStr">
        <is>
          <t>ISCOM</t>
        </is>
      </c>
      <c r="D281" s="45" t="inlineStr">
        <is>
          <t>Paris</t>
        </is>
      </c>
      <c r="E281" s="45" t="inlineStr">
        <is>
          <t>6411</t>
        </is>
      </c>
      <c r="F281" s="17" t="inlineStr">
        <is>
          <t>Rémunération enseignants permanents</t>
        </is>
      </c>
      <c r="G281" s="45" t="inlineStr">
        <is>
          <t>64 — Charges de personnel</t>
        </is>
      </c>
      <c r="H281" s="45" t="inlineStr">
        <is>
          <t>Charge</t>
        </is>
      </c>
      <c r="I281" s="45" t="inlineStr">
        <is>
          <t>Personnel</t>
        </is>
      </c>
      <c r="J281" s="45" t="inlineStr">
        <is>
          <t>2024ACT_VDEF</t>
        </is>
      </c>
      <c r="K281" s="45" t="inlineStr">
        <is>
          <t>2024 (N-2)</t>
        </is>
      </c>
      <c r="L281" s="13" t="n">
        <v>401371</v>
      </c>
    </row>
    <row r="282">
      <c r="A282" s="45" t="inlineStr">
        <is>
          <t>ISCOM_LILLE</t>
        </is>
      </c>
      <c r="B282" s="17" t="inlineStr">
        <is>
          <t>ISCOM Lille</t>
        </is>
      </c>
      <c r="C282" s="45" t="inlineStr">
        <is>
          <t>ISCOM</t>
        </is>
      </c>
      <c r="D282" s="45" t="inlineStr">
        <is>
          <t>Lille</t>
        </is>
      </c>
      <c r="E282" s="45" t="inlineStr">
        <is>
          <t>6411</t>
        </is>
      </c>
      <c r="F282" s="17" t="inlineStr">
        <is>
          <t>Rémunération enseignants permanents</t>
        </is>
      </c>
      <c r="G282" s="45" t="inlineStr">
        <is>
          <t>64 — Charges de personnel</t>
        </is>
      </c>
      <c r="H282" s="45" t="inlineStr">
        <is>
          <t>Charge</t>
        </is>
      </c>
      <c r="I282" s="45" t="inlineStr">
        <is>
          <t>Personnel</t>
        </is>
      </c>
      <c r="J282" s="45" t="inlineStr">
        <is>
          <t>2024ACT_VDEF</t>
        </is>
      </c>
      <c r="K282" s="45" t="inlineStr">
        <is>
          <t>2024 (N-2)</t>
        </is>
      </c>
      <c r="L282" s="13" t="n">
        <v>267581</v>
      </c>
    </row>
    <row r="283">
      <c r="A283" s="45" t="inlineStr">
        <is>
          <t>ISCOM_TOULOUSE</t>
        </is>
      </c>
      <c r="B283" s="17" t="inlineStr">
        <is>
          <t>ISCOM Toulouse</t>
        </is>
      </c>
      <c r="C283" s="45" t="inlineStr">
        <is>
          <t>ISCOM</t>
        </is>
      </c>
      <c r="D283" s="45" t="inlineStr">
        <is>
          <t>Toulouse</t>
        </is>
      </c>
      <c r="E283" s="45" t="inlineStr">
        <is>
          <t>6411</t>
        </is>
      </c>
      <c r="F283" s="17" t="inlineStr">
        <is>
          <t>Rémunération enseignants permanents</t>
        </is>
      </c>
      <c r="G283" s="45" t="inlineStr">
        <is>
          <t>64 — Charges de personnel</t>
        </is>
      </c>
      <c r="H283" s="45" t="inlineStr">
        <is>
          <t>Charge</t>
        </is>
      </c>
      <c r="I283" s="45" t="inlineStr">
        <is>
          <t>Personnel</t>
        </is>
      </c>
      <c r="J283" s="45" t="inlineStr">
        <is>
          <t>2024ACT_VDEF</t>
        </is>
      </c>
      <c r="K283" s="45" t="inlineStr">
        <is>
          <t>2024 (N-2)</t>
        </is>
      </c>
      <c r="L283" s="13" t="n">
        <v>267581</v>
      </c>
    </row>
    <row r="284">
      <c r="A284" s="45" t="inlineStr">
        <is>
          <t>IPAC_BACHELOR_FACTORY_NANTES</t>
        </is>
      </c>
      <c r="B284" s="17" t="inlineStr">
        <is>
          <t>Ipac Bachelor Factory Nantes</t>
        </is>
      </c>
      <c r="C284" s="45" t="inlineStr">
        <is>
          <t>Ipac Bachelor Factory</t>
        </is>
      </c>
      <c r="D284" s="45" t="inlineStr">
        <is>
          <t>Nantes</t>
        </is>
      </c>
      <c r="E284" s="45" t="inlineStr">
        <is>
          <t>6411</t>
        </is>
      </c>
      <c r="F284" s="17" t="inlineStr">
        <is>
          <t>Rémunération enseignants permanents</t>
        </is>
      </c>
      <c r="G284" s="45" t="inlineStr">
        <is>
          <t>64 — Charges de personnel</t>
        </is>
      </c>
      <c r="H284" s="45" t="inlineStr">
        <is>
          <t>Charge</t>
        </is>
      </c>
      <c r="I284" s="45" t="inlineStr">
        <is>
          <t>Personnel</t>
        </is>
      </c>
      <c r="J284" s="45" t="inlineStr">
        <is>
          <t>2024ACT_VDEF</t>
        </is>
      </c>
      <c r="K284" s="45" t="inlineStr">
        <is>
          <t>2024 (N-2)</t>
        </is>
      </c>
      <c r="L284" s="13" t="n">
        <v>160549</v>
      </c>
    </row>
    <row r="285">
      <c r="A285" s="45" t="inlineStr">
        <is>
          <t>IPAC_BACHELOR_FACTORY_RENNES</t>
        </is>
      </c>
      <c r="B285" s="17" t="inlineStr">
        <is>
          <t>Ipac Bachelor Factory Rennes</t>
        </is>
      </c>
      <c r="C285" s="45" t="inlineStr">
        <is>
          <t>Ipac Bachelor Factory</t>
        </is>
      </c>
      <c r="D285" s="45" t="inlineStr">
        <is>
          <t>Rennes</t>
        </is>
      </c>
      <c r="E285" s="45" t="inlineStr">
        <is>
          <t>6411</t>
        </is>
      </c>
      <c r="F285" s="17" t="inlineStr">
        <is>
          <t>Rémunération enseignants permanents</t>
        </is>
      </c>
      <c r="G285" s="45" t="inlineStr">
        <is>
          <t>64 — Charges de personnel</t>
        </is>
      </c>
      <c r="H285" s="45" t="inlineStr">
        <is>
          <t>Charge</t>
        </is>
      </c>
      <c r="I285" s="45" t="inlineStr">
        <is>
          <t>Personnel</t>
        </is>
      </c>
      <c r="J285" s="45" t="inlineStr">
        <is>
          <t>2024ACT_VDEF</t>
        </is>
      </c>
      <c r="K285" s="45" t="inlineStr">
        <is>
          <t>2024 (N-2)</t>
        </is>
      </c>
      <c r="L285" s="13" t="n">
        <v>160549</v>
      </c>
    </row>
    <row r="286">
      <c r="A286" s="45" t="inlineStr">
        <is>
          <t>IPAC_BACHELOR_FACTORY_MONTPELLIER</t>
        </is>
      </c>
      <c r="B286" s="17" t="inlineStr">
        <is>
          <t>Ipac Bachelor Factory Montpellier</t>
        </is>
      </c>
      <c r="C286" s="45" t="inlineStr">
        <is>
          <t>Ipac Bachelor Factory</t>
        </is>
      </c>
      <c r="D286" s="45" t="inlineStr">
        <is>
          <t>Montpellier</t>
        </is>
      </c>
      <c r="E286" s="45" t="inlineStr">
        <is>
          <t>6411</t>
        </is>
      </c>
      <c r="F286" s="17" t="inlineStr">
        <is>
          <t>Rémunération enseignants permanents</t>
        </is>
      </c>
      <c r="G286" s="45" t="inlineStr">
        <is>
          <t>64 — Charges de personnel</t>
        </is>
      </c>
      <c r="H286" s="45" t="inlineStr">
        <is>
          <t>Charge</t>
        </is>
      </c>
      <c r="I286" s="45" t="inlineStr">
        <is>
          <t>Personnel</t>
        </is>
      </c>
      <c r="J286" s="45" t="inlineStr">
        <is>
          <t>2024ACT_VDEF</t>
        </is>
      </c>
      <c r="K286" s="45" t="inlineStr">
        <is>
          <t>2024 (N-2)</t>
        </is>
      </c>
      <c r="L286" s="13" t="n">
        <v>160549</v>
      </c>
    </row>
    <row r="287">
      <c r="A287" s="45" t="inlineStr">
        <is>
          <t>PIGIER_LYON</t>
        </is>
      </c>
      <c r="B287" s="17" t="inlineStr">
        <is>
          <t>Pigier Lyon</t>
        </is>
      </c>
      <c r="C287" s="45" t="inlineStr">
        <is>
          <t>Pigier</t>
        </is>
      </c>
      <c r="D287" s="45" t="inlineStr">
        <is>
          <t>Lyon</t>
        </is>
      </c>
      <c r="E287" s="45" t="inlineStr">
        <is>
          <t>6411</t>
        </is>
      </c>
      <c r="F287" s="17" t="inlineStr">
        <is>
          <t>Rémunération enseignants permanents</t>
        </is>
      </c>
      <c r="G287" s="45" t="inlineStr">
        <is>
          <t>64 — Charges de personnel</t>
        </is>
      </c>
      <c r="H287" s="45" t="inlineStr">
        <is>
          <t>Charge</t>
        </is>
      </c>
      <c r="I287" s="45" t="inlineStr">
        <is>
          <t>Personnel</t>
        </is>
      </c>
      <c r="J287" s="45" t="inlineStr">
        <is>
          <t>2024ACT_VDEF</t>
        </is>
      </c>
      <c r="K287" s="45" t="inlineStr">
        <is>
          <t>2024 (N-2)</t>
        </is>
      </c>
      <c r="L287" s="13" t="n">
        <v>214065</v>
      </c>
    </row>
    <row r="288">
      <c r="A288" s="45" t="inlineStr">
        <is>
          <t>PIGIER_BORDEAUX</t>
        </is>
      </c>
      <c r="B288" s="17" t="inlineStr">
        <is>
          <t>Pigier Bordeaux</t>
        </is>
      </c>
      <c r="C288" s="45" t="inlineStr">
        <is>
          <t>Pigier</t>
        </is>
      </c>
      <c r="D288" s="45" t="inlineStr">
        <is>
          <t>Bordeaux</t>
        </is>
      </c>
      <c r="E288" s="45" t="inlineStr">
        <is>
          <t>6411</t>
        </is>
      </c>
      <c r="F288" s="17" t="inlineStr">
        <is>
          <t>Rémunération enseignants permanents</t>
        </is>
      </c>
      <c r="G288" s="45" t="inlineStr">
        <is>
          <t>64 — Charges de personnel</t>
        </is>
      </c>
      <c r="H288" s="45" t="inlineStr">
        <is>
          <t>Charge</t>
        </is>
      </c>
      <c r="I288" s="45" t="inlineStr">
        <is>
          <t>Personnel</t>
        </is>
      </c>
      <c r="J288" s="45" t="inlineStr">
        <is>
          <t>2024ACT_VDEF</t>
        </is>
      </c>
      <c r="K288" s="45" t="inlineStr">
        <is>
          <t>2024 (N-2)</t>
        </is>
      </c>
      <c r="L288" s="13" t="n">
        <v>214065</v>
      </c>
    </row>
    <row r="289">
      <c r="A289" s="45" t="inlineStr">
        <is>
          <t>TUNON_PARIS</t>
        </is>
      </c>
      <c r="B289" s="17" t="inlineStr">
        <is>
          <t>Tunon Paris</t>
        </is>
      </c>
      <c r="C289" s="45" t="inlineStr">
        <is>
          <t>Tunon</t>
        </is>
      </c>
      <c r="D289" s="45" t="inlineStr">
        <is>
          <t>Paris</t>
        </is>
      </c>
      <c r="E289" s="45" t="inlineStr">
        <is>
          <t>6411</t>
        </is>
      </c>
      <c r="F289" s="17" t="inlineStr">
        <is>
          <t>Rémunération enseignants permanents</t>
        </is>
      </c>
      <c r="G289" s="45" t="inlineStr">
        <is>
          <t>64 — Charges de personnel</t>
        </is>
      </c>
      <c r="H289" s="45" t="inlineStr">
        <is>
          <t>Charge</t>
        </is>
      </c>
      <c r="I289" s="45" t="inlineStr">
        <is>
          <t>Personnel</t>
        </is>
      </c>
      <c r="J289" s="45" t="inlineStr">
        <is>
          <t>2024ACT_VDEF</t>
        </is>
      </c>
      <c r="K289" s="45" t="inlineStr">
        <is>
          <t>2024 (N-2)</t>
        </is>
      </c>
      <c r="L289" s="13" t="n">
        <v>160549</v>
      </c>
    </row>
    <row r="290">
      <c r="A290" s="45" t="inlineStr">
        <is>
          <t>TUNON_LYON</t>
        </is>
      </c>
      <c r="B290" s="17" t="inlineStr">
        <is>
          <t>Tunon Lyon</t>
        </is>
      </c>
      <c r="C290" s="45" t="inlineStr">
        <is>
          <t>Tunon</t>
        </is>
      </c>
      <c r="D290" s="45" t="inlineStr">
        <is>
          <t>Lyon</t>
        </is>
      </c>
      <c r="E290" s="45" t="inlineStr">
        <is>
          <t>6411</t>
        </is>
      </c>
      <c r="F290" s="17" t="inlineStr">
        <is>
          <t>Rémunération enseignants permanents</t>
        </is>
      </c>
      <c r="G290" s="45" t="inlineStr">
        <is>
          <t>64 — Charges de personnel</t>
        </is>
      </c>
      <c r="H290" s="45" t="inlineStr">
        <is>
          <t>Charge</t>
        </is>
      </c>
      <c r="I290" s="45" t="inlineStr">
        <is>
          <t>Personnel</t>
        </is>
      </c>
      <c r="J290" s="45" t="inlineStr">
        <is>
          <t>2024ACT_VDEF</t>
        </is>
      </c>
      <c r="K290" s="45" t="inlineStr">
        <is>
          <t>2024 (N-2)</t>
        </is>
      </c>
      <c r="L290" s="13" t="n">
        <v>160549</v>
      </c>
    </row>
    <row r="291">
      <c r="A291" s="45" t="inlineStr">
        <is>
          <t>MBWAY_PARIS</t>
        </is>
      </c>
      <c r="B291" s="17" t="inlineStr">
        <is>
          <t>MBway Paris</t>
        </is>
      </c>
      <c r="C291" s="45" t="inlineStr">
        <is>
          <t>MBway</t>
        </is>
      </c>
      <c r="D291" s="45" t="inlineStr">
        <is>
          <t>Paris</t>
        </is>
      </c>
      <c r="E291" s="45" t="inlineStr">
        <is>
          <t>6411</t>
        </is>
      </c>
      <c r="F291" s="17" t="inlineStr">
        <is>
          <t>Rémunération enseignants permanents</t>
        </is>
      </c>
      <c r="G291" s="45" t="inlineStr">
        <is>
          <t>64 — Charges de personnel</t>
        </is>
      </c>
      <c r="H291" s="45" t="inlineStr">
        <is>
          <t>Charge</t>
        </is>
      </c>
      <c r="I291" s="45" t="inlineStr">
        <is>
          <t>Personnel</t>
        </is>
      </c>
      <c r="J291" s="45" t="inlineStr">
        <is>
          <t>2025ACT_VDEF</t>
        </is>
      </c>
      <c r="K291" s="45" t="inlineStr">
        <is>
          <t>2025 (N-1)</t>
        </is>
      </c>
      <c r="L291" s="13" t="n">
        <v>419763</v>
      </c>
    </row>
    <row r="292">
      <c r="A292" s="45" t="inlineStr">
        <is>
          <t>MBWAY_LYON</t>
        </is>
      </c>
      <c r="B292" s="17" t="inlineStr">
        <is>
          <t>MBway Lyon</t>
        </is>
      </c>
      <c r="C292" s="45" t="inlineStr">
        <is>
          <t>MBway</t>
        </is>
      </c>
      <c r="D292" s="45" t="inlineStr">
        <is>
          <t>Lyon</t>
        </is>
      </c>
      <c r="E292" s="45" t="inlineStr">
        <is>
          <t>6411</t>
        </is>
      </c>
      <c r="F292" s="17" t="inlineStr">
        <is>
          <t>Rémunération enseignants permanents</t>
        </is>
      </c>
      <c r="G292" s="45" t="inlineStr">
        <is>
          <t>64 — Charges de personnel</t>
        </is>
      </c>
      <c r="H292" s="45" t="inlineStr">
        <is>
          <t>Charge</t>
        </is>
      </c>
      <c r="I292" s="45" t="inlineStr">
        <is>
          <t>Personnel</t>
        </is>
      </c>
      <c r="J292" s="45" t="inlineStr">
        <is>
          <t>2025ACT_VDEF</t>
        </is>
      </c>
      <c r="K292" s="45" t="inlineStr">
        <is>
          <t>2025 (N-1)</t>
        </is>
      </c>
      <c r="L292" s="13" t="n">
        <v>363795</v>
      </c>
    </row>
    <row r="293">
      <c r="A293" s="45" t="inlineStr">
        <is>
          <t>MBWAY_NANTES</t>
        </is>
      </c>
      <c r="B293" s="17" t="inlineStr">
        <is>
          <t>MBway Nantes</t>
        </is>
      </c>
      <c r="C293" s="45" t="inlineStr">
        <is>
          <t>MBway</t>
        </is>
      </c>
      <c r="D293" s="45" t="inlineStr">
        <is>
          <t>Nantes</t>
        </is>
      </c>
      <c r="E293" s="45" t="inlineStr">
        <is>
          <t>6411</t>
        </is>
      </c>
      <c r="F293" s="17" t="inlineStr">
        <is>
          <t>Rémunération enseignants permanents</t>
        </is>
      </c>
      <c r="G293" s="45" t="inlineStr">
        <is>
          <t>64 — Charges de personnel</t>
        </is>
      </c>
      <c r="H293" s="45" t="inlineStr">
        <is>
          <t>Charge</t>
        </is>
      </c>
      <c r="I293" s="45" t="inlineStr">
        <is>
          <t>Personnel</t>
        </is>
      </c>
      <c r="J293" s="45" t="inlineStr">
        <is>
          <t>2025ACT_VDEF</t>
        </is>
      </c>
      <c r="K293" s="45" t="inlineStr">
        <is>
          <t>2025 (N-1)</t>
        </is>
      </c>
      <c r="L293" s="13" t="n">
        <v>335811</v>
      </c>
    </row>
    <row r="294">
      <c r="A294" s="45" t="inlineStr">
        <is>
          <t>MBWAY_BORDEAUX</t>
        </is>
      </c>
      <c r="B294" s="17" t="inlineStr">
        <is>
          <t>MBway Bordeaux</t>
        </is>
      </c>
      <c r="C294" s="45" t="inlineStr">
        <is>
          <t>MBway</t>
        </is>
      </c>
      <c r="D294" s="45" t="inlineStr">
        <is>
          <t>Bordeaux</t>
        </is>
      </c>
      <c r="E294" s="45" t="inlineStr">
        <is>
          <t>6411</t>
        </is>
      </c>
      <c r="F294" s="17" t="inlineStr">
        <is>
          <t>Rémunération enseignants permanents</t>
        </is>
      </c>
      <c r="G294" s="45" t="inlineStr">
        <is>
          <t>64 — Charges de personnel</t>
        </is>
      </c>
      <c r="H294" s="45" t="inlineStr">
        <is>
          <t>Charge</t>
        </is>
      </c>
      <c r="I294" s="45" t="inlineStr">
        <is>
          <t>Personnel</t>
        </is>
      </c>
      <c r="J294" s="45" t="inlineStr">
        <is>
          <t>2025ACT_VDEF</t>
        </is>
      </c>
      <c r="K294" s="45" t="inlineStr">
        <is>
          <t>2025 (N-1)</t>
        </is>
      </c>
      <c r="L294" s="13" t="n">
        <v>279842</v>
      </c>
    </row>
    <row r="295">
      <c r="A295" s="45" t="inlineStr">
        <is>
          <t>ISCOM_PARIS</t>
        </is>
      </c>
      <c r="B295" s="17" t="inlineStr">
        <is>
          <t>ISCOM Paris</t>
        </is>
      </c>
      <c r="C295" s="45" t="inlineStr">
        <is>
          <t>ISCOM</t>
        </is>
      </c>
      <c r="D295" s="45" t="inlineStr">
        <is>
          <t>Paris</t>
        </is>
      </c>
      <c r="E295" s="45" t="inlineStr">
        <is>
          <t>6411</t>
        </is>
      </c>
      <c r="F295" s="17" t="inlineStr">
        <is>
          <t>Rémunération enseignants permanents</t>
        </is>
      </c>
      <c r="G295" s="45" t="inlineStr">
        <is>
          <t>64 — Charges de personnel</t>
        </is>
      </c>
      <c r="H295" s="45" t="inlineStr">
        <is>
          <t>Charge</t>
        </is>
      </c>
      <c r="I295" s="45" t="inlineStr">
        <is>
          <t>Personnel</t>
        </is>
      </c>
      <c r="J295" s="45" t="inlineStr">
        <is>
          <t>2025ACT_VDEF</t>
        </is>
      </c>
      <c r="K295" s="45" t="inlineStr">
        <is>
          <t>2025 (N-1)</t>
        </is>
      </c>
      <c r="L295" s="13" t="n">
        <v>419763</v>
      </c>
    </row>
    <row r="296">
      <c r="A296" s="45" t="inlineStr">
        <is>
          <t>ISCOM_LILLE</t>
        </is>
      </c>
      <c r="B296" s="17" t="inlineStr">
        <is>
          <t>ISCOM Lille</t>
        </is>
      </c>
      <c r="C296" s="45" t="inlineStr">
        <is>
          <t>ISCOM</t>
        </is>
      </c>
      <c r="D296" s="45" t="inlineStr">
        <is>
          <t>Lille</t>
        </is>
      </c>
      <c r="E296" s="45" t="inlineStr">
        <is>
          <t>6411</t>
        </is>
      </c>
      <c r="F296" s="17" t="inlineStr">
        <is>
          <t>Rémunération enseignants permanents</t>
        </is>
      </c>
      <c r="G296" s="45" t="inlineStr">
        <is>
          <t>64 — Charges de personnel</t>
        </is>
      </c>
      <c r="H296" s="45" t="inlineStr">
        <is>
          <t>Charge</t>
        </is>
      </c>
      <c r="I296" s="45" t="inlineStr">
        <is>
          <t>Personnel</t>
        </is>
      </c>
      <c r="J296" s="45" t="inlineStr">
        <is>
          <t>2025ACT_VDEF</t>
        </is>
      </c>
      <c r="K296" s="45" t="inlineStr">
        <is>
          <t>2025 (N-1)</t>
        </is>
      </c>
      <c r="L296" s="13" t="n">
        <v>279842</v>
      </c>
    </row>
    <row r="297">
      <c r="A297" s="45" t="inlineStr">
        <is>
          <t>ISCOM_TOULOUSE</t>
        </is>
      </c>
      <c r="B297" s="17" t="inlineStr">
        <is>
          <t>ISCOM Toulouse</t>
        </is>
      </c>
      <c r="C297" s="45" t="inlineStr">
        <is>
          <t>ISCOM</t>
        </is>
      </c>
      <c r="D297" s="45" t="inlineStr">
        <is>
          <t>Toulouse</t>
        </is>
      </c>
      <c r="E297" s="45" t="inlineStr">
        <is>
          <t>6411</t>
        </is>
      </c>
      <c r="F297" s="17" t="inlineStr">
        <is>
          <t>Rémunération enseignants permanents</t>
        </is>
      </c>
      <c r="G297" s="45" t="inlineStr">
        <is>
          <t>64 — Charges de personnel</t>
        </is>
      </c>
      <c r="H297" s="45" t="inlineStr">
        <is>
          <t>Charge</t>
        </is>
      </c>
      <c r="I297" s="45" t="inlineStr">
        <is>
          <t>Personnel</t>
        </is>
      </c>
      <c r="J297" s="45" t="inlineStr">
        <is>
          <t>2025ACT_VDEF</t>
        </is>
      </c>
      <c r="K297" s="45" t="inlineStr">
        <is>
          <t>2025 (N-1)</t>
        </is>
      </c>
      <c r="L297" s="13" t="n">
        <v>279842</v>
      </c>
    </row>
    <row r="298">
      <c r="A298" s="45" t="inlineStr">
        <is>
          <t>IPAC_BACHELOR_FACTORY_NANTES</t>
        </is>
      </c>
      <c r="B298" s="17" t="inlineStr">
        <is>
          <t>Ipac Bachelor Factory Nantes</t>
        </is>
      </c>
      <c r="C298" s="45" t="inlineStr">
        <is>
          <t>Ipac Bachelor Factory</t>
        </is>
      </c>
      <c r="D298" s="45" t="inlineStr">
        <is>
          <t>Nantes</t>
        </is>
      </c>
      <c r="E298" s="45" t="inlineStr">
        <is>
          <t>6411</t>
        </is>
      </c>
      <c r="F298" s="17" t="inlineStr">
        <is>
          <t>Rémunération enseignants permanents</t>
        </is>
      </c>
      <c r="G298" s="45" t="inlineStr">
        <is>
          <t>64 — Charges de personnel</t>
        </is>
      </c>
      <c r="H298" s="45" t="inlineStr">
        <is>
          <t>Charge</t>
        </is>
      </c>
      <c r="I298" s="45" t="inlineStr">
        <is>
          <t>Personnel</t>
        </is>
      </c>
      <c r="J298" s="45" t="inlineStr">
        <is>
          <t>2025ACT_VDEF</t>
        </is>
      </c>
      <c r="K298" s="45" t="inlineStr">
        <is>
          <t>2025 (N-1)</t>
        </is>
      </c>
      <c r="L298" s="13" t="n">
        <v>167905</v>
      </c>
    </row>
    <row r="299">
      <c r="A299" s="45" t="inlineStr">
        <is>
          <t>IPAC_BACHELOR_FACTORY_RENNES</t>
        </is>
      </c>
      <c r="B299" s="17" t="inlineStr">
        <is>
          <t>Ipac Bachelor Factory Rennes</t>
        </is>
      </c>
      <c r="C299" s="45" t="inlineStr">
        <is>
          <t>Ipac Bachelor Factory</t>
        </is>
      </c>
      <c r="D299" s="45" t="inlineStr">
        <is>
          <t>Rennes</t>
        </is>
      </c>
      <c r="E299" s="45" t="inlineStr">
        <is>
          <t>6411</t>
        </is>
      </c>
      <c r="F299" s="17" t="inlineStr">
        <is>
          <t>Rémunération enseignants permanents</t>
        </is>
      </c>
      <c r="G299" s="45" t="inlineStr">
        <is>
          <t>64 — Charges de personnel</t>
        </is>
      </c>
      <c r="H299" s="45" t="inlineStr">
        <is>
          <t>Charge</t>
        </is>
      </c>
      <c r="I299" s="45" t="inlineStr">
        <is>
          <t>Personnel</t>
        </is>
      </c>
      <c r="J299" s="45" t="inlineStr">
        <is>
          <t>2025ACT_VDEF</t>
        </is>
      </c>
      <c r="K299" s="45" t="inlineStr">
        <is>
          <t>2025 (N-1)</t>
        </is>
      </c>
      <c r="L299" s="13" t="n">
        <v>167905</v>
      </c>
    </row>
    <row r="300">
      <c r="A300" s="45" t="inlineStr">
        <is>
          <t>IPAC_BACHELOR_FACTORY_MONTPELLIER</t>
        </is>
      </c>
      <c r="B300" s="17" t="inlineStr">
        <is>
          <t>Ipac Bachelor Factory Montpellier</t>
        </is>
      </c>
      <c r="C300" s="45" t="inlineStr">
        <is>
          <t>Ipac Bachelor Factory</t>
        </is>
      </c>
      <c r="D300" s="45" t="inlineStr">
        <is>
          <t>Montpellier</t>
        </is>
      </c>
      <c r="E300" s="45" t="inlineStr">
        <is>
          <t>6411</t>
        </is>
      </c>
      <c r="F300" s="17" t="inlineStr">
        <is>
          <t>Rémunération enseignants permanents</t>
        </is>
      </c>
      <c r="G300" s="45" t="inlineStr">
        <is>
          <t>64 — Charges de personnel</t>
        </is>
      </c>
      <c r="H300" s="45" t="inlineStr">
        <is>
          <t>Charge</t>
        </is>
      </c>
      <c r="I300" s="45" t="inlineStr">
        <is>
          <t>Personnel</t>
        </is>
      </c>
      <c r="J300" s="45" t="inlineStr">
        <is>
          <t>2025ACT_VDEF</t>
        </is>
      </c>
      <c r="K300" s="45" t="inlineStr">
        <is>
          <t>2025 (N-1)</t>
        </is>
      </c>
      <c r="L300" s="13" t="n">
        <v>167905</v>
      </c>
    </row>
    <row r="301">
      <c r="A301" s="45" t="inlineStr">
        <is>
          <t>PIGIER_LYON</t>
        </is>
      </c>
      <c r="B301" s="17" t="inlineStr">
        <is>
          <t>Pigier Lyon</t>
        </is>
      </c>
      <c r="C301" s="45" t="inlineStr">
        <is>
          <t>Pigier</t>
        </is>
      </c>
      <c r="D301" s="45" t="inlineStr">
        <is>
          <t>Lyon</t>
        </is>
      </c>
      <c r="E301" s="45" t="inlineStr">
        <is>
          <t>6411</t>
        </is>
      </c>
      <c r="F301" s="17" t="inlineStr">
        <is>
          <t>Rémunération enseignants permanents</t>
        </is>
      </c>
      <c r="G301" s="45" t="inlineStr">
        <is>
          <t>64 — Charges de personnel</t>
        </is>
      </c>
      <c r="H301" s="45" t="inlineStr">
        <is>
          <t>Charge</t>
        </is>
      </c>
      <c r="I301" s="45" t="inlineStr">
        <is>
          <t>Personnel</t>
        </is>
      </c>
      <c r="J301" s="45" t="inlineStr">
        <is>
          <t>2025ACT_VDEF</t>
        </is>
      </c>
      <c r="K301" s="45" t="inlineStr">
        <is>
          <t>2025 (N-1)</t>
        </is>
      </c>
      <c r="L301" s="13" t="n">
        <v>223874</v>
      </c>
    </row>
    <row r="302">
      <c r="A302" s="45" t="inlineStr">
        <is>
          <t>PIGIER_BORDEAUX</t>
        </is>
      </c>
      <c r="B302" s="17" t="inlineStr">
        <is>
          <t>Pigier Bordeaux</t>
        </is>
      </c>
      <c r="C302" s="45" t="inlineStr">
        <is>
          <t>Pigier</t>
        </is>
      </c>
      <c r="D302" s="45" t="inlineStr">
        <is>
          <t>Bordeaux</t>
        </is>
      </c>
      <c r="E302" s="45" t="inlineStr">
        <is>
          <t>6411</t>
        </is>
      </c>
      <c r="F302" s="17" t="inlineStr">
        <is>
          <t>Rémunération enseignants permanents</t>
        </is>
      </c>
      <c r="G302" s="45" t="inlineStr">
        <is>
          <t>64 — Charges de personnel</t>
        </is>
      </c>
      <c r="H302" s="45" t="inlineStr">
        <is>
          <t>Charge</t>
        </is>
      </c>
      <c r="I302" s="45" t="inlineStr">
        <is>
          <t>Personnel</t>
        </is>
      </c>
      <c r="J302" s="45" t="inlineStr">
        <is>
          <t>2025ACT_VDEF</t>
        </is>
      </c>
      <c r="K302" s="45" t="inlineStr">
        <is>
          <t>2025 (N-1)</t>
        </is>
      </c>
      <c r="L302" s="13" t="n">
        <v>223874</v>
      </c>
    </row>
    <row r="303">
      <c r="A303" s="45" t="inlineStr">
        <is>
          <t>TUNON_PARIS</t>
        </is>
      </c>
      <c r="B303" s="17" t="inlineStr">
        <is>
          <t>Tunon Paris</t>
        </is>
      </c>
      <c r="C303" s="45" t="inlineStr">
        <is>
          <t>Tunon</t>
        </is>
      </c>
      <c r="D303" s="45" t="inlineStr">
        <is>
          <t>Paris</t>
        </is>
      </c>
      <c r="E303" s="45" t="inlineStr">
        <is>
          <t>6411</t>
        </is>
      </c>
      <c r="F303" s="17" t="inlineStr">
        <is>
          <t>Rémunération enseignants permanents</t>
        </is>
      </c>
      <c r="G303" s="45" t="inlineStr">
        <is>
          <t>64 — Charges de personnel</t>
        </is>
      </c>
      <c r="H303" s="45" t="inlineStr">
        <is>
          <t>Charge</t>
        </is>
      </c>
      <c r="I303" s="45" t="inlineStr">
        <is>
          <t>Personnel</t>
        </is>
      </c>
      <c r="J303" s="45" t="inlineStr">
        <is>
          <t>2025ACT_VDEF</t>
        </is>
      </c>
      <c r="K303" s="45" t="inlineStr">
        <is>
          <t>2025 (N-1)</t>
        </is>
      </c>
      <c r="L303" s="13" t="n">
        <v>167905</v>
      </c>
    </row>
    <row r="304">
      <c r="A304" s="45" t="inlineStr">
        <is>
          <t>TUNON_LYON</t>
        </is>
      </c>
      <c r="B304" s="17" t="inlineStr">
        <is>
          <t>Tunon Lyon</t>
        </is>
      </c>
      <c r="C304" s="45" t="inlineStr">
        <is>
          <t>Tunon</t>
        </is>
      </c>
      <c r="D304" s="45" t="inlineStr">
        <is>
          <t>Lyon</t>
        </is>
      </c>
      <c r="E304" s="45" t="inlineStr">
        <is>
          <t>6411</t>
        </is>
      </c>
      <c r="F304" s="17" t="inlineStr">
        <is>
          <t>Rémunération enseignants permanents</t>
        </is>
      </c>
      <c r="G304" s="45" t="inlineStr">
        <is>
          <t>64 — Charges de personnel</t>
        </is>
      </c>
      <c r="H304" s="45" t="inlineStr">
        <is>
          <t>Charge</t>
        </is>
      </c>
      <c r="I304" s="45" t="inlineStr">
        <is>
          <t>Personnel</t>
        </is>
      </c>
      <c r="J304" s="45" t="inlineStr">
        <is>
          <t>2025ACT_VDEF</t>
        </is>
      </c>
      <c r="K304" s="45" t="inlineStr">
        <is>
          <t>2025 (N-1)</t>
        </is>
      </c>
      <c r="L304" s="13" t="n">
        <v>167905</v>
      </c>
    </row>
    <row r="305">
      <c r="A305" s="45" t="inlineStr">
        <is>
          <t>MBWAY_PARIS</t>
        </is>
      </c>
      <c r="B305" s="17" t="inlineStr">
        <is>
          <t>MBway Paris</t>
        </is>
      </c>
      <c r="C305" s="45" t="inlineStr">
        <is>
          <t>MBway</t>
        </is>
      </c>
      <c r="D305" s="45" t="inlineStr">
        <is>
          <t>Paris</t>
        </is>
      </c>
      <c r="E305" s="45" t="inlineStr">
        <is>
          <t>6411</t>
        </is>
      </c>
      <c r="F305" s="17" t="inlineStr">
        <is>
          <t>Rémunération enseignants permanents</t>
        </is>
      </c>
      <c r="G305" s="45" t="inlineStr">
        <is>
          <t>64 — Charges de personnel</t>
        </is>
      </c>
      <c r="H305" s="45" t="inlineStr">
        <is>
          <t>Charge</t>
        </is>
      </c>
      <c r="I305" s="45" t="inlineStr">
        <is>
          <t>Personnel</t>
        </is>
      </c>
      <c r="J305" s="45" t="inlineStr">
        <is>
          <t>2026ATT_VDEF</t>
        </is>
      </c>
      <c r="K305" s="45" t="inlineStr">
        <is>
          <t>2026 (Atterr.)</t>
        </is>
      </c>
      <c r="L305" s="13" t="n">
        <v>439799</v>
      </c>
    </row>
    <row r="306">
      <c r="A306" s="45" t="inlineStr">
        <is>
          <t>MBWAY_LYON</t>
        </is>
      </c>
      <c r="B306" s="17" t="inlineStr">
        <is>
          <t>MBway Lyon</t>
        </is>
      </c>
      <c r="C306" s="45" t="inlineStr">
        <is>
          <t>MBway</t>
        </is>
      </c>
      <c r="D306" s="45" t="inlineStr">
        <is>
          <t>Lyon</t>
        </is>
      </c>
      <c r="E306" s="45" t="inlineStr">
        <is>
          <t>6411</t>
        </is>
      </c>
      <c r="F306" s="17" t="inlineStr">
        <is>
          <t>Rémunération enseignants permanents</t>
        </is>
      </c>
      <c r="G306" s="45" t="inlineStr">
        <is>
          <t>64 — Charges de personnel</t>
        </is>
      </c>
      <c r="H306" s="45" t="inlineStr">
        <is>
          <t>Charge</t>
        </is>
      </c>
      <c r="I306" s="45" t="inlineStr">
        <is>
          <t>Personnel</t>
        </is>
      </c>
      <c r="J306" s="45" t="inlineStr">
        <is>
          <t>2026ATT_VDEF</t>
        </is>
      </c>
      <c r="K306" s="45" t="inlineStr">
        <is>
          <t>2026 (Atterr.)</t>
        </is>
      </c>
      <c r="L306" s="13" t="n">
        <v>381160</v>
      </c>
    </row>
    <row r="307">
      <c r="A307" s="45" t="inlineStr">
        <is>
          <t>MBWAY_NANTES</t>
        </is>
      </c>
      <c r="B307" s="17" t="inlineStr">
        <is>
          <t>MBway Nantes</t>
        </is>
      </c>
      <c r="C307" s="45" t="inlineStr">
        <is>
          <t>MBway</t>
        </is>
      </c>
      <c r="D307" s="45" t="inlineStr">
        <is>
          <t>Nantes</t>
        </is>
      </c>
      <c r="E307" s="45" t="inlineStr">
        <is>
          <t>6411</t>
        </is>
      </c>
      <c r="F307" s="17" t="inlineStr">
        <is>
          <t>Rémunération enseignants permanents</t>
        </is>
      </c>
      <c r="G307" s="45" t="inlineStr">
        <is>
          <t>64 — Charges de personnel</t>
        </is>
      </c>
      <c r="H307" s="45" t="inlineStr">
        <is>
          <t>Charge</t>
        </is>
      </c>
      <c r="I307" s="45" t="inlineStr">
        <is>
          <t>Personnel</t>
        </is>
      </c>
      <c r="J307" s="45" t="inlineStr">
        <is>
          <t>2026ATT_VDEF</t>
        </is>
      </c>
      <c r="K307" s="45" t="inlineStr">
        <is>
          <t>2026 (Atterr.)</t>
        </is>
      </c>
      <c r="L307" s="13" t="n">
        <v>351840</v>
      </c>
    </row>
    <row r="308">
      <c r="A308" s="45" t="inlineStr">
        <is>
          <t>MBWAY_BORDEAUX</t>
        </is>
      </c>
      <c r="B308" s="17" t="inlineStr">
        <is>
          <t>MBway Bordeaux</t>
        </is>
      </c>
      <c r="C308" s="45" t="inlineStr">
        <is>
          <t>MBway</t>
        </is>
      </c>
      <c r="D308" s="45" t="inlineStr">
        <is>
          <t>Bordeaux</t>
        </is>
      </c>
      <c r="E308" s="45" t="inlineStr">
        <is>
          <t>6411</t>
        </is>
      </c>
      <c r="F308" s="17" t="inlineStr">
        <is>
          <t>Rémunération enseignants permanents</t>
        </is>
      </c>
      <c r="G308" s="45" t="inlineStr">
        <is>
          <t>64 — Charges de personnel</t>
        </is>
      </c>
      <c r="H308" s="45" t="inlineStr">
        <is>
          <t>Charge</t>
        </is>
      </c>
      <c r="I308" s="45" t="inlineStr">
        <is>
          <t>Personnel</t>
        </is>
      </c>
      <c r="J308" s="45" t="inlineStr">
        <is>
          <t>2026ATT_VDEF</t>
        </is>
      </c>
      <c r="K308" s="45" t="inlineStr">
        <is>
          <t>2026 (Atterr.)</t>
        </is>
      </c>
      <c r="L308" s="13" t="n">
        <v>293200</v>
      </c>
    </row>
    <row r="309">
      <c r="A309" s="45" t="inlineStr">
        <is>
          <t>ISCOM_PARIS</t>
        </is>
      </c>
      <c r="B309" s="17" t="inlineStr">
        <is>
          <t>ISCOM Paris</t>
        </is>
      </c>
      <c r="C309" s="45" t="inlineStr">
        <is>
          <t>ISCOM</t>
        </is>
      </c>
      <c r="D309" s="45" t="inlineStr">
        <is>
          <t>Paris</t>
        </is>
      </c>
      <c r="E309" s="45" t="inlineStr">
        <is>
          <t>6411</t>
        </is>
      </c>
      <c r="F309" s="17" t="inlineStr">
        <is>
          <t>Rémunération enseignants permanents</t>
        </is>
      </c>
      <c r="G309" s="45" t="inlineStr">
        <is>
          <t>64 — Charges de personnel</t>
        </is>
      </c>
      <c r="H309" s="45" t="inlineStr">
        <is>
          <t>Charge</t>
        </is>
      </c>
      <c r="I309" s="45" t="inlineStr">
        <is>
          <t>Personnel</t>
        </is>
      </c>
      <c r="J309" s="45" t="inlineStr">
        <is>
          <t>2026ATT_VDEF</t>
        </is>
      </c>
      <c r="K309" s="45" t="inlineStr">
        <is>
          <t>2026 (Atterr.)</t>
        </is>
      </c>
      <c r="L309" s="13" t="n">
        <v>439799</v>
      </c>
    </row>
    <row r="310">
      <c r="A310" s="45" t="inlineStr">
        <is>
          <t>ISCOM_LILLE</t>
        </is>
      </c>
      <c r="B310" s="17" t="inlineStr">
        <is>
          <t>ISCOM Lille</t>
        </is>
      </c>
      <c r="C310" s="45" t="inlineStr">
        <is>
          <t>ISCOM</t>
        </is>
      </c>
      <c r="D310" s="45" t="inlineStr">
        <is>
          <t>Lille</t>
        </is>
      </c>
      <c r="E310" s="45" t="inlineStr">
        <is>
          <t>6411</t>
        </is>
      </c>
      <c r="F310" s="17" t="inlineStr">
        <is>
          <t>Rémunération enseignants permanents</t>
        </is>
      </c>
      <c r="G310" s="45" t="inlineStr">
        <is>
          <t>64 — Charges de personnel</t>
        </is>
      </c>
      <c r="H310" s="45" t="inlineStr">
        <is>
          <t>Charge</t>
        </is>
      </c>
      <c r="I310" s="45" t="inlineStr">
        <is>
          <t>Personnel</t>
        </is>
      </c>
      <c r="J310" s="45" t="inlineStr">
        <is>
          <t>2026ATT_VDEF</t>
        </is>
      </c>
      <c r="K310" s="45" t="inlineStr">
        <is>
          <t>2026 (Atterr.)</t>
        </is>
      </c>
      <c r="L310" s="13" t="n">
        <v>293200</v>
      </c>
    </row>
    <row r="311">
      <c r="A311" s="45" t="inlineStr">
        <is>
          <t>ISCOM_TOULOUSE</t>
        </is>
      </c>
      <c r="B311" s="17" t="inlineStr">
        <is>
          <t>ISCOM Toulouse</t>
        </is>
      </c>
      <c r="C311" s="45" t="inlineStr">
        <is>
          <t>ISCOM</t>
        </is>
      </c>
      <c r="D311" s="45" t="inlineStr">
        <is>
          <t>Toulouse</t>
        </is>
      </c>
      <c r="E311" s="45" t="inlineStr">
        <is>
          <t>6411</t>
        </is>
      </c>
      <c r="F311" s="17" t="inlineStr">
        <is>
          <t>Rémunération enseignants permanents</t>
        </is>
      </c>
      <c r="G311" s="45" t="inlineStr">
        <is>
          <t>64 — Charges de personnel</t>
        </is>
      </c>
      <c r="H311" s="45" t="inlineStr">
        <is>
          <t>Charge</t>
        </is>
      </c>
      <c r="I311" s="45" t="inlineStr">
        <is>
          <t>Personnel</t>
        </is>
      </c>
      <c r="J311" s="45" t="inlineStr">
        <is>
          <t>2026ATT_VDEF</t>
        </is>
      </c>
      <c r="K311" s="45" t="inlineStr">
        <is>
          <t>2026 (Atterr.)</t>
        </is>
      </c>
      <c r="L311" s="13" t="n">
        <v>293200</v>
      </c>
    </row>
    <row r="312">
      <c r="A312" s="45" t="inlineStr">
        <is>
          <t>IPAC_BACHELOR_FACTORY_NANTES</t>
        </is>
      </c>
      <c r="B312" s="17" t="inlineStr">
        <is>
          <t>Ipac Bachelor Factory Nantes</t>
        </is>
      </c>
      <c r="C312" s="45" t="inlineStr">
        <is>
          <t>Ipac Bachelor Factory</t>
        </is>
      </c>
      <c r="D312" s="45" t="inlineStr">
        <is>
          <t>Nantes</t>
        </is>
      </c>
      <c r="E312" s="45" t="inlineStr">
        <is>
          <t>6411</t>
        </is>
      </c>
      <c r="F312" s="17" t="inlineStr">
        <is>
          <t>Rémunération enseignants permanents</t>
        </is>
      </c>
      <c r="G312" s="45" t="inlineStr">
        <is>
          <t>64 — Charges de personnel</t>
        </is>
      </c>
      <c r="H312" s="45" t="inlineStr">
        <is>
          <t>Charge</t>
        </is>
      </c>
      <c r="I312" s="45" t="inlineStr">
        <is>
          <t>Personnel</t>
        </is>
      </c>
      <c r="J312" s="45" t="inlineStr">
        <is>
          <t>2026ATT_VDEF</t>
        </is>
      </c>
      <c r="K312" s="45" t="inlineStr">
        <is>
          <t>2026 (Atterr.)</t>
        </is>
      </c>
      <c r="L312" s="13" t="n">
        <v>175920</v>
      </c>
    </row>
    <row r="313">
      <c r="A313" s="45" t="inlineStr">
        <is>
          <t>IPAC_BACHELOR_FACTORY_RENNES</t>
        </is>
      </c>
      <c r="B313" s="17" t="inlineStr">
        <is>
          <t>Ipac Bachelor Factory Rennes</t>
        </is>
      </c>
      <c r="C313" s="45" t="inlineStr">
        <is>
          <t>Ipac Bachelor Factory</t>
        </is>
      </c>
      <c r="D313" s="45" t="inlineStr">
        <is>
          <t>Rennes</t>
        </is>
      </c>
      <c r="E313" s="45" t="inlineStr">
        <is>
          <t>6411</t>
        </is>
      </c>
      <c r="F313" s="17" t="inlineStr">
        <is>
          <t>Rémunération enseignants permanents</t>
        </is>
      </c>
      <c r="G313" s="45" t="inlineStr">
        <is>
          <t>64 — Charges de personnel</t>
        </is>
      </c>
      <c r="H313" s="45" t="inlineStr">
        <is>
          <t>Charge</t>
        </is>
      </c>
      <c r="I313" s="45" t="inlineStr">
        <is>
          <t>Personnel</t>
        </is>
      </c>
      <c r="J313" s="45" t="inlineStr">
        <is>
          <t>2026ATT_VDEF</t>
        </is>
      </c>
      <c r="K313" s="45" t="inlineStr">
        <is>
          <t>2026 (Atterr.)</t>
        </is>
      </c>
      <c r="L313" s="13" t="n">
        <v>175920</v>
      </c>
    </row>
    <row r="314">
      <c r="A314" s="45" t="inlineStr">
        <is>
          <t>IPAC_BACHELOR_FACTORY_MONTPELLIER</t>
        </is>
      </c>
      <c r="B314" s="17" t="inlineStr">
        <is>
          <t>Ipac Bachelor Factory Montpellier</t>
        </is>
      </c>
      <c r="C314" s="45" t="inlineStr">
        <is>
          <t>Ipac Bachelor Factory</t>
        </is>
      </c>
      <c r="D314" s="45" t="inlineStr">
        <is>
          <t>Montpellier</t>
        </is>
      </c>
      <c r="E314" s="45" t="inlineStr">
        <is>
          <t>6411</t>
        </is>
      </c>
      <c r="F314" s="17" t="inlineStr">
        <is>
          <t>Rémunération enseignants permanents</t>
        </is>
      </c>
      <c r="G314" s="45" t="inlineStr">
        <is>
          <t>64 — Charges de personnel</t>
        </is>
      </c>
      <c r="H314" s="45" t="inlineStr">
        <is>
          <t>Charge</t>
        </is>
      </c>
      <c r="I314" s="45" t="inlineStr">
        <is>
          <t>Personnel</t>
        </is>
      </c>
      <c r="J314" s="45" t="inlineStr">
        <is>
          <t>2026ATT_VDEF</t>
        </is>
      </c>
      <c r="K314" s="45" t="inlineStr">
        <is>
          <t>2026 (Atterr.)</t>
        </is>
      </c>
      <c r="L314" s="13" t="n">
        <v>175920</v>
      </c>
    </row>
    <row r="315">
      <c r="A315" s="45" t="inlineStr">
        <is>
          <t>PIGIER_LYON</t>
        </is>
      </c>
      <c r="B315" s="17" t="inlineStr">
        <is>
          <t>Pigier Lyon</t>
        </is>
      </c>
      <c r="C315" s="45" t="inlineStr">
        <is>
          <t>Pigier</t>
        </is>
      </c>
      <c r="D315" s="45" t="inlineStr">
        <is>
          <t>Lyon</t>
        </is>
      </c>
      <c r="E315" s="45" t="inlineStr">
        <is>
          <t>6411</t>
        </is>
      </c>
      <c r="F315" s="17" t="inlineStr">
        <is>
          <t>Rémunération enseignants permanents</t>
        </is>
      </c>
      <c r="G315" s="45" t="inlineStr">
        <is>
          <t>64 — Charges de personnel</t>
        </is>
      </c>
      <c r="H315" s="45" t="inlineStr">
        <is>
          <t>Charge</t>
        </is>
      </c>
      <c r="I315" s="45" t="inlineStr">
        <is>
          <t>Personnel</t>
        </is>
      </c>
      <c r="J315" s="45" t="inlineStr">
        <is>
          <t>2026ATT_VDEF</t>
        </is>
      </c>
      <c r="K315" s="45" t="inlineStr">
        <is>
          <t>2026 (Atterr.)</t>
        </is>
      </c>
      <c r="L315" s="13" t="n">
        <v>234560</v>
      </c>
    </row>
    <row r="316">
      <c r="A316" s="45" t="inlineStr">
        <is>
          <t>PIGIER_BORDEAUX</t>
        </is>
      </c>
      <c r="B316" s="17" t="inlineStr">
        <is>
          <t>Pigier Bordeaux</t>
        </is>
      </c>
      <c r="C316" s="45" t="inlineStr">
        <is>
          <t>Pigier</t>
        </is>
      </c>
      <c r="D316" s="45" t="inlineStr">
        <is>
          <t>Bordeaux</t>
        </is>
      </c>
      <c r="E316" s="45" t="inlineStr">
        <is>
          <t>6411</t>
        </is>
      </c>
      <c r="F316" s="17" t="inlineStr">
        <is>
          <t>Rémunération enseignants permanents</t>
        </is>
      </c>
      <c r="G316" s="45" t="inlineStr">
        <is>
          <t>64 — Charges de personnel</t>
        </is>
      </c>
      <c r="H316" s="45" t="inlineStr">
        <is>
          <t>Charge</t>
        </is>
      </c>
      <c r="I316" s="45" t="inlineStr">
        <is>
          <t>Personnel</t>
        </is>
      </c>
      <c r="J316" s="45" t="inlineStr">
        <is>
          <t>2026ATT_VDEF</t>
        </is>
      </c>
      <c r="K316" s="45" t="inlineStr">
        <is>
          <t>2026 (Atterr.)</t>
        </is>
      </c>
      <c r="L316" s="13" t="n">
        <v>234560</v>
      </c>
    </row>
    <row r="317">
      <c r="A317" s="45" t="inlineStr">
        <is>
          <t>TUNON_PARIS</t>
        </is>
      </c>
      <c r="B317" s="17" t="inlineStr">
        <is>
          <t>Tunon Paris</t>
        </is>
      </c>
      <c r="C317" s="45" t="inlineStr">
        <is>
          <t>Tunon</t>
        </is>
      </c>
      <c r="D317" s="45" t="inlineStr">
        <is>
          <t>Paris</t>
        </is>
      </c>
      <c r="E317" s="45" t="inlineStr">
        <is>
          <t>6411</t>
        </is>
      </c>
      <c r="F317" s="17" t="inlineStr">
        <is>
          <t>Rémunération enseignants permanents</t>
        </is>
      </c>
      <c r="G317" s="45" t="inlineStr">
        <is>
          <t>64 — Charges de personnel</t>
        </is>
      </c>
      <c r="H317" s="45" t="inlineStr">
        <is>
          <t>Charge</t>
        </is>
      </c>
      <c r="I317" s="45" t="inlineStr">
        <is>
          <t>Personnel</t>
        </is>
      </c>
      <c r="J317" s="45" t="inlineStr">
        <is>
          <t>2026ATT_VDEF</t>
        </is>
      </c>
      <c r="K317" s="45" t="inlineStr">
        <is>
          <t>2026 (Atterr.)</t>
        </is>
      </c>
      <c r="L317" s="13" t="n">
        <v>175920</v>
      </c>
    </row>
    <row r="318">
      <c r="A318" s="45" t="inlineStr">
        <is>
          <t>TUNON_LYON</t>
        </is>
      </c>
      <c r="B318" s="17" t="inlineStr">
        <is>
          <t>Tunon Lyon</t>
        </is>
      </c>
      <c r="C318" s="45" t="inlineStr">
        <is>
          <t>Tunon</t>
        </is>
      </c>
      <c r="D318" s="45" t="inlineStr">
        <is>
          <t>Lyon</t>
        </is>
      </c>
      <c r="E318" s="45" t="inlineStr">
        <is>
          <t>6411</t>
        </is>
      </c>
      <c r="F318" s="17" t="inlineStr">
        <is>
          <t>Rémunération enseignants permanents</t>
        </is>
      </c>
      <c r="G318" s="45" t="inlineStr">
        <is>
          <t>64 — Charges de personnel</t>
        </is>
      </c>
      <c r="H318" s="45" t="inlineStr">
        <is>
          <t>Charge</t>
        </is>
      </c>
      <c r="I318" s="45" t="inlineStr">
        <is>
          <t>Personnel</t>
        </is>
      </c>
      <c r="J318" s="45" t="inlineStr">
        <is>
          <t>2026ATT_VDEF</t>
        </is>
      </c>
      <c r="K318" s="45" t="inlineStr">
        <is>
          <t>2026 (Atterr.)</t>
        </is>
      </c>
      <c r="L318" s="13" t="n">
        <v>175920</v>
      </c>
    </row>
    <row r="319">
      <c r="A319" s="45" t="inlineStr">
        <is>
          <t>MBWAY_PARIS</t>
        </is>
      </c>
      <c r="B319" s="17" t="inlineStr">
        <is>
          <t>MBway Paris</t>
        </is>
      </c>
      <c r="C319" s="45" t="inlineStr">
        <is>
          <t>MBway</t>
        </is>
      </c>
      <c r="D319" s="45" t="inlineStr">
        <is>
          <t>Paris</t>
        </is>
      </c>
      <c r="E319" s="45" t="inlineStr">
        <is>
          <t>6413</t>
        </is>
      </c>
      <c r="F319" s="17" t="inlineStr">
        <is>
          <t>Rémunération personnel administratif &amp; pédagogique</t>
        </is>
      </c>
      <c r="G319" s="45" t="inlineStr">
        <is>
          <t>64 — Charges de personnel</t>
        </is>
      </c>
      <c r="H319" s="45" t="inlineStr">
        <is>
          <t>Charge</t>
        </is>
      </c>
      <c r="I319" s="45" t="inlineStr">
        <is>
          <t>Personnel</t>
        </is>
      </c>
      <c r="J319" s="45" t="inlineStr">
        <is>
          <t>2024ACT_VDEF</t>
        </is>
      </c>
      <c r="K319" s="45" t="inlineStr">
        <is>
          <t>2024 (N-2)</t>
        </is>
      </c>
      <c r="L319" s="13" t="n">
        <v>233497</v>
      </c>
    </row>
    <row r="320">
      <c r="A320" s="45" t="inlineStr">
        <is>
          <t>MBWAY_LYON</t>
        </is>
      </c>
      <c r="B320" s="17" t="inlineStr">
        <is>
          <t>MBway Lyon</t>
        </is>
      </c>
      <c r="C320" s="45" t="inlineStr">
        <is>
          <t>MBway</t>
        </is>
      </c>
      <c r="D320" s="45" t="inlineStr">
        <is>
          <t>Lyon</t>
        </is>
      </c>
      <c r="E320" s="45" t="inlineStr">
        <is>
          <t>6413</t>
        </is>
      </c>
      <c r="F320" s="17" t="inlineStr">
        <is>
          <t>Rémunération personnel administratif &amp; pédagogique</t>
        </is>
      </c>
      <c r="G320" s="45" t="inlineStr">
        <is>
          <t>64 — Charges de personnel</t>
        </is>
      </c>
      <c r="H320" s="45" t="inlineStr">
        <is>
          <t>Charge</t>
        </is>
      </c>
      <c r="I320" s="45" t="inlineStr">
        <is>
          <t>Personnel</t>
        </is>
      </c>
      <c r="J320" s="45" t="inlineStr">
        <is>
          <t>2024ACT_VDEF</t>
        </is>
      </c>
      <c r="K320" s="45" t="inlineStr">
        <is>
          <t>2024 (N-2)</t>
        </is>
      </c>
      <c r="L320" s="13" t="n">
        <v>198045</v>
      </c>
    </row>
    <row r="321">
      <c r="A321" s="45" t="inlineStr">
        <is>
          <t>MBWAY_NANTES</t>
        </is>
      </c>
      <c r="B321" s="17" t="inlineStr">
        <is>
          <t>MBway Nantes</t>
        </is>
      </c>
      <c r="C321" s="45" t="inlineStr">
        <is>
          <t>MBway</t>
        </is>
      </c>
      <c r="D321" s="45" t="inlineStr">
        <is>
          <t>Nantes</t>
        </is>
      </c>
      <c r="E321" s="45" t="inlineStr">
        <is>
          <t>6413</t>
        </is>
      </c>
      <c r="F321" s="17" t="inlineStr">
        <is>
          <t>Rémunération personnel administratif &amp; pédagogique</t>
        </is>
      </c>
      <c r="G321" s="45" t="inlineStr">
        <is>
          <t>64 — Charges de personnel</t>
        </is>
      </c>
      <c r="H321" s="45" t="inlineStr">
        <is>
          <t>Charge</t>
        </is>
      </c>
      <c r="I321" s="45" t="inlineStr">
        <is>
          <t>Personnel</t>
        </is>
      </c>
      <c r="J321" s="45" t="inlineStr">
        <is>
          <t>2024ACT_VDEF</t>
        </is>
      </c>
      <c r="K321" s="45" t="inlineStr">
        <is>
          <t>2024 (N-2)</t>
        </is>
      </c>
      <c r="L321" s="13" t="n">
        <v>179707</v>
      </c>
    </row>
    <row r="322">
      <c r="A322" s="45" t="inlineStr">
        <is>
          <t>MBWAY_BORDEAUX</t>
        </is>
      </c>
      <c r="B322" s="17" t="inlineStr">
        <is>
          <t>MBway Bordeaux</t>
        </is>
      </c>
      <c r="C322" s="45" t="inlineStr">
        <is>
          <t>MBway</t>
        </is>
      </c>
      <c r="D322" s="45" t="inlineStr">
        <is>
          <t>Bordeaux</t>
        </is>
      </c>
      <c r="E322" s="45" t="inlineStr">
        <is>
          <t>6413</t>
        </is>
      </c>
      <c r="F322" s="17" t="inlineStr">
        <is>
          <t>Rémunération personnel administratif &amp; pédagogique</t>
        </is>
      </c>
      <c r="G322" s="45" t="inlineStr">
        <is>
          <t>64 — Charges de personnel</t>
        </is>
      </c>
      <c r="H322" s="45" t="inlineStr">
        <is>
          <t>Charge</t>
        </is>
      </c>
      <c r="I322" s="45" t="inlineStr">
        <is>
          <t>Personnel</t>
        </is>
      </c>
      <c r="J322" s="45" t="inlineStr">
        <is>
          <t>2024ACT_VDEF</t>
        </is>
      </c>
      <c r="K322" s="45" t="inlineStr">
        <is>
          <t>2024 (N-2)</t>
        </is>
      </c>
      <c r="L322" s="13" t="n">
        <v>152201</v>
      </c>
    </row>
    <row r="323">
      <c r="A323" s="45" t="inlineStr">
        <is>
          <t>ISCOM_PARIS</t>
        </is>
      </c>
      <c r="B323" s="17" t="inlineStr">
        <is>
          <t>ISCOM Paris</t>
        </is>
      </c>
      <c r="C323" s="45" t="inlineStr">
        <is>
          <t>ISCOM</t>
        </is>
      </c>
      <c r="D323" s="45" t="inlineStr">
        <is>
          <t>Paris</t>
        </is>
      </c>
      <c r="E323" s="45" t="inlineStr">
        <is>
          <t>6413</t>
        </is>
      </c>
      <c r="F323" s="17" t="inlineStr">
        <is>
          <t>Rémunération personnel administratif &amp; pédagogique</t>
        </is>
      </c>
      <c r="G323" s="45" t="inlineStr">
        <is>
          <t>64 — Charges de personnel</t>
        </is>
      </c>
      <c r="H323" s="45" t="inlineStr">
        <is>
          <t>Charge</t>
        </is>
      </c>
      <c r="I323" s="45" t="inlineStr">
        <is>
          <t>Personnel</t>
        </is>
      </c>
      <c r="J323" s="45" t="inlineStr">
        <is>
          <t>2024ACT_VDEF</t>
        </is>
      </c>
      <c r="K323" s="45" t="inlineStr">
        <is>
          <t>2024 (N-2)</t>
        </is>
      </c>
      <c r="L323" s="13" t="n">
        <v>216382</v>
      </c>
    </row>
    <row r="324">
      <c r="A324" s="45" t="inlineStr">
        <is>
          <t>ISCOM_LILLE</t>
        </is>
      </c>
      <c r="B324" s="17" t="inlineStr">
        <is>
          <t>ISCOM Lille</t>
        </is>
      </c>
      <c r="C324" s="45" t="inlineStr">
        <is>
          <t>ISCOM</t>
        </is>
      </c>
      <c r="D324" s="45" t="inlineStr">
        <is>
          <t>Lille</t>
        </is>
      </c>
      <c r="E324" s="45" t="inlineStr">
        <is>
          <t>6413</t>
        </is>
      </c>
      <c r="F324" s="17" t="inlineStr">
        <is>
          <t>Rémunération personnel administratif &amp; pédagogique</t>
        </is>
      </c>
      <c r="G324" s="45" t="inlineStr">
        <is>
          <t>64 — Charges de personnel</t>
        </is>
      </c>
      <c r="H324" s="45" t="inlineStr">
        <is>
          <t>Charge</t>
        </is>
      </c>
      <c r="I324" s="45" t="inlineStr">
        <is>
          <t>Personnel</t>
        </is>
      </c>
      <c r="J324" s="45" t="inlineStr">
        <is>
          <t>2024ACT_VDEF</t>
        </is>
      </c>
      <c r="K324" s="45" t="inlineStr">
        <is>
          <t>2024 (N-2)</t>
        </is>
      </c>
      <c r="L324" s="13" t="n">
        <v>149145</v>
      </c>
    </row>
    <row r="325">
      <c r="A325" s="45" t="inlineStr">
        <is>
          <t>ISCOM_TOULOUSE</t>
        </is>
      </c>
      <c r="B325" s="17" t="inlineStr">
        <is>
          <t>ISCOM Toulouse</t>
        </is>
      </c>
      <c r="C325" s="45" t="inlineStr">
        <is>
          <t>ISCOM</t>
        </is>
      </c>
      <c r="D325" s="45" t="inlineStr">
        <is>
          <t>Toulouse</t>
        </is>
      </c>
      <c r="E325" s="45" t="inlineStr">
        <is>
          <t>6413</t>
        </is>
      </c>
      <c r="F325" s="17" t="inlineStr">
        <is>
          <t>Rémunération personnel administratif &amp; pédagogique</t>
        </is>
      </c>
      <c r="G325" s="45" t="inlineStr">
        <is>
          <t>64 — Charges de personnel</t>
        </is>
      </c>
      <c r="H325" s="45" t="inlineStr">
        <is>
          <t>Charge</t>
        </is>
      </c>
      <c r="I325" s="45" t="inlineStr">
        <is>
          <t>Personnel</t>
        </is>
      </c>
      <c r="J325" s="45" t="inlineStr">
        <is>
          <t>2024ACT_VDEF</t>
        </is>
      </c>
      <c r="K325" s="45" t="inlineStr">
        <is>
          <t>2024 (N-2)</t>
        </is>
      </c>
      <c r="L325" s="13" t="n">
        <v>141199</v>
      </c>
    </row>
    <row r="326">
      <c r="A326" s="45" t="inlineStr">
        <is>
          <t>IPAC_BACHELOR_FACTORY_NANTES</t>
        </is>
      </c>
      <c r="B326" s="17" t="inlineStr">
        <is>
          <t>Ipac Bachelor Factory Nantes</t>
        </is>
      </c>
      <c r="C326" s="45" t="inlineStr">
        <is>
          <t>Ipac Bachelor Factory</t>
        </is>
      </c>
      <c r="D326" s="45" t="inlineStr">
        <is>
          <t>Nantes</t>
        </is>
      </c>
      <c r="E326" s="45" t="inlineStr">
        <is>
          <t>6413</t>
        </is>
      </c>
      <c r="F326" s="17" t="inlineStr">
        <is>
          <t>Rémunération personnel administratif &amp; pédagogique</t>
        </is>
      </c>
      <c r="G326" s="45" t="inlineStr">
        <is>
          <t>64 — Charges de personnel</t>
        </is>
      </c>
      <c r="H326" s="45" t="inlineStr">
        <is>
          <t>Charge</t>
        </is>
      </c>
      <c r="I326" s="45" t="inlineStr">
        <is>
          <t>Personnel</t>
        </is>
      </c>
      <c r="J326" s="45" t="inlineStr">
        <is>
          <t>2024ACT_VDEF</t>
        </is>
      </c>
      <c r="K326" s="45" t="inlineStr">
        <is>
          <t>2024 (N-2)</t>
        </is>
      </c>
      <c r="L326" s="13" t="n">
        <v>88631</v>
      </c>
    </row>
    <row r="327">
      <c r="A327" s="45" t="inlineStr">
        <is>
          <t>IPAC_BACHELOR_FACTORY_RENNES</t>
        </is>
      </c>
      <c r="B327" s="17" t="inlineStr">
        <is>
          <t>Ipac Bachelor Factory Rennes</t>
        </is>
      </c>
      <c r="C327" s="45" t="inlineStr">
        <is>
          <t>Ipac Bachelor Factory</t>
        </is>
      </c>
      <c r="D327" s="45" t="inlineStr">
        <is>
          <t>Rennes</t>
        </is>
      </c>
      <c r="E327" s="45" t="inlineStr">
        <is>
          <t>6413</t>
        </is>
      </c>
      <c r="F327" s="17" t="inlineStr">
        <is>
          <t>Rémunération personnel administratif &amp; pédagogique</t>
        </is>
      </c>
      <c r="G327" s="45" t="inlineStr">
        <is>
          <t>64 — Charges de personnel</t>
        </is>
      </c>
      <c r="H327" s="45" t="inlineStr">
        <is>
          <t>Charge</t>
        </is>
      </c>
      <c r="I327" s="45" t="inlineStr">
        <is>
          <t>Personnel</t>
        </is>
      </c>
      <c r="J327" s="45" t="inlineStr">
        <is>
          <t>2024ACT_VDEF</t>
        </is>
      </c>
      <c r="K327" s="45" t="inlineStr">
        <is>
          <t>2024 (N-2)</t>
        </is>
      </c>
      <c r="L327" s="13" t="n">
        <v>71516</v>
      </c>
    </row>
    <row r="328">
      <c r="A328" s="45" t="inlineStr">
        <is>
          <t>IPAC_BACHELOR_FACTORY_MONTPELLIER</t>
        </is>
      </c>
      <c r="B328" s="17" t="inlineStr">
        <is>
          <t>Ipac Bachelor Factory Montpellier</t>
        </is>
      </c>
      <c r="C328" s="45" t="inlineStr">
        <is>
          <t>Ipac Bachelor Factory</t>
        </is>
      </c>
      <c r="D328" s="45" t="inlineStr">
        <is>
          <t>Montpellier</t>
        </is>
      </c>
      <c r="E328" s="45" t="inlineStr">
        <is>
          <t>6413</t>
        </is>
      </c>
      <c r="F328" s="17" t="inlineStr">
        <is>
          <t>Rémunération personnel administratif &amp; pédagogique</t>
        </is>
      </c>
      <c r="G328" s="45" t="inlineStr">
        <is>
          <t>64 — Charges de personnel</t>
        </is>
      </c>
      <c r="H328" s="45" t="inlineStr">
        <is>
          <t>Charge</t>
        </is>
      </c>
      <c r="I328" s="45" t="inlineStr">
        <is>
          <t>Personnel</t>
        </is>
      </c>
      <c r="J328" s="45" t="inlineStr">
        <is>
          <t>2024ACT_VDEF</t>
        </is>
      </c>
      <c r="K328" s="45" t="inlineStr">
        <is>
          <t>2024 (N-2)</t>
        </is>
      </c>
      <c r="L328" s="13" t="n">
        <v>71516</v>
      </c>
    </row>
    <row r="329">
      <c r="A329" s="45" t="inlineStr">
        <is>
          <t>PIGIER_LYON</t>
        </is>
      </c>
      <c r="B329" s="17" t="inlineStr">
        <is>
          <t>Pigier Lyon</t>
        </is>
      </c>
      <c r="C329" s="45" t="inlineStr">
        <is>
          <t>Pigier</t>
        </is>
      </c>
      <c r="D329" s="45" t="inlineStr">
        <is>
          <t>Lyon</t>
        </is>
      </c>
      <c r="E329" s="45" t="inlineStr">
        <is>
          <t>6413</t>
        </is>
      </c>
      <c r="F329" s="17" t="inlineStr">
        <is>
          <t>Rémunération personnel administratif &amp; pédagogique</t>
        </is>
      </c>
      <c r="G329" s="45" t="inlineStr">
        <is>
          <t>64 — Charges de personnel</t>
        </is>
      </c>
      <c r="H329" s="45" t="inlineStr">
        <is>
          <t>Charge</t>
        </is>
      </c>
      <c r="I329" s="45" t="inlineStr">
        <is>
          <t>Personnel</t>
        </is>
      </c>
      <c r="J329" s="45" t="inlineStr">
        <is>
          <t>2024ACT_VDEF</t>
        </is>
      </c>
      <c r="K329" s="45" t="inlineStr">
        <is>
          <t>2024 (N-2)</t>
        </is>
      </c>
      <c r="L329" s="13" t="n">
        <v>111247</v>
      </c>
    </row>
    <row r="330">
      <c r="A330" s="45" t="inlineStr">
        <is>
          <t>PIGIER_BORDEAUX</t>
        </is>
      </c>
      <c r="B330" s="17" t="inlineStr">
        <is>
          <t>Pigier Bordeaux</t>
        </is>
      </c>
      <c r="C330" s="45" t="inlineStr">
        <is>
          <t>Pigier</t>
        </is>
      </c>
      <c r="D330" s="45" t="inlineStr">
        <is>
          <t>Bordeaux</t>
        </is>
      </c>
      <c r="E330" s="45" t="inlineStr">
        <is>
          <t>6413</t>
        </is>
      </c>
      <c r="F330" s="17" t="inlineStr">
        <is>
          <t>Rémunération personnel administratif &amp; pédagogique</t>
        </is>
      </c>
      <c r="G330" s="45" t="inlineStr">
        <is>
          <t>64 — Charges de personnel</t>
        </is>
      </c>
      <c r="H330" s="45" t="inlineStr">
        <is>
          <t>Charge</t>
        </is>
      </c>
      <c r="I330" s="45" t="inlineStr">
        <is>
          <t>Personnel</t>
        </is>
      </c>
      <c r="J330" s="45" t="inlineStr">
        <is>
          <t>2024ACT_VDEF</t>
        </is>
      </c>
      <c r="K330" s="45" t="inlineStr">
        <is>
          <t>2024 (N-2)</t>
        </is>
      </c>
      <c r="L330" s="13" t="n">
        <v>86797</v>
      </c>
    </row>
    <row r="331">
      <c r="A331" s="45" t="inlineStr">
        <is>
          <t>TUNON_PARIS</t>
        </is>
      </c>
      <c r="B331" s="17" t="inlineStr">
        <is>
          <t>Tunon Paris</t>
        </is>
      </c>
      <c r="C331" s="45" t="inlineStr">
        <is>
          <t>Tunon</t>
        </is>
      </c>
      <c r="D331" s="45" t="inlineStr">
        <is>
          <t>Paris</t>
        </is>
      </c>
      <c r="E331" s="45" t="inlineStr">
        <is>
          <t>6413</t>
        </is>
      </c>
      <c r="F331" s="17" t="inlineStr">
        <is>
          <t>Rémunération personnel administratif &amp; pédagogique</t>
        </is>
      </c>
      <c r="G331" s="45" t="inlineStr">
        <is>
          <t>64 — Charges de personnel</t>
        </is>
      </c>
      <c r="H331" s="45" t="inlineStr">
        <is>
          <t>Charge</t>
        </is>
      </c>
      <c r="I331" s="45" t="inlineStr">
        <is>
          <t>Personnel</t>
        </is>
      </c>
      <c r="J331" s="45" t="inlineStr">
        <is>
          <t>2024ACT_VDEF</t>
        </is>
      </c>
      <c r="K331" s="45" t="inlineStr">
        <is>
          <t>2024 (N-2)</t>
        </is>
      </c>
      <c r="L331" s="13" t="n">
        <v>84352</v>
      </c>
    </row>
    <row r="332">
      <c r="A332" s="45" t="inlineStr">
        <is>
          <t>TUNON_LYON</t>
        </is>
      </c>
      <c r="B332" s="17" t="inlineStr">
        <is>
          <t>Tunon Lyon</t>
        </is>
      </c>
      <c r="C332" s="45" t="inlineStr">
        <is>
          <t>Tunon</t>
        </is>
      </c>
      <c r="D332" s="45" t="inlineStr">
        <is>
          <t>Lyon</t>
        </is>
      </c>
      <c r="E332" s="45" t="inlineStr">
        <is>
          <t>6413</t>
        </is>
      </c>
      <c r="F332" s="17" t="inlineStr">
        <is>
          <t>Rémunération personnel administratif &amp; pédagogique</t>
        </is>
      </c>
      <c r="G332" s="45" t="inlineStr">
        <is>
          <t>64 — Charges de personnel</t>
        </is>
      </c>
      <c r="H332" s="45" t="inlineStr">
        <is>
          <t>Charge</t>
        </is>
      </c>
      <c r="I332" s="45" t="inlineStr">
        <is>
          <t>Personnel</t>
        </is>
      </c>
      <c r="J332" s="45" t="inlineStr">
        <is>
          <t>2024ACT_VDEF</t>
        </is>
      </c>
      <c r="K332" s="45" t="inlineStr">
        <is>
          <t>2024 (N-2)</t>
        </is>
      </c>
      <c r="L332" s="13" t="n">
        <v>71516</v>
      </c>
    </row>
    <row r="333">
      <c r="A333" s="45" t="inlineStr">
        <is>
          <t>MBWAY_PARIS</t>
        </is>
      </c>
      <c r="B333" s="17" t="inlineStr">
        <is>
          <t>MBway Paris</t>
        </is>
      </c>
      <c r="C333" s="45" t="inlineStr">
        <is>
          <t>MBway</t>
        </is>
      </c>
      <c r="D333" s="45" t="inlineStr">
        <is>
          <t>Paris</t>
        </is>
      </c>
      <c r="E333" s="45" t="inlineStr">
        <is>
          <t>6413</t>
        </is>
      </c>
      <c r="F333" s="17" t="inlineStr">
        <is>
          <t>Rémunération personnel administratif &amp; pédagogique</t>
        </is>
      </c>
      <c r="G333" s="45" t="inlineStr">
        <is>
          <t>64 — Charges de personnel</t>
        </is>
      </c>
      <c r="H333" s="45" t="inlineStr">
        <is>
          <t>Charge</t>
        </is>
      </c>
      <c r="I333" s="45" t="inlineStr">
        <is>
          <t>Personnel</t>
        </is>
      </c>
      <c r="J333" s="45" t="inlineStr">
        <is>
          <t>2025ACT_VDEF</t>
        </is>
      </c>
      <c r="K333" s="45" t="inlineStr">
        <is>
          <t>2025 (N-1)</t>
        </is>
      </c>
      <c r="L333" s="13" t="n">
        <v>244197</v>
      </c>
    </row>
    <row r="334">
      <c r="A334" s="45" t="inlineStr">
        <is>
          <t>MBWAY_LYON</t>
        </is>
      </c>
      <c r="B334" s="17" t="inlineStr">
        <is>
          <t>MBway Lyon</t>
        </is>
      </c>
      <c r="C334" s="45" t="inlineStr">
        <is>
          <t>MBway</t>
        </is>
      </c>
      <c r="D334" s="45" t="inlineStr">
        <is>
          <t>Lyon</t>
        </is>
      </c>
      <c r="E334" s="45" t="inlineStr">
        <is>
          <t>6413</t>
        </is>
      </c>
      <c r="F334" s="17" t="inlineStr">
        <is>
          <t>Rémunération personnel administratif &amp; pédagogique</t>
        </is>
      </c>
      <c r="G334" s="45" t="inlineStr">
        <is>
          <t>64 — Charges de personnel</t>
        </is>
      </c>
      <c r="H334" s="45" t="inlineStr">
        <is>
          <t>Charge</t>
        </is>
      </c>
      <c r="I334" s="45" t="inlineStr">
        <is>
          <t>Personnel</t>
        </is>
      </c>
      <c r="J334" s="45" t="inlineStr">
        <is>
          <t>2025ACT_VDEF</t>
        </is>
      </c>
      <c r="K334" s="45" t="inlineStr">
        <is>
          <t>2025 (N-1)</t>
        </is>
      </c>
      <c r="L334" s="13" t="n">
        <v>207120</v>
      </c>
    </row>
    <row r="335">
      <c r="A335" s="45" t="inlineStr">
        <is>
          <t>MBWAY_NANTES</t>
        </is>
      </c>
      <c r="B335" s="17" t="inlineStr">
        <is>
          <t>MBway Nantes</t>
        </is>
      </c>
      <c r="C335" s="45" t="inlineStr">
        <is>
          <t>MBway</t>
        </is>
      </c>
      <c r="D335" s="45" t="inlineStr">
        <is>
          <t>Nantes</t>
        </is>
      </c>
      <c r="E335" s="45" t="inlineStr">
        <is>
          <t>6413</t>
        </is>
      </c>
      <c r="F335" s="17" t="inlineStr">
        <is>
          <t>Rémunération personnel administratif &amp; pédagogique</t>
        </is>
      </c>
      <c r="G335" s="45" t="inlineStr">
        <is>
          <t>64 — Charges de personnel</t>
        </is>
      </c>
      <c r="H335" s="45" t="inlineStr">
        <is>
          <t>Charge</t>
        </is>
      </c>
      <c r="I335" s="45" t="inlineStr">
        <is>
          <t>Personnel</t>
        </is>
      </c>
      <c r="J335" s="45" t="inlineStr">
        <is>
          <t>2025ACT_VDEF</t>
        </is>
      </c>
      <c r="K335" s="45" t="inlineStr">
        <is>
          <t>2025 (N-1)</t>
        </is>
      </c>
      <c r="L335" s="13" t="n">
        <v>187942</v>
      </c>
    </row>
    <row r="336">
      <c r="A336" s="45" t="inlineStr">
        <is>
          <t>MBWAY_BORDEAUX</t>
        </is>
      </c>
      <c r="B336" s="17" t="inlineStr">
        <is>
          <t>MBway Bordeaux</t>
        </is>
      </c>
      <c r="C336" s="45" t="inlineStr">
        <is>
          <t>MBway</t>
        </is>
      </c>
      <c r="D336" s="45" t="inlineStr">
        <is>
          <t>Bordeaux</t>
        </is>
      </c>
      <c r="E336" s="45" t="inlineStr">
        <is>
          <t>6413</t>
        </is>
      </c>
      <c r="F336" s="17" t="inlineStr">
        <is>
          <t>Rémunération personnel administratif &amp; pédagogique</t>
        </is>
      </c>
      <c r="G336" s="45" t="inlineStr">
        <is>
          <t>64 — Charges de personnel</t>
        </is>
      </c>
      <c r="H336" s="45" t="inlineStr">
        <is>
          <t>Charge</t>
        </is>
      </c>
      <c r="I336" s="45" t="inlineStr">
        <is>
          <t>Personnel</t>
        </is>
      </c>
      <c r="J336" s="45" t="inlineStr">
        <is>
          <t>2025ACT_VDEF</t>
        </is>
      </c>
      <c r="K336" s="45" t="inlineStr">
        <is>
          <t>2025 (N-1)</t>
        </is>
      </c>
      <c r="L336" s="13" t="n">
        <v>159175</v>
      </c>
    </row>
    <row r="337">
      <c r="A337" s="45" t="inlineStr">
        <is>
          <t>ISCOM_PARIS</t>
        </is>
      </c>
      <c r="B337" s="17" t="inlineStr">
        <is>
          <t>ISCOM Paris</t>
        </is>
      </c>
      <c r="C337" s="45" t="inlineStr">
        <is>
          <t>ISCOM</t>
        </is>
      </c>
      <c r="D337" s="45" t="inlineStr">
        <is>
          <t>Paris</t>
        </is>
      </c>
      <c r="E337" s="45" t="inlineStr">
        <is>
          <t>6413</t>
        </is>
      </c>
      <c r="F337" s="17" t="inlineStr">
        <is>
          <t>Rémunération personnel administratif &amp; pédagogique</t>
        </is>
      </c>
      <c r="G337" s="45" t="inlineStr">
        <is>
          <t>64 — Charges de personnel</t>
        </is>
      </c>
      <c r="H337" s="45" t="inlineStr">
        <is>
          <t>Charge</t>
        </is>
      </c>
      <c r="I337" s="45" t="inlineStr">
        <is>
          <t>Personnel</t>
        </is>
      </c>
      <c r="J337" s="45" t="inlineStr">
        <is>
          <t>2025ACT_VDEF</t>
        </is>
      </c>
      <c r="K337" s="45" t="inlineStr">
        <is>
          <t>2025 (N-1)</t>
        </is>
      </c>
      <c r="L337" s="13" t="n">
        <v>226297</v>
      </c>
    </row>
    <row r="338">
      <c r="A338" s="45" t="inlineStr">
        <is>
          <t>ISCOM_LILLE</t>
        </is>
      </c>
      <c r="B338" s="17" t="inlineStr">
        <is>
          <t>ISCOM Lille</t>
        </is>
      </c>
      <c r="C338" s="45" t="inlineStr">
        <is>
          <t>ISCOM</t>
        </is>
      </c>
      <c r="D338" s="45" t="inlineStr">
        <is>
          <t>Lille</t>
        </is>
      </c>
      <c r="E338" s="45" t="inlineStr">
        <is>
          <t>6413</t>
        </is>
      </c>
      <c r="F338" s="17" t="inlineStr">
        <is>
          <t>Rémunération personnel administratif &amp; pédagogique</t>
        </is>
      </c>
      <c r="G338" s="45" t="inlineStr">
        <is>
          <t>64 — Charges de personnel</t>
        </is>
      </c>
      <c r="H338" s="45" t="inlineStr">
        <is>
          <t>Charge</t>
        </is>
      </c>
      <c r="I338" s="45" t="inlineStr">
        <is>
          <t>Personnel</t>
        </is>
      </c>
      <c r="J338" s="45" t="inlineStr">
        <is>
          <t>2025ACT_VDEF</t>
        </is>
      </c>
      <c r="K338" s="45" t="inlineStr">
        <is>
          <t>2025 (N-1)</t>
        </is>
      </c>
      <c r="L338" s="13" t="n">
        <v>155979</v>
      </c>
    </row>
    <row r="339">
      <c r="A339" s="45" t="inlineStr">
        <is>
          <t>ISCOM_TOULOUSE</t>
        </is>
      </c>
      <c r="B339" s="17" t="inlineStr">
        <is>
          <t>ISCOM Toulouse</t>
        </is>
      </c>
      <c r="C339" s="45" t="inlineStr">
        <is>
          <t>ISCOM</t>
        </is>
      </c>
      <c r="D339" s="45" t="inlineStr">
        <is>
          <t>Toulouse</t>
        </is>
      </c>
      <c r="E339" s="45" t="inlineStr">
        <is>
          <t>6413</t>
        </is>
      </c>
      <c r="F339" s="17" t="inlineStr">
        <is>
          <t>Rémunération personnel administratif &amp; pédagogique</t>
        </is>
      </c>
      <c r="G339" s="45" t="inlineStr">
        <is>
          <t>64 — Charges de personnel</t>
        </is>
      </c>
      <c r="H339" s="45" t="inlineStr">
        <is>
          <t>Charge</t>
        </is>
      </c>
      <c r="I339" s="45" t="inlineStr">
        <is>
          <t>Personnel</t>
        </is>
      </c>
      <c r="J339" s="45" t="inlineStr">
        <is>
          <t>2025ACT_VDEF</t>
        </is>
      </c>
      <c r="K339" s="45" t="inlineStr">
        <is>
          <t>2025 (N-1)</t>
        </is>
      </c>
      <c r="L339" s="13" t="n">
        <v>147669</v>
      </c>
    </row>
    <row r="340">
      <c r="A340" s="45" t="inlineStr">
        <is>
          <t>IPAC_BACHELOR_FACTORY_NANTES</t>
        </is>
      </c>
      <c r="B340" s="17" t="inlineStr">
        <is>
          <t>Ipac Bachelor Factory Nantes</t>
        </is>
      </c>
      <c r="C340" s="45" t="inlineStr">
        <is>
          <t>Ipac Bachelor Factory</t>
        </is>
      </c>
      <c r="D340" s="45" t="inlineStr">
        <is>
          <t>Nantes</t>
        </is>
      </c>
      <c r="E340" s="45" t="inlineStr">
        <is>
          <t>6413</t>
        </is>
      </c>
      <c r="F340" s="17" t="inlineStr">
        <is>
          <t>Rémunération personnel administratif &amp; pédagogique</t>
        </is>
      </c>
      <c r="G340" s="45" t="inlineStr">
        <is>
          <t>64 — Charges de personnel</t>
        </is>
      </c>
      <c r="H340" s="45" t="inlineStr">
        <is>
          <t>Charge</t>
        </is>
      </c>
      <c r="I340" s="45" t="inlineStr">
        <is>
          <t>Personnel</t>
        </is>
      </c>
      <c r="J340" s="45" t="inlineStr">
        <is>
          <t>2025ACT_VDEF</t>
        </is>
      </c>
      <c r="K340" s="45" t="inlineStr">
        <is>
          <t>2025 (N-1)</t>
        </is>
      </c>
      <c r="L340" s="13" t="n">
        <v>92692</v>
      </c>
    </row>
    <row r="341">
      <c r="A341" s="45" t="inlineStr">
        <is>
          <t>IPAC_BACHELOR_FACTORY_RENNES</t>
        </is>
      </c>
      <c r="B341" s="17" t="inlineStr">
        <is>
          <t>Ipac Bachelor Factory Rennes</t>
        </is>
      </c>
      <c r="C341" s="45" t="inlineStr">
        <is>
          <t>Ipac Bachelor Factory</t>
        </is>
      </c>
      <c r="D341" s="45" t="inlineStr">
        <is>
          <t>Rennes</t>
        </is>
      </c>
      <c r="E341" s="45" t="inlineStr">
        <is>
          <t>6413</t>
        </is>
      </c>
      <c r="F341" s="17" t="inlineStr">
        <is>
          <t>Rémunération personnel administratif &amp; pédagogique</t>
        </is>
      </c>
      <c r="G341" s="45" t="inlineStr">
        <is>
          <t>64 — Charges de personnel</t>
        </is>
      </c>
      <c r="H341" s="45" t="inlineStr">
        <is>
          <t>Charge</t>
        </is>
      </c>
      <c r="I341" s="45" t="inlineStr">
        <is>
          <t>Personnel</t>
        </is>
      </c>
      <c r="J341" s="45" t="inlineStr">
        <is>
          <t>2025ACT_VDEF</t>
        </is>
      </c>
      <c r="K341" s="45" t="inlineStr">
        <is>
          <t>2025 (N-1)</t>
        </is>
      </c>
      <c r="L341" s="13" t="n">
        <v>74793</v>
      </c>
    </row>
    <row r="342">
      <c r="A342" s="45" t="inlineStr">
        <is>
          <t>IPAC_BACHELOR_FACTORY_MONTPELLIER</t>
        </is>
      </c>
      <c r="B342" s="17" t="inlineStr">
        <is>
          <t>Ipac Bachelor Factory Montpellier</t>
        </is>
      </c>
      <c r="C342" s="45" t="inlineStr">
        <is>
          <t>Ipac Bachelor Factory</t>
        </is>
      </c>
      <c r="D342" s="45" t="inlineStr">
        <is>
          <t>Montpellier</t>
        </is>
      </c>
      <c r="E342" s="45" t="inlineStr">
        <is>
          <t>6413</t>
        </is>
      </c>
      <c r="F342" s="17" t="inlineStr">
        <is>
          <t>Rémunération personnel administratif &amp; pédagogique</t>
        </is>
      </c>
      <c r="G342" s="45" t="inlineStr">
        <is>
          <t>64 — Charges de personnel</t>
        </is>
      </c>
      <c r="H342" s="45" t="inlineStr">
        <is>
          <t>Charge</t>
        </is>
      </c>
      <c r="I342" s="45" t="inlineStr">
        <is>
          <t>Personnel</t>
        </is>
      </c>
      <c r="J342" s="45" t="inlineStr">
        <is>
          <t>2025ACT_VDEF</t>
        </is>
      </c>
      <c r="K342" s="45" t="inlineStr">
        <is>
          <t>2025 (N-1)</t>
        </is>
      </c>
      <c r="L342" s="13" t="n">
        <v>74793</v>
      </c>
    </row>
    <row r="343">
      <c r="A343" s="45" t="inlineStr">
        <is>
          <t>PIGIER_LYON</t>
        </is>
      </c>
      <c r="B343" s="17" t="inlineStr">
        <is>
          <t>Pigier Lyon</t>
        </is>
      </c>
      <c r="C343" s="45" t="inlineStr">
        <is>
          <t>Pigier</t>
        </is>
      </c>
      <c r="D343" s="45" t="inlineStr">
        <is>
          <t>Lyon</t>
        </is>
      </c>
      <c r="E343" s="45" t="inlineStr">
        <is>
          <t>6413</t>
        </is>
      </c>
      <c r="F343" s="17" t="inlineStr">
        <is>
          <t>Rémunération personnel administratif &amp; pédagogique</t>
        </is>
      </c>
      <c r="G343" s="45" t="inlineStr">
        <is>
          <t>64 — Charges de personnel</t>
        </is>
      </c>
      <c r="H343" s="45" t="inlineStr">
        <is>
          <t>Charge</t>
        </is>
      </c>
      <c r="I343" s="45" t="inlineStr">
        <is>
          <t>Personnel</t>
        </is>
      </c>
      <c r="J343" s="45" t="inlineStr">
        <is>
          <t>2025ACT_VDEF</t>
        </is>
      </c>
      <c r="K343" s="45" t="inlineStr">
        <is>
          <t>2025 (N-1)</t>
        </is>
      </c>
      <c r="L343" s="13" t="n">
        <v>116345</v>
      </c>
    </row>
    <row r="344">
      <c r="A344" s="45" t="inlineStr">
        <is>
          <t>PIGIER_BORDEAUX</t>
        </is>
      </c>
      <c r="B344" s="17" t="inlineStr">
        <is>
          <t>Pigier Bordeaux</t>
        </is>
      </c>
      <c r="C344" s="45" t="inlineStr">
        <is>
          <t>Pigier</t>
        </is>
      </c>
      <c r="D344" s="45" t="inlineStr">
        <is>
          <t>Bordeaux</t>
        </is>
      </c>
      <c r="E344" s="45" t="inlineStr">
        <is>
          <t>6413</t>
        </is>
      </c>
      <c r="F344" s="17" t="inlineStr">
        <is>
          <t>Rémunération personnel administratif &amp; pédagogique</t>
        </is>
      </c>
      <c r="G344" s="45" t="inlineStr">
        <is>
          <t>64 — Charges de personnel</t>
        </is>
      </c>
      <c r="H344" s="45" t="inlineStr">
        <is>
          <t>Charge</t>
        </is>
      </c>
      <c r="I344" s="45" t="inlineStr">
        <is>
          <t>Personnel</t>
        </is>
      </c>
      <c r="J344" s="45" t="inlineStr">
        <is>
          <t>2025ACT_VDEF</t>
        </is>
      </c>
      <c r="K344" s="45" t="inlineStr">
        <is>
          <t>2025 (N-1)</t>
        </is>
      </c>
      <c r="L344" s="13" t="n">
        <v>90775</v>
      </c>
    </row>
    <row r="345">
      <c r="A345" s="45" t="inlineStr">
        <is>
          <t>TUNON_PARIS</t>
        </is>
      </c>
      <c r="B345" s="17" t="inlineStr">
        <is>
          <t>Tunon Paris</t>
        </is>
      </c>
      <c r="C345" s="45" t="inlineStr">
        <is>
          <t>Tunon</t>
        </is>
      </c>
      <c r="D345" s="45" t="inlineStr">
        <is>
          <t>Paris</t>
        </is>
      </c>
      <c r="E345" s="45" t="inlineStr">
        <is>
          <t>6413</t>
        </is>
      </c>
      <c r="F345" s="17" t="inlineStr">
        <is>
          <t>Rémunération personnel administratif &amp; pédagogique</t>
        </is>
      </c>
      <c r="G345" s="45" t="inlineStr">
        <is>
          <t>64 — Charges de personnel</t>
        </is>
      </c>
      <c r="H345" s="45" t="inlineStr">
        <is>
          <t>Charge</t>
        </is>
      </c>
      <c r="I345" s="45" t="inlineStr">
        <is>
          <t>Personnel</t>
        </is>
      </c>
      <c r="J345" s="45" t="inlineStr">
        <is>
          <t>2025ACT_VDEF</t>
        </is>
      </c>
      <c r="K345" s="45" t="inlineStr">
        <is>
          <t>2025 (N-1)</t>
        </is>
      </c>
      <c r="L345" s="13" t="n">
        <v>88218</v>
      </c>
    </row>
    <row r="346">
      <c r="A346" s="45" t="inlineStr">
        <is>
          <t>TUNON_LYON</t>
        </is>
      </c>
      <c r="B346" s="17" t="inlineStr">
        <is>
          <t>Tunon Lyon</t>
        </is>
      </c>
      <c r="C346" s="45" t="inlineStr">
        <is>
          <t>Tunon</t>
        </is>
      </c>
      <c r="D346" s="45" t="inlineStr">
        <is>
          <t>Lyon</t>
        </is>
      </c>
      <c r="E346" s="45" t="inlineStr">
        <is>
          <t>6413</t>
        </is>
      </c>
      <c r="F346" s="17" t="inlineStr">
        <is>
          <t>Rémunération personnel administratif &amp; pédagogique</t>
        </is>
      </c>
      <c r="G346" s="45" t="inlineStr">
        <is>
          <t>64 — Charges de personnel</t>
        </is>
      </c>
      <c r="H346" s="45" t="inlineStr">
        <is>
          <t>Charge</t>
        </is>
      </c>
      <c r="I346" s="45" t="inlineStr">
        <is>
          <t>Personnel</t>
        </is>
      </c>
      <c r="J346" s="45" t="inlineStr">
        <is>
          <t>2025ACT_VDEF</t>
        </is>
      </c>
      <c r="K346" s="45" t="inlineStr">
        <is>
          <t>2025 (N-1)</t>
        </is>
      </c>
      <c r="L346" s="13" t="n">
        <v>74793</v>
      </c>
    </row>
    <row r="347">
      <c r="A347" s="45" t="inlineStr">
        <is>
          <t>MBWAY_PARIS</t>
        </is>
      </c>
      <c r="B347" s="17" t="inlineStr">
        <is>
          <t>MBway Paris</t>
        </is>
      </c>
      <c r="C347" s="45" t="inlineStr">
        <is>
          <t>MBway</t>
        </is>
      </c>
      <c r="D347" s="45" t="inlineStr">
        <is>
          <t>Paris</t>
        </is>
      </c>
      <c r="E347" s="45" t="inlineStr">
        <is>
          <t>6413</t>
        </is>
      </c>
      <c r="F347" s="17" t="inlineStr">
        <is>
          <t>Rémunération personnel administratif &amp; pédagogique</t>
        </is>
      </c>
      <c r="G347" s="45" t="inlineStr">
        <is>
          <t>64 — Charges de personnel</t>
        </is>
      </c>
      <c r="H347" s="45" t="inlineStr">
        <is>
          <t>Charge</t>
        </is>
      </c>
      <c r="I347" s="45" t="inlineStr">
        <is>
          <t>Personnel</t>
        </is>
      </c>
      <c r="J347" s="45" t="inlineStr">
        <is>
          <t>2026ATT_VDEF</t>
        </is>
      </c>
      <c r="K347" s="45" t="inlineStr">
        <is>
          <t>2026 (Atterr.)</t>
        </is>
      </c>
      <c r="L347" s="13" t="n">
        <v>255853</v>
      </c>
    </row>
    <row r="348">
      <c r="A348" s="45" t="inlineStr">
        <is>
          <t>MBWAY_LYON</t>
        </is>
      </c>
      <c r="B348" s="17" t="inlineStr">
        <is>
          <t>MBway Lyon</t>
        </is>
      </c>
      <c r="C348" s="45" t="inlineStr">
        <is>
          <t>MBway</t>
        </is>
      </c>
      <c r="D348" s="45" t="inlineStr">
        <is>
          <t>Lyon</t>
        </is>
      </c>
      <c r="E348" s="45" t="inlineStr">
        <is>
          <t>6413</t>
        </is>
      </c>
      <c r="F348" s="17" t="inlineStr">
        <is>
          <t>Rémunération personnel administratif &amp; pédagogique</t>
        </is>
      </c>
      <c r="G348" s="45" t="inlineStr">
        <is>
          <t>64 — Charges de personnel</t>
        </is>
      </c>
      <c r="H348" s="45" t="inlineStr">
        <is>
          <t>Charge</t>
        </is>
      </c>
      <c r="I348" s="45" t="inlineStr">
        <is>
          <t>Personnel</t>
        </is>
      </c>
      <c r="J348" s="45" t="inlineStr">
        <is>
          <t>2026ATT_VDEF</t>
        </is>
      </c>
      <c r="K348" s="45" t="inlineStr">
        <is>
          <t>2026 (Atterr.)</t>
        </is>
      </c>
      <c r="L348" s="13" t="n">
        <v>217006</v>
      </c>
    </row>
    <row r="349">
      <c r="A349" s="45" t="inlineStr">
        <is>
          <t>MBWAY_NANTES</t>
        </is>
      </c>
      <c r="B349" s="17" t="inlineStr">
        <is>
          <t>MBway Nantes</t>
        </is>
      </c>
      <c r="C349" s="45" t="inlineStr">
        <is>
          <t>MBway</t>
        </is>
      </c>
      <c r="D349" s="45" t="inlineStr">
        <is>
          <t>Nantes</t>
        </is>
      </c>
      <c r="E349" s="45" t="inlineStr">
        <is>
          <t>6413</t>
        </is>
      </c>
      <c r="F349" s="17" t="inlineStr">
        <is>
          <t>Rémunération personnel administratif &amp; pédagogique</t>
        </is>
      </c>
      <c r="G349" s="45" t="inlineStr">
        <is>
          <t>64 — Charges de personnel</t>
        </is>
      </c>
      <c r="H349" s="45" t="inlineStr">
        <is>
          <t>Charge</t>
        </is>
      </c>
      <c r="I349" s="45" t="inlineStr">
        <is>
          <t>Personnel</t>
        </is>
      </c>
      <c r="J349" s="45" t="inlineStr">
        <is>
          <t>2026ATT_VDEF</t>
        </is>
      </c>
      <c r="K349" s="45" t="inlineStr">
        <is>
          <t>2026 (Atterr.)</t>
        </is>
      </c>
      <c r="L349" s="13" t="n">
        <v>196913</v>
      </c>
    </row>
    <row r="350">
      <c r="A350" s="45" t="inlineStr">
        <is>
          <t>MBWAY_BORDEAUX</t>
        </is>
      </c>
      <c r="B350" s="17" t="inlineStr">
        <is>
          <t>MBway Bordeaux</t>
        </is>
      </c>
      <c r="C350" s="45" t="inlineStr">
        <is>
          <t>MBway</t>
        </is>
      </c>
      <c r="D350" s="45" t="inlineStr">
        <is>
          <t>Bordeaux</t>
        </is>
      </c>
      <c r="E350" s="45" t="inlineStr">
        <is>
          <t>6413</t>
        </is>
      </c>
      <c r="F350" s="17" t="inlineStr">
        <is>
          <t>Rémunération personnel administratif &amp; pédagogique</t>
        </is>
      </c>
      <c r="G350" s="45" t="inlineStr">
        <is>
          <t>64 — Charges de personnel</t>
        </is>
      </c>
      <c r="H350" s="45" t="inlineStr">
        <is>
          <t>Charge</t>
        </is>
      </c>
      <c r="I350" s="45" t="inlineStr">
        <is>
          <t>Personnel</t>
        </is>
      </c>
      <c r="J350" s="45" t="inlineStr">
        <is>
          <t>2026ATT_VDEF</t>
        </is>
      </c>
      <c r="K350" s="45" t="inlineStr">
        <is>
          <t>2026 (Atterr.)</t>
        </is>
      </c>
      <c r="L350" s="13" t="n">
        <v>166773</v>
      </c>
    </row>
    <row r="351">
      <c r="A351" s="45" t="inlineStr">
        <is>
          <t>ISCOM_PARIS</t>
        </is>
      </c>
      <c r="B351" s="17" t="inlineStr">
        <is>
          <t>ISCOM Paris</t>
        </is>
      </c>
      <c r="C351" s="45" t="inlineStr">
        <is>
          <t>ISCOM</t>
        </is>
      </c>
      <c r="D351" s="45" t="inlineStr">
        <is>
          <t>Paris</t>
        </is>
      </c>
      <c r="E351" s="45" t="inlineStr">
        <is>
          <t>6413</t>
        </is>
      </c>
      <c r="F351" s="17" t="inlineStr">
        <is>
          <t>Rémunération personnel administratif &amp; pédagogique</t>
        </is>
      </c>
      <c r="G351" s="45" t="inlineStr">
        <is>
          <t>64 — Charges de personnel</t>
        </is>
      </c>
      <c r="H351" s="45" t="inlineStr">
        <is>
          <t>Charge</t>
        </is>
      </c>
      <c r="I351" s="45" t="inlineStr">
        <is>
          <t>Personnel</t>
        </is>
      </c>
      <c r="J351" s="45" t="inlineStr">
        <is>
          <t>2026ATT_VDEF</t>
        </is>
      </c>
      <c r="K351" s="45" t="inlineStr">
        <is>
          <t>2026 (Atterr.)</t>
        </is>
      </c>
      <c r="L351" s="13" t="n">
        <v>237099</v>
      </c>
    </row>
    <row r="352">
      <c r="A352" s="45" t="inlineStr">
        <is>
          <t>ISCOM_LILLE</t>
        </is>
      </c>
      <c r="B352" s="17" t="inlineStr">
        <is>
          <t>ISCOM Lille</t>
        </is>
      </c>
      <c r="C352" s="45" t="inlineStr">
        <is>
          <t>ISCOM</t>
        </is>
      </c>
      <c r="D352" s="45" t="inlineStr">
        <is>
          <t>Lille</t>
        </is>
      </c>
      <c r="E352" s="45" t="inlineStr">
        <is>
          <t>6413</t>
        </is>
      </c>
      <c r="F352" s="17" t="inlineStr">
        <is>
          <t>Rémunération personnel administratif &amp; pédagogique</t>
        </is>
      </c>
      <c r="G352" s="45" t="inlineStr">
        <is>
          <t>64 — Charges de personnel</t>
        </is>
      </c>
      <c r="H352" s="45" t="inlineStr">
        <is>
          <t>Charge</t>
        </is>
      </c>
      <c r="I352" s="45" t="inlineStr">
        <is>
          <t>Personnel</t>
        </is>
      </c>
      <c r="J352" s="45" t="inlineStr">
        <is>
          <t>2026ATT_VDEF</t>
        </is>
      </c>
      <c r="K352" s="45" t="inlineStr">
        <is>
          <t>2026 (Atterr.)</t>
        </is>
      </c>
      <c r="L352" s="13" t="n">
        <v>163424</v>
      </c>
    </row>
    <row r="353">
      <c r="A353" s="45" t="inlineStr">
        <is>
          <t>ISCOM_TOULOUSE</t>
        </is>
      </c>
      <c r="B353" s="17" t="inlineStr">
        <is>
          <t>ISCOM Toulouse</t>
        </is>
      </c>
      <c r="C353" s="45" t="inlineStr">
        <is>
          <t>ISCOM</t>
        </is>
      </c>
      <c r="D353" s="45" t="inlineStr">
        <is>
          <t>Toulouse</t>
        </is>
      </c>
      <c r="E353" s="45" t="inlineStr">
        <is>
          <t>6413</t>
        </is>
      </c>
      <c r="F353" s="17" t="inlineStr">
        <is>
          <t>Rémunération personnel administratif &amp; pédagogique</t>
        </is>
      </c>
      <c r="G353" s="45" t="inlineStr">
        <is>
          <t>64 — Charges de personnel</t>
        </is>
      </c>
      <c r="H353" s="45" t="inlineStr">
        <is>
          <t>Charge</t>
        </is>
      </c>
      <c r="I353" s="45" t="inlineStr">
        <is>
          <t>Personnel</t>
        </is>
      </c>
      <c r="J353" s="45" t="inlineStr">
        <is>
          <t>2026ATT_VDEF</t>
        </is>
      </c>
      <c r="K353" s="45" t="inlineStr">
        <is>
          <t>2026 (Atterr.)</t>
        </is>
      </c>
      <c r="L353" s="13" t="n">
        <v>154717</v>
      </c>
    </row>
    <row r="354">
      <c r="A354" s="45" t="inlineStr">
        <is>
          <t>IPAC_BACHELOR_FACTORY_NANTES</t>
        </is>
      </c>
      <c r="B354" s="17" t="inlineStr">
        <is>
          <t>Ipac Bachelor Factory Nantes</t>
        </is>
      </c>
      <c r="C354" s="45" t="inlineStr">
        <is>
          <t>Ipac Bachelor Factory</t>
        </is>
      </c>
      <c r="D354" s="45" t="inlineStr">
        <is>
          <t>Nantes</t>
        </is>
      </c>
      <c r="E354" s="45" t="inlineStr">
        <is>
          <t>6413</t>
        </is>
      </c>
      <c r="F354" s="17" t="inlineStr">
        <is>
          <t>Rémunération personnel administratif &amp; pédagogique</t>
        </is>
      </c>
      <c r="G354" s="45" t="inlineStr">
        <is>
          <t>64 — Charges de personnel</t>
        </is>
      </c>
      <c r="H354" s="45" t="inlineStr">
        <is>
          <t>Charge</t>
        </is>
      </c>
      <c r="I354" s="45" t="inlineStr">
        <is>
          <t>Personnel</t>
        </is>
      </c>
      <c r="J354" s="45" t="inlineStr">
        <is>
          <t>2026ATT_VDEF</t>
        </is>
      </c>
      <c r="K354" s="45" t="inlineStr">
        <is>
          <t>2026 (Atterr.)</t>
        </is>
      </c>
      <c r="L354" s="13" t="n">
        <v>97117</v>
      </c>
    </row>
    <row r="355">
      <c r="A355" s="45" t="inlineStr">
        <is>
          <t>IPAC_BACHELOR_FACTORY_RENNES</t>
        </is>
      </c>
      <c r="B355" s="17" t="inlineStr">
        <is>
          <t>Ipac Bachelor Factory Rennes</t>
        </is>
      </c>
      <c r="C355" s="45" t="inlineStr">
        <is>
          <t>Ipac Bachelor Factory</t>
        </is>
      </c>
      <c r="D355" s="45" t="inlineStr">
        <is>
          <t>Rennes</t>
        </is>
      </c>
      <c r="E355" s="45" t="inlineStr">
        <is>
          <t>6413</t>
        </is>
      </c>
      <c r="F355" s="17" t="inlineStr">
        <is>
          <t>Rémunération personnel administratif &amp; pédagogique</t>
        </is>
      </c>
      <c r="G355" s="45" t="inlineStr">
        <is>
          <t>64 — Charges de personnel</t>
        </is>
      </c>
      <c r="H355" s="45" t="inlineStr">
        <is>
          <t>Charge</t>
        </is>
      </c>
      <c r="I355" s="45" t="inlineStr">
        <is>
          <t>Personnel</t>
        </is>
      </c>
      <c r="J355" s="45" t="inlineStr">
        <is>
          <t>2026ATT_VDEF</t>
        </is>
      </c>
      <c r="K355" s="45" t="inlineStr">
        <is>
          <t>2026 (Atterr.)</t>
        </is>
      </c>
      <c r="L355" s="13" t="n">
        <v>78363</v>
      </c>
    </row>
    <row r="356">
      <c r="A356" s="45" t="inlineStr">
        <is>
          <t>IPAC_BACHELOR_FACTORY_MONTPELLIER</t>
        </is>
      </c>
      <c r="B356" s="17" t="inlineStr">
        <is>
          <t>Ipac Bachelor Factory Montpellier</t>
        </is>
      </c>
      <c r="C356" s="45" t="inlineStr">
        <is>
          <t>Ipac Bachelor Factory</t>
        </is>
      </c>
      <c r="D356" s="45" t="inlineStr">
        <is>
          <t>Montpellier</t>
        </is>
      </c>
      <c r="E356" s="45" t="inlineStr">
        <is>
          <t>6413</t>
        </is>
      </c>
      <c r="F356" s="17" t="inlineStr">
        <is>
          <t>Rémunération personnel administratif &amp; pédagogique</t>
        </is>
      </c>
      <c r="G356" s="45" t="inlineStr">
        <is>
          <t>64 — Charges de personnel</t>
        </is>
      </c>
      <c r="H356" s="45" t="inlineStr">
        <is>
          <t>Charge</t>
        </is>
      </c>
      <c r="I356" s="45" t="inlineStr">
        <is>
          <t>Personnel</t>
        </is>
      </c>
      <c r="J356" s="45" t="inlineStr">
        <is>
          <t>2026ATT_VDEF</t>
        </is>
      </c>
      <c r="K356" s="45" t="inlineStr">
        <is>
          <t>2026 (Atterr.)</t>
        </is>
      </c>
      <c r="L356" s="13" t="n">
        <v>78363</v>
      </c>
    </row>
    <row r="357">
      <c r="A357" s="45" t="inlineStr">
        <is>
          <t>PIGIER_LYON</t>
        </is>
      </c>
      <c r="B357" s="17" t="inlineStr">
        <is>
          <t>Pigier Lyon</t>
        </is>
      </c>
      <c r="C357" s="45" t="inlineStr">
        <is>
          <t>Pigier</t>
        </is>
      </c>
      <c r="D357" s="45" t="inlineStr">
        <is>
          <t>Lyon</t>
        </is>
      </c>
      <c r="E357" s="45" t="inlineStr">
        <is>
          <t>6413</t>
        </is>
      </c>
      <c r="F357" s="17" t="inlineStr">
        <is>
          <t>Rémunération personnel administratif &amp; pédagogique</t>
        </is>
      </c>
      <c r="G357" s="45" t="inlineStr">
        <is>
          <t>64 — Charges de personnel</t>
        </is>
      </c>
      <c r="H357" s="45" t="inlineStr">
        <is>
          <t>Charge</t>
        </is>
      </c>
      <c r="I357" s="45" t="inlineStr">
        <is>
          <t>Personnel</t>
        </is>
      </c>
      <c r="J357" s="45" t="inlineStr">
        <is>
          <t>2026ATT_VDEF</t>
        </is>
      </c>
      <c r="K357" s="45" t="inlineStr">
        <is>
          <t>2026 (Atterr.)</t>
        </is>
      </c>
      <c r="L357" s="13" t="n">
        <v>121898</v>
      </c>
    </row>
    <row r="358">
      <c r="A358" s="45" t="inlineStr">
        <is>
          <t>PIGIER_BORDEAUX</t>
        </is>
      </c>
      <c r="B358" s="17" t="inlineStr">
        <is>
          <t>Pigier Bordeaux</t>
        </is>
      </c>
      <c r="C358" s="45" t="inlineStr">
        <is>
          <t>Pigier</t>
        </is>
      </c>
      <c r="D358" s="45" t="inlineStr">
        <is>
          <t>Bordeaux</t>
        </is>
      </c>
      <c r="E358" s="45" t="inlineStr">
        <is>
          <t>6413</t>
        </is>
      </c>
      <c r="F358" s="17" t="inlineStr">
        <is>
          <t>Rémunération personnel administratif &amp; pédagogique</t>
        </is>
      </c>
      <c r="G358" s="45" t="inlineStr">
        <is>
          <t>64 — Charges de personnel</t>
        </is>
      </c>
      <c r="H358" s="45" t="inlineStr">
        <is>
          <t>Charge</t>
        </is>
      </c>
      <c r="I358" s="45" t="inlineStr">
        <is>
          <t>Personnel</t>
        </is>
      </c>
      <c r="J358" s="45" t="inlineStr">
        <is>
          <t>2026ATT_VDEF</t>
        </is>
      </c>
      <c r="K358" s="45" t="inlineStr">
        <is>
          <t>2026 (Atterr.)</t>
        </is>
      </c>
      <c r="L358" s="13" t="n">
        <v>95108</v>
      </c>
    </row>
    <row r="359">
      <c r="A359" s="45" t="inlineStr">
        <is>
          <t>TUNON_PARIS</t>
        </is>
      </c>
      <c r="B359" s="17" t="inlineStr">
        <is>
          <t>Tunon Paris</t>
        </is>
      </c>
      <c r="C359" s="45" t="inlineStr">
        <is>
          <t>Tunon</t>
        </is>
      </c>
      <c r="D359" s="45" t="inlineStr">
        <is>
          <t>Paris</t>
        </is>
      </c>
      <c r="E359" s="45" t="inlineStr">
        <is>
          <t>6413</t>
        </is>
      </c>
      <c r="F359" s="17" t="inlineStr">
        <is>
          <t>Rémunération personnel administratif &amp; pédagogique</t>
        </is>
      </c>
      <c r="G359" s="45" t="inlineStr">
        <is>
          <t>64 — Charges de personnel</t>
        </is>
      </c>
      <c r="H359" s="45" t="inlineStr">
        <is>
          <t>Charge</t>
        </is>
      </c>
      <c r="I359" s="45" t="inlineStr">
        <is>
          <t>Personnel</t>
        </is>
      </c>
      <c r="J359" s="45" t="inlineStr">
        <is>
          <t>2026ATT_VDEF</t>
        </is>
      </c>
      <c r="K359" s="45" t="inlineStr">
        <is>
          <t>2026 (Atterr.)</t>
        </is>
      </c>
      <c r="L359" s="13" t="n">
        <v>92428</v>
      </c>
    </row>
    <row r="360">
      <c r="A360" s="45" t="inlineStr">
        <is>
          <t>TUNON_LYON</t>
        </is>
      </c>
      <c r="B360" s="17" t="inlineStr">
        <is>
          <t>Tunon Lyon</t>
        </is>
      </c>
      <c r="C360" s="45" t="inlineStr">
        <is>
          <t>Tunon</t>
        </is>
      </c>
      <c r="D360" s="45" t="inlineStr">
        <is>
          <t>Lyon</t>
        </is>
      </c>
      <c r="E360" s="45" t="inlineStr">
        <is>
          <t>6413</t>
        </is>
      </c>
      <c r="F360" s="17" t="inlineStr">
        <is>
          <t>Rémunération personnel administratif &amp; pédagogique</t>
        </is>
      </c>
      <c r="G360" s="45" t="inlineStr">
        <is>
          <t>64 — Charges de personnel</t>
        </is>
      </c>
      <c r="H360" s="45" t="inlineStr">
        <is>
          <t>Charge</t>
        </is>
      </c>
      <c r="I360" s="45" t="inlineStr">
        <is>
          <t>Personnel</t>
        </is>
      </c>
      <c r="J360" s="45" t="inlineStr">
        <is>
          <t>2026ATT_VDEF</t>
        </is>
      </c>
      <c r="K360" s="45" t="inlineStr">
        <is>
          <t>2026 (Atterr.)</t>
        </is>
      </c>
      <c r="L360" s="13" t="n">
        <v>78363</v>
      </c>
    </row>
    <row r="361">
      <c r="A361" s="45" t="inlineStr">
        <is>
          <t>GROUPE</t>
        </is>
      </c>
      <c r="B361" s="17" t="inlineStr">
        <is>
          <t>GROUPE — Siège</t>
        </is>
      </c>
      <c r="C361" s="45" t="inlineStr">
        <is>
          <t>(groupe)</t>
        </is>
      </c>
      <c r="D361" s="45" t="inlineStr">
        <is>
          <t>(groupe)</t>
        </is>
      </c>
      <c r="E361" s="45" t="inlineStr">
        <is>
          <t>6414</t>
        </is>
      </c>
      <c r="F361" s="17" t="inlineStr">
        <is>
          <t>Rémunération direction &amp; fonctions support (siège)</t>
        </is>
      </c>
      <c r="G361" s="45" t="inlineStr">
        <is>
          <t>64 — Charges de personnel</t>
        </is>
      </c>
      <c r="H361" s="45" t="inlineStr">
        <is>
          <t>Charge</t>
        </is>
      </c>
      <c r="I361" s="45" t="inlineStr">
        <is>
          <t>Personnel</t>
        </is>
      </c>
      <c r="J361" s="45" t="inlineStr">
        <is>
          <t>2024ACT_VDEF</t>
        </is>
      </c>
      <c r="K361" s="45" t="inlineStr">
        <is>
          <t>2024 (N-2)</t>
        </is>
      </c>
      <c r="L361" s="13" t="n">
        <v>1134071</v>
      </c>
    </row>
    <row r="362">
      <c r="A362" s="45" t="inlineStr">
        <is>
          <t>GROUPE</t>
        </is>
      </c>
      <c r="B362" s="17" t="inlineStr">
        <is>
          <t>GROUPE — Siège</t>
        </is>
      </c>
      <c r="C362" s="45" t="inlineStr">
        <is>
          <t>(groupe)</t>
        </is>
      </c>
      <c r="D362" s="45" t="inlineStr">
        <is>
          <t>(groupe)</t>
        </is>
      </c>
      <c r="E362" s="45" t="inlineStr">
        <is>
          <t>6414</t>
        </is>
      </c>
      <c r="F362" s="17" t="inlineStr">
        <is>
          <t>Rémunération direction &amp; fonctions support (siège)</t>
        </is>
      </c>
      <c r="G362" s="45" t="inlineStr">
        <is>
          <t>64 — Charges de personnel</t>
        </is>
      </c>
      <c r="H362" s="45" t="inlineStr">
        <is>
          <t>Charge</t>
        </is>
      </c>
      <c r="I362" s="45" t="inlineStr">
        <is>
          <t>Personnel</t>
        </is>
      </c>
      <c r="J362" s="45" t="inlineStr">
        <is>
          <t>2025ACT_VDEF</t>
        </is>
      </c>
      <c r="K362" s="45" t="inlineStr">
        <is>
          <t>2025 (N-1)</t>
        </is>
      </c>
      <c r="L362" s="13" t="n">
        <v>1186037</v>
      </c>
    </row>
    <row r="363">
      <c r="A363" s="45" t="inlineStr">
        <is>
          <t>GROUPE</t>
        </is>
      </c>
      <c r="B363" s="17" t="inlineStr">
        <is>
          <t>GROUPE — Siège</t>
        </is>
      </c>
      <c r="C363" s="45" t="inlineStr">
        <is>
          <t>(groupe)</t>
        </is>
      </c>
      <c r="D363" s="45" t="inlineStr">
        <is>
          <t>(groupe)</t>
        </is>
      </c>
      <c r="E363" s="45" t="inlineStr">
        <is>
          <t>6414</t>
        </is>
      </c>
      <c r="F363" s="17" t="inlineStr">
        <is>
          <t>Rémunération direction &amp; fonctions support (siège)</t>
        </is>
      </c>
      <c r="G363" s="45" t="inlineStr">
        <is>
          <t>64 — Charges de personnel</t>
        </is>
      </c>
      <c r="H363" s="45" t="inlineStr">
        <is>
          <t>Charge</t>
        </is>
      </c>
      <c r="I363" s="45" t="inlineStr">
        <is>
          <t>Personnel</t>
        </is>
      </c>
      <c r="J363" s="45" t="inlineStr">
        <is>
          <t>2026ATT_VDEF</t>
        </is>
      </c>
      <c r="K363" s="45" t="inlineStr">
        <is>
          <t>2026 (Atterr.)</t>
        </is>
      </c>
      <c r="L363" s="13" t="n">
        <v>1242649</v>
      </c>
    </row>
    <row r="364">
      <c r="A364" s="45" t="inlineStr">
        <is>
          <t>MBWAY_PARIS</t>
        </is>
      </c>
      <c r="B364" s="17" t="inlineStr">
        <is>
          <t>MBway Paris</t>
        </is>
      </c>
      <c r="C364" s="45" t="inlineStr">
        <is>
          <t>MBway</t>
        </is>
      </c>
      <c r="D364" s="45" t="inlineStr">
        <is>
          <t>Paris</t>
        </is>
      </c>
      <c r="E364" s="45" t="inlineStr">
        <is>
          <t>645</t>
        </is>
      </c>
      <c r="F364" s="17" t="inlineStr">
        <is>
          <t>Charges sociales &amp; de prévoyance</t>
        </is>
      </c>
      <c r="G364" s="45" t="inlineStr">
        <is>
          <t>64 — Charges de personnel</t>
        </is>
      </c>
      <c r="H364" s="45" t="inlineStr">
        <is>
          <t>Charge</t>
        </is>
      </c>
      <c r="I364" s="45" t="inlineStr">
        <is>
          <t>Personnel</t>
        </is>
      </c>
      <c r="J364" s="45" t="inlineStr">
        <is>
          <t>2024ACT_VDEF</t>
        </is>
      </c>
      <c r="K364" s="45" t="inlineStr">
        <is>
          <t>2024 (N-2)</t>
        </is>
      </c>
      <c r="L364" s="13" t="n">
        <v>363218</v>
      </c>
    </row>
    <row r="365">
      <c r="A365" s="45" t="inlineStr">
        <is>
          <t>MBWAY_LYON</t>
        </is>
      </c>
      <c r="B365" s="17" t="inlineStr">
        <is>
          <t>MBway Lyon</t>
        </is>
      </c>
      <c r="C365" s="45" t="inlineStr">
        <is>
          <t>MBway</t>
        </is>
      </c>
      <c r="D365" s="45" t="inlineStr">
        <is>
          <t>Lyon</t>
        </is>
      </c>
      <c r="E365" s="45" t="inlineStr">
        <is>
          <t>645</t>
        </is>
      </c>
      <c r="F365" s="17" t="inlineStr">
        <is>
          <t>Charges sociales &amp; de prévoyance</t>
        </is>
      </c>
      <c r="G365" s="45" t="inlineStr">
        <is>
          <t>64 — Charges de personnel</t>
        </is>
      </c>
      <c r="H365" s="45" t="inlineStr">
        <is>
          <t>Charge</t>
        </is>
      </c>
      <c r="I365" s="45" t="inlineStr">
        <is>
          <t>Personnel</t>
        </is>
      </c>
      <c r="J365" s="45" t="inlineStr">
        <is>
          <t>2024ACT_VDEF</t>
        </is>
      </c>
      <c r="K365" s="45" t="inlineStr">
        <is>
          <t>2024 (N-2)</t>
        </is>
      </c>
      <c r="L365" s="13" t="n">
        <v>308070</v>
      </c>
    </row>
    <row r="366">
      <c r="A366" s="45" t="inlineStr">
        <is>
          <t>MBWAY_NANTES</t>
        </is>
      </c>
      <c r="B366" s="17" t="inlineStr">
        <is>
          <t>MBway Nantes</t>
        </is>
      </c>
      <c r="C366" s="45" t="inlineStr">
        <is>
          <t>MBway</t>
        </is>
      </c>
      <c r="D366" s="45" t="inlineStr">
        <is>
          <t>Nantes</t>
        </is>
      </c>
      <c r="E366" s="45" t="inlineStr">
        <is>
          <t>645</t>
        </is>
      </c>
      <c r="F366" s="17" t="inlineStr">
        <is>
          <t>Charges sociales &amp; de prévoyance</t>
        </is>
      </c>
      <c r="G366" s="45" t="inlineStr">
        <is>
          <t>64 — Charges de personnel</t>
        </is>
      </c>
      <c r="H366" s="45" t="inlineStr">
        <is>
          <t>Charge</t>
        </is>
      </c>
      <c r="I366" s="45" t="inlineStr">
        <is>
          <t>Personnel</t>
        </is>
      </c>
      <c r="J366" s="45" t="inlineStr">
        <is>
          <t>2024ACT_VDEF</t>
        </is>
      </c>
      <c r="K366" s="45" t="inlineStr">
        <is>
          <t>2024 (N-2)</t>
        </is>
      </c>
      <c r="L366" s="13" t="n">
        <v>279545</v>
      </c>
    </row>
    <row r="367">
      <c r="A367" s="45" t="inlineStr">
        <is>
          <t>MBWAY_BORDEAUX</t>
        </is>
      </c>
      <c r="B367" s="17" t="inlineStr">
        <is>
          <t>MBway Bordeaux</t>
        </is>
      </c>
      <c r="C367" s="45" t="inlineStr">
        <is>
          <t>MBway</t>
        </is>
      </c>
      <c r="D367" s="45" t="inlineStr">
        <is>
          <t>Bordeaux</t>
        </is>
      </c>
      <c r="E367" s="45" t="inlineStr">
        <is>
          <t>645</t>
        </is>
      </c>
      <c r="F367" s="17" t="inlineStr">
        <is>
          <t>Charges sociales &amp; de prévoyance</t>
        </is>
      </c>
      <c r="G367" s="45" t="inlineStr">
        <is>
          <t>64 — Charges de personnel</t>
        </is>
      </c>
      <c r="H367" s="45" t="inlineStr">
        <is>
          <t>Charge</t>
        </is>
      </c>
      <c r="I367" s="45" t="inlineStr">
        <is>
          <t>Personnel</t>
        </is>
      </c>
      <c r="J367" s="45" t="inlineStr">
        <is>
          <t>2024ACT_VDEF</t>
        </is>
      </c>
      <c r="K367" s="45" t="inlineStr">
        <is>
          <t>2024 (N-2)</t>
        </is>
      </c>
      <c r="L367" s="13" t="n">
        <v>236757</v>
      </c>
    </row>
    <row r="368">
      <c r="A368" s="45" t="inlineStr">
        <is>
          <t>ISCOM_PARIS</t>
        </is>
      </c>
      <c r="B368" s="17" t="inlineStr">
        <is>
          <t>ISCOM Paris</t>
        </is>
      </c>
      <c r="C368" s="45" t="inlineStr">
        <is>
          <t>ISCOM</t>
        </is>
      </c>
      <c r="D368" s="45" t="inlineStr">
        <is>
          <t>Paris</t>
        </is>
      </c>
      <c r="E368" s="45" t="inlineStr">
        <is>
          <t>645</t>
        </is>
      </c>
      <c r="F368" s="17" t="inlineStr">
        <is>
          <t>Charges sociales &amp; de prévoyance</t>
        </is>
      </c>
      <c r="G368" s="45" t="inlineStr">
        <is>
          <t>64 — Charges de personnel</t>
        </is>
      </c>
      <c r="H368" s="45" t="inlineStr">
        <is>
          <t>Charge</t>
        </is>
      </c>
      <c r="I368" s="45" t="inlineStr">
        <is>
          <t>Personnel</t>
        </is>
      </c>
      <c r="J368" s="45" t="inlineStr">
        <is>
          <t>2024ACT_VDEF</t>
        </is>
      </c>
      <c r="K368" s="45" t="inlineStr">
        <is>
          <t>2024 (N-2)</t>
        </is>
      </c>
      <c r="L368" s="13" t="n">
        <v>336595</v>
      </c>
    </row>
    <row r="369">
      <c r="A369" s="45" t="inlineStr">
        <is>
          <t>ISCOM_LILLE</t>
        </is>
      </c>
      <c r="B369" s="17" t="inlineStr">
        <is>
          <t>ISCOM Lille</t>
        </is>
      </c>
      <c r="C369" s="45" t="inlineStr">
        <is>
          <t>ISCOM</t>
        </is>
      </c>
      <c r="D369" s="45" t="inlineStr">
        <is>
          <t>Lille</t>
        </is>
      </c>
      <c r="E369" s="45" t="inlineStr">
        <is>
          <t>645</t>
        </is>
      </c>
      <c r="F369" s="17" t="inlineStr">
        <is>
          <t>Charges sociales &amp; de prévoyance</t>
        </is>
      </c>
      <c r="G369" s="45" t="inlineStr">
        <is>
          <t>64 — Charges de personnel</t>
        </is>
      </c>
      <c r="H369" s="45" t="inlineStr">
        <is>
          <t>Charge</t>
        </is>
      </c>
      <c r="I369" s="45" t="inlineStr">
        <is>
          <t>Personnel</t>
        </is>
      </c>
      <c r="J369" s="45" t="inlineStr">
        <is>
          <t>2024ACT_VDEF</t>
        </is>
      </c>
      <c r="K369" s="45" t="inlineStr">
        <is>
          <t>2024 (N-2)</t>
        </is>
      </c>
      <c r="L369" s="13" t="n">
        <v>232003</v>
      </c>
    </row>
    <row r="370">
      <c r="A370" s="45" t="inlineStr">
        <is>
          <t>ISCOM_TOULOUSE</t>
        </is>
      </c>
      <c r="B370" s="17" t="inlineStr">
        <is>
          <t>ISCOM Toulouse</t>
        </is>
      </c>
      <c r="C370" s="45" t="inlineStr">
        <is>
          <t>ISCOM</t>
        </is>
      </c>
      <c r="D370" s="45" t="inlineStr">
        <is>
          <t>Toulouse</t>
        </is>
      </c>
      <c r="E370" s="45" t="inlineStr">
        <is>
          <t>645</t>
        </is>
      </c>
      <c r="F370" s="17" t="inlineStr">
        <is>
          <t>Charges sociales &amp; de prévoyance</t>
        </is>
      </c>
      <c r="G370" s="45" t="inlineStr">
        <is>
          <t>64 — Charges de personnel</t>
        </is>
      </c>
      <c r="H370" s="45" t="inlineStr">
        <is>
          <t>Charge</t>
        </is>
      </c>
      <c r="I370" s="45" t="inlineStr">
        <is>
          <t>Personnel</t>
        </is>
      </c>
      <c r="J370" s="45" t="inlineStr">
        <is>
          <t>2024ACT_VDEF</t>
        </is>
      </c>
      <c r="K370" s="45" t="inlineStr">
        <is>
          <t>2024 (N-2)</t>
        </is>
      </c>
      <c r="L370" s="13" t="n">
        <v>219642</v>
      </c>
    </row>
    <row r="371">
      <c r="A371" s="45" t="inlineStr">
        <is>
          <t>IPAC_BACHELOR_FACTORY_NANTES</t>
        </is>
      </c>
      <c r="B371" s="17" t="inlineStr">
        <is>
          <t>Ipac Bachelor Factory Nantes</t>
        </is>
      </c>
      <c r="C371" s="45" t="inlineStr">
        <is>
          <t>Ipac Bachelor Factory</t>
        </is>
      </c>
      <c r="D371" s="45" t="inlineStr">
        <is>
          <t>Nantes</t>
        </is>
      </c>
      <c r="E371" s="45" t="inlineStr">
        <is>
          <t>645</t>
        </is>
      </c>
      <c r="F371" s="17" t="inlineStr">
        <is>
          <t>Charges sociales &amp; de prévoyance</t>
        </is>
      </c>
      <c r="G371" s="45" t="inlineStr">
        <is>
          <t>64 — Charges de personnel</t>
        </is>
      </c>
      <c r="H371" s="45" t="inlineStr">
        <is>
          <t>Charge</t>
        </is>
      </c>
      <c r="I371" s="45" t="inlineStr">
        <is>
          <t>Personnel</t>
        </is>
      </c>
      <c r="J371" s="45" t="inlineStr">
        <is>
          <t>2024ACT_VDEF</t>
        </is>
      </c>
      <c r="K371" s="45" t="inlineStr">
        <is>
          <t>2024 (N-2)</t>
        </is>
      </c>
      <c r="L371" s="13" t="n">
        <v>137871</v>
      </c>
    </row>
    <row r="372">
      <c r="A372" s="45" t="inlineStr">
        <is>
          <t>IPAC_BACHELOR_FACTORY_RENNES</t>
        </is>
      </c>
      <c r="B372" s="17" t="inlineStr">
        <is>
          <t>Ipac Bachelor Factory Rennes</t>
        </is>
      </c>
      <c r="C372" s="45" t="inlineStr">
        <is>
          <t>Ipac Bachelor Factory</t>
        </is>
      </c>
      <c r="D372" s="45" t="inlineStr">
        <is>
          <t>Rennes</t>
        </is>
      </c>
      <c r="E372" s="45" t="inlineStr">
        <is>
          <t>645</t>
        </is>
      </c>
      <c r="F372" s="17" t="inlineStr">
        <is>
          <t>Charges sociales &amp; de prévoyance</t>
        </is>
      </c>
      <c r="G372" s="45" t="inlineStr">
        <is>
          <t>64 — Charges de personnel</t>
        </is>
      </c>
      <c r="H372" s="45" t="inlineStr">
        <is>
          <t>Charge</t>
        </is>
      </c>
      <c r="I372" s="45" t="inlineStr">
        <is>
          <t>Personnel</t>
        </is>
      </c>
      <c r="J372" s="45" t="inlineStr">
        <is>
          <t>2024ACT_VDEF</t>
        </is>
      </c>
      <c r="K372" s="45" t="inlineStr">
        <is>
          <t>2024 (N-2)</t>
        </is>
      </c>
      <c r="L372" s="13" t="n">
        <v>111247</v>
      </c>
    </row>
    <row r="373">
      <c r="A373" s="45" t="inlineStr">
        <is>
          <t>IPAC_BACHELOR_FACTORY_MONTPELLIER</t>
        </is>
      </c>
      <c r="B373" s="17" t="inlineStr">
        <is>
          <t>Ipac Bachelor Factory Montpellier</t>
        </is>
      </c>
      <c r="C373" s="45" t="inlineStr">
        <is>
          <t>Ipac Bachelor Factory</t>
        </is>
      </c>
      <c r="D373" s="45" t="inlineStr">
        <is>
          <t>Montpellier</t>
        </is>
      </c>
      <c r="E373" s="45" t="inlineStr">
        <is>
          <t>645</t>
        </is>
      </c>
      <c r="F373" s="17" t="inlineStr">
        <is>
          <t>Charges sociales &amp; de prévoyance</t>
        </is>
      </c>
      <c r="G373" s="45" t="inlineStr">
        <is>
          <t>64 — Charges de personnel</t>
        </is>
      </c>
      <c r="H373" s="45" t="inlineStr">
        <is>
          <t>Charge</t>
        </is>
      </c>
      <c r="I373" s="45" t="inlineStr">
        <is>
          <t>Personnel</t>
        </is>
      </c>
      <c r="J373" s="45" t="inlineStr">
        <is>
          <t>2024ACT_VDEF</t>
        </is>
      </c>
      <c r="K373" s="45" t="inlineStr">
        <is>
          <t>2024 (N-2)</t>
        </is>
      </c>
      <c r="L373" s="13" t="n">
        <v>111247</v>
      </c>
    </row>
    <row r="374">
      <c r="A374" s="45" t="inlineStr">
        <is>
          <t>PIGIER_LYON</t>
        </is>
      </c>
      <c r="B374" s="17" t="inlineStr">
        <is>
          <t>Pigier Lyon</t>
        </is>
      </c>
      <c r="C374" s="45" t="inlineStr">
        <is>
          <t>Pigier</t>
        </is>
      </c>
      <c r="D374" s="45" t="inlineStr">
        <is>
          <t>Lyon</t>
        </is>
      </c>
      <c r="E374" s="45" t="inlineStr">
        <is>
          <t>645</t>
        </is>
      </c>
      <c r="F374" s="17" t="inlineStr">
        <is>
          <t>Charges sociales &amp; de prévoyance</t>
        </is>
      </c>
      <c r="G374" s="45" t="inlineStr">
        <is>
          <t>64 — Charges de personnel</t>
        </is>
      </c>
      <c r="H374" s="45" t="inlineStr">
        <is>
          <t>Charge</t>
        </is>
      </c>
      <c r="I374" s="45" t="inlineStr">
        <is>
          <t>Personnel</t>
        </is>
      </c>
      <c r="J374" s="45" t="inlineStr">
        <is>
          <t>2024ACT_VDEF</t>
        </is>
      </c>
      <c r="K374" s="45" t="inlineStr">
        <is>
          <t>2024 (N-2)</t>
        </is>
      </c>
      <c r="L374" s="13" t="n">
        <v>173051</v>
      </c>
    </row>
    <row r="375">
      <c r="A375" s="45" t="inlineStr">
        <is>
          <t>PIGIER_BORDEAUX</t>
        </is>
      </c>
      <c r="B375" s="17" t="inlineStr">
        <is>
          <t>Pigier Bordeaux</t>
        </is>
      </c>
      <c r="C375" s="45" t="inlineStr">
        <is>
          <t>Pigier</t>
        </is>
      </c>
      <c r="D375" s="45" t="inlineStr">
        <is>
          <t>Bordeaux</t>
        </is>
      </c>
      <c r="E375" s="45" t="inlineStr">
        <is>
          <t>645</t>
        </is>
      </c>
      <c r="F375" s="17" t="inlineStr">
        <is>
          <t>Charges sociales &amp; de prévoyance</t>
        </is>
      </c>
      <c r="G375" s="45" t="inlineStr">
        <is>
          <t>64 — Charges de personnel</t>
        </is>
      </c>
      <c r="H375" s="45" t="inlineStr">
        <is>
          <t>Charge</t>
        </is>
      </c>
      <c r="I375" s="45" t="inlineStr">
        <is>
          <t>Personnel</t>
        </is>
      </c>
      <c r="J375" s="45" t="inlineStr">
        <is>
          <t>2024ACT_VDEF</t>
        </is>
      </c>
      <c r="K375" s="45" t="inlineStr">
        <is>
          <t>2024 (N-2)</t>
        </is>
      </c>
      <c r="L375" s="13" t="n">
        <v>135018</v>
      </c>
    </row>
    <row r="376">
      <c r="A376" s="45" t="inlineStr">
        <is>
          <t>TUNON_PARIS</t>
        </is>
      </c>
      <c r="B376" s="17" t="inlineStr">
        <is>
          <t>Tunon Paris</t>
        </is>
      </c>
      <c r="C376" s="45" t="inlineStr">
        <is>
          <t>Tunon</t>
        </is>
      </c>
      <c r="D376" s="45" t="inlineStr">
        <is>
          <t>Paris</t>
        </is>
      </c>
      <c r="E376" s="45" t="inlineStr">
        <is>
          <t>645</t>
        </is>
      </c>
      <c r="F376" s="17" t="inlineStr">
        <is>
          <t>Charges sociales &amp; de prévoyance</t>
        </is>
      </c>
      <c r="G376" s="45" t="inlineStr">
        <is>
          <t>64 — Charges de personnel</t>
        </is>
      </c>
      <c r="H376" s="45" t="inlineStr">
        <is>
          <t>Charge</t>
        </is>
      </c>
      <c r="I376" s="45" t="inlineStr">
        <is>
          <t>Personnel</t>
        </is>
      </c>
      <c r="J376" s="45" t="inlineStr">
        <is>
          <t>2024ACT_VDEF</t>
        </is>
      </c>
      <c r="K376" s="45" t="inlineStr">
        <is>
          <t>2024 (N-2)</t>
        </is>
      </c>
      <c r="L376" s="13" t="n">
        <v>131215</v>
      </c>
    </row>
    <row r="377">
      <c r="A377" s="45" t="inlineStr">
        <is>
          <t>TUNON_LYON</t>
        </is>
      </c>
      <c r="B377" s="17" t="inlineStr">
        <is>
          <t>Tunon Lyon</t>
        </is>
      </c>
      <c r="C377" s="45" t="inlineStr">
        <is>
          <t>Tunon</t>
        </is>
      </c>
      <c r="D377" s="45" t="inlineStr">
        <is>
          <t>Lyon</t>
        </is>
      </c>
      <c r="E377" s="45" t="inlineStr">
        <is>
          <t>645</t>
        </is>
      </c>
      <c r="F377" s="17" t="inlineStr">
        <is>
          <t>Charges sociales &amp; de prévoyance</t>
        </is>
      </c>
      <c r="G377" s="45" t="inlineStr">
        <is>
          <t>64 — Charges de personnel</t>
        </is>
      </c>
      <c r="H377" s="45" t="inlineStr">
        <is>
          <t>Charge</t>
        </is>
      </c>
      <c r="I377" s="45" t="inlineStr">
        <is>
          <t>Personnel</t>
        </is>
      </c>
      <c r="J377" s="45" t="inlineStr">
        <is>
          <t>2024ACT_VDEF</t>
        </is>
      </c>
      <c r="K377" s="45" t="inlineStr">
        <is>
          <t>2024 (N-2)</t>
        </is>
      </c>
      <c r="L377" s="13" t="n">
        <v>111247</v>
      </c>
    </row>
    <row r="378">
      <c r="A378" s="45" t="inlineStr">
        <is>
          <t>MBWAY_PARIS</t>
        </is>
      </c>
      <c r="B378" s="17" t="inlineStr">
        <is>
          <t>MBway Paris</t>
        </is>
      </c>
      <c r="C378" s="45" t="inlineStr">
        <is>
          <t>MBway</t>
        </is>
      </c>
      <c r="D378" s="45" t="inlineStr">
        <is>
          <t>Paris</t>
        </is>
      </c>
      <c r="E378" s="45" t="inlineStr">
        <is>
          <t>645</t>
        </is>
      </c>
      <c r="F378" s="17" t="inlineStr">
        <is>
          <t>Charges sociales &amp; de prévoyance</t>
        </is>
      </c>
      <c r="G378" s="45" t="inlineStr">
        <is>
          <t>64 — Charges de personnel</t>
        </is>
      </c>
      <c r="H378" s="45" t="inlineStr">
        <is>
          <t>Charge</t>
        </is>
      </c>
      <c r="I378" s="45" t="inlineStr">
        <is>
          <t>Personnel</t>
        </is>
      </c>
      <c r="J378" s="45" t="inlineStr">
        <is>
          <t>2025ACT_VDEF</t>
        </is>
      </c>
      <c r="K378" s="45" t="inlineStr">
        <is>
          <t>2025 (N-1)</t>
        </is>
      </c>
      <c r="L378" s="13" t="n">
        <v>379861</v>
      </c>
    </row>
    <row r="379">
      <c r="A379" s="45" t="inlineStr">
        <is>
          <t>MBWAY_LYON</t>
        </is>
      </c>
      <c r="B379" s="17" t="inlineStr">
        <is>
          <t>MBway Lyon</t>
        </is>
      </c>
      <c r="C379" s="45" t="inlineStr">
        <is>
          <t>MBway</t>
        </is>
      </c>
      <c r="D379" s="45" t="inlineStr">
        <is>
          <t>Lyon</t>
        </is>
      </c>
      <c r="E379" s="45" t="inlineStr">
        <is>
          <t>645</t>
        </is>
      </c>
      <c r="F379" s="17" t="inlineStr">
        <is>
          <t>Charges sociales &amp; de prévoyance</t>
        </is>
      </c>
      <c r="G379" s="45" t="inlineStr">
        <is>
          <t>64 — Charges de personnel</t>
        </is>
      </c>
      <c r="H379" s="45" t="inlineStr">
        <is>
          <t>Charge</t>
        </is>
      </c>
      <c r="I379" s="45" t="inlineStr">
        <is>
          <t>Personnel</t>
        </is>
      </c>
      <c r="J379" s="45" t="inlineStr">
        <is>
          <t>2025ACT_VDEF</t>
        </is>
      </c>
      <c r="K379" s="45" t="inlineStr">
        <is>
          <t>2025 (N-1)</t>
        </is>
      </c>
      <c r="L379" s="13" t="n">
        <v>322186</v>
      </c>
    </row>
    <row r="380">
      <c r="A380" s="45" t="inlineStr">
        <is>
          <t>MBWAY_NANTES</t>
        </is>
      </c>
      <c r="B380" s="17" t="inlineStr">
        <is>
          <t>MBway Nantes</t>
        </is>
      </c>
      <c r="C380" s="45" t="inlineStr">
        <is>
          <t>MBway</t>
        </is>
      </c>
      <c r="D380" s="45" t="inlineStr">
        <is>
          <t>Nantes</t>
        </is>
      </c>
      <c r="E380" s="45" t="inlineStr">
        <is>
          <t>645</t>
        </is>
      </c>
      <c r="F380" s="17" t="inlineStr">
        <is>
          <t>Charges sociales &amp; de prévoyance</t>
        </is>
      </c>
      <c r="G380" s="45" t="inlineStr">
        <is>
          <t>64 — Charges de personnel</t>
        </is>
      </c>
      <c r="H380" s="45" t="inlineStr">
        <is>
          <t>Charge</t>
        </is>
      </c>
      <c r="I380" s="45" t="inlineStr">
        <is>
          <t>Personnel</t>
        </is>
      </c>
      <c r="J380" s="45" t="inlineStr">
        <is>
          <t>2025ACT_VDEF</t>
        </is>
      </c>
      <c r="K380" s="45" t="inlineStr">
        <is>
          <t>2025 (N-1)</t>
        </is>
      </c>
      <c r="L380" s="13" t="n">
        <v>292354</v>
      </c>
    </row>
    <row r="381">
      <c r="A381" s="45" t="inlineStr">
        <is>
          <t>MBWAY_BORDEAUX</t>
        </is>
      </c>
      <c r="B381" s="17" t="inlineStr">
        <is>
          <t>MBway Bordeaux</t>
        </is>
      </c>
      <c r="C381" s="45" t="inlineStr">
        <is>
          <t>MBway</t>
        </is>
      </c>
      <c r="D381" s="45" t="inlineStr">
        <is>
          <t>Bordeaux</t>
        </is>
      </c>
      <c r="E381" s="45" t="inlineStr">
        <is>
          <t>645</t>
        </is>
      </c>
      <c r="F381" s="17" t="inlineStr">
        <is>
          <t>Charges sociales &amp; de prévoyance</t>
        </is>
      </c>
      <c r="G381" s="45" t="inlineStr">
        <is>
          <t>64 — Charges de personnel</t>
        </is>
      </c>
      <c r="H381" s="45" t="inlineStr">
        <is>
          <t>Charge</t>
        </is>
      </c>
      <c r="I381" s="45" t="inlineStr">
        <is>
          <t>Personnel</t>
        </is>
      </c>
      <c r="J381" s="45" t="inlineStr">
        <is>
          <t>2025ACT_VDEF</t>
        </is>
      </c>
      <c r="K381" s="45" t="inlineStr">
        <is>
          <t>2025 (N-1)</t>
        </is>
      </c>
      <c r="L381" s="13" t="n">
        <v>247606</v>
      </c>
    </row>
    <row r="382">
      <c r="A382" s="45" t="inlineStr">
        <is>
          <t>ISCOM_PARIS</t>
        </is>
      </c>
      <c r="B382" s="17" t="inlineStr">
        <is>
          <t>ISCOM Paris</t>
        </is>
      </c>
      <c r="C382" s="45" t="inlineStr">
        <is>
          <t>ISCOM</t>
        </is>
      </c>
      <c r="D382" s="45" t="inlineStr">
        <is>
          <t>Paris</t>
        </is>
      </c>
      <c r="E382" s="45" t="inlineStr">
        <is>
          <t>645</t>
        </is>
      </c>
      <c r="F382" s="17" t="inlineStr">
        <is>
          <t>Charges sociales &amp; de prévoyance</t>
        </is>
      </c>
      <c r="G382" s="45" t="inlineStr">
        <is>
          <t>64 — Charges de personnel</t>
        </is>
      </c>
      <c r="H382" s="45" t="inlineStr">
        <is>
          <t>Charge</t>
        </is>
      </c>
      <c r="I382" s="45" t="inlineStr">
        <is>
          <t>Personnel</t>
        </is>
      </c>
      <c r="J382" s="45" t="inlineStr">
        <is>
          <t>2025ACT_VDEF</t>
        </is>
      </c>
      <c r="K382" s="45" t="inlineStr">
        <is>
          <t>2025 (N-1)</t>
        </is>
      </c>
      <c r="L382" s="13" t="n">
        <v>352018</v>
      </c>
    </row>
    <row r="383">
      <c r="A383" s="45" t="inlineStr">
        <is>
          <t>ISCOM_LILLE</t>
        </is>
      </c>
      <c r="B383" s="17" t="inlineStr">
        <is>
          <t>ISCOM Lille</t>
        </is>
      </c>
      <c r="C383" s="45" t="inlineStr">
        <is>
          <t>ISCOM</t>
        </is>
      </c>
      <c r="D383" s="45" t="inlineStr">
        <is>
          <t>Lille</t>
        </is>
      </c>
      <c r="E383" s="45" t="inlineStr">
        <is>
          <t>645</t>
        </is>
      </c>
      <c r="F383" s="17" t="inlineStr">
        <is>
          <t>Charges sociales &amp; de prévoyance</t>
        </is>
      </c>
      <c r="G383" s="45" t="inlineStr">
        <is>
          <t>64 — Charges de personnel</t>
        </is>
      </c>
      <c r="H383" s="45" t="inlineStr">
        <is>
          <t>Charge</t>
        </is>
      </c>
      <c r="I383" s="45" t="inlineStr">
        <is>
          <t>Personnel</t>
        </is>
      </c>
      <c r="J383" s="45" t="inlineStr">
        <is>
          <t>2025ACT_VDEF</t>
        </is>
      </c>
      <c r="K383" s="45" t="inlineStr">
        <is>
          <t>2025 (N-1)</t>
        </is>
      </c>
      <c r="L383" s="13" t="n">
        <v>242634</v>
      </c>
    </row>
    <row r="384">
      <c r="A384" s="45" t="inlineStr">
        <is>
          <t>ISCOM_TOULOUSE</t>
        </is>
      </c>
      <c r="B384" s="17" t="inlineStr">
        <is>
          <t>ISCOM Toulouse</t>
        </is>
      </c>
      <c r="C384" s="45" t="inlineStr">
        <is>
          <t>ISCOM</t>
        </is>
      </c>
      <c r="D384" s="45" t="inlineStr">
        <is>
          <t>Toulouse</t>
        </is>
      </c>
      <c r="E384" s="45" t="inlineStr">
        <is>
          <t>645</t>
        </is>
      </c>
      <c r="F384" s="17" t="inlineStr">
        <is>
          <t>Charges sociales &amp; de prévoyance</t>
        </is>
      </c>
      <c r="G384" s="45" t="inlineStr">
        <is>
          <t>64 — Charges de personnel</t>
        </is>
      </c>
      <c r="H384" s="45" t="inlineStr">
        <is>
          <t>Charge</t>
        </is>
      </c>
      <c r="I384" s="45" t="inlineStr">
        <is>
          <t>Personnel</t>
        </is>
      </c>
      <c r="J384" s="45" t="inlineStr">
        <is>
          <t>2025ACT_VDEF</t>
        </is>
      </c>
      <c r="K384" s="45" t="inlineStr">
        <is>
          <t>2025 (N-1)</t>
        </is>
      </c>
      <c r="L384" s="13" t="n">
        <v>229707</v>
      </c>
    </row>
    <row r="385">
      <c r="A385" s="45" t="inlineStr">
        <is>
          <t>IPAC_BACHELOR_FACTORY_NANTES</t>
        </is>
      </c>
      <c r="B385" s="17" t="inlineStr">
        <is>
          <t>Ipac Bachelor Factory Nantes</t>
        </is>
      </c>
      <c r="C385" s="45" t="inlineStr">
        <is>
          <t>Ipac Bachelor Factory</t>
        </is>
      </c>
      <c r="D385" s="45" t="inlineStr">
        <is>
          <t>Nantes</t>
        </is>
      </c>
      <c r="E385" s="45" t="inlineStr">
        <is>
          <t>645</t>
        </is>
      </c>
      <c r="F385" s="17" t="inlineStr">
        <is>
          <t>Charges sociales &amp; de prévoyance</t>
        </is>
      </c>
      <c r="G385" s="45" t="inlineStr">
        <is>
          <t>64 — Charges de personnel</t>
        </is>
      </c>
      <c r="H385" s="45" t="inlineStr">
        <is>
          <t>Charge</t>
        </is>
      </c>
      <c r="I385" s="45" t="inlineStr">
        <is>
          <t>Personnel</t>
        </is>
      </c>
      <c r="J385" s="45" t="inlineStr">
        <is>
          <t>2025ACT_VDEF</t>
        </is>
      </c>
      <c r="K385" s="45" t="inlineStr">
        <is>
          <t>2025 (N-1)</t>
        </is>
      </c>
      <c r="L385" s="13" t="n">
        <v>144188</v>
      </c>
    </row>
    <row r="386">
      <c r="A386" s="45" t="inlineStr">
        <is>
          <t>IPAC_BACHELOR_FACTORY_RENNES</t>
        </is>
      </c>
      <c r="B386" s="17" t="inlineStr">
        <is>
          <t>Ipac Bachelor Factory Rennes</t>
        </is>
      </c>
      <c r="C386" s="45" t="inlineStr">
        <is>
          <t>Ipac Bachelor Factory</t>
        </is>
      </c>
      <c r="D386" s="45" t="inlineStr">
        <is>
          <t>Rennes</t>
        </is>
      </c>
      <c r="E386" s="45" t="inlineStr">
        <is>
          <t>645</t>
        </is>
      </c>
      <c r="F386" s="17" t="inlineStr">
        <is>
          <t>Charges sociales &amp; de prévoyance</t>
        </is>
      </c>
      <c r="G386" s="45" t="inlineStr">
        <is>
          <t>64 — Charges de personnel</t>
        </is>
      </c>
      <c r="H386" s="45" t="inlineStr">
        <is>
          <t>Charge</t>
        </is>
      </c>
      <c r="I386" s="45" t="inlineStr">
        <is>
          <t>Personnel</t>
        </is>
      </c>
      <c r="J386" s="45" t="inlineStr">
        <is>
          <t>2025ACT_VDEF</t>
        </is>
      </c>
      <c r="K386" s="45" t="inlineStr">
        <is>
          <t>2025 (N-1)</t>
        </is>
      </c>
      <c r="L386" s="13" t="n">
        <v>116345</v>
      </c>
    </row>
    <row r="387">
      <c r="A387" s="45" t="inlineStr">
        <is>
          <t>IPAC_BACHELOR_FACTORY_MONTPELLIER</t>
        </is>
      </c>
      <c r="B387" s="17" t="inlineStr">
        <is>
          <t>Ipac Bachelor Factory Montpellier</t>
        </is>
      </c>
      <c r="C387" s="45" t="inlineStr">
        <is>
          <t>Ipac Bachelor Factory</t>
        </is>
      </c>
      <c r="D387" s="45" t="inlineStr">
        <is>
          <t>Montpellier</t>
        </is>
      </c>
      <c r="E387" s="45" t="inlineStr">
        <is>
          <t>645</t>
        </is>
      </c>
      <c r="F387" s="17" t="inlineStr">
        <is>
          <t>Charges sociales &amp; de prévoyance</t>
        </is>
      </c>
      <c r="G387" s="45" t="inlineStr">
        <is>
          <t>64 — Charges de personnel</t>
        </is>
      </c>
      <c r="H387" s="45" t="inlineStr">
        <is>
          <t>Charge</t>
        </is>
      </c>
      <c r="I387" s="45" t="inlineStr">
        <is>
          <t>Personnel</t>
        </is>
      </c>
      <c r="J387" s="45" t="inlineStr">
        <is>
          <t>2025ACT_VDEF</t>
        </is>
      </c>
      <c r="K387" s="45" t="inlineStr">
        <is>
          <t>2025 (N-1)</t>
        </is>
      </c>
      <c r="L387" s="13" t="n">
        <v>116345</v>
      </c>
    </row>
    <row r="388">
      <c r="A388" s="45" t="inlineStr">
        <is>
          <t>PIGIER_LYON</t>
        </is>
      </c>
      <c r="B388" s="17" t="inlineStr">
        <is>
          <t>Pigier Lyon</t>
        </is>
      </c>
      <c r="C388" s="45" t="inlineStr">
        <is>
          <t>Pigier</t>
        </is>
      </c>
      <c r="D388" s="45" t="inlineStr">
        <is>
          <t>Lyon</t>
        </is>
      </c>
      <c r="E388" s="45" t="inlineStr">
        <is>
          <t>645</t>
        </is>
      </c>
      <c r="F388" s="17" t="inlineStr">
        <is>
          <t>Charges sociales &amp; de prévoyance</t>
        </is>
      </c>
      <c r="G388" s="45" t="inlineStr">
        <is>
          <t>64 — Charges de personnel</t>
        </is>
      </c>
      <c r="H388" s="45" t="inlineStr">
        <is>
          <t>Charge</t>
        </is>
      </c>
      <c r="I388" s="45" t="inlineStr">
        <is>
          <t>Personnel</t>
        </is>
      </c>
      <c r="J388" s="45" t="inlineStr">
        <is>
          <t>2025ACT_VDEF</t>
        </is>
      </c>
      <c r="K388" s="45" t="inlineStr">
        <is>
          <t>2025 (N-1)</t>
        </is>
      </c>
      <c r="L388" s="13" t="n">
        <v>180981</v>
      </c>
    </row>
    <row r="389">
      <c r="A389" s="45" t="inlineStr">
        <is>
          <t>PIGIER_BORDEAUX</t>
        </is>
      </c>
      <c r="B389" s="17" t="inlineStr">
        <is>
          <t>Pigier Bordeaux</t>
        </is>
      </c>
      <c r="C389" s="45" t="inlineStr">
        <is>
          <t>Pigier</t>
        </is>
      </c>
      <c r="D389" s="45" t="inlineStr">
        <is>
          <t>Bordeaux</t>
        </is>
      </c>
      <c r="E389" s="45" t="inlineStr">
        <is>
          <t>645</t>
        </is>
      </c>
      <c r="F389" s="17" t="inlineStr">
        <is>
          <t>Charges sociales &amp; de prévoyance</t>
        </is>
      </c>
      <c r="G389" s="45" t="inlineStr">
        <is>
          <t>64 — Charges de personnel</t>
        </is>
      </c>
      <c r="H389" s="45" t="inlineStr">
        <is>
          <t>Charge</t>
        </is>
      </c>
      <c r="I389" s="45" t="inlineStr">
        <is>
          <t>Personnel</t>
        </is>
      </c>
      <c r="J389" s="45" t="inlineStr">
        <is>
          <t>2025ACT_VDEF</t>
        </is>
      </c>
      <c r="K389" s="45" t="inlineStr">
        <is>
          <t>2025 (N-1)</t>
        </is>
      </c>
      <c r="L389" s="13" t="n">
        <v>141205</v>
      </c>
    </row>
    <row r="390">
      <c r="A390" s="45" t="inlineStr">
        <is>
          <t>TUNON_PARIS</t>
        </is>
      </c>
      <c r="B390" s="17" t="inlineStr">
        <is>
          <t>Tunon Paris</t>
        </is>
      </c>
      <c r="C390" s="45" t="inlineStr">
        <is>
          <t>Tunon</t>
        </is>
      </c>
      <c r="D390" s="45" t="inlineStr">
        <is>
          <t>Paris</t>
        </is>
      </c>
      <c r="E390" s="45" t="inlineStr">
        <is>
          <t>645</t>
        </is>
      </c>
      <c r="F390" s="17" t="inlineStr">
        <is>
          <t>Charges sociales &amp; de prévoyance</t>
        </is>
      </c>
      <c r="G390" s="45" t="inlineStr">
        <is>
          <t>64 — Charges de personnel</t>
        </is>
      </c>
      <c r="H390" s="45" t="inlineStr">
        <is>
          <t>Charge</t>
        </is>
      </c>
      <c r="I390" s="45" t="inlineStr">
        <is>
          <t>Personnel</t>
        </is>
      </c>
      <c r="J390" s="45" t="inlineStr">
        <is>
          <t>2025ACT_VDEF</t>
        </is>
      </c>
      <c r="K390" s="45" t="inlineStr">
        <is>
          <t>2025 (N-1)</t>
        </is>
      </c>
      <c r="L390" s="13" t="n">
        <v>137227</v>
      </c>
    </row>
    <row r="391">
      <c r="A391" s="45" t="inlineStr">
        <is>
          <t>TUNON_LYON</t>
        </is>
      </c>
      <c r="B391" s="17" t="inlineStr">
        <is>
          <t>Tunon Lyon</t>
        </is>
      </c>
      <c r="C391" s="45" t="inlineStr">
        <is>
          <t>Tunon</t>
        </is>
      </c>
      <c r="D391" s="45" t="inlineStr">
        <is>
          <t>Lyon</t>
        </is>
      </c>
      <c r="E391" s="45" t="inlineStr">
        <is>
          <t>645</t>
        </is>
      </c>
      <c r="F391" s="17" t="inlineStr">
        <is>
          <t>Charges sociales &amp; de prévoyance</t>
        </is>
      </c>
      <c r="G391" s="45" t="inlineStr">
        <is>
          <t>64 — Charges de personnel</t>
        </is>
      </c>
      <c r="H391" s="45" t="inlineStr">
        <is>
          <t>Charge</t>
        </is>
      </c>
      <c r="I391" s="45" t="inlineStr">
        <is>
          <t>Personnel</t>
        </is>
      </c>
      <c r="J391" s="45" t="inlineStr">
        <is>
          <t>2025ACT_VDEF</t>
        </is>
      </c>
      <c r="K391" s="45" t="inlineStr">
        <is>
          <t>2025 (N-1)</t>
        </is>
      </c>
      <c r="L391" s="13" t="n">
        <v>116345</v>
      </c>
    </row>
    <row r="392">
      <c r="A392" s="45" t="inlineStr">
        <is>
          <t>MBWAY_PARIS</t>
        </is>
      </c>
      <c r="B392" s="17" t="inlineStr">
        <is>
          <t>MBway Paris</t>
        </is>
      </c>
      <c r="C392" s="45" t="inlineStr">
        <is>
          <t>MBway</t>
        </is>
      </c>
      <c r="D392" s="45" t="inlineStr">
        <is>
          <t>Paris</t>
        </is>
      </c>
      <c r="E392" s="45" t="inlineStr">
        <is>
          <t>645</t>
        </is>
      </c>
      <c r="F392" s="17" t="inlineStr">
        <is>
          <t>Charges sociales &amp; de prévoyance</t>
        </is>
      </c>
      <c r="G392" s="45" t="inlineStr">
        <is>
          <t>64 — Charges de personnel</t>
        </is>
      </c>
      <c r="H392" s="45" t="inlineStr">
        <is>
          <t>Charge</t>
        </is>
      </c>
      <c r="I392" s="45" t="inlineStr">
        <is>
          <t>Personnel</t>
        </is>
      </c>
      <c r="J392" s="45" t="inlineStr">
        <is>
          <t>2026ATT_VDEF</t>
        </is>
      </c>
      <c r="K392" s="45" t="inlineStr">
        <is>
          <t>2026 (Atterr.)</t>
        </is>
      </c>
      <c r="L392" s="13" t="n">
        <v>397993</v>
      </c>
    </row>
    <row r="393">
      <c r="A393" s="45" t="inlineStr">
        <is>
          <t>MBWAY_LYON</t>
        </is>
      </c>
      <c r="B393" s="17" t="inlineStr">
        <is>
          <t>MBway Lyon</t>
        </is>
      </c>
      <c r="C393" s="45" t="inlineStr">
        <is>
          <t>MBway</t>
        </is>
      </c>
      <c r="D393" s="45" t="inlineStr">
        <is>
          <t>Lyon</t>
        </is>
      </c>
      <c r="E393" s="45" t="inlineStr">
        <is>
          <t>645</t>
        </is>
      </c>
      <c r="F393" s="17" t="inlineStr">
        <is>
          <t>Charges sociales &amp; de prévoyance</t>
        </is>
      </c>
      <c r="G393" s="45" t="inlineStr">
        <is>
          <t>64 — Charges de personnel</t>
        </is>
      </c>
      <c r="H393" s="45" t="inlineStr">
        <is>
          <t>Charge</t>
        </is>
      </c>
      <c r="I393" s="45" t="inlineStr">
        <is>
          <t>Personnel</t>
        </is>
      </c>
      <c r="J393" s="45" t="inlineStr">
        <is>
          <t>2026ATT_VDEF</t>
        </is>
      </c>
      <c r="K393" s="45" t="inlineStr">
        <is>
          <t>2026 (Atterr.)</t>
        </is>
      </c>
      <c r="L393" s="13" t="n">
        <v>337565</v>
      </c>
    </row>
    <row r="394">
      <c r="A394" s="45" t="inlineStr">
        <is>
          <t>MBWAY_NANTES</t>
        </is>
      </c>
      <c r="B394" s="17" t="inlineStr">
        <is>
          <t>MBway Nantes</t>
        </is>
      </c>
      <c r="C394" s="45" t="inlineStr">
        <is>
          <t>MBway</t>
        </is>
      </c>
      <c r="D394" s="45" t="inlineStr">
        <is>
          <t>Nantes</t>
        </is>
      </c>
      <c r="E394" s="45" t="inlineStr">
        <is>
          <t>645</t>
        </is>
      </c>
      <c r="F394" s="17" t="inlineStr">
        <is>
          <t>Charges sociales &amp; de prévoyance</t>
        </is>
      </c>
      <c r="G394" s="45" t="inlineStr">
        <is>
          <t>64 — Charges de personnel</t>
        </is>
      </c>
      <c r="H394" s="45" t="inlineStr">
        <is>
          <t>Charge</t>
        </is>
      </c>
      <c r="I394" s="45" t="inlineStr">
        <is>
          <t>Personnel</t>
        </is>
      </c>
      <c r="J394" s="45" t="inlineStr">
        <is>
          <t>2026ATT_VDEF</t>
        </is>
      </c>
      <c r="K394" s="45" t="inlineStr">
        <is>
          <t>2026 (Atterr.)</t>
        </is>
      </c>
      <c r="L394" s="13" t="n">
        <v>306309</v>
      </c>
    </row>
    <row r="395">
      <c r="A395" s="45" t="inlineStr">
        <is>
          <t>MBWAY_BORDEAUX</t>
        </is>
      </c>
      <c r="B395" s="17" t="inlineStr">
        <is>
          <t>MBway Bordeaux</t>
        </is>
      </c>
      <c r="C395" s="45" t="inlineStr">
        <is>
          <t>MBway</t>
        </is>
      </c>
      <c r="D395" s="45" t="inlineStr">
        <is>
          <t>Bordeaux</t>
        </is>
      </c>
      <c r="E395" s="45" t="inlineStr">
        <is>
          <t>645</t>
        </is>
      </c>
      <c r="F395" s="17" t="inlineStr">
        <is>
          <t>Charges sociales &amp; de prévoyance</t>
        </is>
      </c>
      <c r="G395" s="45" t="inlineStr">
        <is>
          <t>64 — Charges de personnel</t>
        </is>
      </c>
      <c r="H395" s="45" t="inlineStr">
        <is>
          <t>Charge</t>
        </is>
      </c>
      <c r="I395" s="45" t="inlineStr">
        <is>
          <t>Personnel</t>
        </is>
      </c>
      <c r="J395" s="45" t="inlineStr">
        <is>
          <t>2026ATT_VDEF</t>
        </is>
      </c>
      <c r="K395" s="45" t="inlineStr">
        <is>
          <t>2026 (Atterr.)</t>
        </is>
      </c>
      <c r="L395" s="13" t="n">
        <v>259425</v>
      </c>
    </row>
    <row r="396">
      <c r="A396" s="45" t="inlineStr">
        <is>
          <t>ISCOM_PARIS</t>
        </is>
      </c>
      <c r="B396" s="17" t="inlineStr">
        <is>
          <t>ISCOM Paris</t>
        </is>
      </c>
      <c r="C396" s="45" t="inlineStr">
        <is>
          <t>ISCOM</t>
        </is>
      </c>
      <c r="D396" s="45" t="inlineStr">
        <is>
          <t>Paris</t>
        </is>
      </c>
      <c r="E396" s="45" t="inlineStr">
        <is>
          <t>645</t>
        </is>
      </c>
      <c r="F396" s="17" t="inlineStr">
        <is>
          <t>Charges sociales &amp; de prévoyance</t>
        </is>
      </c>
      <c r="G396" s="45" t="inlineStr">
        <is>
          <t>64 — Charges de personnel</t>
        </is>
      </c>
      <c r="H396" s="45" t="inlineStr">
        <is>
          <t>Charge</t>
        </is>
      </c>
      <c r="I396" s="45" t="inlineStr">
        <is>
          <t>Personnel</t>
        </is>
      </c>
      <c r="J396" s="45" t="inlineStr">
        <is>
          <t>2026ATT_VDEF</t>
        </is>
      </c>
      <c r="K396" s="45" t="inlineStr">
        <is>
          <t>2026 (Atterr.)</t>
        </is>
      </c>
      <c r="L396" s="13" t="n">
        <v>368821</v>
      </c>
    </row>
    <row r="397">
      <c r="A397" s="45" t="inlineStr">
        <is>
          <t>ISCOM_LILLE</t>
        </is>
      </c>
      <c r="B397" s="17" t="inlineStr">
        <is>
          <t>ISCOM Lille</t>
        </is>
      </c>
      <c r="C397" s="45" t="inlineStr">
        <is>
          <t>ISCOM</t>
        </is>
      </c>
      <c r="D397" s="45" t="inlineStr">
        <is>
          <t>Lille</t>
        </is>
      </c>
      <c r="E397" s="45" t="inlineStr">
        <is>
          <t>645</t>
        </is>
      </c>
      <c r="F397" s="17" t="inlineStr">
        <is>
          <t>Charges sociales &amp; de prévoyance</t>
        </is>
      </c>
      <c r="G397" s="45" t="inlineStr">
        <is>
          <t>64 — Charges de personnel</t>
        </is>
      </c>
      <c r="H397" s="45" t="inlineStr">
        <is>
          <t>Charge</t>
        </is>
      </c>
      <c r="I397" s="45" t="inlineStr">
        <is>
          <t>Personnel</t>
        </is>
      </c>
      <c r="J397" s="45" t="inlineStr">
        <is>
          <t>2026ATT_VDEF</t>
        </is>
      </c>
      <c r="K397" s="45" t="inlineStr">
        <is>
          <t>2026 (Atterr.)</t>
        </is>
      </c>
      <c r="L397" s="13" t="n">
        <v>254215</v>
      </c>
    </row>
    <row r="398">
      <c r="A398" s="45" t="inlineStr">
        <is>
          <t>ISCOM_TOULOUSE</t>
        </is>
      </c>
      <c r="B398" s="17" t="inlineStr">
        <is>
          <t>ISCOM Toulouse</t>
        </is>
      </c>
      <c r="C398" s="45" t="inlineStr">
        <is>
          <t>ISCOM</t>
        </is>
      </c>
      <c r="D398" s="45" t="inlineStr">
        <is>
          <t>Toulouse</t>
        </is>
      </c>
      <c r="E398" s="45" t="inlineStr">
        <is>
          <t>645</t>
        </is>
      </c>
      <c r="F398" s="17" t="inlineStr">
        <is>
          <t>Charges sociales &amp; de prévoyance</t>
        </is>
      </c>
      <c r="G398" s="45" t="inlineStr">
        <is>
          <t>64 — Charges de personnel</t>
        </is>
      </c>
      <c r="H398" s="45" t="inlineStr">
        <is>
          <t>Charge</t>
        </is>
      </c>
      <c r="I398" s="45" t="inlineStr">
        <is>
          <t>Personnel</t>
        </is>
      </c>
      <c r="J398" s="45" t="inlineStr">
        <is>
          <t>2026ATT_VDEF</t>
        </is>
      </c>
      <c r="K398" s="45" t="inlineStr">
        <is>
          <t>2026 (Atterr.)</t>
        </is>
      </c>
      <c r="L398" s="13" t="n">
        <v>240671</v>
      </c>
    </row>
    <row r="399">
      <c r="A399" s="45" t="inlineStr">
        <is>
          <t>IPAC_BACHELOR_FACTORY_NANTES</t>
        </is>
      </c>
      <c r="B399" s="17" t="inlineStr">
        <is>
          <t>Ipac Bachelor Factory Nantes</t>
        </is>
      </c>
      <c r="C399" s="45" t="inlineStr">
        <is>
          <t>Ipac Bachelor Factory</t>
        </is>
      </c>
      <c r="D399" s="45" t="inlineStr">
        <is>
          <t>Nantes</t>
        </is>
      </c>
      <c r="E399" s="45" t="inlineStr">
        <is>
          <t>645</t>
        </is>
      </c>
      <c r="F399" s="17" t="inlineStr">
        <is>
          <t>Charges sociales &amp; de prévoyance</t>
        </is>
      </c>
      <c r="G399" s="45" t="inlineStr">
        <is>
          <t>64 — Charges de personnel</t>
        </is>
      </c>
      <c r="H399" s="45" t="inlineStr">
        <is>
          <t>Charge</t>
        </is>
      </c>
      <c r="I399" s="45" t="inlineStr">
        <is>
          <t>Personnel</t>
        </is>
      </c>
      <c r="J399" s="45" t="inlineStr">
        <is>
          <t>2026ATT_VDEF</t>
        </is>
      </c>
      <c r="K399" s="45" t="inlineStr">
        <is>
          <t>2026 (Atterr.)</t>
        </is>
      </c>
      <c r="L399" s="13" t="n">
        <v>151071</v>
      </c>
    </row>
    <row r="400">
      <c r="A400" s="45" t="inlineStr">
        <is>
          <t>IPAC_BACHELOR_FACTORY_RENNES</t>
        </is>
      </c>
      <c r="B400" s="17" t="inlineStr">
        <is>
          <t>Ipac Bachelor Factory Rennes</t>
        </is>
      </c>
      <c r="C400" s="45" t="inlineStr">
        <is>
          <t>Ipac Bachelor Factory</t>
        </is>
      </c>
      <c r="D400" s="45" t="inlineStr">
        <is>
          <t>Rennes</t>
        </is>
      </c>
      <c r="E400" s="45" t="inlineStr">
        <is>
          <t>645</t>
        </is>
      </c>
      <c r="F400" s="17" t="inlineStr">
        <is>
          <t>Charges sociales &amp; de prévoyance</t>
        </is>
      </c>
      <c r="G400" s="45" t="inlineStr">
        <is>
          <t>64 — Charges de personnel</t>
        </is>
      </c>
      <c r="H400" s="45" t="inlineStr">
        <is>
          <t>Charge</t>
        </is>
      </c>
      <c r="I400" s="45" t="inlineStr">
        <is>
          <t>Personnel</t>
        </is>
      </c>
      <c r="J400" s="45" t="inlineStr">
        <is>
          <t>2026ATT_VDEF</t>
        </is>
      </c>
      <c r="K400" s="45" t="inlineStr">
        <is>
          <t>2026 (Atterr.)</t>
        </is>
      </c>
      <c r="L400" s="13" t="n">
        <v>121898</v>
      </c>
    </row>
    <row r="401">
      <c r="A401" s="45" t="inlineStr">
        <is>
          <t>IPAC_BACHELOR_FACTORY_MONTPELLIER</t>
        </is>
      </c>
      <c r="B401" s="17" t="inlineStr">
        <is>
          <t>Ipac Bachelor Factory Montpellier</t>
        </is>
      </c>
      <c r="C401" s="45" t="inlineStr">
        <is>
          <t>Ipac Bachelor Factory</t>
        </is>
      </c>
      <c r="D401" s="45" t="inlineStr">
        <is>
          <t>Montpellier</t>
        </is>
      </c>
      <c r="E401" s="45" t="inlineStr">
        <is>
          <t>645</t>
        </is>
      </c>
      <c r="F401" s="17" t="inlineStr">
        <is>
          <t>Charges sociales &amp; de prévoyance</t>
        </is>
      </c>
      <c r="G401" s="45" t="inlineStr">
        <is>
          <t>64 — Charges de personnel</t>
        </is>
      </c>
      <c r="H401" s="45" t="inlineStr">
        <is>
          <t>Charge</t>
        </is>
      </c>
      <c r="I401" s="45" t="inlineStr">
        <is>
          <t>Personnel</t>
        </is>
      </c>
      <c r="J401" s="45" t="inlineStr">
        <is>
          <t>2026ATT_VDEF</t>
        </is>
      </c>
      <c r="K401" s="45" t="inlineStr">
        <is>
          <t>2026 (Atterr.)</t>
        </is>
      </c>
      <c r="L401" s="13" t="n">
        <v>121898</v>
      </c>
    </row>
    <row r="402">
      <c r="A402" s="45" t="inlineStr">
        <is>
          <t>PIGIER_LYON</t>
        </is>
      </c>
      <c r="B402" s="17" t="inlineStr">
        <is>
          <t>Pigier Lyon</t>
        </is>
      </c>
      <c r="C402" s="45" t="inlineStr">
        <is>
          <t>Pigier</t>
        </is>
      </c>
      <c r="D402" s="45" t="inlineStr">
        <is>
          <t>Lyon</t>
        </is>
      </c>
      <c r="E402" s="45" t="inlineStr">
        <is>
          <t>645</t>
        </is>
      </c>
      <c r="F402" s="17" t="inlineStr">
        <is>
          <t>Charges sociales &amp; de prévoyance</t>
        </is>
      </c>
      <c r="G402" s="45" t="inlineStr">
        <is>
          <t>64 — Charges de personnel</t>
        </is>
      </c>
      <c r="H402" s="45" t="inlineStr">
        <is>
          <t>Charge</t>
        </is>
      </c>
      <c r="I402" s="45" t="inlineStr">
        <is>
          <t>Personnel</t>
        </is>
      </c>
      <c r="J402" s="45" t="inlineStr">
        <is>
          <t>2026ATT_VDEF</t>
        </is>
      </c>
      <c r="K402" s="45" t="inlineStr">
        <is>
          <t>2026 (Atterr.)</t>
        </is>
      </c>
      <c r="L402" s="13" t="n">
        <v>189620</v>
      </c>
    </row>
    <row r="403">
      <c r="A403" s="45" t="inlineStr">
        <is>
          <t>PIGIER_BORDEAUX</t>
        </is>
      </c>
      <c r="B403" s="17" t="inlineStr">
        <is>
          <t>Pigier Bordeaux</t>
        </is>
      </c>
      <c r="C403" s="45" t="inlineStr">
        <is>
          <t>Pigier</t>
        </is>
      </c>
      <c r="D403" s="45" t="inlineStr">
        <is>
          <t>Bordeaux</t>
        </is>
      </c>
      <c r="E403" s="45" t="inlineStr">
        <is>
          <t>645</t>
        </is>
      </c>
      <c r="F403" s="17" t="inlineStr">
        <is>
          <t>Charges sociales &amp; de prévoyance</t>
        </is>
      </c>
      <c r="G403" s="45" t="inlineStr">
        <is>
          <t>64 — Charges de personnel</t>
        </is>
      </c>
      <c r="H403" s="45" t="inlineStr">
        <is>
          <t>Charge</t>
        </is>
      </c>
      <c r="I403" s="45" t="inlineStr">
        <is>
          <t>Personnel</t>
        </is>
      </c>
      <c r="J403" s="45" t="inlineStr">
        <is>
          <t>2026ATT_VDEF</t>
        </is>
      </c>
      <c r="K403" s="45" t="inlineStr">
        <is>
          <t>2026 (Atterr.)</t>
        </is>
      </c>
      <c r="L403" s="13" t="n">
        <v>147945</v>
      </c>
    </row>
    <row r="404">
      <c r="A404" s="45" t="inlineStr">
        <is>
          <t>TUNON_PARIS</t>
        </is>
      </c>
      <c r="B404" s="17" t="inlineStr">
        <is>
          <t>Tunon Paris</t>
        </is>
      </c>
      <c r="C404" s="45" t="inlineStr">
        <is>
          <t>Tunon</t>
        </is>
      </c>
      <c r="D404" s="45" t="inlineStr">
        <is>
          <t>Paris</t>
        </is>
      </c>
      <c r="E404" s="45" t="inlineStr">
        <is>
          <t>645</t>
        </is>
      </c>
      <c r="F404" s="17" t="inlineStr">
        <is>
          <t>Charges sociales &amp; de prévoyance</t>
        </is>
      </c>
      <c r="G404" s="45" t="inlineStr">
        <is>
          <t>64 — Charges de personnel</t>
        </is>
      </c>
      <c r="H404" s="45" t="inlineStr">
        <is>
          <t>Charge</t>
        </is>
      </c>
      <c r="I404" s="45" t="inlineStr">
        <is>
          <t>Personnel</t>
        </is>
      </c>
      <c r="J404" s="45" t="inlineStr">
        <is>
          <t>2026ATT_VDEF</t>
        </is>
      </c>
      <c r="K404" s="45" t="inlineStr">
        <is>
          <t>2026 (Atterr.)</t>
        </is>
      </c>
      <c r="L404" s="13" t="n">
        <v>143778</v>
      </c>
    </row>
    <row r="405">
      <c r="A405" s="45" t="inlineStr">
        <is>
          <t>TUNON_LYON</t>
        </is>
      </c>
      <c r="B405" s="17" t="inlineStr">
        <is>
          <t>Tunon Lyon</t>
        </is>
      </c>
      <c r="C405" s="45" t="inlineStr">
        <is>
          <t>Tunon</t>
        </is>
      </c>
      <c r="D405" s="45" t="inlineStr">
        <is>
          <t>Lyon</t>
        </is>
      </c>
      <c r="E405" s="45" t="inlineStr">
        <is>
          <t>645</t>
        </is>
      </c>
      <c r="F405" s="17" t="inlineStr">
        <is>
          <t>Charges sociales &amp; de prévoyance</t>
        </is>
      </c>
      <c r="G405" s="45" t="inlineStr">
        <is>
          <t>64 — Charges de personnel</t>
        </is>
      </c>
      <c r="H405" s="45" t="inlineStr">
        <is>
          <t>Charge</t>
        </is>
      </c>
      <c r="I405" s="45" t="inlineStr">
        <is>
          <t>Personnel</t>
        </is>
      </c>
      <c r="J405" s="45" t="inlineStr">
        <is>
          <t>2026ATT_VDEF</t>
        </is>
      </c>
      <c r="K405" s="45" t="inlineStr">
        <is>
          <t>2026 (Atterr.)</t>
        </is>
      </c>
      <c r="L405" s="13" t="n">
        <v>121898</v>
      </c>
    </row>
    <row r="406">
      <c r="A406" s="45" t="inlineStr">
        <is>
          <t>MBWAY_PARIS</t>
        </is>
      </c>
      <c r="B406" s="17" t="inlineStr">
        <is>
          <t>MBway Paris</t>
        </is>
      </c>
      <c r="C406" s="45" t="inlineStr">
        <is>
          <t>MBway</t>
        </is>
      </c>
      <c r="D406" s="45" t="inlineStr">
        <is>
          <t>Paris</t>
        </is>
      </c>
      <c r="E406" s="45" t="inlineStr">
        <is>
          <t>613</t>
        </is>
      </c>
      <c r="F406" s="17" t="inlineStr">
        <is>
          <t>Loyers &amp; charges locatives (campus)</t>
        </is>
      </c>
      <c r="G406" s="45" t="inlineStr">
        <is>
          <t>61 — Services extérieurs</t>
        </is>
      </c>
      <c r="H406" s="45" t="inlineStr">
        <is>
          <t>Charge</t>
        </is>
      </c>
      <c r="I406" s="45" t="inlineStr">
        <is>
          <t>Structure</t>
        </is>
      </c>
      <c r="J406" s="45" t="inlineStr">
        <is>
          <t>2024ACT_VDEF</t>
        </is>
      </c>
      <c r="K406" s="45" t="inlineStr">
        <is>
          <t>2024 (N-2)</t>
        </is>
      </c>
      <c r="L406" s="13" t="n">
        <v>247906</v>
      </c>
    </row>
    <row r="407">
      <c r="A407" s="45" t="inlineStr">
        <is>
          <t>MBWAY_LYON</t>
        </is>
      </c>
      <c r="B407" s="17" t="inlineStr">
        <is>
          <t>MBway Lyon</t>
        </is>
      </c>
      <c r="C407" s="45" t="inlineStr">
        <is>
          <t>MBway</t>
        </is>
      </c>
      <c r="D407" s="45" t="inlineStr">
        <is>
          <t>Lyon</t>
        </is>
      </c>
      <c r="E407" s="45" t="inlineStr">
        <is>
          <t>613</t>
        </is>
      </c>
      <c r="F407" s="17" t="inlineStr">
        <is>
          <t>Loyers &amp; charges locatives (campus)</t>
        </is>
      </c>
      <c r="G407" s="45" t="inlineStr">
        <is>
          <t>61 — Services extérieurs</t>
        </is>
      </c>
      <c r="H407" s="45" t="inlineStr">
        <is>
          <t>Charge</t>
        </is>
      </c>
      <c r="I407" s="45" t="inlineStr">
        <is>
          <t>Structure</t>
        </is>
      </c>
      <c r="J407" s="45" t="inlineStr">
        <is>
          <t>2024ACT_VDEF</t>
        </is>
      </c>
      <c r="K407" s="45" t="inlineStr">
        <is>
          <t>2024 (N-2)</t>
        </is>
      </c>
      <c r="L407" s="13" t="n">
        <v>214852</v>
      </c>
    </row>
    <row r="408">
      <c r="A408" s="45" t="inlineStr">
        <is>
          <t>MBWAY_NANTES</t>
        </is>
      </c>
      <c r="B408" s="17" t="inlineStr">
        <is>
          <t>MBway Nantes</t>
        </is>
      </c>
      <c r="C408" s="45" t="inlineStr">
        <is>
          <t>MBway</t>
        </is>
      </c>
      <c r="D408" s="45" t="inlineStr">
        <is>
          <t>Nantes</t>
        </is>
      </c>
      <c r="E408" s="45" t="inlineStr">
        <is>
          <t>613</t>
        </is>
      </c>
      <c r="F408" s="17" t="inlineStr">
        <is>
          <t>Loyers &amp; charges locatives (campus)</t>
        </is>
      </c>
      <c r="G408" s="45" t="inlineStr">
        <is>
          <t>61 — Services extérieurs</t>
        </is>
      </c>
      <c r="H408" s="45" t="inlineStr">
        <is>
          <t>Charge</t>
        </is>
      </c>
      <c r="I408" s="45" t="inlineStr">
        <is>
          <t>Structure</t>
        </is>
      </c>
      <c r="J408" s="45" t="inlineStr">
        <is>
          <t>2024ACT_VDEF</t>
        </is>
      </c>
      <c r="K408" s="45" t="inlineStr">
        <is>
          <t>2024 (N-2)</t>
        </is>
      </c>
      <c r="L408" s="13" t="n">
        <v>198325</v>
      </c>
    </row>
    <row r="409">
      <c r="A409" s="45" t="inlineStr">
        <is>
          <t>MBWAY_BORDEAUX</t>
        </is>
      </c>
      <c r="B409" s="17" t="inlineStr">
        <is>
          <t>MBway Bordeaux</t>
        </is>
      </c>
      <c r="C409" s="45" t="inlineStr">
        <is>
          <t>MBway</t>
        </is>
      </c>
      <c r="D409" s="45" t="inlineStr">
        <is>
          <t>Bordeaux</t>
        </is>
      </c>
      <c r="E409" s="45" t="inlineStr">
        <is>
          <t>613</t>
        </is>
      </c>
      <c r="F409" s="17" t="inlineStr">
        <is>
          <t>Loyers &amp; charges locatives (campus)</t>
        </is>
      </c>
      <c r="G409" s="45" t="inlineStr">
        <is>
          <t>61 — Services extérieurs</t>
        </is>
      </c>
      <c r="H409" s="45" t="inlineStr">
        <is>
          <t>Charge</t>
        </is>
      </c>
      <c r="I409" s="45" t="inlineStr">
        <is>
          <t>Structure</t>
        </is>
      </c>
      <c r="J409" s="45" t="inlineStr">
        <is>
          <t>2024ACT_VDEF</t>
        </is>
      </c>
      <c r="K409" s="45" t="inlineStr">
        <is>
          <t>2024 (N-2)</t>
        </is>
      </c>
      <c r="L409" s="13" t="n">
        <v>165271</v>
      </c>
    </row>
    <row r="410">
      <c r="A410" s="45" t="inlineStr">
        <is>
          <t>ISCOM_PARIS</t>
        </is>
      </c>
      <c r="B410" s="17" t="inlineStr">
        <is>
          <t>ISCOM Paris</t>
        </is>
      </c>
      <c r="C410" s="45" t="inlineStr">
        <is>
          <t>ISCOM</t>
        </is>
      </c>
      <c r="D410" s="45" t="inlineStr">
        <is>
          <t>Paris</t>
        </is>
      </c>
      <c r="E410" s="45" t="inlineStr">
        <is>
          <t>613</t>
        </is>
      </c>
      <c r="F410" s="17" t="inlineStr">
        <is>
          <t>Loyers &amp; charges locatives (campus)</t>
        </is>
      </c>
      <c r="G410" s="45" t="inlineStr">
        <is>
          <t>61 — Services extérieurs</t>
        </is>
      </c>
      <c r="H410" s="45" t="inlineStr">
        <is>
          <t>Charge</t>
        </is>
      </c>
      <c r="I410" s="45" t="inlineStr">
        <is>
          <t>Structure</t>
        </is>
      </c>
      <c r="J410" s="45" t="inlineStr">
        <is>
          <t>2024ACT_VDEF</t>
        </is>
      </c>
      <c r="K410" s="45" t="inlineStr">
        <is>
          <t>2024 (N-2)</t>
        </is>
      </c>
      <c r="L410" s="13" t="n">
        <v>247906</v>
      </c>
    </row>
    <row r="411">
      <c r="A411" s="45" t="inlineStr">
        <is>
          <t>ISCOM_LILLE</t>
        </is>
      </c>
      <c r="B411" s="17" t="inlineStr">
        <is>
          <t>ISCOM Lille</t>
        </is>
      </c>
      <c r="C411" s="45" t="inlineStr">
        <is>
          <t>ISCOM</t>
        </is>
      </c>
      <c r="D411" s="45" t="inlineStr">
        <is>
          <t>Lille</t>
        </is>
      </c>
      <c r="E411" s="45" t="inlineStr">
        <is>
          <t>613</t>
        </is>
      </c>
      <c r="F411" s="17" t="inlineStr">
        <is>
          <t>Loyers &amp; charges locatives (campus)</t>
        </is>
      </c>
      <c r="G411" s="45" t="inlineStr">
        <is>
          <t>61 — Services extérieurs</t>
        </is>
      </c>
      <c r="H411" s="45" t="inlineStr">
        <is>
          <t>Charge</t>
        </is>
      </c>
      <c r="I411" s="45" t="inlineStr">
        <is>
          <t>Structure</t>
        </is>
      </c>
      <c r="J411" s="45" t="inlineStr">
        <is>
          <t>2024ACT_VDEF</t>
        </is>
      </c>
      <c r="K411" s="45" t="inlineStr">
        <is>
          <t>2024 (N-2)</t>
        </is>
      </c>
      <c r="L411" s="13" t="n">
        <v>165271</v>
      </c>
    </row>
    <row r="412">
      <c r="A412" s="45" t="inlineStr">
        <is>
          <t>ISCOM_TOULOUSE</t>
        </is>
      </c>
      <c r="B412" s="17" t="inlineStr">
        <is>
          <t>ISCOM Toulouse</t>
        </is>
      </c>
      <c r="C412" s="45" t="inlineStr">
        <is>
          <t>ISCOM</t>
        </is>
      </c>
      <c r="D412" s="45" t="inlineStr">
        <is>
          <t>Toulouse</t>
        </is>
      </c>
      <c r="E412" s="45" t="inlineStr">
        <is>
          <t>613</t>
        </is>
      </c>
      <c r="F412" s="17" t="inlineStr">
        <is>
          <t>Loyers &amp; charges locatives (campus)</t>
        </is>
      </c>
      <c r="G412" s="45" t="inlineStr">
        <is>
          <t>61 — Services extérieurs</t>
        </is>
      </c>
      <c r="H412" s="45" t="inlineStr">
        <is>
          <t>Charge</t>
        </is>
      </c>
      <c r="I412" s="45" t="inlineStr">
        <is>
          <t>Structure</t>
        </is>
      </c>
      <c r="J412" s="45" t="inlineStr">
        <is>
          <t>2024ACT_VDEF</t>
        </is>
      </c>
      <c r="K412" s="45" t="inlineStr">
        <is>
          <t>2024 (N-2)</t>
        </is>
      </c>
      <c r="L412" s="13" t="n">
        <v>165271</v>
      </c>
    </row>
    <row r="413">
      <c r="A413" s="45" t="inlineStr">
        <is>
          <t>IPAC_BACHELOR_FACTORY_NANTES</t>
        </is>
      </c>
      <c r="B413" s="17" t="inlineStr">
        <is>
          <t>Ipac Bachelor Factory Nantes</t>
        </is>
      </c>
      <c r="C413" s="45" t="inlineStr">
        <is>
          <t>Ipac Bachelor Factory</t>
        </is>
      </c>
      <c r="D413" s="45" t="inlineStr">
        <is>
          <t>Nantes</t>
        </is>
      </c>
      <c r="E413" s="45" t="inlineStr">
        <is>
          <t>613</t>
        </is>
      </c>
      <c r="F413" s="17" t="inlineStr">
        <is>
          <t>Loyers &amp; charges locatives (campus)</t>
        </is>
      </c>
      <c r="G413" s="45" t="inlineStr">
        <is>
          <t>61 — Services extérieurs</t>
        </is>
      </c>
      <c r="H413" s="45" t="inlineStr">
        <is>
          <t>Charge</t>
        </is>
      </c>
      <c r="I413" s="45" t="inlineStr">
        <is>
          <t>Structure</t>
        </is>
      </c>
      <c r="J413" s="45" t="inlineStr">
        <is>
          <t>2024ACT_VDEF</t>
        </is>
      </c>
      <c r="K413" s="45" t="inlineStr">
        <is>
          <t>2024 (N-2)</t>
        </is>
      </c>
      <c r="L413" s="13" t="n">
        <v>99162</v>
      </c>
    </row>
    <row r="414">
      <c r="A414" s="45" t="inlineStr">
        <is>
          <t>IPAC_BACHELOR_FACTORY_RENNES</t>
        </is>
      </c>
      <c r="B414" s="17" t="inlineStr">
        <is>
          <t>Ipac Bachelor Factory Rennes</t>
        </is>
      </c>
      <c r="C414" s="45" t="inlineStr">
        <is>
          <t>Ipac Bachelor Factory</t>
        </is>
      </c>
      <c r="D414" s="45" t="inlineStr">
        <is>
          <t>Rennes</t>
        </is>
      </c>
      <c r="E414" s="45" t="inlineStr">
        <is>
          <t>613</t>
        </is>
      </c>
      <c r="F414" s="17" t="inlineStr">
        <is>
          <t>Loyers &amp; charges locatives (campus)</t>
        </is>
      </c>
      <c r="G414" s="45" t="inlineStr">
        <is>
          <t>61 — Services extérieurs</t>
        </is>
      </c>
      <c r="H414" s="45" t="inlineStr">
        <is>
          <t>Charge</t>
        </is>
      </c>
      <c r="I414" s="45" t="inlineStr">
        <is>
          <t>Structure</t>
        </is>
      </c>
      <c r="J414" s="45" t="inlineStr">
        <is>
          <t>2024ACT_VDEF</t>
        </is>
      </c>
      <c r="K414" s="45" t="inlineStr">
        <is>
          <t>2024 (N-2)</t>
        </is>
      </c>
      <c r="L414" s="13" t="n">
        <v>99162</v>
      </c>
    </row>
    <row r="415">
      <c r="A415" s="45" t="inlineStr">
        <is>
          <t>IPAC_BACHELOR_FACTORY_MONTPELLIER</t>
        </is>
      </c>
      <c r="B415" s="17" t="inlineStr">
        <is>
          <t>Ipac Bachelor Factory Montpellier</t>
        </is>
      </c>
      <c r="C415" s="45" t="inlineStr">
        <is>
          <t>Ipac Bachelor Factory</t>
        </is>
      </c>
      <c r="D415" s="45" t="inlineStr">
        <is>
          <t>Montpellier</t>
        </is>
      </c>
      <c r="E415" s="45" t="inlineStr">
        <is>
          <t>613</t>
        </is>
      </c>
      <c r="F415" s="17" t="inlineStr">
        <is>
          <t>Loyers &amp; charges locatives (campus)</t>
        </is>
      </c>
      <c r="G415" s="45" t="inlineStr">
        <is>
          <t>61 — Services extérieurs</t>
        </is>
      </c>
      <c r="H415" s="45" t="inlineStr">
        <is>
          <t>Charge</t>
        </is>
      </c>
      <c r="I415" s="45" t="inlineStr">
        <is>
          <t>Structure</t>
        </is>
      </c>
      <c r="J415" s="45" t="inlineStr">
        <is>
          <t>2024ACT_VDEF</t>
        </is>
      </c>
      <c r="K415" s="45" t="inlineStr">
        <is>
          <t>2024 (N-2)</t>
        </is>
      </c>
      <c r="L415" s="13" t="n">
        <v>99162</v>
      </c>
    </row>
    <row r="416">
      <c r="A416" s="45" t="inlineStr">
        <is>
          <t>PIGIER_LYON</t>
        </is>
      </c>
      <c r="B416" s="17" t="inlineStr">
        <is>
          <t>Pigier Lyon</t>
        </is>
      </c>
      <c r="C416" s="45" t="inlineStr">
        <is>
          <t>Pigier</t>
        </is>
      </c>
      <c r="D416" s="45" t="inlineStr">
        <is>
          <t>Lyon</t>
        </is>
      </c>
      <c r="E416" s="45" t="inlineStr">
        <is>
          <t>613</t>
        </is>
      </c>
      <c r="F416" s="17" t="inlineStr">
        <is>
          <t>Loyers &amp; charges locatives (campus)</t>
        </is>
      </c>
      <c r="G416" s="45" t="inlineStr">
        <is>
          <t>61 — Services extérieurs</t>
        </is>
      </c>
      <c r="H416" s="45" t="inlineStr">
        <is>
          <t>Charge</t>
        </is>
      </c>
      <c r="I416" s="45" t="inlineStr">
        <is>
          <t>Structure</t>
        </is>
      </c>
      <c r="J416" s="45" t="inlineStr">
        <is>
          <t>2024ACT_VDEF</t>
        </is>
      </c>
      <c r="K416" s="45" t="inlineStr">
        <is>
          <t>2024 (N-2)</t>
        </is>
      </c>
      <c r="L416" s="13" t="n">
        <v>132216</v>
      </c>
    </row>
    <row r="417">
      <c r="A417" s="45" t="inlineStr">
        <is>
          <t>PIGIER_BORDEAUX</t>
        </is>
      </c>
      <c r="B417" s="17" t="inlineStr">
        <is>
          <t>Pigier Bordeaux</t>
        </is>
      </c>
      <c r="C417" s="45" t="inlineStr">
        <is>
          <t>Pigier</t>
        </is>
      </c>
      <c r="D417" s="45" t="inlineStr">
        <is>
          <t>Bordeaux</t>
        </is>
      </c>
      <c r="E417" s="45" t="inlineStr">
        <is>
          <t>613</t>
        </is>
      </c>
      <c r="F417" s="17" t="inlineStr">
        <is>
          <t>Loyers &amp; charges locatives (campus)</t>
        </is>
      </c>
      <c r="G417" s="45" t="inlineStr">
        <is>
          <t>61 — Services extérieurs</t>
        </is>
      </c>
      <c r="H417" s="45" t="inlineStr">
        <is>
          <t>Charge</t>
        </is>
      </c>
      <c r="I417" s="45" t="inlineStr">
        <is>
          <t>Structure</t>
        </is>
      </c>
      <c r="J417" s="45" t="inlineStr">
        <is>
          <t>2024ACT_VDEF</t>
        </is>
      </c>
      <c r="K417" s="45" t="inlineStr">
        <is>
          <t>2024 (N-2)</t>
        </is>
      </c>
      <c r="L417" s="13" t="n">
        <v>132216</v>
      </c>
    </row>
    <row r="418">
      <c r="A418" s="45" t="inlineStr">
        <is>
          <t>TUNON_PARIS</t>
        </is>
      </c>
      <c r="B418" s="17" t="inlineStr">
        <is>
          <t>Tunon Paris</t>
        </is>
      </c>
      <c r="C418" s="45" t="inlineStr">
        <is>
          <t>Tunon</t>
        </is>
      </c>
      <c r="D418" s="45" t="inlineStr">
        <is>
          <t>Paris</t>
        </is>
      </c>
      <c r="E418" s="45" t="inlineStr">
        <is>
          <t>613</t>
        </is>
      </c>
      <c r="F418" s="17" t="inlineStr">
        <is>
          <t>Loyers &amp; charges locatives (campus)</t>
        </is>
      </c>
      <c r="G418" s="45" t="inlineStr">
        <is>
          <t>61 — Services extérieurs</t>
        </is>
      </c>
      <c r="H418" s="45" t="inlineStr">
        <is>
          <t>Charge</t>
        </is>
      </c>
      <c r="I418" s="45" t="inlineStr">
        <is>
          <t>Structure</t>
        </is>
      </c>
      <c r="J418" s="45" t="inlineStr">
        <is>
          <t>2024ACT_VDEF</t>
        </is>
      </c>
      <c r="K418" s="45" t="inlineStr">
        <is>
          <t>2024 (N-2)</t>
        </is>
      </c>
      <c r="L418" s="13" t="n">
        <v>99162</v>
      </c>
    </row>
    <row r="419">
      <c r="A419" s="45" t="inlineStr">
        <is>
          <t>TUNON_LYON</t>
        </is>
      </c>
      <c r="B419" s="17" t="inlineStr">
        <is>
          <t>Tunon Lyon</t>
        </is>
      </c>
      <c r="C419" s="45" t="inlineStr">
        <is>
          <t>Tunon</t>
        </is>
      </c>
      <c r="D419" s="45" t="inlineStr">
        <is>
          <t>Lyon</t>
        </is>
      </c>
      <c r="E419" s="45" t="inlineStr">
        <is>
          <t>613</t>
        </is>
      </c>
      <c r="F419" s="17" t="inlineStr">
        <is>
          <t>Loyers &amp; charges locatives (campus)</t>
        </is>
      </c>
      <c r="G419" s="45" t="inlineStr">
        <is>
          <t>61 — Services extérieurs</t>
        </is>
      </c>
      <c r="H419" s="45" t="inlineStr">
        <is>
          <t>Charge</t>
        </is>
      </c>
      <c r="I419" s="45" t="inlineStr">
        <is>
          <t>Structure</t>
        </is>
      </c>
      <c r="J419" s="45" t="inlineStr">
        <is>
          <t>2024ACT_VDEF</t>
        </is>
      </c>
      <c r="K419" s="45" t="inlineStr">
        <is>
          <t>2024 (N-2)</t>
        </is>
      </c>
      <c r="L419" s="13" t="n">
        <v>99162</v>
      </c>
    </row>
    <row r="420">
      <c r="A420" s="45" t="inlineStr">
        <is>
          <t>MBWAY_PARIS</t>
        </is>
      </c>
      <c r="B420" s="17" t="inlineStr">
        <is>
          <t>MBway Paris</t>
        </is>
      </c>
      <c r="C420" s="45" t="inlineStr">
        <is>
          <t>MBway</t>
        </is>
      </c>
      <c r="D420" s="45" t="inlineStr">
        <is>
          <t>Paris</t>
        </is>
      </c>
      <c r="E420" s="45" t="inlineStr">
        <is>
          <t>613</t>
        </is>
      </c>
      <c r="F420" s="17" t="inlineStr">
        <is>
          <t>Loyers &amp; charges locatives (campus)</t>
        </is>
      </c>
      <c r="G420" s="45" t="inlineStr">
        <is>
          <t>61 — Services extérieurs</t>
        </is>
      </c>
      <c r="H420" s="45" t="inlineStr">
        <is>
          <t>Charge</t>
        </is>
      </c>
      <c r="I420" s="45" t="inlineStr">
        <is>
          <t>Structure</t>
        </is>
      </c>
      <c r="J420" s="45" t="inlineStr">
        <is>
          <t>2025ACT_VDEF</t>
        </is>
      </c>
      <c r="K420" s="45" t="inlineStr">
        <is>
          <t>2025 (N-1)</t>
        </is>
      </c>
      <c r="L420" s="13" t="n">
        <v>259265</v>
      </c>
    </row>
    <row r="421">
      <c r="A421" s="45" t="inlineStr">
        <is>
          <t>MBWAY_LYON</t>
        </is>
      </c>
      <c r="B421" s="17" t="inlineStr">
        <is>
          <t>MBway Lyon</t>
        </is>
      </c>
      <c r="C421" s="45" t="inlineStr">
        <is>
          <t>MBway</t>
        </is>
      </c>
      <c r="D421" s="45" t="inlineStr">
        <is>
          <t>Lyon</t>
        </is>
      </c>
      <c r="E421" s="45" t="inlineStr">
        <is>
          <t>613</t>
        </is>
      </c>
      <c r="F421" s="17" t="inlineStr">
        <is>
          <t>Loyers &amp; charges locatives (campus)</t>
        </is>
      </c>
      <c r="G421" s="45" t="inlineStr">
        <is>
          <t>61 — Services extérieurs</t>
        </is>
      </c>
      <c r="H421" s="45" t="inlineStr">
        <is>
          <t>Charge</t>
        </is>
      </c>
      <c r="I421" s="45" t="inlineStr">
        <is>
          <t>Structure</t>
        </is>
      </c>
      <c r="J421" s="45" t="inlineStr">
        <is>
          <t>2025ACT_VDEF</t>
        </is>
      </c>
      <c r="K421" s="45" t="inlineStr">
        <is>
          <t>2025 (N-1)</t>
        </is>
      </c>
      <c r="L421" s="13" t="n">
        <v>224697</v>
      </c>
    </row>
    <row r="422">
      <c r="A422" s="45" t="inlineStr">
        <is>
          <t>MBWAY_NANTES</t>
        </is>
      </c>
      <c r="B422" s="17" t="inlineStr">
        <is>
          <t>MBway Nantes</t>
        </is>
      </c>
      <c r="C422" s="45" t="inlineStr">
        <is>
          <t>MBway</t>
        </is>
      </c>
      <c r="D422" s="45" t="inlineStr">
        <is>
          <t>Nantes</t>
        </is>
      </c>
      <c r="E422" s="45" t="inlineStr">
        <is>
          <t>613</t>
        </is>
      </c>
      <c r="F422" s="17" t="inlineStr">
        <is>
          <t>Loyers &amp; charges locatives (campus)</t>
        </is>
      </c>
      <c r="G422" s="45" t="inlineStr">
        <is>
          <t>61 — Services extérieurs</t>
        </is>
      </c>
      <c r="H422" s="45" t="inlineStr">
        <is>
          <t>Charge</t>
        </is>
      </c>
      <c r="I422" s="45" t="inlineStr">
        <is>
          <t>Structure</t>
        </is>
      </c>
      <c r="J422" s="45" t="inlineStr">
        <is>
          <t>2025ACT_VDEF</t>
        </is>
      </c>
      <c r="K422" s="45" t="inlineStr">
        <is>
          <t>2025 (N-1)</t>
        </is>
      </c>
      <c r="L422" s="13" t="n">
        <v>207412</v>
      </c>
    </row>
    <row r="423">
      <c r="A423" s="45" t="inlineStr">
        <is>
          <t>MBWAY_BORDEAUX</t>
        </is>
      </c>
      <c r="B423" s="17" t="inlineStr">
        <is>
          <t>MBway Bordeaux</t>
        </is>
      </c>
      <c r="C423" s="45" t="inlineStr">
        <is>
          <t>MBway</t>
        </is>
      </c>
      <c r="D423" s="45" t="inlineStr">
        <is>
          <t>Bordeaux</t>
        </is>
      </c>
      <c r="E423" s="45" t="inlineStr">
        <is>
          <t>613</t>
        </is>
      </c>
      <c r="F423" s="17" t="inlineStr">
        <is>
          <t>Loyers &amp; charges locatives (campus)</t>
        </is>
      </c>
      <c r="G423" s="45" t="inlineStr">
        <is>
          <t>61 — Services extérieurs</t>
        </is>
      </c>
      <c r="H423" s="45" t="inlineStr">
        <is>
          <t>Charge</t>
        </is>
      </c>
      <c r="I423" s="45" t="inlineStr">
        <is>
          <t>Structure</t>
        </is>
      </c>
      <c r="J423" s="45" t="inlineStr">
        <is>
          <t>2025ACT_VDEF</t>
        </is>
      </c>
      <c r="K423" s="45" t="inlineStr">
        <is>
          <t>2025 (N-1)</t>
        </is>
      </c>
      <c r="L423" s="13" t="n">
        <v>172844</v>
      </c>
    </row>
    <row r="424">
      <c r="A424" s="45" t="inlineStr">
        <is>
          <t>ISCOM_PARIS</t>
        </is>
      </c>
      <c r="B424" s="17" t="inlineStr">
        <is>
          <t>ISCOM Paris</t>
        </is>
      </c>
      <c r="C424" s="45" t="inlineStr">
        <is>
          <t>ISCOM</t>
        </is>
      </c>
      <c r="D424" s="45" t="inlineStr">
        <is>
          <t>Paris</t>
        </is>
      </c>
      <c r="E424" s="45" t="inlineStr">
        <is>
          <t>613</t>
        </is>
      </c>
      <c r="F424" s="17" t="inlineStr">
        <is>
          <t>Loyers &amp; charges locatives (campus)</t>
        </is>
      </c>
      <c r="G424" s="45" t="inlineStr">
        <is>
          <t>61 — Services extérieurs</t>
        </is>
      </c>
      <c r="H424" s="45" t="inlineStr">
        <is>
          <t>Charge</t>
        </is>
      </c>
      <c r="I424" s="45" t="inlineStr">
        <is>
          <t>Structure</t>
        </is>
      </c>
      <c r="J424" s="45" t="inlineStr">
        <is>
          <t>2025ACT_VDEF</t>
        </is>
      </c>
      <c r="K424" s="45" t="inlineStr">
        <is>
          <t>2025 (N-1)</t>
        </is>
      </c>
      <c r="L424" s="13" t="n">
        <v>259265</v>
      </c>
    </row>
    <row r="425">
      <c r="A425" s="45" t="inlineStr">
        <is>
          <t>ISCOM_LILLE</t>
        </is>
      </c>
      <c r="B425" s="17" t="inlineStr">
        <is>
          <t>ISCOM Lille</t>
        </is>
      </c>
      <c r="C425" s="45" t="inlineStr">
        <is>
          <t>ISCOM</t>
        </is>
      </c>
      <c r="D425" s="45" t="inlineStr">
        <is>
          <t>Lille</t>
        </is>
      </c>
      <c r="E425" s="45" t="inlineStr">
        <is>
          <t>613</t>
        </is>
      </c>
      <c r="F425" s="17" t="inlineStr">
        <is>
          <t>Loyers &amp; charges locatives (campus)</t>
        </is>
      </c>
      <c r="G425" s="45" t="inlineStr">
        <is>
          <t>61 — Services extérieurs</t>
        </is>
      </c>
      <c r="H425" s="45" t="inlineStr">
        <is>
          <t>Charge</t>
        </is>
      </c>
      <c r="I425" s="45" t="inlineStr">
        <is>
          <t>Structure</t>
        </is>
      </c>
      <c r="J425" s="45" t="inlineStr">
        <is>
          <t>2025ACT_VDEF</t>
        </is>
      </c>
      <c r="K425" s="45" t="inlineStr">
        <is>
          <t>2025 (N-1)</t>
        </is>
      </c>
      <c r="L425" s="13" t="n">
        <v>172844</v>
      </c>
    </row>
    <row r="426">
      <c r="A426" s="45" t="inlineStr">
        <is>
          <t>ISCOM_TOULOUSE</t>
        </is>
      </c>
      <c r="B426" s="17" t="inlineStr">
        <is>
          <t>ISCOM Toulouse</t>
        </is>
      </c>
      <c r="C426" s="45" t="inlineStr">
        <is>
          <t>ISCOM</t>
        </is>
      </c>
      <c r="D426" s="45" t="inlineStr">
        <is>
          <t>Toulouse</t>
        </is>
      </c>
      <c r="E426" s="45" t="inlineStr">
        <is>
          <t>613</t>
        </is>
      </c>
      <c r="F426" s="17" t="inlineStr">
        <is>
          <t>Loyers &amp; charges locatives (campus)</t>
        </is>
      </c>
      <c r="G426" s="45" t="inlineStr">
        <is>
          <t>61 — Services extérieurs</t>
        </is>
      </c>
      <c r="H426" s="45" t="inlineStr">
        <is>
          <t>Charge</t>
        </is>
      </c>
      <c r="I426" s="45" t="inlineStr">
        <is>
          <t>Structure</t>
        </is>
      </c>
      <c r="J426" s="45" t="inlineStr">
        <is>
          <t>2025ACT_VDEF</t>
        </is>
      </c>
      <c r="K426" s="45" t="inlineStr">
        <is>
          <t>2025 (N-1)</t>
        </is>
      </c>
      <c r="L426" s="13" t="n">
        <v>172844</v>
      </c>
    </row>
    <row r="427">
      <c r="A427" s="45" t="inlineStr">
        <is>
          <t>IPAC_BACHELOR_FACTORY_NANTES</t>
        </is>
      </c>
      <c r="B427" s="17" t="inlineStr">
        <is>
          <t>Ipac Bachelor Factory Nantes</t>
        </is>
      </c>
      <c r="C427" s="45" t="inlineStr">
        <is>
          <t>Ipac Bachelor Factory</t>
        </is>
      </c>
      <c r="D427" s="45" t="inlineStr">
        <is>
          <t>Nantes</t>
        </is>
      </c>
      <c r="E427" s="45" t="inlineStr">
        <is>
          <t>613</t>
        </is>
      </c>
      <c r="F427" s="17" t="inlineStr">
        <is>
          <t>Loyers &amp; charges locatives (campus)</t>
        </is>
      </c>
      <c r="G427" s="45" t="inlineStr">
        <is>
          <t>61 — Services extérieurs</t>
        </is>
      </c>
      <c r="H427" s="45" t="inlineStr">
        <is>
          <t>Charge</t>
        </is>
      </c>
      <c r="I427" s="45" t="inlineStr">
        <is>
          <t>Structure</t>
        </is>
      </c>
      <c r="J427" s="45" t="inlineStr">
        <is>
          <t>2025ACT_VDEF</t>
        </is>
      </c>
      <c r="K427" s="45" t="inlineStr">
        <is>
          <t>2025 (N-1)</t>
        </is>
      </c>
      <c r="L427" s="13" t="n">
        <v>103706</v>
      </c>
    </row>
    <row r="428">
      <c r="A428" s="45" t="inlineStr">
        <is>
          <t>IPAC_BACHELOR_FACTORY_RENNES</t>
        </is>
      </c>
      <c r="B428" s="17" t="inlineStr">
        <is>
          <t>Ipac Bachelor Factory Rennes</t>
        </is>
      </c>
      <c r="C428" s="45" t="inlineStr">
        <is>
          <t>Ipac Bachelor Factory</t>
        </is>
      </c>
      <c r="D428" s="45" t="inlineStr">
        <is>
          <t>Rennes</t>
        </is>
      </c>
      <c r="E428" s="45" t="inlineStr">
        <is>
          <t>613</t>
        </is>
      </c>
      <c r="F428" s="17" t="inlineStr">
        <is>
          <t>Loyers &amp; charges locatives (campus)</t>
        </is>
      </c>
      <c r="G428" s="45" t="inlineStr">
        <is>
          <t>61 — Services extérieurs</t>
        </is>
      </c>
      <c r="H428" s="45" t="inlineStr">
        <is>
          <t>Charge</t>
        </is>
      </c>
      <c r="I428" s="45" t="inlineStr">
        <is>
          <t>Structure</t>
        </is>
      </c>
      <c r="J428" s="45" t="inlineStr">
        <is>
          <t>2025ACT_VDEF</t>
        </is>
      </c>
      <c r="K428" s="45" t="inlineStr">
        <is>
          <t>2025 (N-1)</t>
        </is>
      </c>
      <c r="L428" s="13" t="n">
        <v>103706</v>
      </c>
    </row>
    <row r="429">
      <c r="A429" s="45" t="inlineStr">
        <is>
          <t>IPAC_BACHELOR_FACTORY_MONTPELLIER</t>
        </is>
      </c>
      <c r="B429" s="17" t="inlineStr">
        <is>
          <t>Ipac Bachelor Factory Montpellier</t>
        </is>
      </c>
      <c r="C429" s="45" t="inlineStr">
        <is>
          <t>Ipac Bachelor Factory</t>
        </is>
      </c>
      <c r="D429" s="45" t="inlineStr">
        <is>
          <t>Montpellier</t>
        </is>
      </c>
      <c r="E429" s="45" t="inlineStr">
        <is>
          <t>613</t>
        </is>
      </c>
      <c r="F429" s="17" t="inlineStr">
        <is>
          <t>Loyers &amp; charges locatives (campus)</t>
        </is>
      </c>
      <c r="G429" s="45" t="inlineStr">
        <is>
          <t>61 — Services extérieurs</t>
        </is>
      </c>
      <c r="H429" s="45" t="inlineStr">
        <is>
          <t>Charge</t>
        </is>
      </c>
      <c r="I429" s="45" t="inlineStr">
        <is>
          <t>Structure</t>
        </is>
      </c>
      <c r="J429" s="45" t="inlineStr">
        <is>
          <t>2025ACT_VDEF</t>
        </is>
      </c>
      <c r="K429" s="45" t="inlineStr">
        <is>
          <t>2025 (N-1)</t>
        </is>
      </c>
      <c r="L429" s="13" t="n">
        <v>103706</v>
      </c>
    </row>
    <row r="430">
      <c r="A430" s="45" t="inlineStr">
        <is>
          <t>PIGIER_LYON</t>
        </is>
      </c>
      <c r="B430" s="17" t="inlineStr">
        <is>
          <t>Pigier Lyon</t>
        </is>
      </c>
      <c r="C430" s="45" t="inlineStr">
        <is>
          <t>Pigier</t>
        </is>
      </c>
      <c r="D430" s="45" t="inlineStr">
        <is>
          <t>Lyon</t>
        </is>
      </c>
      <c r="E430" s="45" t="inlineStr">
        <is>
          <t>613</t>
        </is>
      </c>
      <c r="F430" s="17" t="inlineStr">
        <is>
          <t>Loyers &amp; charges locatives (campus)</t>
        </is>
      </c>
      <c r="G430" s="45" t="inlineStr">
        <is>
          <t>61 — Services extérieurs</t>
        </is>
      </c>
      <c r="H430" s="45" t="inlineStr">
        <is>
          <t>Charge</t>
        </is>
      </c>
      <c r="I430" s="45" t="inlineStr">
        <is>
          <t>Structure</t>
        </is>
      </c>
      <c r="J430" s="45" t="inlineStr">
        <is>
          <t>2025ACT_VDEF</t>
        </is>
      </c>
      <c r="K430" s="45" t="inlineStr">
        <is>
          <t>2025 (N-1)</t>
        </is>
      </c>
      <c r="L430" s="13" t="n">
        <v>138275</v>
      </c>
    </row>
    <row r="431">
      <c r="A431" s="45" t="inlineStr">
        <is>
          <t>PIGIER_BORDEAUX</t>
        </is>
      </c>
      <c r="B431" s="17" t="inlineStr">
        <is>
          <t>Pigier Bordeaux</t>
        </is>
      </c>
      <c r="C431" s="45" t="inlineStr">
        <is>
          <t>Pigier</t>
        </is>
      </c>
      <c r="D431" s="45" t="inlineStr">
        <is>
          <t>Bordeaux</t>
        </is>
      </c>
      <c r="E431" s="45" t="inlineStr">
        <is>
          <t>613</t>
        </is>
      </c>
      <c r="F431" s="17" t="inlineStr">
        <is>
          <t>Loyers &amp; charges locatives (campus)</t>
        </is>
      </c>
      <c r="G431" s="45" t="inlineStr">
        <is>
          <t>61 — Services extérieurs</t>
        </is>
      </c>
      <c r="H431" s="45" t="inlineStr">
        <is>
          <t>Charge</t>
        </is>
      </c>
      <c r="I431" s="45" t="inlineStr">
        <is>
          <t>Structure</t>
        </is>
      </c>
      <c r="J431" s="45" t="inlineStr">
        <is>
          <t>2025ACT_VDEF</t>
        </is>
      </c>
      <c r="K431" s="45" t="inlineStr">
        <is>
          <t>2025 (N-1)</t>
        </is>
      </c>
      <c r="L431" s="13" t="n">
        <v>138275</v>
      </c>
    </row>
    <row r="432">
      <c r="A432" s="45" t="inlineStr">
        <is>
          <t>TUNON_PARIS</t>
        </is>
      </c>
      <c r="B432" s="17" t="inlineStr">
        <is>
          <t>Tunon Paris</t>
        </is>
      </c>
      <c r="C432" s="45" t="inlineStr">
        <is>
          <t>Tunon</t>
        </is>
      </c>
      <c r="D432" s="45" t="inlineStr">
        <is>
          <t>Paris</t>
        </is>
      </c>
      <c r="E432" s="45" t="inlineStr">
        <is>
          <t>613</t>
        </is>
      </c>
      <c r="F432" s="17" t="inlineStr">
        <is>
          <t>Loyers &amp; charges locatives (campus)</t>
        </is>
      </c>
      <c r="G432" s="45" t="inlineStr">
        <is>
          <t>61 — Services extérieurs</t>
        </is>
      </c>
      <c r="H432" s="45" t="inlineStr">
        <is>
          <t>Charge</t>
        </is>
      </c>
      <c r="I432" s="45" t="inlineStr">
        <is>
          <t>Structure</t>
        </is>
      </c>
      <c r="J432" s="45" t="inlineStr">
        <is>
          <t>2025ACT_VDEF</t>
        </is>
      </c>
      <c r="K432" s="45" t="inlineStr">
        <is>
          <t>2025 (N-1)</t>
        </is>
      </c>
      <c r="L432" s="13" t="n">
        <v>103706</v>
      </c>
    </row>
    <row r="433">
      <c r="A433" s="45" t="inlineStr">
        <is>
          <t>TUNON_LYON</t>
        </is>
      </c>
      <c r="B433" s="17" t="inlineStr">
        <is>
          <t>Tunon Lyon</t>
        </is>
      </c>
      <c r="C433" s="45" t="inlineStr">
        <is>
          <t>Tunon</t>
        </is>
      </c>
      <c r="D433" s="45" t="inlineStr">
        <is>
          <t>Lyon</t>
        </is>
      </c>
      <c r="E433" s="45" t="inlineStr">
        <is>
          <t>613</t>
        </is>
      </c>
      <c r="F433" s="17" t="inlineStr">
        <is>
          <t>Loyers &amp; charges locatives (campus)</t>
        </is>
      </c>
      <c r="G433" s="45" t="inlineStr">
        <is>
          <t>61 — Services extérieurs</t>
        </is>
      </c>
      <c r="H433" s="45" t="inlineStr">
        <is>
          <t>Charge</t>
        </is>
      </c>
      <c r="I433" s="45" t="inlineStr">
        <is>
          <t>Structure</t>
        </is>
      </c>
      <c r="J433" s="45" t="inlineStr">
        <is>
          <t>2025ACT_VDEF</t>
        </is>
      </c>
      <c r="K433" s="45" t="inlineStr">
        <is>
          <t>2025 (N-1)</t>
        </is>
      </c>
      <c r="L433" s="13" t="n">
        <v>103706</v>
      </c>
    </row>
    <row r="434">
      <c r="A434" s="45" t="inlineStr">
        <is>
          <t>MBWAY_PARIS</t>
        </is>
      </c>
      <c r="B434" s="17" t="inlineStr">
        <is>
          <t>MBway Paris</t>
        </is>
      </c>
      <c r="C434" s="45" t="inlineStr">
        <is>
          <t>MBway</t>
        </is>
      </c>
      <c r="D434" s="45" t="inlineStr">
        <is>
          <t>Paris</t>
        </is>
      </c>
      <c r="E434" s="45" t="inlineStr">
        <is>
          <t>613</t>
        </is>
      </c>
      <c r="F434" s="17" t="inlineStr">
        <is>
          <t>Loyers &amp; charges locatives (campus)</t>
        </is>
      </c>
      <c r="G434" s="45" t="inlineStr">
        <is>
          <t>61 — Services extérieurs</t>
        </is>
      </c>
      <c r="H434" s="45" t="inlineStr">
        <is>
          <t>Charge</t>
        </is>
      </c>
      <c r="I434" s="45" t="inlineStr">
        <is>
          <t>Structure</t>
        </is>
      </c>
      <c r="J434" s="45" t="inlineStr">
        <is>
          <t>2026ATT_VDEF</t>
        </is>
      </c>
      <c r="K434" s="45" t="inlineStr">
        <is>
          <t>2026 (Atterr.)</t>
        </is>
      </c>
      <c r="L434" s="13" t="n">
        <v>271641</v>
      </c>
    </row>
    <row r="435">
      <c r="A435" s="45" t="inlineStr">
        <is>
          <t>MBWAY_LYON</t>
        </is>
      </c>
      <c r="B435" s="17" t="inlineStr">
        <is>
          <t>MBway Lyon</t>
        </is>
      </c>
      <c r="C435" s="45" t="inlineStr">
        <is>
          <t>MBway</t>
        </is>
      </c>
      <c r="D435" s="45" t="inlineStr">
        <is>
          <t>Lyon</t>
        </is>
      </c>
      <c r="E435" s="45" t="inlineStr">
        <is>
          <t>613</t>
        </is>
      </c>
      <c r="F435" s="17" t="inlineStr">
        <is>
          <t>Loyers &amp; charges locatives (campus)</t>
        </is>
      </c>
      <c r="G435" s="45" t="inlineStr">
        <is>
          <t>61 — Services extérieurs</t>
        </is>
      </c>
      <c r="H435" s="45" t="inlineStr">
        <is>
          <t>Charge</t>
        </is>
      </c>
      <c r="I435" s="45" t="inlineStr">
        <is>
          <t>Structure</t>
        </is>
      </c>
      <c r="J435" s="45" t="inlineStr">
        <is>
          <t>2026ATT_VDEF</t>
        </is>
      </c>
      <c r="K435" s="45" t="inlineStr">
        <is>
          <t>2026 (Atterr.)</t>
        </is>
      </c>
      <c r="L435" s="13" t="n">
        <v>235422</v>
      </c>
    </row>
    <row r="436">
      <c r="A436" s="45" t="inlineStr">
        <is>
          <t>MBWAY_NANTES</t>
        </is>
      </c>
      <c r="B436" s="17" t="inlineStr">
        <is>
          <t>MBway Nantes</t>
        </is>
      </c>
      <c r="C436" s="45" t="inlineStr">
        <is>
          <t>MBway</t>
        </is>
      </c>
      <c r="D436" s="45" t="inlineStr">
        <is>
          <t>Nantes</t>
        </is>
      </c>
      <c r="E436" s="45" t="inlineStr">
        <is>
          <t>613</t>
        </is>
      </c>
      <c r="F436" s="17" t="inlineStr">
        <is>
          <t>Loyers &amp; charges locatives (campus)</t>
        </is>
      </c>
      <c r="G436" s="45" t="inlineStr">
        <is>
          <t>61 — Services extérieurs</t>
        </is>
      </c>
      <c r="H436" s="45" t="inlineStr">
        <is>
          <t>Charge</t>
        </is>
      </c>
      <c r="I436" s="45" t="inlineStr">
        <is>
          <t>Structure</t>
        </is>
      </c>
      <c r="J436" s="45" t="inlineStr">
        <is>
          <t>2026ATT_VDEF</t>
        </is>
      </c>
      <c r="K436" s="45" t="inlineStr">
        <is>
          <t>2026 (Atterr.)</t>
        </is>
      </c>
      <c r="L436" s="13" t="n">
        <v>217313</v>
      </c>
    </row>
    <row r="437">
      <c r="A437" s="45" t="inlineStr">
        <is>
          <t>MBWAY_BORDEAUX</t>
        </is>
      </c>
      <c r="B437" s="17" t="inlineStr">
        <is>
          <t>MBway Bordeaux</t>
        </is>
      </c>
      <c r="C437" s="45" t="inlineStr">
        <is>
          <t>MBway</t>
        </is>
      </c>
      <c r="D437" s="45" t="inlineStr">
        <is>
          <t>Bordeaux</t>
        </is>
      </c>
      <c r="E437" s="45" t="inlineStr">
        <is>
          <t>613</t>
        </is>
      </c>
      <c r="F437" s="17" t="inlineStr">
        <is>
          <t>Loyers &amp; charges locatives (campus)</t>
        </is>
      </c>
      <c r="G437" s="45" t="inlineStr">
        <is>
          <t>61 — Services extérieurs</t>
        </is>
      </c>
      <c r="H437" s="45" t="inlineStr">
        <is>
          <t>Charge</t>
        </is>
      </c>
      <c r="I437" s="45" t="inlineStr">
        <is>
          <t>Structure</t>
        </is>
      </c>
      <c r="J437" s="45" t="inlineStr">
        <is>
          <t>2026ATT_VDEF</t>
        </is>
      </c>
      <c r="K437" s="45" t="inlineStr">
        <is>
          <t>2026 (Atterr.)</t>
        </is>
      </c>
      <c r="L437" s="13" t="n">
        <v>181094</v>
      </c>
    </row>
    <row r="438">
      <c r="A438" s="45" t="inlineStr">
        <is>
          <t>ISCOM_PARIS</t>
        </is>
      </c>
      <c r="B438" s="17" t="inlineStr">
        <is>
          <t>ISCOM Paris</t>
        </is>
      </c>
      <c r="C438" s="45" t="inlineStr">
        <is>
          <t>ISCOM</t>
        </is>
      </c>
      <c r="D438" s="45" t="inlineStr">
        <is>
          <t>Paris</t>
        </is>
      </c>
      <c r="E438" s="45" t="inlineStr">
        <is>
          <t>613</t>
        </is>
      </c>
      <c r="F438" s="17" t="inlineStr">
        <is>
          <t>Loyers &amp; charges locatives (campus)</t>
        </is>
      </c>
      <c r="G438" s="45" t="inlineStr">
        <is>
          <t>61 — Services extérieurs</t>
        </is>
      </c>
      <c r="H438" s="45" t="inlineStr">
        <is>
          <t>Charge</t>
        </is>
      </c>
      <c r="I438" s="45" t="inlineStr">
        <is>
          <t>Structure</t>
        </is>
      </c>
      <c r="J438" s="45" t="inlineStr">
        <is>
          <t>2026ATT_VDEF</t>
        </is>
      </c>
      <c r="K438" s="45" t="inlineStr">
        <is>
          <t>2026 (Atterr.)</t>
        </is>
      </c>
      <c r="L438" s="13" t="n">
        <v>271641</v>
      </c>
    </row>
    <row r="439">
      <c r="A439" s="45" t="inlineStr">
        <is>
          <t>ISCOM_LILLE</t>
        </is>
      </c>
      <c r="B439" s="17" t="inlineStr">
        <is>
          <t>ISCOM Lille</t>
        </is>
      </c>
      <c r="C439" s="45" t="inlineStr">
        <is>
          <t>ISCOM</t>
        </is>
      </c>
      <c r="D439" s="45" t="inlineStr">
        <is>
          <t>Lille</t>
        </is>
      </c>
      <c r="E439" s="45" t="inlineStr">
        <is>
          <t>613</t>
        </is>
      </c>
      <c r="F439" s="17" t="inlineStr">
        <is>
          <t>Loyers &amp; charges locatives (campus)</t>
        </is>
      </c>
      <c r="G439" s="45" t="inlineStr">
        <is>
          <t>61 — Services extérieurs</t>
        </is>
      </c>
      <c r="H439" s="45" t="inlineStr">
        <is>
          <t>Charge</t>
        </is>
      </c>
      <c r="I439" s="45" t="inlineStr">
        <is>
          <t>Structure</t>
        </is>
      </c>
      <c r="J439" s="45" t="inlineStr">
        <is>
          <t>2026ATT_VDEF</t>
        </is>
      </c>
      <c r="K439" s="45" t="inlineStr">
        <is>
          <t>2026 (Atterr.)</t>
        </is>
      </c>
      <c r="L439" s="13" t="n">
        <v>181094</v>
      </c>
    </row>
    <row r="440">
      <c r="A440" s="45" t="inlineStr">
        <is>
          <t>ISCOM_TOULOUSE</t>
        </is>
      </c>
      <c r="B440" s="17" t="inlineStr">
        <is>
          <t>ISCOM Toulouse</t>
        </is>
      </c>
      <c r="C440" s="45" t="inlineStr">
        <is>
          <t>ISCOM</t>
        </is>
      </c>
      <c r="D440" s="45" t="inlineStr">
        <is>
          <t>Toulouse</t>
        </is>
      </c>
      <c r="E440" s="45" t="inlineStr">
        <is>
          <t>613</t>
        </is>
      </c>
      <c r="F440" s="17" t="inlineStr">
        <is>
          <t>Loyers &amp; charges locatives (campus)</t>
        </is>
      </c>
      <c r="G440" s="45" t="inlineStr">
        <is>
          <t>61 — Services extérieurs</t>
        </is>
      </c>
      <c r="H440" s="45" t="inlineStr">
        <is>
          <t>Charge</t>
        </is>
      </c>
      <c r="I440" s="45" t="inlineStr">
        <is>
          <t>Structure</t>
        </is>
      </c>
      <c r="J440" s="45" t="inlineStr">
        <is>
          <t>2026ATT_VDEF</t>
        </is>
      </c>
      <c r="K440" s="45" t="inlineStr">
        <is>
          <t>2026 (Atterr.)</t>
        </is>
      </c>
      <c r="L440" s="13" t="n">
        <v>181094</v>
      </c>
    </row>
    <row r="441">
      <c r="A441" s="45" t="inlineStr">
        <is>
          <t>IPAC_BACHELOR_FACTORY_NANTES</t>
        </is>
      </c>
      <c r="B441" s="17" t="inlineStr">
        <is>
          <t>Ipac Bachelor Factory Nantes</t>
        </is>
      </c>
      <c r="C441" s="45" t="inlineStr">
        <is>
          <t>Ipac Bachelor Factory</t>
        </is>
      </c>
      <c r="D441" s="45" t="inlineStr">
        <is>
          <t>Nantes</t>
        </is>
      </c>
      <c r="E441" s="45" t="inlineStr">
        <is>
          <t>613</t>
        </is>
      </c>
      <c r="F441" s="17" t="inlineStr">
        <is>
          <t>Loyers &amp; charges locatives (campus)</t>
        </is>
      </c>
      <c r="G441" s="45" t="inlineStr">
        <is>
          <t>61 — Services extérieurs</t>
        </is>
      </c>
      <c r="H441" s="45" t="inlineStr">
        <is>
          <t>Charge</t>
        </is>
      </c>
      <c r="I441" s="45" t="inlineStr">
        <is>
          <t>Structure</t>
        </is>
      </c>
      <c r="J441" s="45" t="inlineStr">
        <is>
          <t>2026ATT_VDEF</t>
        </is>
      </c>
      <c r="K441" s="45" t="inlineStr">
        <is>
          <t>2026 (Atterr.)</t>
        </is>
      </c>
      <c r="L441" s="13" t="n">
        <v>108656</v>
      </c>
    </row>
    <row r="442">
      <c r="A442" s="45" t="inlineStr">
        <is>
          <t>IPAC_BACHELOR_FACTORY_RENNES</t>
        </is>
      </c>
      <c r="B442" s="17" t="inlineStr">
        <is>
          <t>Ipac Bachelor Factory Rennes</t>
        </is>
      </c>
      <c r="C442" s="45" t="inlineStr">
        <is>
          <t>Ipac Bachelor Factory</t>
        </is>
      </c>
      <c r="D442" s="45" t="inlineStr">
        <is>
          <t>Rennes</t>
        </is>
      </c>
      <c r="E442" s="45" t="inlineStr">
        <is>
          <t>613</t>
        </is>
      </c>
      <c r="F442" s="17" t="inlineStr">
        <is>
          <t>Loyers &amp; charges locatives (campus)</t>
        </is>
      </c>
      <c r="G442" s="45" t="inlineStr">
        <is>
          <t>61 — Services extérieurs</t>
        </is>
      </c>
      <c r="H442" s="45" t="inlineStr">
        <is>
          <t>Charge</t>
        </is>
      </c>
      <c r="I442" s="45" t="inlineStr">
        <is>
          <t>Structure</t>
        </is>
      </c>
      <c r="J442" s="45" t="inlineStr">
        <is>
          <t>2026ATT_VDEF</t>
        </is>
      </c>
      <c r="K442" s="45" t="inlineStr">
        <is>
          <t>2026 (Atterr.)</t>
        </is>
      </c>
      <c r="L442" s="13" t="n">
        <v>108656</v>
      </c>
    </row>
    <row r="443">
      <c r="A443" s="45" t="inlineStr">
        <is>
          <t>IPAC_BACHELOR_FACTORY_MONTPELLIER</t>
        </is>
      </c>
      <c r="B443" s="17" t="inlineStr">
        <is>
          <t>Ipac Bachelor Factory Montpellier</t>
        </is>
      </c>
      <c r="C443" s="45" t="inlineStr">
        <is>
          <t>Ipac Bachelor Factory</t>
        </is>
      </c>
      <c r="D443" s="45" t="inlineStr">
        <is>
          <t>Montpellier</t>
        </is>
      </c>
      <c r="E443" s="45" t="inlineStr">
        <is>
          <t>613</t>
        </is>
      </c>
      <c r="F443" s="17" t="inlineStr">
        <is>
          <t>Loyers &amp; charges locatives (campus)</t>
        </is>
      </c>
      <c r="G443" s="45" t="inlineStr">
        <is>
          <t>61 — Services extérieurs</t>
        </is>
      </c>
      <c r="H443" s="45" t="inlineStr">
        <is>
          <t>Charge</t>
        </is>
      </c>
      <c r="I443" s="45" t="inlineStr">
        <is>
          <t>Structure</t>
        </is>
      </c>
      <c r="J443" s="45" t="inlineStr">
        <is>
          <t>2026ATT_VDEF</t>
        </is>
      </c>
      <c r="K443" s="45" t="inlineStr">
        <is>
          <t>2026 (Atterr.)</t>
        </is>
      </c>
      <c r="L443" s="13" t="n">
        <v>108656</v>
      </c>
    </row>
    <row r="444">
      <c r="A444" s="45" t="inlineStr">
        <is>
          <t>PIGIER_LYON</t>
        </is>
      </c>
      <c r="B444" s="17" t="inlineStr">
        <is>
          <t>Pigier Lyon</t>
        </is>
      </c>
      <c r="C444" s="45" t="inlineStr">
        <is>
          <t>Pigier</t>
        </is>
      </c>
      <c r="D444" s="45" t="inlineStr">
        <is>
          <t>Lyon</t>
        </is>
      </c>
      <c r="E444" s="45" t="inlineStr">
        <is>
          <t>613</t>
        </is>
      </c>
      <c r="F444" s="17" t="inlineStr">
        <is>
          <t>Loyers &amp; charges locatives (campus)</t>
        </is>
      </c>
      <c r="G444" s="45" t="inlineStr">
        <is>
          <t>61 — Services extérieurs</t>
        </is>
      </c>
      <c r="H444" s="45" t="inlineStr">
        <is>
          <t>Charge</t>
        </is>
      </c>
      <c r="I444" s="45" t="inlineStr">
        <is>
          <t>Structure</t>
        </is>
      </c>
      <c r="J444" s="45" t="inlineStr">
        <is>
          <t>2026ATT_VDEF</t>
        </is>
      </c>
      <c r="K444" s="45" t="inlineStr">
        <is>
          <t>2026 (Atterr.)</t>
        </is>
      </c>
      <c r="L444" s="13" t="n">
        <v>144875</v>
      </c>
    </row>
    <row r="445">
      <c r="A445" s="45" t="inlineStr">
        <is>
          <t>PIGIER_BORDEAUX</t>
        </is>
      </c>
      <c r="B445" s="17" t="inlineStr">
        <is>
          <t>Pigier Bordeaux</t>
        </is>
      </c>
      <c r="C445" s="45" t="inlineStr">
        <is>
          <t>Pigier</t>
        </is>
      </c>
      <c r="D445" s="45" t="inlineStr">
        <is>
          <t>Bordeaux</t>
        </is>
      </c>
      <c r="E445" s="45" t="inlineStr">
        <is>
          <t>613</t>
        </is>
      </c>
      <c r="F445" s="17" t="inlineStr">
        <is>
          <t>Loyers &amp; charges locatives (campus)</t>
        </is>
      </c>
      <c r="G445" s="45" t="inlineStr">
        <is>
          <t>61 — Services extérieurs</t>
        </is>
      </c>
      <c r="H445" s="45" t="inlineStr">
        <is>
          <t>Charge</t>
        </is>
      </c>
      <c r="I445" s="45" t="inlineStr">
        <is>
          <t>Structure</t>
        </is>
      </c>
      <c r="J445" s="45" t="inlineStr">
        <is>
          <t>2026ATT_VDEF</t>
        </is>
      </c>
      <c r="K445" s="45" t="inlineStr">
        <is>
          <t>2026 (Atterr.)</t>
        </is>
      </c>
      <c r="L445" s="13" t="n">
        <v>144875</v>
      </c>
    </row>
    <row r="446">
      <c r="A446" s="45" t="inlineStr">
        <is>
          <t>TUNON_PARIS</t>
        </is>
      </c>
      <c r="B446" s="17" t="inlineStr">
        <is>
          <t>Tunon Paris</t>
        </is>
      </c>
      <c r="C446" s="45" t="inlineStr">
        <is>
          <t>Tunon</t>
        </is>
      </c>
      <c r="D446" s="45" t="inlineStr">
        <is>
          <t>Paris</t>
        </is>
      </c>
      <c r="E446" s="45" t="inlineStr">
        <is>
          <t>613</t>
        </is>
      </c>
      <c r="F446" s="17" t="inlineStr">
        <is>
          <t>Loyers &amp; charges locatives (campus)</t>
        </is>
      </c>
      <c r="G446" s="45" t="inlineStr">
        <is>
          <t>61 — Services extérieurs</t>
        </is>
      </c>
      <c r="H446" s="45" t="inlineStr">
        <is>
          <t>Charge</t>
        </is>
      </c>
      <c r="I446" s="45" t="inlineStr">
        <is>
          <t>Structure</t>
        </is>
      </c>
      <c r="J446" s="45" t="inlineStr">
        <is>
          <t>2026ATT_VDEF</t>
        </is>
      </c>
      <c r="K446" s="45" t="inlineStr">
        <is>
          <t>2026 (Atterr.)</t>
        </is>
      </c>
      <c r="L446" s="13" t="n">
        <v>108656</v>
      </c>
    </row>
    <row r="447">
      <c r="A447" s="45" t="inlineStr">
        <is>
          <t>TUNON_LYON</t>
        </is>
      </c>
      <c r="B447" s="17" t="inlineStr">
        <is>
          <t>Tunon Lyon</t>
        </is>
      </c>
      <c r="C447" s="45" t="inlineStr">
        <is>
          <t>Tunon</t>
        </is>
      </c>
      <c r="D447" s="45" t="inlineStr">
        <is>
          <t>Lyon</t>
        </is>
      </c>
      <c r="E447" s="45" t="inlineStr">
        <is>
          <t>613</t>
        </is>
      </c>
      <c r="F447" s="17" t="inlineStr">
        <is>
          <t>Loyers &amp; charges locatives (campus)</t>
        </is>
      </c>
      <c r="G447" s="45" t="inlineStr">
        <is>
          <t>61 — Services extérieurs</t>
        </is>
      </c>
      <c r="H447" s="45" t="inlineStr">
        <is>
          <t>Charge</t>
        </is>
      </c>
      <c r="I447" s="45" t="inlineStr">
        <is>
          <t>Structure</t>
        </is>
      </c>
      <c r="J447" s="45" t="inlineStr">
        <is>
          <t>2026ATT_VDEF</t>
        </is>
      </c>
      <c r="K447" s="45" t="inlineStr">
        <is>
          <t>2026 (Atterr.)</t>
        </is>
      </c>
      <c r="L447" s="13" t="n">
        <v>108656</v>
      </c>
    </row>
    <row r="448">
      <c r="A448" s="45" t="inlineStr">
        <is>
          <t>MBWAY_PARIS</t>
        </is>
      </c>
      <c r="B448" s="17" t="inlineStr">
        <is>
          <t>MBway Paris</t>
        </is>
      </c>
      <c r="C448" s="45" t="inlineStr">
        <is>
          <t>MBway</t>
        </is>
      </c>
      <c r="D448" s="45" t="inlineStr">
        <is>
          <t>Paris</t>
        </is>
      </c>
      <c r="E448" s="45" t="inlineStr">
        <is>
          <t>615</t>
        </is>
      </c>
      <c r="F448" s="17" t="inlineStr">
        <is>
          <t>Entretien &amp; maintenance</t>
        </is>
      </c>
      <c r="G448" s="45" t="inlineStr">
        <is>
          <t>61 — Services extérieurs</t>
        </is>
      </c>
      <c r="H448" s="45" t="inlineStr">
        <is>
          <t>Charge</t>
        </is>
      </c>
      <c r="I448" s="45" t="inlineStr">
        <is>
          <t>Structure</t>
        </is>
      </c>
      <c r="J448" s="45" t="inlineStr">
        <is>
          <t>2024ACT_VDEF</t>
        </is>
      </c>
      <c r="K448" s="45" t="inlineStr">
        <is>
          <t>2024 (N-2)</t>
        </is>
      </c>
      <c r="L448" s="13" t="n">
        <v>35415</v>
      </c>
    </row>
    <row r="449">
      <c r="A449" s="45" t="inlineStr">
        <is>
          <t>MBWAY_LYON</t>
        </is>
      </c>
      <c r="B449" s="17" t="inlineStr">
        <is>
          <t>MBway Lyon</t>
        </is>
      </c>
      <c r="C449" s="45" t="inlineStr">
        <is>
          <t>MBway</t>
        </is>
      </c>
      <c r="D449" s="45" t="inlineStr">
        <is>
          <t>Lyon</t>
        </is>
      </c>
      <c r="E449" s="45" t="inlineStr">
        <is>
          <t>615</t>
        </is>
      </c>
      <c r="F449" s="17" t="inlineStr">
        <is>
          <t>Entretien &amp; maintenance</t>
        </is>
      </c>
      <c r="G449" s="45" t="inlineStr">
        <is>
          <t>61 — Services extérieurs</t>
        </is>
      </c>
      <c r="H449" s="45" t="inlineStr">
        <is>
          <t>Charge</t>
        </is>
      </c>
      <c r="I449" s="45" t="inlineStr">
        <is>
          <t>Structure</t>
        </is>
      </c>
      <c r="J449" s="45" t="inlineStr">
        <is>
          <t>2024ACT_VDEF</t>
        </is>
      </c>
      <c r="K449" s="45" t="inlineStr">
        <is>
          <t>2024 (N-2)</t>
        </is>
      </c>
      <c r="L449" s="13" t="n">
        <v>30693</v>
      </c>
    </row>
    <row r="450">
      <c r="A450" s="45" t="inlineStr">
        <is>
          <t>MBWAY_NANTES</t>
        </is>
      </c>
      <c r="B450" s="17" t="inlineStr">
        <is>
          <t>MBway Nantes</t>
        </is>
      </c>
      <c r="C450" s="45" t="inlineStr">
        <is>
          <t>MBway</t>
        </is>
      </c>
      <c r="D450" s="45" t="inlineStr">
        <is>
          <t>Nantes</t>
        </is>
      </c>
      <c r="E450" s="45" t="inlineStr">
        <is>
          <t>615</t>
        </is>
      </c>
      <c r="F450" s="17" t="inlineStr">
        <is>
          <t>Entretien &amp; maintenance</t>
        </is>
      </c>
      <c r="G450" s="45" t="inlineStr">
        <is>
          <t>61 — Services extérieurs</t>
        </is>
      </c>
      <c r="H450" s="45" t="inlineStr">
        <is>
          <t>Charge</t>
        </is>
      </c>
      <c r="I450" s="45" t="inlineStr">
        <is>
          <t>Structure</t>
        </is>
      </c>
      <c r="J450" s="45" t="inlineStr">
        <is>
          <t>2024ACT_VDEF</t>
        </is>
      </c>
      <c r="K450" s="45" t="inlineStr">
        <is>
          <t>2024 (N-2)</t>
        </is>
      </c>
      <c r="L450" s="13" t="n">
        <v>28332</v>
      </c>
    </row>
    <row r="451">
      <c r="A451" s="45" t="inlineStr">
        <is>
          <t>MBWAY_BORDEAUX</t>
        </is>
      </c>
      <c r="B451" s="17" t="inlineStr">
        <is>
          <t>MBway Bordeaux</t>
        </is>
      </c>
      <c r="C451" s="45" t="inlineStr">
        <is>
          <t>MBway</t>
        </is>
      </c>
      <c r="D451" s="45" t="inlineStr">
        <is>
          <t>Bordeaux</t>
        </is>
      </c>
      <c r="E451" s="45" t="inlineStr">
        <is>
          <t>615</t>
        </is>
      </c>
      <c r="F451" s="17" t="inlineStr">
        <is>
          <t>Entretien &amp; maintenance</t>
        </is>
      </c>
      <c r="G451" s="45" t="inlineStr">
        <is>
          <t>61 — Services extérieurs</t>
        </is>
      </c>
      <c r="H451" s="45" t="inlineStr">
        <is>
          <t>Charge</t>
        </is>
      </c>
      <c r="I451" s="45" t="inlineStr">
        <is>
          <t>Structure</t>
        </is>
      </c>
      <c r="J451" s="45" t="inlineStr">
        <is>
          <t>2024ACT_VDEF</t>
        </is>
      </c>
      <c r="K451" s="45" t="inlineStr">
        <is>
          <t>2024 (N-2)</t>
        </is>
      </c>
      <c r="L451" s="13" t="n">
        <v>23610</v>
      </c>
    </row>
    <row r="452">
      <c r="A452" s="45" t="inlineStr">
        <is>
          <t>ISCOM_PARIS</t>
        </is>
      </c>
      <c r="B452" s="17" t="inlineStr">
        <is>
          <t>ISCOM Paris</t>
        </is>
      </c>
      <c r="C452" s="45" t="inlineStr">
        <is>
          <t>ISCOM</t>
        </is>
      </c>
      <c r="D452" s="45" t="inlineStr">
        <is>
          <t>Paris</t>
        </is>
      </c>
      <c r="E452" s="45" t="inlineStr">
        <is>
          <t>615</t>
        </is>
      </c>
      <c r="F452" s="17" t="inlineStr">
        <is>
          <t>Entretien &amp; maintenance</t>
        </is>
      </c>
      <c r="G452" s="45" t="inlineStr">
        <is>
          <t>61 — Services extérieurs</t>
        </is>
      </c>
      <c r="H452" s="45" t="inlineStr">
        <is>
          <t>Charge</t>
        </is>
      </c>
      <c r="I452" s="45" t="inlineStr">
        <is>
          <t>Structure</t>
        </is>
      </c>
      <c r="J452" s="45" t="inlineStr">
        <is>
          <t>2024ACT_VDEF</t>
        </is>
      </c>
      <c r="K452" s="45" t="inlineStr">
        <is>
          <t>2024 (N-2)</t>
        </is>
      </c>
      <c r="L452" s="13" t="n">
        <v>35415</v>
      </c>
    </row>
    <row r="453">
      <c r="A453" s="45" t="inlineStr">
        <is>
          <t>ISCOM_LILLE</t>
        </is>
      </c>
      <c r="B453" s="17" t="inlineStr">
        <is>
          <t>ISCOM Lille</t>
        </is>
      </c>
      <c r="C453" s="45" t="inlineStr">
        <is>
          <t>ISCOM</t>
        </is>
      </c>
      <c r="D453" s="45" t="inlineStr">
        <is>
          <t>Lille</t>
        </is>
      </c>
      <c r="E453" s="45" t="inlineStr">
        <is>
          <t>615</t>
        </is>
      </c>
      <c r="F453" s="17" t="inlineStr">
        <is>
          <t>Entretien &amp; maintenance</t>
        </is>
      </c>
      <c r="G453" s="45" t="inlineStr">
        <is>
          <t>61 — Services extérieurs</t>
        </is>
      </c>
      <c r="H453" s="45" t="inlineStr">
        <is>
          <t>Charge</t>
        </is>
      </c>
      <c r="I453" s="45" t="inlineStr">
        <is>
          <t>Structure</t>
        </is>
      </c>
      <c r="J453" s="45" t="inlineStr">
        <is>
          <t>2024ACT_VDEF</t>
        </is>
      </c>
      <c r="K453" s="45" t="inlineStr">
        <is>
          <t>2024 (N-2)</t>
        </is>
      </c>
      <c r="L453" s="13" t="n">
        <v>23610</v>
      </c>
    </row>
    <row r="454">
      <c r="A454" s="45" t="inlineStr">
        <is>
          <t>ISCOM_TOULOUSE</t>
        </is>
      </c>
      <c r="B454" s="17" t="inlineStr">
        <is>
          <t>ISCOM Toulouse</t>
        </is>
      </c>
      <c r="C454" s="45" t="inlineStr">
        <is>
          <t>ISCOM</t>
        </is>
      </c>
      <c r="D454" s="45" t="inlineStr">
        <is>
          <t>Toulouse</t>
        </is>
      </c>
      <c r="E454" s="45" t="inlineStr">
        <is>
          <t>615</t>
        </is>
      </c>
      <c r="F454" s="17" t="inlineStr">
        <is>
          <t>Entretien &amp; maintenance</t>
        </is>
      </c>
      <c r="G454" s="45" t="inlineStr">
        <is>
          <t>61 — Services extérieurs</t>
        </is>
      </c>
      <c r="H454" s="45" t="inlineStr">
        <is>
          <t>Charge</t>
        </is>
      </c>
      <c r="I454" s="45" t="inlineStr">
        <is>
          <t>Structure</t>
        </is>
      </c>
      <c r="J454" s="45" t="inlineStr">
        <is>
          <t>2024ACT_VDEF</t>
        </is>
      </c>
      <c r="K454" s="45" t="inlineStr">
        <is>
          <t>2024 (N-2)</t>
        </is>
      </c>
      <c r="L454" s="13" t="n">
        <v>23610</v>
      </c>
    </row>
    <row r="455">
      <c r="A455" s="45" t="inlineStr">
        <is>
          <t>IPAC_BACHELOR_FACTORY_NANTES</t>
        </is>
      </c>
      <c r="B455" s="17" t="inlineStr">
        <is>
          <t>Ipac Bachelor Factory Nantes</t>
        </is>
      </c>
      <c r="C455" s="45" t="inlineStr">
        <is>
          <t>Ipac Bachelor Factory</t>
        </is>
      </c>
      <c r="D455" s="45" t="inlineStr">
        <is>
          <t>Nantes</t>
        </is>
      </c>
      <c r="E455" s="45" t="inlineStr">
        <is>
          <t>615</t>
        </is>
      </c>
      <c r="F455" s="17" t="inlineStr">
        <is>
          <t>Entretien &amp; maintenance</t>
        </is>
      </c>
      <c r="G455" s="45" t="inlineStr">
        <is>
          <t>61 — Services extérieurs</t>
        </is>
      </c>
      <c r="H455" s="45" t="inlineStr">
        <is>
          <t>Charge</t>
        </is>
      </c>
      <c r="I455" s="45" t="inlineStr">
        <is>
          <t>Structure</t>
        </is>
      </c>
      <c r="J455" s="45" t="inlineStr">
        <is>
          <t>2024ACT_VDEF</t>
        </is>
      </c>
      <c r="K455" s="45" t="inlineStr">
        <is>
          <t>2024 (N-2)</t>
        </is>
      </c>
      <c r="L455" s="13" t="n">
        <v>14166</v>
      </c>
    </row>
    <row r="456">
      <c r="A456" s="45" t="inlineStr">
        <is>
          <t>IPAC_BACHELOR_FACTORY_RENNES</t>
        </is>
      </c>
      <c r="B456" s="17" t="inlineStr">
        <is>
          <t>Ipac Bachelor Factory Rennes</t>
        </is>
      </c>
      <c r="C456" s="45" t="inlineStr">
        <is>
          <t>Ipac Bachelor Factory</t>
        </is>
      </c>
      <c r="D456" s="45" t="inlineStr">
        <is>
          <t>Rennes</t>
        </is>
      </c>
      <c r="E456" s="45" t="inlineStr">
        <is>
          <t>615</t>
        </is>
      </c>
      <c r="F456" s="17" t="inlineStr">
        <is>
          <t>Entretien &amp; maintenance</t>
        </is>
      </c>
      <c r="G456" s="45" t="inlineStr">
        <is>
          <t>61 — Services extérieurs</t>
        </is>
      </c>
      <c r="H456" s="45" t="inlineStr">
        <is>
          <t>Charge</t>
        </is>
      </c>
      <c r="I456" s="45" t="inlineStr">
        <is>
          <t>Structure</t>
        </is>
      </c>
      <c r="J456" s="45" t="inlineStr">
        <is>
          <t>2024ACT_VDEF</t>
        </is>
      </c>
      <c r="K456" s="45" t="inlineStr">
        <is>
          <t>2024 (N-2)</t>
        </is>
      </c>
      <c r="L456" s="13" t="n">
        <v>14166</v>
      </c>
    </row>
    <row r="457">
      <c r="A457" s="45" t="inlineStr">
        <is>
          <t>IPAC_BACHELOR_FACTORY_MONTPELLIER</t>
        </is>
      </c>
      <c r="B457" s="17" t="inlineStr">
        <is>
          <t>Ipac Bachelor Factory Montpellier</t>
        </is>
      </c>
      <c r="C457" s="45" t="inlineStr">
        <is>
          <t>Ipac Bachelor Factory</t>
        </is>
      </c>
      <c r="D457" s="45" t="inlineStr">
        <is>
          <t>Montpellier</t>
        </is>
      </c>
      <c r="E457" s="45" t="inlineStr">
        <is>
          <t>615</t>
        </is>
      </c>
      <c r="F457" s="17" t="inlineStr">
        <is>
          <t>Entretien &amp; maintenance</t>
        </is>
      </c>
      <c r="G457" s="45" t="inlineStr">
        <is>
          <t>61 — Services extérieurs</t>
        </is>
      </c>
      <c r="H457" s="45" t="inlineStr">
        <is>
          <t>Charge</t>
        </is>
      </c>
      <c r="I457" s="45" t="inlineStr">
        <is>
          <t>Structure</t>
        </is>
      </c>
      <c r="J457" s="45" t="inlineStr">
        <is>
          <t>2024ACT_VDEF</t>
        </is>
      </c>
      <c r="K457" s="45" t="inlineStr">
        <is>
          <t>2024 (N-2)</t>
        </is>
      </c>
      <c r="L457" s="13" t="n">
        <v>14166</v>
      </c>
    </row>
    <row r="458">
      <c r="A458" s="45" t="inlineStr">
        <is>
          <t>PIGIER_LYON</t>
        </is>
      </c>
      <c r="B458" s="17" t="inlineStr">
        <is>
          <t>Pigier Lyon</t>
        </is>
      </c>
      <c r="C458" s="45" t="inlineStr">
        <is>
          <t>Pigier</t>
        </is>
      </c>
      <c r="D458" s="45" t="inlineStr">
        <is>
          <t>Lyon</t>
        </is>
      </c>
      <c r="E458" s="45" t="inlineStr">
        <is>
          <t>615</t>
        </is>
      </c>
      <c r="F458" s="17" t="inlineStr">
        <is>
          <t>Entretien &amp; maintenance</t>
        </is>
      </c>
      <c r="G458" s="45" t="inlineStr">
        <is>
          <t>61 — Services extérieurs</t>
        </is>
      </c>
      <c r="H458" s="45" t="inlineStr">
        <is>
          <t>Charge</t>
        </is>
      </c>
      <c r="I458" s="45" t="inlineStr">
        <is>
          <t>Structure</t>
        </is>
      </c>
      <c r="J458" s="45" t="inlineStr">
        <is>
          <t>2024ACT_VDEF</t>
        </is>
      </c>
      <c r="K458" s="45" t="inlineStr">
        <is>
          <t>2024 (N-2)</t>
        </is>
      </c>
      <c r="L458" s="13" t="n">
        <v>18888</v>
      </c>
    </row>
    <row r="459">
      <c r="A459" s="45" t="inlineStr">
        <is>
          <t>PIGIER_BORDEAUX</t>
        </is>
      </c>
      <c r="B459" s="17" t="inlineStr">
        <is>
          <t>Pigier Bordeaux</t>
        </is>
      </c>
      <c r="C459" s="45" t="inlineStr">
        <is>
          <t>Pigier</t>
        </is>
      </c>
      <c r="D459" s="45" t="inlineStr">
        <is>
          <t>Bordeaux</t>
        </is>
      </c>
      <c r="E459" s="45" t="inlineStr">
        <is>
          <t>615</t>
        </is>
      </c>
      <c r="F459" s="17" t="inlineStr">
        <is>
          <t>Entretien &amp; maintenance</t>
        </is>
      </c>
      <c r="G459" s="45" t="inlineStr">
        <is>
          <t>61 — Services extérieurs</t>
        </is>
      </c>
      <c r="H459" s="45" t="inlineStr">
        <is>
          <t>Charge</t>
        </is>
      </c>
      <c r="I459" s="45" t="inlineStr">
        <is>
          <t>Structure</t>
        </is>
      </c>
      <c r="J459" s="45" t="inlineStr">
        <is>
          <t>2024ACT_VDEF</t>
        </is>
      </c>
      <c r="K459" s="45" t="inlineStr">
        <is>
          <t>2024 (N-2)</t>
        </is>
      </c>
      <c r="L459" s="13" t="n">
        <v>18888</v>
      </c>
    </row>
    <row r="460">
      <c r="A460" s="45" t="inlineStr">
        <is>
          <t>TUNON_PARIS</t>
        </is>
      </c>
      <c r="B460" s="17" t="inlineStr">
        <is>
          <t>Tunon Paris</t>
        </is>
      </c>
      <c r="C460" s="45" t="inlineStr">
        <is>
          <t>Tunon</t>
        </is>
      </c>
      <c r="D460" s="45" t="inlineStr">
        <is>
          <t>Paris</t>
        </is>
      </c>
      <c r="E460" s="45" t="inlineStr">
        <is>
          <t>615</t>
        </is>
      </c>
      <c r="F460" s="17" t="inlineStr">
        <is>
          <t>Entretien &amp; maintenance</t>
        </is>
      </c>
      <c r="G460" s="45" t="inlineStr">
        <is>
          <t>61 — Services extérieurs</t>
        </is>
      </c>
      <c r="H460" s="45" t="inlineStr">
        <is>
          <t>Charge</t>
        </is>
      </c>
      <c r="I460" s="45" t="inlineStr">
        <is>
          <t>Structure</t>
        </is>
      </c>
      <c r="J460" s="45" t="inlineStr">
        <is>
          <t>2024ACT_VDEF</t>
        </is>
      </c>
      <c r="K460" s="45" t="inlineStr">
        <is>
          <t>2024 (N-2)</t>
        </is>
      </c>
      <c r="L460" s="13" t="n">
        <v>14166</v>
      </c>
    </row>
    <row r="461">
      <c r="A461" s="45" t="inlineStr">
        <is>
          <t>TUNON_LYON</t>
        </is>
      </c>
      <c r="B461" s="17" t="inlineStr">
        <is>
          <t>Tunon Lyon</t>
        </is>
      </c>
      <c r="C461" s="45" t="inlineStr">
        <is>
          <t>Tunon</t>
        </is>
      </c>
      <c r="D461" s="45" t="inlineStr">
        <is>
          <t>Lyon</t>
        </is>
      </c>
      <c r="E461" s="45" t="inlineStr">
        <is>
          <t>615</t>
        </is>
      </c>
      <c r="F461" s="17" t="inlineStr">
        <is>
          <t>Entretien &amp; maintenance</t>
        </is>
      </c>
      <c r="G461" s="45" t="inlineStr">
        <is>
          <t>61 — Services extérieurs</t>
        </is>
      </c>
      <c r="H461" s="45" t="inlineStr">
        <is>
          <t>Charge</t>
        </is>
      </c>
      <c r="I461" s="45" t="inlineStr">
        <is>
          <t>Structure</t>
        </is>
      </c>
      <c r="J461" s="45" t="inlineStr">
        <is>
          <t>2024ACT_VDEF</t>
        </is>
      </c>
      <c r="K461" s="45" t="inlineStr">
        <is>
          <t>2024 (N-2)</t>
        </is>
      </c>
      <c r="L461" s="13" t="n">
        <v>14166</v>
      </c>
    </row>
    <row r="462">
      <c r="A462" s="45" t="inlineStr">
        <is>
          <t>MBWAY_PARIS</t>
        </is>
      </c>
      <c r="B462" s="17" t="inlineStr">
        <is>
          <t>MBway Paris</t>
        </is>
      </c>
      <c r="C462" s="45" t="inlineStr">
        <is>
          <t>MBway</t>
        </is>
      </c>
      <c r="D462" s="45" t="inlineStr">
        <is>
          <t>Paris</t>
        </is>
      </c>
      <c r="E462" s="45" t="inlineStr">
        <is>
          <t>615</t>
        </is>
      </c>
      <c r="F462" s="17" t="inlineStr">
        <is>
          <t>Entretien &amp; maintenance</t>
        </is>
      </c>
      <c r="G462" s="45" t="inlineStr">
        <is>
          <t>61 — Services extérieurs</t>
        </is>
      </c>
      <c r="H462" s="45" t="inlineStr">
        <is>
          <t>Charge</t>
        </is>
      </c>
      <c r="I462" s="45" t="inlineStr">
        <is>
          <t>Structure</t>
        </is>
      </c>
      <c r="J462" s="45" t="inlineStr">
        <is>
          <t>2025ACT_VDEF</t>
        </is>
      </c>
      <c r="K462" s="45" t="inlineStr">
        <is>
          <t>2025 (N-1)</t>
        </is>
      </c>
      <c r="L462" s="13" t="n">
        <v>37038</v>
      </c>
    </row>
    <row r="463">
      <c r="A463" s="45" t="inlineStr">
        <is>
          <t>MBWAY_LYON</t>
        </is>
      </c>
      <c r="B463" s="17" t="inlineStr">
        <is>
          <t>MBway Lyon</t>
        </is>
      </c>
      <c r="C463" s="45" t="inlineStr">
        <is>
          <t>MBway</t>
        </is>
      </c>
      <c r="D463" s="45" t="inlineStr">
        <is>
          <t>Lyon</t>
        </is>
      </c>
      <c r="E463" s="45" t="inlineStr">
        <is>
          <t>615</t>
        </is>
      </c>
      <c r="F463" s="17" t="inlineStr">
        <is>
          <t>Entretien &amp; maintenance</t>
        </is>
      </c>
      <c r="G463" s="45" t="inlineStr">
        <is>
          <t>61 — Services extérieurs</t>
        </is>
      </c>
      <c r="H463" s="45" t="inlineStr">
        <is>
          <t>Charge</t>
        </is>
      </c>
      <c r="I463" s="45" t="inlineStr">
        <is>
          <t>Structure</t>
        </is>
      </c>
      <c r="J463" s="45" t="inlineStr">
        <is>
          <t>2025ACT_VDEF</t>
        </is>
      </c>
      <c r="K463" s="45" t="inlineStr">
        <is>
          <t>2025 (N-1)</t>
        </is>
      </c>
      <c r="L463" s="13" t="n">
        <v>32100</v>
      </c>
    </row>
    <row r="464">
      <c r="A464" s="45" t="inlineStr">
        <is>
          <t>MBWAY_NANTES</t>
        </is>
      </c>
      <c r="B464" s="17" t="inlineStr">
        <is>
          <t>MBway Nantes</t>
        </is>
      </c>
      <c r="C464" s="45" t="inlineStr">
        <is>
          <t>MBway</t>
        </is>
      </c>
      <c r="D464" s="45" t="inlineStr">
        <is>
          <t>Nantes</t>
        </is>
      </c>
      <c r="E464" s="45" t="inlineStr">
        <is>
          <t>615</t>
        </is>
      </c>
      <c r="F464" s="17" t="inlineStr">
        <is>
          <t>Entretien &amp; maintenance</t>
        </is>
      </c>
      <c r="G464" s="45" t="inlineStr">
        <is>
          <t>61 — Services extérieurs</t>
        </is>
      </c>
      <c r="H464" s="45" t="inlineStr">
        <is>
          <t>Charge</t>
        </is>
      </c>
      <c r="I464" s="45" t="inlineStr">
        <is>
          <t>Structure</t>
        </is>
      </c>
      <c r="J464" s="45" t="inlineStr">
        <is>
          <t>2025ACT_VDEF</t>
        </is>
      </c>
      <c r="K464" s="45" t="inlineStr">
        <is>
          <t>2025 (N-1)</t>
        </is>
      </c>
      <c r="L464" s="13" t="n">
        <v>29630</v>
      </c>
    </row>
    <row r="465">
      <c r="A465" s="45" t="inlineStr">
        <is>
          <t>MBWAY_BORDEAUX</t>
        </is>
      </c>
      <c r="B465" s="17" t="inlineStr">
        <is>
          <t>MBway Bordeaux</t>
        </is>
      </c>
      <c r="C465" s="45" t="inlineStr">
        <is>
          <t>MBway</t>
        </is>
      </c>
      <c r="D465" s="45" t="inlineStr">
        <is>
          <t>Bordeaux</t>
        </is>
      </c>
      <c r="E465" s="45" t="inlineStr">
        <is>
          <t>615</t>
        </is>
      </c>
      <c r="F465" s="17" t="inlineStr">
        <is>
          <t>Entretien &amp; maintenance</t>
        </is>
      </c>
      <c r="G465" s="45" t="inlineStr">
        <is>
          <t>61 — Services extérieurs</t>
        </is>
      </c>
      <c r="H465" s="45" t="inlineStr">
        <is>
          <t>Charge</t>
        </is>
      </c>
      <c r="I465" s="45" t="inlineStr">
        <is>
          <t>Structure</t>
        </is>
      </c>
      <c r="J465" s="45" t="inlineStr">
        <is>
          <t>2025ACT_VDEF</t>
        </is>
      </c>
      <c r="K465" s="45" t="inlineStr">
        <is>
          <t>2025 (N-1)</t>
        </is>
      </c>
      <c r="L465" s="13" t="n">
        <v>24692</v>
      </c>
    </row>
    <row r="466">
      <c r="A466" s="45" t="inlineStr">
        <is>
          <t>ISCOM_PARIS</t>
        </is>
      </c>
      <c r="B466" s="17" t="inlineStr">
        <is>
          <t>ISCOM Paris</t>
        </is>
      </c>
      <c r="C466" s="45" t="inlineStr">
        <is>
          <t>ISCOM</t>
        </is>
      </c>
      <c r="D466" s="45" t="inlineStr">
        <is>
          <t>Paris</t>
        </is>
      </c>
      <c r="E466" s="45" t="inlineStr">
        <is>
          <t>615</t>
        </is>
      </c>
      <c r="F466" s="17" t="inlineStr">
        <is>
          <t>Entretien &amp; maintenance</t>
        </is>
      </c>
      <c r="G466" s="45" t="inlineStr">
        <is>
          <t>61 — Services extérieurs</t>
        </is>
      </c>
      <c r="H466" s="45" t="inlineStr">
        <is>
          <t>Charge</t>
        </is>
      </c>
      <c r="I466" s="45" t="inlineStr">
        <is>
          <t>Structure</t>
        </is>
      </c>
      <c r="J466" s="45" t="inlineStr">
        <is>
          <t>2025ACT_VDEF</t>
        </is>
      </c>
      <c r="K466" s="45" t="inlineStr">
        <is>
          <t>2025 (N-1)</t>
        </is>
      </c>
      <c r="L466" s="13" t="n">
        <v>37038</v>
      </c>
    </row>
    <row r="467">
      <c r="A467" s="45" t="inlineStr">
        <is>
          <t>ISCOM_LILLE</t>
        </is>
      </c>
      <c r="B467" s="17" t="inlineStr">
        <is>
          <t>ISCOM Lille</t>
        </is>
      </c>
      <c r="C467" s="45" t="inlineStr">
        <is>
          <t>ISCOM</t>
        </is>
      </c>
      <c r="D467" s="45" t="inlineStr">
        <is>
          <t>Lille</t>
        </is>
      </c>
      <c r="E467" s="45" t="inlineStr">
        <is>
          <t>615</t>
        </is>
      </c>
      <c r="F467" s="17" t="inlineStr">
        <is>
          <t>Entretien &amp; maintenance</t>
        </is>
      </c>
      <c r="G467" s="45" t="inlineStr">
        <is>
          <t>61 — Services extérieurs</t>
        </is>
      </c>
      <c r="H467" s="45" t="inlineStr">
        <is>
          <t>Charge</t>
        </is>
      </c>
      <c r="I467" s="45" t="inlineStr">
        <is>
          <t>Structure</t>
        </is>
      </c>
      <c r="J467" s="45" t="inlineStr">
        <is>
          <t>2025ACT_VDEF</t>
        </is>
      </c>
      <c r="K467" s="45" t="inlineStr">
        <is>
          <t>2025 (N-1)</t>
        </is>
      </c>
      <c r="L467" s="13" t="n">
        <v>24692</v>
      </c>
    </row>
    <row r="468">
      <c r="A468" s="45" t="inlineStr">
        <is>
          <t>ISCOM_TOULOUSE</t>
        </is>
      </c>
      <c r="B468" s="17" t="inlineStr">
        <is>
          <t>ISCOM Toulouse</t>
        </is>
      </c>
      <c r="C468" s="45" t="inlineStr">
        <is>
          <t>ISCOM</t>
        </is>
      </c>
      <c r="D468" s="45" t="inlineStr">
        <is>
          <t>Toulouse</t>
        </is>
      </c>
      <c r="E468" s="45" t="inlineStr">
        <is>
          <t>615</t>
        </is>
      </c>
      <c r="F468" s="17" t="inlineStr">
        <is>
          <t>Entretien &amp; maintenance</t>
        </is>
      </c>
      <c r="G468" s="45" t="inlineStr">
        <is>
          <t>61 — Services extérieurs</t>
        </is>
      </c>
      <c r="H468" s="45" t="inlineStr">
        <is>
          <t>Charge</t>
        </is>
      </c>
      <c r="I468" s="45" t="inlineStr">
        <is>
          <t>Structure</t>
        </is>
      </c>
      <c r="J468" s="45" t="inlineStr">
        <is>
          <t>2025ACT_VDEF</t>
        </is>
      </c>
      <c r="K468" s="45" t="inlineStr">
        <is>
          <t>2025 (N-1)</t>
        </is>
      </c>
      <c r="L468" s="13" t="n">
        <v>24692</v>
      </c>
    </row>
    <row r="469">
      <c r="A469" s="45" t="inlineStr">
        <is>
          <t>IPAC_BACHELOR_FACTORY_NANTES</t>
        </is>
      </c>
      <c r="B469" s="17" t="inlineStr">
        <is>
          <t>Ipac Bachelor Factory Nantes</t>
        </is>
      </c>
      <c r="C469" s="45" t="inlineStr">
        <is>
          <t>Ipac Bachelor Factory</t>
        </is>
      </c>
      <c r="D469" s="45" t="inlineStr">
        <is>
          <t>Nantes</t>
        </is>
      </c>
      <c r="E469" s="45" t="inlineStr">
        <is>
          <t>615</t>
        </is>
      </c>
      <c r="F469" s="17" t="inlineStr">
        <is>
          <t>Entretien &amp; maintenance</t>
        </is>
      </c>
      <c r="G469" s="45" t="inlineStr">
        <is>
          <t>61 — Services extérieurs</t>
        </is>
      </c>
      <c r="H469" s="45" t="inlineStr">
        <is>
          <t>Charge</t>
        </is>
      </c>
      <c r="I469" s="45" t="inlineStr">
        <is>
          <t>Structure</t>
        </is>
      </c>
      <c r="J469" s="45" t="inlineStr">
        <is>
          <t>2025ACT_VDEF</t>
        </is>
      </c>
      <c r="K469" s="45" t="inlineStr">
        <is>
          <t>2025 (N-1)</t>
        </is>
      </c>
      <c r="L469" s="13" t="n">
        <v>14815</v>
      </c>
    </row>
    <row r="470">
      <c r="A470" s="45" t="inlineStr">
        <is>
          <t>IPAC_BACHELOR_FACTORY_RENNES</t>
        </is>
      </c>
      <c r="B470" s="17" t="inlineStr">
        <is>
          <t>Ipac Bachelor Factory Rennes</t>
        </is>
      </c>
      <c r="C470" s="45" t="inlineStr">
        <is>
          <t>Ipac Bachelor Factory</t>
        </is>
      </c>
      <c r="D470" s="45" t="inlineStr">
        <is>
          <t>Rennes</t>
        </is>
      </c>
      <c r="E470" s="45" t="inlineStr">
        <is>
          <t>615</t>
        </is>
      </c>
      <c r="F470" s="17" t="inlineStr">
        <is>
          <t>Entretien &amp; maintenance</t>
        </is>
      </c>
      <c r="G470" s="45" t="inlineStr">
        <is>
          <t>61 — Services extérieurs</t>
        </is>
      </c>
      <c r="H470" s="45" t="inlineStr">
        <is>
          <t>Charge</t>
        </is>
      </c>
      <c r="I470" s="45" t="inlineStr">
        <is>
          <t>Structure</t>
        </is>
      </c>
      <c r="J470" s="45" t="inlineStr">
        <is>
          <t>2025ACT_VDEF</t>
        </is>
      </c>
      <c r="K470" s="45" t="inlineStr">
        <is>
          <t>2025 (N-1)</t>
        </is>
      </c>
      <c r="L470" s="13" t="n">
        <v>14815</v>
      </c>
    </row>
    <row r="471">
      <c r="A471" s="45" t="inlineStr">
        <is>
          <t>IPAC_BACHELOR_FACTORY_MONTPELLIER</t>
        </is>
      </c>
      <c r="B471" s="17" t="inlineStr">
        <is>
          <t>Ipac Bachelor Factory Montpellier</t>
        </is>
      </c>
      <c r="C471" s="45" t="inlineStr">
        <is>
          <t>Ipac Bachelor Factory</t>
        </is>
      </c>
      <c r="D471" s="45" t="inlineStr">
        <is>
          <t>Montpellier</t>
        </is>
      </c>
      <c r="E471" s="45" t="inlineStr">
        <is>
          <t>615</t>
        </is>
      </c>
      <c r="F471" s="17" t="inlineStr">
        <is>
          <t>Entretien &amp; maintenance</t>
        </is>
      </c>
      <c r="G471" s="45" t="inlineStr">
        <is>
          <t>61 — Services extérieurs</t>
        </is>
      </c>
      <c r="H471" s="45" t="inlineStr">
        <is>
          <t>Charge</t>
        </is>
      </c>
      <c r="I471" s="45" t="inlineStr">
        <is>
          <t>Structure</t>
        </is>
      </c>
      <c r="J471" s="45" t="inlineStr">
        <is>
          <t>2025ACT_VDEF</t>
        </is>
      </c>
      <c r="K471" s="45" t="inlineStr">
        <is>
          <t>2025 (N-1)</t>
        </is>
      </c>
      <c r="L471" s="13" t="n">
        <v>14815</v>
      </c>
    </row>
    <row r="472">
      <c r="A472" s="45" t="inlineStr">
        <is>
          <t>PIGIER_LYON</t>
        </is>
      </c>
      <c r="B472" s="17" t="inlineStr">
        <is>
          <t>Pigier Lyon</t>
        </is>
      </c>
      <c r="C472" s="45" t="inlineStr">
        <is>
          <t>Pigier</t>
        </is>
      </c>
      <c r="D472" s="45" t="inlineStr">
        <is>
          <t>Lyon</t>
        </is>
      </c>
      <c r="E472" s="45" t="inlineStr">
        <is>
          <t>615</t>
        </is>
      </c>
      <c r="F472" s="17" t="inlineStr">
        <is>
          <t>Entretien &amp; maintenance</t>
        </is>
      </c>
      <c r="G472" s="45" t="inlineStr">
        <is>
          <t>61 — Services extérieurs</t>
        </is>
      </c>
      <c r="H472" s="45" t="inlineStr">
        <is>
          <t>Charge</t>
        </is>
      </c>
      <c r="I472" s="45" t="inlineStr">
        <is>
          <t>Structure</t>
        </is>
      </c>
      <c r="J472" s="45" t="inlineStr">
        <is>
          <t>2025ACT_VDEF</t>
        </is>
      </c>
      <c r="K472" s="45" t="inlineStr">
        <is>
          <t>2025 (N-1)</t>
        </is>
      </c>
      <c r="L472" s="13" t="n">
        <v>19754</v>
      </c>
    </row>
    <row r="473">
      <c r="A473" s="45" t="inlineStr">
        <is>
          <t>PIGIER_BORDEAUX</t>
        </is>
      </c>
      <c r="B473" s="17" t="inlineStr">
        <is>
          <t>Pigier Bordeaux</t>
        </is>
      </c>
      <c r="C473" s="45" t="inlineStr">
        <is>
          <t>Pigier</t>
        </is>
      </c>
      <c r="D473" s="45" t="inlineStr">
        <is>
          <t>Bordeaux</t>
        </is>
      </c>
      <c r="E473" s="45" t="inlineStr">
        <is>
          <t>615</t>
        </is>
      </c>
      <c r="F473" s="17" t="inlineStr">
        <is>
          <t>Entretien &amp; maintenance</t>
        </is>
      </c>
      <c r="G473" s="45" t="inlineStr">
        <is>
          <t>61 — Services extérieurs</t>
        </is>
      </c>
      <c r="H473" s="45" t="inlineStr">
        <is>
          <t>Charge</t>
        </is>
      </c>
      <c r="I473" s="45" t="inlineStr">
        <is>
          <t>Structure</t>
        </is>
      </c>
      <c r="J473" s="45" t="inlineStr">
        <is>
          <t>2025ACT_VDEF</t>
        </is>
      </c>
      <c r="K473" s="45" t="inlineStr">
        <is>
          <t>2025 (N-1)</t>
        </is>
      </c>
      <c r="L473" s="13" t="n">
        <v>19754</v>
      </c>
    </row>
    <row r="474">
      <c r="A474" s="45" t="inlineStr">
        <is>
          <t>TUNON_PARIS</t>
        </is>
      </c>
      <c r="B474" s="17" t="inlineStr">
        <is>
          <t>Tunon Paris</t>
        </is>
      </c>
      <c r="C474" s="45" t="inlineStr">
        <is>
          <t>Tunon</t>
        </is>
      </c>
      <c r="D474" s="45" t="inlineStr">
        <is>
          <t>Paris</t>
        </is>
      </c>
      <c r="E474" s="45" t="inlineStr">
        <is>
          <t>615</t>
        </is>
      </c>
      <c r="F474" s="17" t="inlineStr">
        <is>
          <t>Entretien &amp; maintenance</t>
        </is>
      </c>
      <c r="G474" s="45" t="inlineStr">
        <is>
          <t>61 — Services extérieurs</t>
        </is>
      </c>
      <c r="H474" s="45" t="inlineStr">
        <is>
          <t>Charge</t>
        </is>
      </c>
      <c r="I474" s="45" t="inlineStr">
        <is>
          <t>Structure</t>
        </is>
      </c>
      <c r="J474" s="45" t="inlineStr">
        <is>
          <t>2025ACT_VDEF</t>
        </is>
      </c>
      <c r="K474" s="45" t="inlineStr">
        <is>
          <t>2025 (N-1)</t>
        </is>
      </c>
      <c r="L474" s="13" t="n">
        <v>14815</v>
      </c>
    </row>
    <row r="475">
      <c r="A475" s="45" t="inlineStr">
        <is>
          <t>TUNON_LYON</t>
        </is>
      </c>
      <c r="B475" s="17" t="inlineStr">
        <is>
          <t>Tunon Lyon</t>
        </is>
      </c>
      <c r="C475" s="45" t="inlineStr">
        <is>
          <t>Tunon</t>
        </is>
      </c>
      <c r="D475" s="45" t="inlineStr">
        <is>
          <t>Lyon</t>
        </is>
      </c>
      <c r="E475" s="45" t="inlineStr">
        <is>
          <t>615</t>
        </is>
      </c>
      <c r="F475" s="17" t="inlineStr">
        <is>
          <t>Entretien &amp; maintenance</t>
        </is>
      </c>
      <c r="G475" s="45" t="inlineStr">
        <is>
          <t>61 — Services extérieurs</t>
        </is>
      </c>
      <c r="H475" s="45" t="inlineStr">
        <is>
          <t>Charge</t>
        </is>
      </c>
      <c r="I475" s="45" t="inlineStr">
        <is>
          <t>Structure</t>
        </is>
      </c>
      <c r="J475" s="45" t="inlineStr">
        <is>
          <t>2025ACT_VDEF</t>
        </is>
      </c>
      <c r="K475" s="45" t="inlineStr">
        <is>
          <t>2025 (N-1)</t>
        </is>
      </c>
      <c r="L475" s="13" t="n">
        <v>14815</v>
      </c>
    </row>
    <row r="476">
      <c r="A476" s="45" t="inlineStr">
        <is>
          <t>MBWAY_PARIS</t>
        </is>
      </c>
      <c r="B476" s="17" t="inlineStr">
        <is>
          <t>MBway Paris</t>
        </is>
      </c>
      <c r="C476" s="45" t="inlineStr">
        <is>
          <t>MBway</t>
        </is>
      </c>
      <c r="D476" s="45" t="inlineStr">
        <is>
          <t>Paris</t>
        </is>
      </c>
      <c r="E476" s="45" t="inlineStr">
        <is>
          <t>615</t>
        </is>
      </c>
      <c r="F476" s="17" t="inlineStr">
        <is>
          <t>Entretien &amp; maintenance</t>
        </is>
      </c>
      <c r="G476" s="45" t="inlineStr">
        <is>
          <t>61 — Services extérieurs</t>
        </is>
      </c>
      <c r="H476" s="45" t="inlineStr">
        <is>
          <t>Charge</t>
        </is>
      </c>
      <c r="I476" s="45" t="inlineStr">
        <is>
          <t>Structure</t>
        </is>
      </c>
      <c r="J476" s="45" t="inlineStr">
        <is>
          <t>2026ATT_VDEF</t>
        </is>
      </c>
      <c r="K476" s="45" t="inlineStr">
        <is>
          <t>2026 (Atterr.)</t>
        </is>
      </c>
      <c r="L476" s="13" t="n">
        <v>38806</v>
      </c>
    </row>
    <row r="477">
      <c r="A477" s="45" t="inlineStr">
        <is>
          <t>MBWAY_LYON</t>
        </is>
      </c>
      <c r="B477" s="17" t="inlineStr">
        <is>
          <t>MBway Lyon</t>
        </is>
      </c>
      <c r="C477" s="45" t="inlineStr">
        <is>
          <t>MBway</t>
        </is>
      </c>
      <c r="D477" s="45" t="inlineStr">
        <is>
          <t>Lyon</t>
        </is>
      </c>
      <c r="E477" s="45" t="inlineStr">
        <is>
          <t>615</t>
        </is>
      </c>
      <c r="F477" s="17" t="inlineStr">
        <is>
          <t>Entretien &amp; maintenance</t>
        </is>
      </c>
      <c r="G477" s="45" t="inlineStr">
        <is>
          <t>61 — Services extérieurs</t>
        </is>
      </c>
      <c r="H477" s="45" t="inlineStr">
        <is>
          <t>Charge</t>
        </is>
      </c>
      <c r="I477" s="45" t="inlineStr">
        <is>
          <t>Structure</t>
        </is>
      </c>
      <c r="J477" s="45" t="inlineStr">
        <is>
          <t>2026ATT_VDEF</t>
        </is>
      </c>
      <c r="K477" s="45" t="inlineStr">
        <is>
          <t>2026 (Atterr.)</t>
        </is>
      </c>
      <c r="L477" s="13" t="n">
        <v>33632</v>
      </c>
    </row>
    <row r="478">
      <c r="A478" s="45" t="inlineStr">
        <is>
          <t>MBWAY_NANTES</t>
        </is>
      </c>
      <c r="B478" s="17" t="inlineStr">
        <is>
          <t>MBway Nantes</t>
        </is>
      </c>
      <c r="C478" s="45" t="inlineStr">
        <is>
          <t>MBway</t>
        </is>
      </c>
      <c r="D478" s="45" t="inlineStr">
        <is>
          <t>Nantes</t>
        </is>
      </c>
      <c r="E478" s="45" t="inlineStr">
        <is>
          <t>615</t>
        </is>
      </c>
      <c r="F478" s="17" t="inlineStr">
        <is>
          <t>Entretien &amp; maintenance</t>
        </is>
      </c>
      <c r="G478" s="45" t="inlineStr">
        <is>
          <t>61 — Services extérieurs</t>
        </is>
      </c>
      <c r="H478" s="45" t="inlineStr">
        <is>
          <t>Charge</t>
        </is>
      </c>
      <c r="I478" s="45" t="inlineStr">
        <is>
          <t>Structure</t>
        </is>
      </c>
      <c r="J478" s="45" t="inlineStr">
        <is>
          <t>2026ATT_VDEF</t>
        </is>
      </c>
      <c r="K478" s="45" t="inlineStr">
        <is>
          <t>2026 (Atterr.)</t>
        </is>
      </c>
      <c r="L478" s="13" t="n">
        <v>31045</v>
      </c>
    </row>
    <row r="479">
      <c r="A479" s="45" t="inlineStr">
        <is>
          <t>MBWAY_BORDEAUX</t>
        </is>
      </c>
      <c r="B479" s="17" t="inlineStr">
        <is>
          <t>MBway Bordeaux</t>
        </is>
      </c>
      <c r="C479" s="45" t="inlineStr">
        <is>
          <t>MBway</t>
        </is>
      </c>
      <c r="D479" s="45" t="inlineStr">
        <is>
          <t>Bordeaux</t>
        </is>
      </c>
      <c r="E479" s="45" t="inlineStr">
        <is>
          <t>615</t>
        </is>
      </c>
      <c r="F479" s="17" t="inlineStr">
        <is>
          <t>Entretien &amp; maintenance</t>
        </is>
      </c>
      <c r="G479" s="45" t="inlineStr">
        <is>
          <t>61 — Services extérieurs</t>
        </is>
      </c>
      <c r="H479" s="45" t="inlineStr">
        <is>
          <t>Charge</t>
        </is>
      </c>
      <c r="I479" s="45" t="inlineStr">
        <is>
          <t>Structure</t>
        </is>
      </c>
      <c r="J479" s="45" t="inlineStr">
        <is>
          <t>2026ATT_VDEF</t>
        </is>
      </c>
      <c r="K479" s="45" t="inlineStr">
        <is>
          <t>2026 (Atterr.)</t>
        </is>
      </c>
      <c r="L479" s="13" t="n">
        <v>25871</v>
      </c>
    </row>
    <row r="480">
      <c r="A480" s="45" t="inlineStr">
        <is>
          <t>ISCOM_PARIS</t>
        </is>
      </c>
      <c r="B480" s="17" t="inlineStr">
        <is>
          <t>ISCOM Paris</t>
        </is>
      </c>
      <c r="C480" s="45" t="inlineStr">
        <is>
          <t>ISCOM</t>
        </is>
      </c>
      <c r="D480" s="45" t="inlineStr">
        <is>
          <t>Paris</t>
        </is>
      </c>
      <c r="E480" s="45" t="inlineStr">
        <is>
          <t>615</t>
        </is>
      </c>
      <c r="F480" s="17" t="inlineStr">
        <is>
          <t>Entretien &amp; maintenance</t>
        </is>
      </c>
      <c r="G480" s="45" t="inlineStr">
        <is>
          <t>61 — Services extérieurs</t>
        </is>
      </c>
      <c r="H480" s="45" t="inlineStr">
        <is>
          <t>Charge</t>
        </is>
      </c>
      <c r="I480" s="45" t="inlineStr">
        <is>
          <t>Structure</t>
        </is>
      </c>
      <c r="J480" s="45" t="inlineStr">
        <is>
          <t>2026ATT_VDEF</t>
        </is>
      </c>
      <c r="K480" s="45" t="inlineStr">
        <is>
          <t>2026 (Atterr.)</t>
        </is>
      </c>
      <c r="L480" s="13" t="n">
        <v>38806</v>
      </c>
    </row>
    <row r="481">
      <c r="A481" s="45" t="inlineStr">
        <is>
          <t>ISCOM_LILLE</t>
        </is>
      </c>
      <c r="B481" s="17" t="inlineStr">
        <is>
          <t>ISCOM Lille</t>
        </is>
      </c>
      <c r="C481" s="45" t="inlineStr">
        <is>
          <t>ISCOM</t>
        </is>
      </c>
      <c r="D481" s="45" t="inlineStr">
        <is>
          <t>Lille</t>
        </is>
      </c>
      <c r="E481" s="45" t="inlineStr">
        <is>
          <t>615</t>
        </is>
      </c>
      <c r="F481" s="17" t="inlineStr">
        <is>
          <t>Entretien &amp; maintenance</t>
        </is>
      </c>
      <c r="G481" s="45" t="inlineStr">
        <is>
          <t>61 — Services extérieurs</t>
        </is>
      </c>
      <c r="H481" s="45" t="inlineStr">
        <is>
          <t>Charge</t>
        </is>
      </c>
      <c r="I481" s="45" t="inlineStr">
        <is>
          <t>Structure</t>
        </is>
      </c>
      <c r="J481" s="45" t="inlineStr">
        <is>
          <t>2026ATT_VDEF</t>
        </is>
      </c>
      <c r="K481" s="45" t="inlineStr">
        <is>
          <t>2026 (Atterr.)</t>
        </is>
      </c>
      <c r="L481" s="13" t="n">
        <v>25871</v>
      </c>
    </row>
    <row r="482">
      <c r="A482" s="45" t="inlineStr">
        <is>
          <t>ISCOM_TOULOUSE</t>
        </is>
      </c>
      <c r="B482" s="17" t="inlineStr">
        <is>
          <t>ISCOM Toulouse</t>
        </is>
      </c>
      <c r="C482" s="45" t="inlineStr">
        <is>
          <t>ISCOM</t>
        </is>
      </c>
      <c r="D482" s="45" t="inlineStr">
        <is>
          <t>Toulouse</t>
        </is>
      </c>
      <c r="E482" s="45" t="inlineStr">
        <is>
          <t>615</t>
        </is>
      </c>
      <c r="F482" s="17" t="inlineStr">
        <is>
          <t>Entretien &amp; maintenance</t>
        </is>
      </c>
      <c r="G482" s="45" t="inlineStr">
        <is>
          <t>61 — Services extérieurs</t>
        </is>
      </c>
      <c r="H482" s="45" t="inlineStr">
        <is>
          <t>Charge</t>
        </is>
      </c>
      <c r="I482" s="45" t="inlineStr">
        <is>
          <t>Structure</t>
        </is>
      </c>
      <c r="J482" s="45" t="inlineStr">
        <is>
          <t>2026ATT_VDEF</t>
        </is>
      </c>
      <c r="K482" s="45" t="inlineStr">
        <is>
          <t>2026 (Atterr.)</t>
        </is>
      </c>
      <c r="L482" s="13" t="n">
        <v>25871</v>
      </c>
    </row>
    <row r="483">
      <c r="A483" s="45" t="inlineStr">
        <is>
          <t>IPAC_BACHELOR_FACTORY_NANTES</t>
        </is>
      </c>
      <c r="B483" s="17" t="inlineStr">
        <is>
          <t>Ipac Bachelor Factory Nantes</t>
        </is>
      </c>
      <c r="C483" s="45" t="inlineStr">
        <is>
          <t>Ipac Bachelor Factory</t>
        </is>
      </c>
      <c r="D483" s="45" t="inlineStr">
        <is>
          <t>Nantes</t>
        </is>
      </c>
      <c r="E483" s="45" t="inlineStr">
        <is>
          <t>615</t>
        </is>
      </c>
      <c r="F483" s="17" t="inlineStr">
        <is>
          <t>Entretien &amp; maintenance</t>
        </is>
      </c>
      <c r="G483" s="45" t="inlineStr">
        <is>
          <t>61 — Services extérieurs</t>
        </is>
      </c>
      <c r="H483" s="45" t="inlineStr">
        <is>
          <t>Charge</t>
        </is>
      </c>
      <c r="I483" s="45" t="inlineStr">
        <is>
          <t>Structure</t>
        </is>
      </c>
      <c r="J483" s="45" t="inlineStr">
        <is>
          <t>2026ATT_VDEF</t>
        </is>
      </c>
      <c r="K483" s="45" t="inlineStr">
        <is>
          <t>2026 (Atterr.)</t>
        </is>
      </c>
      <c r="L483" s="13" t="n">
        <v>15522</v>
      </c>
    </row>
    <row r="484">
      <c r="A484" s="45" t="inlineStr">
        <is>
          <t>IPAC_BACHELOR_FACTORY_RENNES</t>
        </is>
      </c>
      <c r="B484" s="17" t="inlineStr">
        <is>
          <t>Ipac Bachelor Factory Rennes</t>
        </is>
      </c>
      <c r="C484" s="45" t="inlineStr">
        <is>
          <t>Ipac Bachelor Factory</t>
        </is>
      </c>
      <c r="D484" s="45" t="inlineStr">
        <is>
          <t>Rennes</t>
        </is>
      </c>
      <c r="E484" s="45" t="inlineStr">
        <is>
          <t>615</t>
        </is>
      </c>
      <c r="F484" s="17" t="inlineStr">
        <is>
          <t>Entretien &amp; maintenance</t>
        </is>
      </c>
      <c r="G484" s="45" t="inlineStr">
        <is>
          <t>61 — Services extérieurs</t>
        </is>
      </c>
      <c r="H484" s="45" t="inlineStr">
        <is>
          <t>Charge</t>
        </is>
      </c>
      <c r="I484" s="45" t="inlineStr">
        <is>
          <t>Structure</t>
        </is>
      </c>
      <c r="J484" s="45" t="inlineStr">
        <is>
          <t>2026ATT_VDEF</t>
        </is>
      </c>
      <c r="K484" s="45" t="inlineStr">
        <is>
          <t>2026 (Atterr.)</t>
        </is>
      </c>
      <c r="L484" s="13" t="n">
        <v>15522</v>
      </c>
    </row>
    <row r="485">
      <c r="A485" s="45" t="inlineStr">
        <is>
          <t>IPAC_BACHELOR_FACTORY_MONTPELLIER</t>
        </is>
      </c>
      <c r="B485" s="17" t="inlineStr">
        <is>
          <t>Ipac Bachelor Factory Montpellier</t>
        </is>
      </c>
      <c r="C485" s="45" t="inlineStr">
        <is>
          <t>Ipac Bachelor Factory</t>
        </is>
      </c>
      <c r="D485" s="45" t="inlineStr">
        <is>
          <t>Montpellier</t>
        </is>
      </c>
      <c r="E485" s="45" t="inlineStr">
        <is>
          <t>615</t>
        </is>
      </c>
      <c r="F485" s="17" t="inlineStr">
        <is>
          <t>Entretien &amp; maintenance</t>
        </is>
      </c>
      <c r="G485" s="45" t="inlineStr">
        <is>
          <t>61 — Services extérieurs</t>
        </is>
      </c>
      <c r="H485" s="45" t="inlineStr">
        <is>
          <t>Charge</t>
        </is>
      </c>
      <c r="I485" s="45" t="inlineStr">
        <is>
          <t>Structure</t>
        </is>
      </c>
      <c r="J485" s="45" t="inlineStr">
        <is>
          <t>2026ATT_VDEF</t>
        </is>
      </c>
      <c r="K485" s="45" t="inlineStr">
        <is>
          <t>2026 (Atterr.)</t>
        </is>
      </c>
      <c r="L485" s="13" t="n">
        <v>15522</v>
      </c>
    </row>
    <row r="486">
      <c r="A486" s="45" t="inlineStr">
        <is>
          <t>PIGIER_LYON</t>
        </is>
      </c>
      <c r="B486" s="17" t="inlineStr">
        <is>
          <t>Pigier Lyon</t>
        </is>
      </c>
      <c r="C486" s="45" t="inlineStr">
        <is>
          <t>Pigier</t>
        </is>
      </c>
      <c r="D486" s="45" t="inlineStr">
        <is>
          <t>Lyon</t>
        </is>
      </c>
      <c r="E486" s="45" t="inlineStr">
        <is>
          <t>615</t>
        </is>
      </c>
      <c r="F486" s="17" t="inlineStr">
        <is>
          <t>Entretien &amp; maintenance</t>
        </is>
      </c>
      <c r="G486" s="45" t="inlineStr">
        <is>
          <t>61 — Services extérieurs</t>
        </is>
      </c>
      <c r="H486" s="45" t="inlineStr">
        <is>
          <t>Charge</t>
        </is>
      </c>
      <c r="I486" s="45" t="inlineStr">
        <is>
          <t>Structure</t>
        </is>
      </c>
      <c r="J486" s="45" t="inlineStr">
        <is>
          <t>2026ATT_VDEF</t>
        </is>
      </c>
      <c r="K486" s="45" t="inlineStr">
        <is>
          <t>2026 (Atterr.)</t>
        </is>
      </c>
      <c r="L486" s="13" t="n">
        <v>20696</v>
      </c>
    </row>
    <row r="487">
      <c r="A487" s="45" t="inlineStr">
        <is>
          <t>PIGIER_BORDEAUX</t>
        </is>
      </c>
      <c r="B487" s="17" t="inlineStr">
        <is>
          <t>Pigier Bordeaux</t>
        </is>
      </c>
      <c r="C487" s="45" t="inlineStr">
        <is>
          <t>Pigier</t>
        </is>
      </c>
      <c r="D487" s="45" t="inlineStr">
        <is>
          <t>Bordeaux</t>
        </is>
      </c>
      <c r="E487" s="45" t="inlineStr">
        <is>
          <t>615</t>
        </is>
      </c>
      <c r="F487" s="17" t="inlineStr">
        <is>
          <t>Entretien &amp; maintenance</t>
        </is>
      </c>
      <c r="G487" s="45" t="inlineStr">
        <is>
          <t>61 — Services extérieurs</t>
        </is>
      </c>
      <c r="H487" s="45" t="inlineStr">
        <is>
          <t>Charge</t>
        </is>
      </c>
      <c r="I487" s="45" t="inlineStr">
        <is>
          <t>Structure</t>
        </is>
      </c>
      <c r="J487" s="45" t="inlineStr">
        <is>
          <t>2026ATT_VDEF</t>
        </is>
      </c>
      <c r="K487" s="45" t="inlineStr">
        <is>
          <t>2026 (Atterr.)</t>
        </is>
      </c>
      <c r="L487" s="13" t="n">
        <v>20696</v>
      </c>
    </row>
    <row r="488">
      <c r="A488" s="45" t="inlineStr">
        <is>
          <t>TUNON_PARIS</t>
        </is>
      </c>
      <c r="B488" s="17" t="inlineStr">
        <is>
          <t>Tunon Paris</t>
        </is>
      </c>
      <c r="C488" s="45" t="inlineStr">
        <is>
          <t>Tunon</t>
        </is>
      </c>
      <c r="D488" s="45" t="inlineStr">
        <is>
          <t>Paris</t>
        </is>
      </c>
      <c r="E488" s="45" t="inlineStr">
        <is>
          <t>615</t>
        </is>
      </c>
      <c r="F488" s="17" t="inlineStr">
        <is>
          <t>Entretien &amp; maintenance</t>
        </is>
      </c>
      <c r="G488" s="45" t="inlineStr">
        <is>
          <t>61 — Services extérieurs</t>
        </is>
      </c>
      <c r="H488" s="45" t="inlineStr">
        <is>
          <t>Charge</t>
        </is>
      </c>
      <c r="I488" s="45" t="inlineStr">
        <is>
          <t>Structure</t>
        </is>
      </c>
      <c r="J488" s="45" t="inlineStr">
        <is>
          <t>2026ATT_VDEF</t>
        </is>
      </c>
      <c r="K488" s="45" t="inlineStr">
        <is>
          <t>2026 (Atterr.)</t>
        </is>
      </c>
      <c r="L488" s="13" t="n">
        <v>15522</v>
      </c>
    </row>
    <row r="489">
      <c r="A489" s="45" t="inlineStr">
        <is>
          <t>TUNON_LYON</t>
        </is>
      </c>
      <c r="B489" s="17" t="inlineStr">
        <is>
          <t>Tunon Lyon</t>
        </is>
      </c>
      <c r="C489" s="45" t="inlineStr">
        <is>
          <t>Tunon</t>
        </is>
      </c>
      <c r="D489" s="45" t="inlineStr">
        <is>
          <t>Lyon</t>
        </is>
      </c>
      <c r="E489" s="45" t="inlineStr">
        <is>
          <t>615</t>
        </is>
      </c>
      <c r="F489" s="17" t="inlineStr">
        <is>
          <t>Entretien &amp; maintenance</t>
        </is>
      </c>
      <c r="G489" s="45" t="inlineStr">
        <is>
          <t>61 — Services extérieurs</t>
        </is>
      </c>
      <c r="H489" s="45" t="inlineStr">
        <is>
          <t>Charge</t>
        </is>
      </c>
      <c r="I489" s="45" t="inlineStr">
        <is>
          <t>Structure</t>
        </is>
      </c>
      <c r="J489" s="45" t="inlineStr">
        <is>
          <t>2026ATT_VDEF</t>
        </is>
      </c>
      <c r="K489" s="45" t="inlineStr">
        <is>
          <t>2026 (Atterr.)</t>
        </is>
      </c>
      <c r="L489" s="13" t="n">
        <v>15522</v>
      </c>
    </row>
    <row r="490">
      <c r="A490" s="45" t="inlineStr">
        <is>
          <t>MBWAY_PARIS</t>
        </is>
      </c>
      <c r="B490" s="17" t="inlineStr">
        <is>
          <t>MBway Paris</t>
        </is>
      </c>
      <c r="C490" s="45" t="inlineStr">
        <is>
          <t>MBway</t>
        </is>
      </c>
      <c r="D490" s="45" t="inlineStr">
        <is>
          <t>Paris</t>
        </is>
      </c>
      <c r="E490" s="45" t="inlineStr">
        <is>
          <t>616</t>
        </is>
      </c>
      <c r="F490" s="17" t="inlineStr">
        <is>
          <t>Primes d'assurance</t>
        </is>
      </c>
      <c r="G490" s="45" t="inlineStr">
        <is>
          <t>61 — Services extérieurs</t>
        </is>
      </c>
      <c r="H490" s="45" t="inlineStr">
        <is>
          <t>Charge</t>
        </is>
      </c>
      <c r="I490" s="45" t="inlineStr">
        <is>
          <t>Structure</t>
        </is>
      </c>
      <c r="J490" s="45" t="inlineStr">
        <is>
          <t>2024ACT_VDEF</t>
        </is>
      </c>
      <c r="K490" s="45" t="inlineStr">
        <is>
          <t>2024 (N-2)</t>
        </is>
      </c>
      <c r="L490" s="13" t="n">
        <v>25944</v>
      </c>
    </row>
    <row r="491">
      <c r="A491" s="45" t="inlineStr">
        <is>
          <t>MBWAY_LYON</t>
        </is>
      </c>
      <c r="B491" s="17" t="inlineStr">
        <is>
          <t>MBway Lyon</t>
        </is>
      </c>
      <c r="C491" s="45" t="inlineStr">
        <is>
          <t>MBway</t>
        </is>
      </c>
      <c r="D491" s="45" t="inlineStr">
        <is>
          <t>Lyon</t>
        </is>
      </c>
      <c r="E491" s="45" t="inlineStr">
        <is>
          <t>616</t>
        </is>
      </c>
      <c r="F491" s="17" t="inlineStr">
        <is>
          <t>Primes d'assurance</t>
        </is>
      </c>
      <c r="G491" s="45" t="inlineStr">
        <is>
          <t>61 — Services extérieurs</t>
        </is>
      </c>
      <c r="H491" s="45" t="inlineStr">
        <is>
          <t>Charge</t>
        </is>
      </c>
      <c r="I491" s="45" t="inlineStr">
        <is>
          <t>Structure</t>
        </is>
      </c>
      <c r="J491" s="45" t="inlineStr">
        <is>
          <t>2024ACT_VDEF</t>
        </is>
      </c>
      <c r="K491" s="45" t="inlineStr">
        <is>
          <t>2024 (N-2)</t>
        </is>
      </c>
      <c r="L491" s="13" t="n">
        <v>22005</v>
      </c>
    </row>
    <row r="492">
      <c r="A492" s="45" t="inlineStr">
        <is>
          <t>MBWAY_NANTES</t>
        </is>
      </c>
      <c r="B492" s="17" t="inlineStr">
        <is>
          <t>MBway Nantes</t>
        </is>
      </c>
      <c r="C492" s="45" t="inlineStr">
        <is>
          <t>MBway</t>
        </is>
      </c>
      <c r="D492" s="45" t="inlineStr">
        <is>
          <t>Nantes</t>
        </is>
      </c>
      <c r="E492" s="45" t="inlineStr">
        <is>
          <t>616</t>
        </is>
      </c>
      <c r="F492" s="17" t="inlineStr">
        <is>
          <t>Primes d'assurance</t>
        </is>
      </c>
      <c r="G492" s="45" t="inlineStr">
        <is>
          <t>61 — Services extérieurs</t>
        </is>
      </c>
      <c r="H492" s="45" t="inlineStr">
        <is>
          <t>Charge</t>
        </is>
      </c>
      <c r="I492" s="45" t="inlineStr">
        <is>
          <t>Structure</t>
        </is>
      </c>
      <c r="J492" s="45" t="inlineStr">
        <is>
          <t>2024ACT_VDEF</t>
        </is>
      </c>
      <c r="K492" s="45" t="inlineStr">
        <is>
          <t>2024 (N-2)</t>
        </is>
      </c>
      <c r="L492" s="13" t="n">
        <v>19967</v>
      </c>
    </row>
    <row r="493">
      <c r="A493" s="45" t="inlineStr">
        <is>
          <t>MBWAY_BORDEAUX</t>
        </is>
      </c>
      <c r="B493" s="17" t="inlineStr">
        <is>
          <t>MBway Bordeaux</t>
        </is>
      </c>
      <c r="C493" s="45" t="inlineStr">
        <is>
          <t>MBway</t>
        </is>
      </c>
      <c r="D493" s="45" t="inlineStr">
        <is>
          <t>Bordeaux</t>
        </is>
      </c>
      <c r="E493" s="45" t="inlineStr">
        <is>
          <t>616</t>
        </is>
      </c>
      <c r="F493" s="17" t="inlineStr">
        <is>
          <t>Primes d'assurance</t>
        </is>
      </c>
      <c r="G493" s="45" t="inlineStr">
        <is>
          <t>61 — Services extérieurs</t>
        </is>
      </c>
      <c r="H493" s="45" t="inlineStr">
        <is>
          <t>Charge</t>
        </is>
      </c>
      <c r="I493" s="45" t="inlineStr">
        <is>
          <t>Structure</t>
        </is>
      </c>
      <c r="J493" s="45" t="inlineStr">
        <is>
          <t>2024ACT_VDEF</t>
        </is>
      </c>
      <c r="K493" s="45" t="inlineStr">
        <is>
          <t>2024 (N-2)</t>
        </is>
      </c>
      <c r="L493" s="13" t="n">
        <v>16911</v>
      </c>
    </row>
    <row r="494">
      <c r="A494" s="45" t="inlineStr">
        <is>
          <t>ISCOM_PARIS</t>
        </is>
      </c>
      <c r="B494" s="17" t="inlineStr">
        <is>
          <t>ISCOM Paris</t>
        </is>
      </c>
      <c r="C494" s="45" t="inlineStr">
        <is>
          <t>ISCOM</t>
        </is>
      </c>
      <c r="D494" s="45" t="inlineStr">
        <is>
          <t>Paris</t>
        </is>
      </c>
      <c r="E494" s="45" t="inlineStr">
        <is>
          <t>616</t>
        </is>
      </c>
      <c r="F494" s="17" t="inlineStr">
        <is>
          <t>Primes d'assurance</t>
        </is>
      </c>
      <c r="G494" s="45" t="inlineStr">
        <is>
          <t>61 — Services extérieurs</t>
        </is>
      </c>
      <c r="H494" s="45" t="inlineStr">
        <is>
          <t>Charge</t>
        </is>
      </c>
      <c r="I494" s="45" t="inlineStr">
        <is>
          <t>Structure</t>
        </is>
      </c>
      <c r="J494" s="45" t="inlineStr">
        <is>
          <t>2024ACT_VDEF</t>
        </is>
      </c>
      <c r="K494" s="45" t="inlineStr">
        <is>
          <t>2024 (N-2)</t>
        </is>
      </c>
      <c r="L494" s="13" t="n">
        <v>24042</v>
      </c>
    </row>
    <row r="495">
      <c r="A495" s="45" t="inlineStr">
        <is>
          <t>ISCOM_LILLE</t>
        </is>
      </c>
      <c r="B495" s="17" t="inlineStr">
        <is>
          <t>ISCOM Lille</t>
        </is>
      </c>
      <c r="C495" s="45" t="inlineStr">
        <is>
          <t>ISCOM</t>
        </is>
      </c>
      <c r="D495" s="45" t="inlineStr">
        <is>
          <t>Lille</t>
        </is>
      </c>
      <c r="E495" s="45" t="inlineStr">
        <is>
          <t>616</t>
        </is>
      </c>
      <c r="F495" s="17" t="inlineStr">
        <is>
          <t>Primes d'assurance</t>
        </is>
      </c>
      <c r="G495" s="45" t="inlineStr">
        <is>
          <t>61 — Services extérieurs</t>
        </is>
      </c>
      <c r="H495" s="45" t="inlineStr">
        <is>
          <t>Charge</t>
        </is>
      </c>
      <c r="I495" s="45" t="inlineStr">
        <is>
          <t>Structure</t>
        </is>
      </c>
      <c r="J495" s="45" t="inlineStr">
        <is>
          <t>2024ACT_VDEF</t>
        </is>
      </c>
      <c r="K495" s="45" t="inlineStr">
        <is>
          <t>2024 (N-2)</t>
        </is>
      </c>
      <c r="L495" s="13" t="n">
        <v>16572</v>
      </c>
    </row>
    <row r="496">
      <c r="A496" s="45" t="inlineStr">
        <is>
          <t>ISCOM_TOULOUSE</t>
        </is>
      </c>
      <c r="B496" s="17" t="inlineStr">
        <is>
          <t>ISCOM Toulouse</t>
        </is>
      </c>
      <c r="C496" s="45" t="inlineStr">
        <is>
          <t>ISCOM</t>
        </is>
      </c>
      <c r="D496" s="45" t="inlineStr">
        <is>
          <t>Toulouse</t>
        </is>
      </c>
      <c r="E496" s="45" t="inlineStr">
        <is>
          <t>616</t>
        </is>
      </c>
      <c r="F496" s="17" t="inlineStr">
        <is>
          <t>Primes d'assurance</t>
        </is>
      </c>
      <c r="G496" s="45" t="inlineStr">
        <is>
          <t>61 — Services extérieurs</t>
        </is>
      </c>
      <c r="H496" s="45" t="inlineStr">
        <is>
          <t>Charge</t>
        </is>
      </c>
      <c r="I496" s="45" t="inlineStr">
        <is>
          <t>Structure</t>
        </is>
      </c>
      <c r="J496" s="45" t="inlineStr">
        <is>
          <t>2024ACT_VDEF</t>
        </is>
      </c>
      <c r="K496" s="45" t="inlineStr">
        <is>
          <t>2024 (N-2)</t>
        </is>
      </c>
      <c r="L496" s="13" t="n">
        <v>15689</v>
      </c>
    </row>
    <row r="497">
      <c r="A497" s="45" t="inlineStr">
        <is>
          <t>IPAC_BACHELOR_FACTORY_NANTES</t>
        </is>
      </c>
      <c r="B497" s="17" t="inlineStr">
        <is>
          <t>Ipac Bachelor Factory Nantes</t>
        </is>
      </c>
      <c r="C497" s="45" t="inlineStr">
        <is>
          <t>Ipac Bachelor Factory</t>
        </is>
      </c>
      <c r="D497" s="45" t="inlineStr">
        <is>
          <t>Nantes</t>
        </is>
      </c>
      <c r="E497" s="45" t="inlineStr">
        <is>
          <t>616</t>
        </is>
      </c>
      <c r="F497" s="17" t="inlineStr">
        <is>
          <t>Primes d'assurance</t>
        </is>
      </c>
      <c r="G497" s="45" t="inlineStr">
        <is>
          <t>61 — Services extérieurs</t>
        </is>
      </c>
      <c r="H497" s="45" t="inlineStr">
        <is>
          <t>Charge</t>
        </is>
      </c>
      <c r="I497" s="45" t="inlineStr">
        <is>
          <t>Structure</t>
        </is>
      </c>
      <c r="J497" s="45" t="inlineStr">
        <is>
          <t>2024ACT_VDEF</t>
        </is>
      </c>
      <c r="K497" s="45" t="inlineStr">
        <is>
          <t>2024 (N-2)</t>
        </is>
      </c>
      <c r="L497" s="13" t="n">
        <v>9848</v>
      </c>
    </row>
    <row r="498">
      <c r="A498" s="45" t="inlineStr">
        <is>
          <t>IPAC_BACHELOR_FACTORY_RENNES</t>
        </is>
      </c>
      <c r="B498" s="17" t="inlineStr">
        <is>
          <t>Ipac Bachelor Factory Rennes</t>
        </is>
      </c>
      <c r="C498" s="45" t="inlineStr">
        <is>
          <t>Ipac Bachelor Factory</t>
        </is>
      </c>
      <c r="D498" s="45" t="inlineStr">
        <is>
          <t>Rennes</t>
        </is>
      </c>
      <c r="E498" s="45" t="inlineStr">
        <is>
          <t>616</t>
        </is>
      </c>
      <c r="F498" s="17" t="inlineStr">
        <is>
          <t>Primes d'assurance</t>
        </is>
      </c>
      <c r="G498" s="45" t="inlineStr">
        <is>
          <t>61 — Services extérieurs</t>
        </is>
      </c>
      <c r="H498" s="45" t="inlineStr">
        <is>
          <t>Charge</t>
        </is>
      </c>
      <c r="I498" s="45" t="inlineStr">
        <is>
          <t>Structure</t>
        </is>
      </c>
      <c r="J498" s="45" t="inlineStr">
        <is>
          <t>2024ACT_VDEF</t>
        </is>
      </c>
      <c r="K498" s="45" t="inlineStr">
        <is>
          <t>2024 (N-2)</t>
        </is>
      </c>
      <c r="L498" s="13" t="n">
        <v>7946</v>
      </c>
    </row>
    <row r="499">
      <c r="A499" s="45" t="inlineStr">
        <is>
          <t>IPAC_BACHELOR_FACTORY_MONTPELLIER</t>
        </is>
      </c>
      <c r="B499" s="17" t="inlineStr">
        <is>
          <t>Ipac Bachelor Factory Montpellier</t>
        </is>
      </c>
      <c r="C499" s="45" t="inlineStr">
        <is>
          <t>Ipac Bachelor Factory</t>
        </is>
      </c>
      <c r="D499" s="45" t="inlineStr">
        <is>
          <t>Montpellier</t>
        </is>
      </c>
      <c r="E499" s="45" t="inlineStr">
        <is>
          <t>616</t>
        </is>
      </c>
      <c r="F499" s="17" t="inlineStr">
        <is>
          <t>Primes d'assurance</t>
        </is>
      </c>
      <c r="G499" s="45" t="inlineStr">
        <is>
          <t>61 — Services extérieurs</t>
        </is>
      </c>
      <c r="H499" s="45" t="inlineStr">
        <is>
          <t>Charge</t>
        </is>
      </c>
      <c r="I499" s="45" t="inlineStr">
        <is>
          <t>Structure</t>
        </is>
      </c>
      <c r="J499" s="45" t="inlineStr">
        <is>
          <t>2024ACT_VDEF</t>
        </is>
      </c>
      <c r="K499" s="45" t="inlineStr">
        <is>
          <t>2024 (N-2)</t>
        </is>
      </c>
      <c r="L499" s="13" t="n">
        <v>7946</v>
      </c>
    </row>
    <row r="500">
      <c r="A500" s="45" t="inlineStr">
        <is>
          <t>PIGIER_LYON</t>
        </is>
      </c>
      <c r="B500" s="17" t="inlineStr">
        <is>
          <t>Pigier Lyon</t>
        </is>
      </c>
      <c r="C500" s="45" t="inlineStr">
        <is>
          <t>Pigier</t>
        </is>
      </c>
      <c r="D500" s="45" t="inlineStr">
        <is>
          <t>Lyon</t>
        </is>
      </c>
      <c r="E500" s="45" t="inlineStr">
        <is>
          <t>616</t>
        </is>
      </c>
      <c r="F500" s="17" t="inlineStr">
        <is>
          <t>Primes d'assurance</t>
        </is>
      </c>
      <c r="G500" s="45" t="inlineStr">
        <is>
          <t>61 — Services extérieurs</t>
        </is>
      </c>
      <c r="H500" s="45" t="inlineStr">
        <is>
          <t>Charge</t>
        </is>
      </c>
      <c r="I500" s="45" t="inlineStr">
        <is>
          <t>Structure</t>
        </is>
      </c>
      <c r="J500" s="45" t="inlineStr">
        <is>
          <t>2024ACT_VDEF</t>
        </is>
      </c>
      <c r="K500" s="45" t="inlineStr">
        <is>
          <t>2024 (N-2)</t>
        </is>
      </c>
      <c r="L500" s="13" t="n">
        <v>12361</v>
      </c>
    </row>
    <row r="501">
      <c r="A501" s="45" t="inlineStr">
        <is>
          <t>PIGIER_BORDEAUX</t>
        </is>
      </c>
      <c r="B501" s="17" t="inlineStr">
        <is>
          <t>Pigier Bordeaux</t>
        </is>
      </c>
      <c r="C501" s="45" t="inlineStr">
        <is>
          <t>Pigier</t>
        </is>
      </c>
      <c r="D501" s="45" t="inlineStr">
        <is>
          <t>Bordeaux</t>
        </is>
      </c>
      <c r="E501" s="45" t="inlineStr">
        <is>
          <t>616</t>
        </is>
      </c>
      <c r="F501" s="17" t="inlineStr">
        <is>
          <t>Primes d'assurance</t>
        </is>
      </c>
      <c r="G501" s="45" t="inlineStr">
        <is>
          <t>61 — Services extérieurs</t>
        </is>
      </c>
      <c r="H501" s="45" t="inlineStr">
        <is>
          <t>Charge</t>
        </is>
      </c>
      <c r="I501" s="45" t="inlineStr">
        <is>
          <t>Structure</t>
        </is>
      </c>
      <c r="J501" s="45" t="inlineStr">
        <is>
          <t>2024ACT_VDEF</t>
        </is>
      </c>
      <c r="K501" s="45" t="inlineStr">
        <is>
          <t>2024 (N-2)</t>
        </is>
      </c>
      <c r="L501" s="13" t="n">
        <v>9644</v>
      </c>
    </row>
    <row r="502">
      <c r="A502" s="45" t="inlineStr">
        <is>
          <t>TUNON_PARIS</t>
        </is>
      </c>
      <c r="B502" s="17" t="inlineStr">
        <is>
          <t>Tunon Paris</t>
        </is>
      </c>
      <c r="C502" s="45" t="inlineStr">
        <is>
          <t>Tunon</t>
        </is>
      </c>
      <c r="D502" s="45" t="inlineStr">
        <is>
          <t>Paris</t>
        </is>
      </c>
      <c r="E502" s="45" t="inlineStr">
        <is>
          <t>616</t>
        </is>
      </c>
      <c r="F502" s="17" t="inlineStr">
        <is>
          <t>Primes d'assurance</t>
        </is>
      </c>
      <c r="G502" s="45" t="inlineStr">
        <is>
          <t>61 — Services extérieurs</t>
        </is>
      </c>
      <c r="H502" s="45" t="inlineStr">
        <is>
          <t>Charge</t>
        </is>
      </c>
      <c r="I502" s="45" t="inlineStr">
        <is>
          <t>Structure</t>
        </is>
      </c>
      <c r="J502" s="45" t="inlineStr">
        <is>
          <t>2024ACT_VDEF</t>
        </is>
      </c>
      <c r="K502" s="45" t="inlineStr">
        <is>
          <t>2024 (N-2)</t>
        </is>
      </c>
      <c r="L502" s="13" t="n">
        <v>9372</v>
      </c>
    </row>
    <row r="503">
      <c r="A503" s="45" t="inlineStr">
        <is>
          <t>TUNON_LYON</t>
        </is>
      </c>
      <c r="B503" s="17" t="inlineStr">
        <is>
          <t>Tunon Lyon</t>
        </is>
      </c>
      <c r="C503" s="45" t="inlineStr">
        <is>
          <t>Tunon</t>
        </is>
      </c>
      <c r="D503" s="45" t="inlineStr">
        <is>
          <t>Lyon</t>
        </is>
      </c>
      <c r="E503" s="45" t="inlineStr">
        <is>
          <t>616</t>
        </is>
      </c>
      <c r="F503" s="17" t="inlineStr">
        <is>
          <t>Primes d'assurance</t>
        </is>
      </c>
      <c r="G503" s="45" t="inlineStr">
        <is>
          <t>61 — Services extérieurs</t>
        </is>
      </c>
      <c r="H503" s="45" t="inlineStr">
        <is>
          <t>Charge</t>
        </is>
      </c>
      <c r="I503" s="45" t="inlineStr">
        <is>
          <t>Structure</t>
        </is>
      </c>
      <c r="J503" s="45" t="inlineStr">
        <is>
          <t>2024ACT_VDEF</t>
        </is>
      </c>
      <c r="K503" s="45" t="inlineStr">
        <is>
          <t>2024 (N-2)</t>
        </is>
      </c>
      <c r="L503" s="13" t="n">
        <v>7946</v>
      </c>
    </row>
    <row r="504">
      <c r="A504" s="45" t="inlineStr">
        <is>
          <t>MBWAY_PARIS</t>
        </is>
      </c>
      <c r="B504" s="17" t="inlineStr">
        <is>
          <t>MBway Paris</t>
        </is>
      </c>
      <c r="C504" s="45" t="inlineStr">
        <is>
          <t>MBway</t>
        </is>
      </c>
      <c r="D504" s="45" t="inlineStr">
        <is>
          <t>Paris</t>
        </is>
      </c>
      <c r="E504" s="45" t="inlineStr">
        <is>
          <t>616</t>
        </is>
      </c>
      <c r="F504" s="17" t="inlineStr">
        <is>
          <t>Primes d'assurance</t>
        </is>
      </c>
      <c r="G504" s="45" t="inlineStr">
        <is>
          <t>61 — Services extérieurs</t>
        </is>
      </c>
      <c r="H504" s="45" t="inlineStr">
        <is>
          <t>Charge</t>
        </is>
      </c>
      <c r="I504" s="45" t="inlineStr">
        <is>
          <t>Structure</t>
        </is>
      </c>
      <c r="J504" s="45" t="inlineStr">
        <is>
          <t>2025ACT_VDEF</t>
        </is>
      </c>
      <c r="K504" s="45" t="inlineStr">
        <is>
          <t>2025 (N-1)</t>
        </is>
      </c>
      <c r="L504" s="13" t="n">
        <v>27133</v>
      </c>
    </row>
    <row r="505">
      <c r="A505" s="45" t="inlineStr">
        <is>
          <t>MBWAY_LYON</t>
        </is>
      </c>
      <c r="B505" s="17" t="inlineStr">
        <is>
          <t>MBway Lyon</t>
        </is>
      </c>
      <c r="C505" s="45" t="inlineStr">
        <is>
          <t>MBway</t>
        </is>
      </c>
      <c r="D505" s="45" t="inlineStr">
        <is>
          <t>Lyon</t>
        </is>
      </c>
      <c r="E505" s="45" t="inlineStr">
        <is>
          <t>616</t>
        </is>
      </c>
      <c r="F505" s="17" t="inlineStr">
        <is>
          <t>Primes d'assurance</t>
        </is>
      </c>
      <c r="G505" s="45" t="inlineStr">
        <is>
          <t>61 — Services extérieurs</t>
        </is>
      </c>
      <c r="H505" s="45" t="inlineStr">
        <is>
          <t>Charge</t>
        </is>
      </c>
      <c r="I505" s="45" t="inlineStr">
        <is>
          <t>Structure</t>
        </is>
      </c>
      <c r="J505" s="45" t="inlineStr">
        <is>
          <t>2025ACT_VDEF</t>
        </is>
      </c>
      <c r="K505" s="45" t="inlineStr">
        <is>
          <t>2025 (N-1)</t>
        </is>
      </c>
      <c r="L505" s="13" t="n">
        <v>23013</v>
      </c>
    </row>
    <row r="506">
      <c r="A506" s="45" t="inlineStr">
        <is>
          <t>MBWAY_NANTES</t>
        </is>
      </c>
      <c r="B506" s="17" t="inlineStr">
        <is>
          <t>MBway Nantes</t>
        </is>
      </c>
      <c r="C506" s="45" t="inlineStr">
        <is>
          <t>MBway</t>
        </is>
      </c>
      <c r="D506" s="45" t="inlineStr">
        <is>
          <t>Nantes</t>
        </is>
      </c>
      <c r="E506" s="45" t="inlineStr">
        <is>
          <t>616</t>
        </is>
      </c>
      <c r="F506" s="17" t="inlineStr">
        <is>
          <t>Primes d'assurance</t>
        </is>
      </c>
      <c r="G506" s="45" t="inlineStr">
        <is>
          <t>61 — Services extérieurs</t>
        </is>
      </c>
      <c r="H506" s="45" t="inlineStr">
        <is>
          <t>Charge</t>
        </is>
      </c>
      <c r="I506" s="45" t="inlineStr">
        <is>
          <t>Structure</t>
        </is>
      </c>
      <c r="J506" s="45" t="inlineStr">
        <is>
          <t>2025ACT_VDEF</t>
        </is>
      </c>
      <c r="K506" s="45" t="inlineStr">
        <is>
          <t>2025 (N-1)</t>
        </is>
      </c>
      <c r="L506" s="13" t="n">
        <v>20882</v>
      </c>
    </row>
    <row r="507">
      <c r="A507" s="45" t="inlineStr">
        <is>
          <t>MBWAY_BORDEAUX</t>
        </is>
      </c>
      <c r="B507" s="17" t="inlineStr">
        <is>
          <t>MBway Bordeaux</t>
        </is>
      </c>
      <c r="C507" s="45" t="inlineStr">
        <is>
          <t>MBway</t>
        </is>
      </c>
      <c r="D507" s="45" t="inlineStr">
        <is>
          <t>Bordeaux</t>
        </is>
      </c>
      <c r="E507" s="45" t="inlineStr">
        <is>
          <t>616</t>
        </is>
      </c>
      <c r="F507" s="17" t="inlineStr">
        <is>
          <t>Primes d'assurance</t>
        </is>
      </c>
      <c r="G507" s="45" t="inlineStr">
        <is>
          <t>61 — Services extérieurs</t>
        </is>
      </c>
      <c r="H507" s="45" t="inlineStr">
        <is>
          <t>Charge</t>
        </is>
      </c>
      <c r="I507" s="45" t="inlineStr">
        <is>
          <t>Structure</t>
        </is>
      </c>
      <c r="J507" s="45" t="inlineStr">
        <is>
          <t>2025ACT_VDEF</t>
        </is>
      </c>
      <c r="K507" s="45" t="inlineStr">
        <is>
          <t>2025 (N-1)</t>
        </is>
      </c>
      <c r="L507" s="13" t="n">
        <v>17686</v>
      </c>
    </row>
    <row r="508">
      <c r="A508" s="45" t="inlineStr">
        <is>
          <t>ISCOM_PARIS</t>
        </is>
      </c>
      <c r="B508" s="17" t="inlineStr">
        <is>
          <t>ISCOM Paris</t>
        </is>
      </c>
      <c r="C508" s="45" t="inlineStr">
        <is>
          <t>ISCOM</t>
        </is>
      </c>
      <c r="D508" s="45" t="inlineStr">
        <is>
          <t>Paris</t>
        </is>
      </c>
      <c r="E508" s="45" t="inlineStr">
        <is>
          <t>616</t>
        </is>
      </c>
      <c r="F508" s="17" t="inlineStr">
        <is>
          <t>Primes d'assurance</t>
        </is>
      </c>
      <c r="G508" s="45" t="inlineStr">
        <is>
          <t>61 — Services extérieurs</t>
        </is>
      </c>
      <c r="H508" s="45" t="inlineStr">
        <is>
          <t>Charge</t>
        </is>
      </c>
      <c r="I508" s="45" t="inlineStr">
        <is>
          <t>Structure</t>
        </is>
      </c>
      <c r="J508" s="45" t="inlineStr">
        <is>
          <t>2025ACT_VDEF</t>
        </is>
      </c>
      <c r="K508" s="45" t="inlineStr">
        <is>
          <t>2025 (N-1)</t>
        </is>
      </c>
      <c r="L508" s="13" t="n">
        <v>25144</v>
      </c>
    </row>
    <row r="509">
      <c r="A509" s="45" t="inlineStr">
        <is>
          <t>ISCOM_LILLE</t>
        </is>
      </c>
      <c r="B509" s="17" t="inlineStr">
        <is>
          <t>ISCOM Lille</t>
        </is>
      </c>
      <c r="C509" s="45" t="inlineStr">
        <is>
          <t>ISCOM</t>
        </is>
      </c>
      <c r="D509" s="45" t="inlineStr">
        <is>
          <t>Lille</t>
        </is>
      </c>
      <c r="E509" s="45" t="inlineStr">
        <is>
          <t>616</t>
        </is>
      </c>
      <c r="F509" s="17" t="inlineStr">
        <is>
          <t>Primes d'assurance</t>
        </is>
      </c>
      <c r="G509" s="45" t="inlineStr">
        <is>
          <t>61 — Services extérieurs</t>
        </is>
      </c>
      <c r="H509" s="45" t="inlineStr">
        <is>
          <t>Charge</t>
        </is>
      </c>
      <c r="I509" s="45" t="inlineStr">
        <is>
          <t>Structure</t>
        </is>
      </c>
      <c r="J509" s="45" t="inlineStr">
        <is>
          <t>2025ACT_VDEF</t>
        </is>
      </c>
      <c r="K509" s="45" t="inlineStr">
        <is>
          <t>2025 (N-1)</t>
        </is>
      </c>
      <c r="L509" s="13" t="n">
        <v>17331</v>
      </c>
    </row>
    <row r="510">
      <c r="A510" s="45" t="inlineStr">
        <is>
          <t>ISCOM_TOULOUSE</t>
        </is>
      </c>
      <c r="B510" s="17" t="inlineStr">
        <is>
          <t>ISCOM Toulouse</t>
        </is>
      </c>
      <c r="C510" s="45" t="inlineStr">
        <is>
          <t>ISCOM</t>
        </is>
      </c>
      <c r="D510" s="45" t="inlineStr">
        <is>
          <t>Toulouse</t>
        </is>
      </c>
      <c r="E510" s="45" t="inlineStr">
        <is>
          <t>616</t>
        </is>
      </c>
      <c r="F510" s="17" t="inlineStr">
        <is>
          <t>Primes d'assurance</t>
        </is>
      </c>
      <c r="G510" s="45" t="inlineStr">
        <is>
          <t>61 — Services extérieurs</t>
        </is>
      </c>
      <c r="H510" s="45" t="inlineStr">
        <is>
          <t>Charge</t>
        </is>
      </c>
      <c r="I510" s="45" t="inlineStr">
        <is>
          <t>Structure</t>
        </is>
      </c>
      <c r="J510" s="45" t="inlineStr">
        <is>
          <t>2025ACT_VDEF</t>
        </is>
      </c>
      <c r="K510" s="45" t="inlineStr">
        <is>
          <t>2025 (N-1)</t>
        </is>
      </c>
      <c r="L510" s="13" t="n">
        <v>16408</v>
      </c>
    </row>
    <row r="511">
      <c r="A511" s="45" t="inlineStr">
        <is>
          <t>IPAC_BACHELOR_FACTORY_NANTES</t>
        </is>
      </c>
      <c r="B511" s="17" t="inlineStr">
        <is>
          <t>Ipac Bachelor Factory Nantes</t>
        </is>
      </c>
      <c r="C511" s="45" t="inlineStr">
        <is>
          <t>Ipac Bachelor Factory</t>
        </is>
      </c>
      <c r="D511" s="45" t="inlineStr">
        <is>
          <t>Nantes</t>
        </is>
      </c>
      <c r="E511" s="45" t="inlineStr">
        <is>
          <t>616</t>
        </is>
      </c>
      <c r="F511" s="17" t="inlineStr">
        <is>
          <t>Primes d'assurance</t>
        </is>
      </c>
      <c r="G511" s="45" t="inlineStr">
        <is>
          <t>61 — Services extérieurs</t>
        </is>
      </c>
      <c r="H511" s="45" t="inlineStr">
        <is>
          <t>Charge</t>
        </is>
      </c>
      <c r="I511" s="45" t="inlineStr">
        <is>
          <t>Structure</t>
        </is>
      </c>
      <c r="J511" s="45" t="inlineStr">
        <is>
          <t>2025ACT_VDEF</t>
        </is>
      </c>
      <c r="K511" s="45" t="inlineStr">
        <is>
          <t>2025 (N-1)</t>
        </is>
      </c>
      <c r="L511" s="13" t="n">
        <v>10299</v>
      </c>
    </row>
    <row r="512">
      <c r="A512" s="45" t="inlineStr">
        <is>
          <t>IPAC_BACHELOR_FACTORY_RENNES</t>
        </is>
      </c>
      <c r="B512" s="17" t="inlineStr">
        <is>
          <t>Ipac Bachelor Factory Rennes</t>
        </is>
      </c>
      <c r="C512" s="45" t="inlineStr">
        <is>
          <t>Ipac Bachelor Factory</t>
        </is>
      </c>
      <c r="D512" s="45" t="inlineStr">
        <is>
          <t>Rennes</t>
        </is>
      </c>
      <c r="E512" s="45" t="inlineStr">
        <is>
          <t>616</t>
        </is>
      </c>
      <c r="F512" s="17" t="inlineStr">
        <is>
          <t>Primes d'assurance</t>
        </is>
      </c>
      <c r="G512" s="45" t="inlineStr">
        <is>
          <t>61 — Services extérieurs</t>
        </is>
      </c>
      <c r="H512" s="45" t="inlineStr">
        <is>
          <t>Charge</t>
        </is>
      </c>
      <c r="I512" s="45" t="inlineStr">
        <is>
          <t>Structure</t>
        </is>
      </c>
      <c r="J512" s="45" t="inlineStr">
        <is>
          <t>2025ACT_VDEF</t>
        </is>
      </c>
      <c r="K512" s="45" t="inlineStr">
        <is>
          <t>2025 (N-1)</t>
        </is>
      </c>
      <c r="L512" s="13" t="n">
        <v>8310</v>
      </c>
    </row>
    <row r="513">
      <c r="A513" s="45" t="inlineStr">
        <is>
          <t>IPAC_BACHELOR_FACTORY_MONTPELLIER</t>
        </is>
      </c>
      <c r="B513" s="17" t="inlineStr">
        <is>
          <t>Ipac Bachelor Factory Montpellier</t>
        </is>
      </c>
      <c r="C513" s="45" t="inlineStr">
        <is>
          <t>Ipac Bachelor Factory</t>
        </is>
      </c>
      <c r="D513" s="45" t="inlineStr">
        <is>
          <t>Montpellier</t>
        </is>
      </c>
      <c r="E513" s="45" t="inlineStr">
        <is>
          <t>616</t>
        </is>
      </c>
      <c r="F513" s="17" t="inlineStr">
        <is>
          <t>Primes d'assurance</t>
        </is>
      </c>
      <c r="G513" s="45" t="inlineStr">
        <is>
          <t>61 — Services extérieurs</t>
        </is>
      </c>
      <c r="H513" s="45" t="inlineStr">
        <is>
          <t>Charge</t>
        </is>
      </c>
      <c r="I513" s="45" t="inlineStr">
        <is>
          <t>Structure</t>
        </is>
      </c>
      <c r="J513" s="45" t="inlineStr">
        <is>
          <t>2025ACT_VDEF</t>
        </is>
      </c>
      <c r="K513" s="45" t="inlineStr">
        <is>
          <t>2025 (N-1)</t>
        </is>
      </c>
      <c r="L513" s="13" t="n">
        <v>8310</v>
      </c>
    </row>
    <row r="514">
      <c r="A514" s="45" t="inlineStr">
        <is>
          <t>PIGIER_LYON</t>
        </is>
      </c>
      <c r="B514" s="17" t="inlineStr">
        <is>
          <t>Pigier Lyon</t>
        </is>
      </c>
      <c r="C514" s="45" t="inlineStr">
        <is>
          <t>Pigier</t>
        </is>
      </c>
      <c r="D514" s="45" t="inlineStr">
        <is>
          <t>Lyon</t>
        </is>
      </c>
      <c r="E514" s="45" t="inlineStr">
        <is>
          <t>616</t>
        </is>
      </c>
      <c r="F514" s="17" t="inlineStr">
        <is>
          <t>Primes d'assurance</t>
        </is>
      </c>
      <c r="G514" s="45" t="inlineStr">
        <is>
          <t>61 — Services extérieurs</t>
        </is>
      </c>
      <c r="H514" s="45" t="inlineStr">
        <is>
          <t>Charge</t>
        </is>
      </c>
      <c r="I514" s="45" t="inlineStr">
        <is>
          <t>Structure</t>
        </is>
      </c>
      <c r="J514" s="45" t="inlineStr">
        <is>
          <t>2025ACT_VDEF</t>
        </is>
      </c>
      <c r="K514" s="45" t="inlineStr">
        <is>
          <t>2025 (N-1)</t>
        </is>
      </c>
      <c r="L514" s="13" t="n">
        <v>12927</v>
      </c>
    </row>
    <row r="515">
      <c r="A515" s="45" t="inlineStr">
        <is>
          <t>PIGIER_BORDEAUX</t>
        </is>
      </c>
      <c r="B515" s="17" t="inlineStr">
        <is>
          <t>Pigier Bordeaux</t>
        </is>
      </c>
      <c r="C515" s="45" t="inlineStr">
        <is>
          <t>Pigier</t>
        </is>
      </c>
      <c r="D515" s="45" t="inlineStr">
        <is>
          <t>Bordeaux</t>
        </is>
      </c>
      <c r="E515" s="45" t="inlineStr">
        <is>
          <t>616</t>
        </is>
      </c>
      <c r="F515" s="17" t="inlineStr">
        <is>
          <t>Primes d'assurance</t>
        </is>
      </c>
      <c r="G515" s="45" t="inlineStr">
        <is>
          <t>61 — Services extérieurs</t>
        </is>
      </c>
      <c r="H515" s="45" t="inlineStr">
        <is>
          <t>Charge</t>
        </is>
      </c>
      <c r="I515" s="45" t="inlineStr">
        <is>
          <t>Structure</t>
        </is>
      </c>
      <c r="J515" s="45" t="inlineStr">
        <is>
          <t>2025ACT_VDEF</t>
        </is>
      </c>
      <c r="K515" s="45" t="inlineStr">
        <is>
          <t>2025 (N-1)</t>
        </is>
      </c>
      <c r="L515" s="13" t="n">
        <v>10086</v>
      </c>
    </row>
    <row r="516">
      <c r="A516" s="45" t="inlineStr">
        <is>
          <t>TUNON_PARIS</t>
        </is>
      </c>
      <c r="B516" s="17" t="inlineStr">
        <is>
          <t>Tunon Paris</t>
        </is>
      </c>
      <c r="C516" s="45" t="inlineStr">
        <is>
          <t>Tunon</t>
        </is>
      </c>
      <c r="D516" s="45" t="inlineStr">
        <is>
          <t>Paris</t>
        </is>
      </c>
      <c r="E516" s="45" t="inlineStr">
        <is>
          <t>616</t>
        </is>
      </c>
      <c r="F516" s="17" t="inlineStr">
        <is>
          <t>Primes d'assurance</t>
        </is>
      </c>
      <c r="G516" s="45" t="inlineStr">
        <is>
          <t>61 — Services extérieurs</t>
        </is>
      </c>
      <c r="H516" s="45" t="inlineStr">
        <is>
          <t>Charge</t>
        </is>
      </c>
      <c r="I516" s="45" t="inlineStr">
        <is>
          <t>Structure</t>
        </is>
      </c>
      <c r="J516" s="45" t="inlineStr">
        <is>
          <t>2025ACT_VDEF</t>
        </is>
      </c>
      <c r="K516" s="45" t="inlineStr">
        <is>
          <t>2025 (N-1)</t>
        </is>
      </c>
      <c r="L516" s="13" t="n">
        <v>9802</v>
      </c>
    </row>
    <row r="517">
      <c r="A517" s="45" t="inlineStr">
        <is>
          <t>TUNON_LYON</t>
        </is>
      </c>
      <c r="B517" s="17" t="inlineStr">
        <is>
          <t>Tunon Lyon</t>
        </is>
      </c>
      <c r="C517" s="45" t="inlineStr">
        <is>
          <t>Tunon</t>
        </is>
      </c>
      <c r="D517" s="45" t="inlineStr">
        <is>
          <t>Lyon</t>
        </is>
      </c>
      <c r="E517" s="45" t="inlineStr">
        <is>
          <t>616</t>
        </is>
      </c>
      <c r="F517" s="17" t="inlineStr">
        <is>
          <t>Primes d'assurance</t>
        </is>
      </c>
      <c r="G517" s="45" t="inlineStr">
        <is>
          <t>61 — Services extérieurs</t>
        </is>
      </c>
      <c r="H517" s="45" t="inlineStr">
        <is>
          <t>Charge</t>
        </is>
      </c>
      <c r="I517" s="45" t="inlineStr">
        <is>
          <t>Structure</t>
        </is>
      </c>
      <c r="J517" s="45" t="inlineStr">
        <is>
          <t>2025ACT_VDEF</t>
        </is>
      </c>
      <c r="K517" s="45" t="inlineStr">
        <is>
          <t>2025 (N-1)</t>
        </is>
      </c>
      <c r="L517" s="13" t="n">
        <v>8310</v>
      </c>
    </row>
    <row r="518">
      <c r="A518" s="45" t="inlineStr">
        <is>
          <t>MBWAY_PARIS</t>
        </is>
      </c>
      <c r="B518" s="17" t="inlineStr">
        <is>
          <t>MBway Paris</t>
        </is>
      </c>
      <c r="C518" s="45" t="inlineStr">
        <is>
          <t>MBway</t>
        </is>
      </c>
      <c r="D518" s="45" t="inlineStr">
        <is>
          <t>Paris</t>
        </is>
      </c>
      <c r="E518" s="45" t="inlineStr">
        <is>
          <t>616</t>
        </is>
      </c>
      <c r="F518" s="17" t="inlineStr">
        <is>
          <t>Primes d'assurance</t>
        </is>
      </c>
      <c r="G518" s="45" t="inlineStr">
        <is>
          <t>61 — Services extérieurs</t>
        </is>
      </c>
      <c r="H518" s="45" t="inlineStr">
        <is>
          <t>Charge</t>
        </is>
      </c>
      <c r="I518" s="45" t="inlineStr">
        <is>
          <t>Structure</t>
        </is>
      </c>
      <c r="J518" s="45" t="inlineStr">
        <is>
          <t>2026ATT_VDEF</t>
        </is>
      </c>
      <c r="K518" s="45" t="inlineStr">
        <is>
          <t>2026 (Atterr.)</t>
        </is>
      </c>
      <c r="L518" s="13" t="n">
        <v>28428</v>
      </c>
    </row>
    <row r="519">
      <c r="A519" s="45" t="inlineStr">
        <is>
          <t>MBWAY_LYON</t>
        </is>
      </c>
      <c r="B519" s="17" t="inlineStr">
        <is>
          <t>MBway Lyon</t>
        </is>
      </c>
      <c r="C519" s="45" t="inlineStr">
        <is>
          <t>MBway</t>
        </is>
      </c>
      <c r="D519" s="45" t="inlineStr">
        <is>
          <t>Lyon</t>
        </is>
      </c>
      <c r="E519" s="45" t="inlineStr">
        <is>
          <t>616</t>
        </is>
      </c>
      <c r="F519" s="17" t="inlineStr">
        <is>
          <t>Primes d'assurance</t>
        </is>
      </c>
      <c r="G519" s="45" t="inlineStr">
        <is>
          <t>61 — Services extérieurs</t>
        </is>
      </c>
      <c r="H519" s="45" t="inlineStr">
        <is>
          <t>Charge</t>
        </is>
      </c>
      <c r="I519" s="45" t="inlineStr">
        <is>
          <t>Structure</t>
        </is>
      </c>
      <c r="J519" s="45" t="inlineStr">
        <is>
          <t>2026ATT_VDEF</t>
        </is>
      </c>
      <c r="K519" s="45" t="inlineStr">
        <is>
          <t>2026 (Atterr.)</t>
        </is>
      </c>
      <c r="L519" s="13" t="n">
        <v>24112</v>
      </c>
    </row>
    <row r="520">
      <c r="A520" s="45" t="inlineStr">
        <is>
          <t>MBWAY_NANTES</t>
        </is>
      </c>
      <c r="B520" s="17" t="inlineStr">
        <is>
          <t>MBway Nantes</t>
        </is>
      </c>
      <c r="C520" s="45" t="inlineStr">
        <is>
          <t>MBway</t>
        </is>
      </c>
      <c r="D520" s="45" t="inlineStr">
        <is>
          <t>Nantes</t>
        </is>
      </c>
      <c r="E520" s="45" t="inlineStr">
        <is>
          <t>616</t>
        </is>
      </c>
      <c r="F520" s="17" t="inlineStr">
        <is>
          <t>Primes d'assurance</t>
        </is>
      </c>
      <c r="G520" s="45" t="inlineStr">
        <is>
          <t>61 — Services extérieurs</t>
        </is>
      </c>
      <c r="H520" s="45" t="inlineStr">
        <is>
          <t>Charge</t>
        </is>
      </c>
      <c r="I520" s="45" t="inlineStr">
        <is>
          <t>Structure</t>
        </is>
      </c>
      <c r="J520" s="45" t="inlineStr">
        <is>
          <t>2026ATT_VDEF</t>
        </is>
      </c>
      <c r="K520" s="45" t="inlineStr">
        <is>
          <t>2026 (Atterr.)</t>
        </is>
      </c>
      <c r="L520" s="13" t="n">
        <v>21879</v>
      </c>
    </row>
    <row r="521">
      <c r="A521" s="45" t="inlineStr">
        <is>
          <t>MBWAY_BORDEAUX</t>
        </is>
      </c>
      <c r="B521" s="17" t="inlineStr">
        <is>
          <t>MBway Bordeaux</t>
        </is>
      </c>
      <c r="C521" s="45" t="inlineStr">
        <is>
          <t>MBway</t>
        </is>
      </c>
      <c r="D521" s="45" t="inlineStr">
        <is>
          <t>Bordeaux</t>
        </is>
      </c>
      <c r="E521" s="45" t="inlineStr">
        <is>
          <t>616</t>
        </is>
      </c>
      <c r="F521" s="17" t="inlineStr">
        <is>
          <t>Primes d'assurance</t>
        </is>
      </c>
      <c r="G521" s="45" t="inlineStr">
        <is>
          <t>61 — Services extérieurs</t>
        </is>
      </c>
      <c r="H521" s="45" t="inlineStr">
        <is>
          <t>Charge</t>
        </is>
      </c>
      <c r="I521" s="45" t="inlineStr">
        <is>
          <t>Structure</t>
        </is>
      </c>
      <c r="J521" s="45" t="inlineStr">
        <is>
          <t>2026ATT_VDEF</t>
        </is>
      </c>
      <c r="K521" s="45" t="inlineStr">
        <is>
          <t>2026 (Atterr.)</t>
        </is>
      </c>
      <c r="L521" s="13" t="n">
        <v>18530</v>
      </c>
    </row>
    <row r="522">
      <c r="A522" s="45" t="inlineStr">
        <is>
          <t>ISCOM_PARIS</t>
        </is>
      </c>
      <c r="B522" s="17" t="inlineStr">
        <is>
          <t>ISCOM Paris</t>
        </is>
      </c>
      <c r="C522" s="45" t="inlineStr">
        <is>
          <t>ISCOM</t>
        </is>
      </c>
      <c r="D522" s="45" t="inlineStr">
        <is>
          <t>Paris</t>
        </is>
      </c>
      <c r="E522" s="45" t="inlineStr">
        <is>
          <t>616</t>
        </is>
      </c>
      <c r="F522" s="17" t="inlineStr">
        <is>
          <t>Primes d'assurance</t>
        </is>
      </c>
      <c r="G522" s="45" t="inlineStr">
        <is>
          <t>61 — Services extérieurs</t>
        </is>
      </c>
      <c r="H522" s="45" t="inlineStr">
        <is>
          <t>Charge</t>
        </is>
      </c>
      <c r="I522" s="45" t="inlineStr">
        <is>
          <t>Structure</t>
        </is>
      </c>
      <c r="J522" s="45" t="inlineStr">
        <is>
          <t>2026ATT_VDEF</t>
        </is>
      </c>
      <c r="K522" s="45" t="inlineStr">
        <is>
          <t>2026 (Atterr.)</t>
        </is>
      </c>
      <c r="L522" s="13" t="n">
        <v>26344</v>
      </c>
    </row>
    <row r="523">
      <c r="A523" s="45" t="inlineStr">
        <is>
          <t>ISCOM_LILLE</t>
        </is>
      </c>
      <c r="B523" s="17" t="inlineStr">
        <is>
          <t>ISCOM Lille</t>
        </is>
      </c>
      <c r="C523" s="45" t="inlineStr">
        <is>
          <t>ISCOM</t>
        </is>
      </c>
      <c r="D523" s="45" t="inlineStr">
        <is>
          <t>Lille</t>
        </is>
      </c>
      <c r="E523" s="45" t="inlineStr">
        <is>
          <t>616</t>
        </is>
      </c>
      <c r="F523" s="17" t="inlineStr">
        <is>
          <t>Primes d'assurance</t>
        </is>
      </c>
      <c r="G523" s="45" t="inlineStr">
        <is>
          <t>61 — Services extérieurs</t>
        </is>
      </c>
      <c r="H523" s="45" t="inlineStr">
        <is>
          <t>Charge</t>
        </is>
      </c>
      <c r="I523" s="45" t="inlineStr">
        <is>
          <t>Structure</t>
        </is>
      </c>
      <c r="J523" s="45" t="inlineStr">
        <is>
          <t>2026ATT_VDEF</t>
        </is>
      </c>
      <c r="K523" s="45" t="inlineStr">
        <is>
          <t>2026 (Atterr.)</t>
        </is>
      </c>
      <c r="L523" s="13" t="n">
        <v>18158</v>
      </c>
    </row>
    <row r="524">
      <c r="A524" s="45" t="inlineStr">
        <is>
          <t>ISCOM_TOULOUSE</t>
        </is>
      </c>
      <c r="B524" s="17" t="inlineStr">
        <is>
          <t>ISCOM Toulouse</t>
        </is>
      </c>
      <c r="C524" s="45" t="inlineStr">
        <is>
          <t>ISCOM</t>
        </is>
      </c>
      <c r="D524" s="45" t="inlineStr">
        <is>
          <t>Toulouse</t>
        </is>
      </c>
      <c r="E524" s="45" t="inlineStr">
        <is>
          <t>616</t>
        </is>
      </c>
      <c r="F524" s="17" t="inlineStr">
        <is>
          <t>Primes d'assurance</t>
        </is>
      </c>
      <c r="G524" s="45" t="inlineStr">
        <is>
          <t>61 — Services extérieurs</t>
        </is>
      </c>
      <c r="H524" s="45" t="inlineStr">
        <is>
          <t>Charge</t>
        </is>
      </c>
      <c r="I524" s="45" t="inlineStr">
        <is>
          <t>Structure</t>
        </is>
      </c>
      <c r="J524" s="45" t="inlineStr">
        <is>
          <t>2026ATT_VDEF</t>
        </is>
      </c>
      <c r="K524" s="45" t="inlineStr">
        <is>
          <t>2026 (Atterr.)</t>
        </is>
      </c>
      <c r="L524" s="13" t="n">
        <v>17191</v>
      </c>
    </row>
    <row r="525">
      <c r="A525" s="45" t="inlineStr">
        <is>
          <t>IPAC_BACHELOR_FACTORY_NANTES</t>
        </is>
      </c>
      <c r="B525" s="17" t="inlineStr">
        <is>
          <t>Ipac Bachelor Factory Nantes</t>
        </is>
      </c>
      <c r="C525" s="45" t="inlineStr">
        <is>
          <t>Ipac Bachelor Factory</t>
        </is>
      </c>
      <c r="D525" s="45" t="inlineStr">
        <is>
          <t>Nantes</t>
        </is>
      </c>
      <c r="E525" s="45" t="inlineStr">
        <is>
          <t>616</t>
        </is>
      </c>
      <c r="F525" s="17" t="inlineStr">
        <is>
          <t>Primes d'assurance</t>
        </is>
      </c>
      <c r="G525" s="45" t="inlineStr">
        <is>
          <t>61 — Services extérieurs</t>
        </is>
      </c>
      <c r="H525" s="45" t="inlineStr">
        <is>
          <t>Charge</t>
        </is>
      </c>
      <c r="I525" s="45" t="inlineStr">
        <is>
          <t>Structure</t>
        </is>
      </c>
      <c r="J525" s="45" t="inlineStr">
        <is>
          <t>2026ATT_VDEF</t>
        </is>
      </c>
      <c r="K525" s="45" t="inlineStr">
        <is>
          <t>2026 (Atterr.)</t>
        </is>
      </c>
      <c r="L525" s="13" t="n">
        <v>10791</v>
      </c>
    </row>
    <row r="526">
      <c r="A526" s="45" t="inlineStr">
        <is>
          <t>IPAC_BACHELOR_FACTORY_RENNES</t>
        </is>
      </c>
      <c r="B526" s="17" t="inlineStr">
        <is>
          <t>Ipac Bachelor Factory Rennes</t>
        </is>
      </c>
      <c r="C526" s="45" t="inlineStr">
        <is>
          <t>Ipac Bachelor Factory</t>
        </is>
      </c>
      <c r="D526" s="45" t="inlineStr">
        <is>
          <t>Rennes</t>
        </is>
      </c>
      <c r="E526" s="45" t="inlineStr">
        <is>
          <t>616</t>
        </is>
      </c>
      <c r="F526" s="17" t="inlineStr">
        <is>
          <t>Primes d'assurance</t>
        </is>
      </c>
      <c r="G526" s="45" t="inlineStr">
        <is>
          <t>61 — Services extérieurs</t>
        </is>
      </c>
      <c r="H526" s="45" t="inlineStr">
        <is>
          <t>Charge</t>
        </is>
      </c>
      <c r="I526" s="45" t="inlineStr">
        <is>
          <t>Structure</t>
        </is>
      </c>
      <c r="J526" s="45" t="inlineStr">
        <is>
          <t>2026ATT_VDEF</t>
        </is>
      </c>
      <c r="K526" s="45" t="inlineStr">
        <is>
          <t>2026 (Atterr.)</t>
        </is>
      </c>
      <c r="L526" s="13" t="n">
        <v>8707</v>
      </c>
    </row>
    <row r="527">
      <c r="A527" s="45" t="inlineStr">
        <is>
          <t>IPAC_BACHELOR_FACTORY_MONTPELLIER</t>
        </is>
      </c>
      <c r="B527" s="17" t="inlineStr">
        <is>
          <t>Ipac Bachelor Factory Montpellier</t>
        </is>
      </c>
      <c r="C527" s="45" t="inlineStr">
        <is>
          <t>Ipac Bachelor Factory</t>
        </is>
      </c>
      <c r="D527" s="45" t="inlineStr">
        <is>
          <t>Montpellier</t>
        </is>
      </c>
      <c r="E527" s="45" t="inlineStr">
        <is>
          <t>616</t>
        </is>
      </c>
      <c r="F527" s="17" t="inlineStr">
        <is>
          <t>Primes d'assurance</t>
        </is>
      </c>
      <c r="G527" s="45" t="inlineStr">
        <is>
          <t>61 — Services extérieurs</t>
        </is>
      </c>
      <c r="H527" s="45" t="inlineStr">
        <is>
          <t>Charge</t>
        </is>
      </c>
      <c r="I527" s="45" t="inlineStr">
        <is>
          <t>Structure</t>
        </is>
      </c>
      <c r="J527" s="45" t="inlineStr">
        <is>
          <t>2026ATT_VDEF</t>
        </is>
      </c>
      <c r="K527" s="45" t="inlineStr">
        <is>
          <t>2026 (Atterr.)</t>
        </is>
      </c>
      <c r="L527" s="13" t="n">
        <v>8707</v>
      </c>
    </row>
    <row r="528">
      <c r="A528" s="45" t="inlineStr">
        <is>
          <t>PIGIER_LYON</t>
        </is>
      </c>
      <c r="B528" s="17" t="inlineStr">
        <is>
          <t>Pigier Lyon</t>
        </is>
      </c>
      <c r="C528" s="45" t="inlineStr">
        <is>
          <t>Pigier</t>
        </is>
      </c>
      <c r="D528" s="45" t="inlineStr">
        <is>
          <t>Lyon</t>
        </is>
      </c>
      <c r="E528" s="45" t="inlineStr">
        <is>
          <t>616</t>
        </is>
      </c>
      <c r="F528" s="17" t="inlineStr">
        <is>
          <t>Primes d'assurance</t>
        </is>
      </c>
      <c r="G528" s="45" t="inlineStr">
        <is>
          <t>61 — Services extérieurs</t>
        </is>
      </c>
      <c r="H528" s="45" t="inlineStr">
        <is>
          <t>Charge</t>
        </is>
      </c>
      <c r="I528" s="45" t="inlineStr">
        <is>
          <t>Structure</t>
        </is>
      </c>
      <c r="J528" s="45" t="inlineStr">
        <is>
          <t>2026ATT_VDEF</t>
        </is>
      </c>
      <c r="K528" s="45" t="inlineStr">
        <is>
          <t>2026 (Atterr.)</t>
        </is>
      </c>
      <c r="L528" s="13" t="n">
        <v>13544</v>
      </c>
    </row>
    <row r="529">
      <c r="A529" s="45" t="inlineStr">
        <is>
          <t>PIGIER_BORDEAUX</t>
        </is>
      </c>
      <c r="B529" s="17" t="inlineStr">
        <is>
          <t>Pigier Bordeaux</t>
        </is>
      </c>
      <c r="C529" s="45" t="inlineStr">
        <is>
          <t>Pigier</t>
        </is>
      </c>
      <c r="D529" s="45" t="inlineStr">
        <is>
          <t>Bordeaux</t>
        </is>
      </c>
      <c r="E529" s="45" t="inlineStr">
        <is>
          <t>616</t>
        </is>
      </c>
      <c r="F529" s="17" t="inlineStr">
        <is>
          <t>Primes d'assurance</t>
        </is>
      </c>
      <c r="G529" s="45" t="inlineStr">
        <is>
          <t>61 — Services extérieurs</t>
        </is>
      </c>
      <c r="H529" s="45" t="inlineStr">
        <is>
          <t>Charge</t>
        </is>
      </c>
      <c r="I529" s="45" t="inlineStr">
        <is>
          <t>Structure</t>
        </is>
      </c>
      <c r="J529" s="45" t="inlineStr">
        <is>
          <t>2026ATT_VDEF</t>
        </is>
      </c>
      <c r="K529" s="45" t="inlineStr">
        <is>
          <t>2026 (Atterr.)</t>
        </is>
      </c>
      <c r="L529" s="13" t="n">
        <v>10568</v>
      </c>
    </row>
    <row r="530">
      <c r="A530" s="45" t="inlineStr">
        <is>
          <t>TUNON_PARIS</t>
        </is>
      </c>
      <c r="B530" s="17" t="inlineStr">
        <is>
          <t>Tunon Paris</t>
        </is>
      </c>
      <c r="C530" s="45" t="inlineStr">
        <is>
          <t>Tunon</t>
        </is>
      </c>
      <c r="D530" s="45" t="inlineStr">
        <is>
          <t>Paris</t>
        </is>
      </c>
      <c r="E530" s="45" t="inlineStr">
        <is>
          <t>616</t>
        </is>
      </c>
      <c r="F530" s="17" t="inlineStr">
        <is>
          <t>Primes d'assurance</t>
        </is>
      </c>
      <c r="G530" s="45" t="inlineStr">
        <is>
          <t>61 — Services extérieurs</t>
        </is>
      </c>
      <c r="H530" s="45" t="inlineStr">
        <is>
          <t>Charge</t>
        </is>
      </c>
      <c r="I530" s="45" t="inlineStr">
        <is>
          <t>Structure</t>
        </is>
      </c>
      <c r="J530" s="45" t="inlineStr">
        <is>
          <t>2026ATT_VDEF</t>
        </is>
      </c>
      <c r="K530" s="45" t="inlineStr">
        <is>
          <t>2026 (Atterr.)</t>
        </is>
      </c>
      <c r="L530" s="13" t="n">
        <v>10270</v>
      </c>
    </row>
    <row r="531">
      <c r="A531" s="45" t="inlineStr">
        <is>
          <t>TUNON_LYON</t>
        </is>
      </c>
      <c r="B531" s="17" t="inlineStr">
        <is>
          <t>Tunon Lyon</t>
        </is>
      </c>
      <c r="C531" s="45" t="inlineStr">
        <is>
          <t>Tunon</t>
        </is>
      </c>
      <c r="D531" s="45" t="inlineStr">
        <is>
          <t>Lyon</t>
        </is>
      </c>
      <c r="E531" s="45" t="inlineStr">
        <is>
          <t>616</t>
        </is>
      </c>
      <c r="F531" s="17" t="inlineStr">
        <is>
          <t>Primes d'assurance</t>
        </is>
      </c>
      <c r="G531" s="45" t="inlineStr">
        <is>
          <t>61 — Services extérieurs</t>
        </is>
      </c>
      <c r="H531" s="45" t="inlineStr">
        <is>
          <t>Charge</t>
        </is>
      </c>
      <c r="I531" s="45" t="inlineStr">
        <is>
          <t>Structure</t>
        </is>
      </c>
      <c r="J531" s="45" t="inlineStr">
        <is>
          <t>2026ATT_VDEF</t>
        </is>
      </c>
      <c r="K531" s="45" t="inlineStr">
        <is>
          <t>2026 (Atterr.)</t>
        </is>
      </c>
      <c r="L531" s="13" t="n">
        <v>8707</v>
      </c>
    </row>
    <row r="532">
      <c r="A532" s="45" t="inlineStr">
        <is>
          <t>GROUPE</t>
        </is>
      </c>
      <c r="B532" s="17" t="inlineStr">
        <is>
          <t>GROUPE — Siège</t>
        </is>
      </c>
      <c r="C532" s="45" t="inlineStr">
        <is>
          <t>(groupe)</t>
        </is>
      </c>
      <c r="D532" s="45" t="inlineStr">
        <is>
          <t>(groupe)</t>
        </is>
      </c>
      <c r="E532" s="45" t="inlineStr">
        <is>
          <t>6226</t>
        </is>
      </c>
      <c r="F532" s="17" t="inlineStr">
        <is>
          <t>Honoraires (audit, conseil, juridique)</t>
        </is>
      </c>
      <c r="G532" s="45" t="inlineStr">
        <is>
          <t>62 — Autres services extérieurs</t>
        </is>
      </c>
      <c r="H532" s="45" t="inlineStr">
        <is>
          <t>Charge</t>
        </is>
      </c>
      <c r="I532" s="45" t="inlineStr">
        <is>
          <t>Structure</t>
        </is>
      </c>
      <c r="J532" s="45" t="inlineStr">
        <is>
          <t>2024ACT_VDEF</t>
        </is>
      </c>
      <c r="K532" s="45" t="inlineStr">
        <is>
          <t>2024 (N-2)</t>
        </is>
      </c>
      <c r="L532" s="13" t="n">
        <v>515487</v>
      </c>
    </row>
    <row r="533">
      <c r="A533" s="45" t="inlineStr">
        <is>
          <t>GROUPE</t>
        </is>
      </c>
      <c r="B533" s="17" t="inlineStr">
        <is>
          <t>GROUPE — Siège</t>
        </is>
      </c>
      <c r="C533" s="45" t="inlineStr">
        <is>
          <t>(groupe)</t>
        </is>
      </c>
      <c r="D533" s="45" t="inlineStr">
        <is>
          <t>(groupe)</t>
        </is>
      </c>
      <c r="E533" s="45" t="inlineStr">
        <is>
          <t>6226</t>
        </is>
      </c>
      <c r="F533" s="17" t="inlineStr">
        <is>
          <t>Honoraires (audit, conseil, juridique)</t>
        </is>
      </c>
      <c r="G533" s="45" t="inlineStr">
        <is>
          <t>62 — Autres services extérieurs</t>
        </is>
      </c>
      <c r="H533" s="45" t="inlineStr">
        <is>
          <t>Charge</t>
        </is>
      </c>
      <c r="I533" s="45" t="inlineStr">
        <is>
          <t>Structure</t>
        </is>
      </c>
      <c r="J533" s="45" t="inlineStr">
        <is>
          <t>2025ACT_VDEF</t>
        </is>
      </c>
      <c r="K533" s="45" t="inlineStr">
        <is>
          <t>2025 (N-1)</t>
        </is>
      </c>
      <c r="L533" s="13" t="n">
        <v>539108</v>
      </c>
    </row>
    <row r="534">
      <c r="A534" s="45" t="inlineStr">
        <is>
          <t>GROUPE</t>
        </is>
      </c>
      <c r="B534" s="17" t="inlineStr">
        <is>
          <t>GROUPE — Siège</t>
        </is>
      </c>
      <c r="C534" s="45" t="inlineStr">
        <is>
          <t>(groupe)</t>
        </is>
      </c>
      <c r="D534" s="45" t="inlineStr">
        <is>
          <t>(groupe)</t>
        </is>
      </c>
      <c r="E534" s="45" t="inlineStr">
        <is>
          <t>6226</t>
        </is>
      </c>
      <c r="F534" s="17" t="inlineStr">
        <is>
          <t>Honoraires (audit, conseil, juridique)</t>
        </is>
      </c>
      <c r="G534" s="45" t="inlineStr">
        <is>
          <t>62 — Autres services extérieurs</t>
        </is>
      </c>
      <c r="H534" s="45" t="inlineStr">
        <is>
          <t>Charge</t>
        </is>
      </c>
      <c r="I534" s="45" t="inlineStr">
        <is>
          <t>Structure</t>
        </is>
      </c>
      <c r="J534" s="45" t="inlineStr">
        <is>
          <t>2026ATT_VDEF</t>
        </is>
      </c>
      <c r="K534" s="45" t="inlineStr">
        <is>
          <t>2026 (Atterr.)</t>
        </is>
      </c>
      <c r="L534" s="13" t="n">
        <v>564841</v>
      </c>
    </row>
    <row r="535">
      <c r="A535" s="45" t="inlineStr">
        <is>
          <t>GROUPE</t>
        </is>
      </c>
      <c r="B535" s="17" t="inlineStr">
        <is>
          <t>GROUPE — Siège</t>
        </is>
      </c>
      <c r="C535" s="45" t="inlineStr">
        <is>
          <t>(groupe)</t>
        </is>
      </c>
      <c r="D535" s="45" t="inlineStr">
        <is>
          <t>(groupe)</t>
        </is>
      </c>
      <c r="E535" s="45" t="inlineStr">
        <is>
          <t>6236</t>
        </is>
      </c>
      <c r="F535" s="17" t="inlineStr">
        <is>
          <t>Marketing de marque, salons &amp; JPO</t>
        </is>
      </c>
      <c r="G535" s="45" t="inlineStr">
        <is>
          <t>62 — Autres services extérieurs</t>
        </is>
      </c>
      <c r="H535" s="45" t="inlineStr">
        <is>
          <t>Charge</t>
        </is>
      </c>
      <c r="I535" s="45" t="inlineStr">
        <is>
          <t>Structure</t>
        </is>
      </c>
      <c r="J535" s="45" t="inlineStr">
        <is>
          <t>2024ACT_VDEF</t>
        </is>
      </c>
      <c r="K535" s="45" t="inlineStr">
        <is>
          <t>2024 (N-2)</t>
        </is>
      </c>
      <c r="L535" s="13" t="n">
        <v>499926</v>
      </c>
    </row>
    <row r="536">
      <c r="A536" s="45" t="inlineStr">
        <is>
          <t>GROUPE</t>
        </is>
      </c>
      <c r="B536" s="17" t="inlineStr">
        <is>
          <t>GROUPE — Siège</t>
        </is>
      </c>
      <c r="C536" s="45" t="inlineStr">
        <is>
          <t>(groupe)</t>
        </is>
      </c>
      <c r="D536" s="45" t="inlineStr">
        <is>
          <t>(groupe)</t>
        </is>
      </c>
      <c r="E536" s="45" t="inlineStr">
        <is>
          <t>6236</t>
        </is>
      </c>
      <c r="F536" s="17" t="inlineStr">
        <is>
          <t>Marketing de marque, salons &amp; JPO</t>
        </is>
      </c>
      <c r="G536" s="45" t="inlineStr">
        <is>
          <t>62 — Autres services extérieurs</t>
        </is>
      </c>
      <c r="H536" s="45" t="inlineStr">
        <is>
          <t>Charge</t>
        </is>
      </c>
      <c r="I536" s="45" t="inlineStr">
        <is>
          <t>Structure</t>
        </is>
      </c>
      <c r="J536" s="45" t="inlineStr">
        <is>
          <t>2025ACT_VDEF</t>
        </is>
      </c>
      <c r="K536" s="45" t="inlineStr">
        <is>
          <t>2025 (N-1)</t>
        </is>
      </c>
      <c r="L536" s="13" t="n">
        <v>580167</v>
      </c>
    </row>
    <row r="537">
      <c r="A537" s="45" t="inlineStr">
        <is>
          <t>GROUPE</t>
        </is>
      </c>
      <c r="B537" s="17" t="inlineStr">
        <is>
          <t>GROUPE — Siège</t>
        </is>
      </c>
      <c r="C537" s="45" t="inlineStr">
        <is>
          <t>(groupe)</t>
        </is>
      </c>
      <c r="D537" s="45" t="inlineStr">
        <is>
          <t>(groupe)</t>
        </is>
      </c>
      <c r="E537" s="45" t="inlineStr">
        <is>
          <t>6236</t>
        </is>
      </c>
      <c r="F537" s="17" t="inlineStr">
        <is>
          <t>Marketing de marque, salons &amp; JPO</t>
        </is>
      </c>
      <c r="G537" s="45" t="inlineStr">
        <is>
          <t>62 — Autres services extérieurs</t>
        </is>
      </c>
      <c r="H537" s="45" t="inlineStr">
        <is>
          <t>Charge</t>
        </is>
      </c>
      <c r="I537" s="45" t="inlineStr">
        <is>
          <t>Structure</t>
        </is>
      </c>
      <c r="J537" s="45" t="inlineStr">
        <is>
          <t>2026ATT_VDEF</t>
        </is>
      </c>
      <c r="K537" s="45" t="inlineStr">
        <is>
          <t>2026 (Atterr.)</t>
        </is>
      </c>
      <c r="L537" s="13" t="n">
        <v>676344</v>
      </c>
    </row>
    <row r="538">
      <c r="A538" s="45" t="inlineStr">
        <is>
          <t>MBWAY_PARIS</t>
        </is>
      </c>
      <c r="B538" s="17" t="inlineStr">
        <is>
          <t>MBway Paris</t>
        </is>
      </c>
      <c r="C538" s="45" t="inlineStr">
        <is>
          <t>MBway</t>
        </is>
      </c>
      <c r="D538" s="45" t="inlineStr">
        <is>
          <t>Paris</t>
        </is>
      </c>
      <c r="E538" s="45" t="inlineStr">
        <is>
          <t>625</t>
        </is>
      </c>
      <c r="F538" s="17" t="inlineStr">
        <is>
          <t>Déplacements, missions &amp; réceptions</t>
        </is>
      </c>
      <c r="G538" s="45" t="inlineStr">
        <is>
          <t>62 — Autres services extérieurs</t>
        </is>
      </c>
      <c r="H538" s="45" t="inlineStr">
        <is>
          <t>Charge</t>
        </is>
      </c>
      <c r="I538" s="45" t="inlineStr">
        <is>
          <t>Structure</t>
        </is>
      </c>
      <c r="J538" s="45" t="inlineStr">
        <is>
          <t>2024ACT_VDEF</t>
        </is>
      </c>
      <c r="K538" s="45" t="inlineStr">
        <is>
          <t>2024 (N-2)</t>
        </is>
      </c>
      <c r="L538" s="13" t="n">
        <v>38916</v>
      </c>
    </row>
    <row r="539">
      <c r="A539" s="45" t="inlineStr">
        <is>
          <t>MBWAY_LYON</t>
        </is>
      </c>
      <c r="B539" s="17" t="inlineStr">
        <is>
          <t>MBway Lyon</t>
        </is>
      </c>
      <c r="C539" s="45" t="inlineStr">
        <is>
          <t>MBway</t>
        </is>
      </c>
      <c r="D539" s="45" t="inlineStr">
        <is>
          <t>Lyon</t>
        </is>
      </c>
      <c r="E539" s="45" t="inlineStr">
        <is>
          <t>625</t>
        </is>
      </c>
      <c r="F539" s="17" t="inlineStr">
        <is>
          <t>Déplacements, missions &amp; réceptions</t>
        </is>
      </c>
      <c r="G539" s="45" t="inlineStr">
        <is>
          <t>62 — Autres services extérieurs</t>
        </is>
      </c>
      <c r="H539" s="45" t="inlineStr">
        <is>
          <t>Charge</t>
        </is>
      </c>
      <c r="I539" s="45" t="inlineStr">
        <is>
          <t>Structure</t>
        </is>
      </c>
      <c r="J539" s="45" t="inlineStr">
        <is>
          <t>2024ACT_VDEF</t>
        </is>
      </c>
      <c r="K539" s="45" t="inlineStr">
        <is>
          <t>2024 (N-2)</t>
        </is>
      </c>
      <c r="L539" s="13" t="n">
        <v>33007</v>
      </c>
    </row>
    <row r="540">
      <c r="A540" s="45" t="inlineStr">
        <is>
          <t>MBWAY_NANTES</t>
        </is>
      </c>
      <c r="B540" s="17" t="inlineStr">
        <is>
          <t>MBway Nantes</t>
        </is>
      </c>
      <c r="C540" s="45" t="inlineStr">
        <is>
          <t>MBway</t>
        </is>
      </c>
      <c r="D540" s="45" t="inlineStr">
        <is>
          <t>Nantes</t>
        </is>
      </c>
      <c r="E540" s="45" t="inlineStr">
        <is>
          <t>625</t>
        </is>
      </c>
      <c r="F540" s="17" t="inlineStr">
        <is>
          <t>Déplacements, missions &amp; réceptions</t>
        </is>
      </c>
      <c r="G540" s="45" t="inlineStr">
        <is>
          <t>62 — Autres services extérieurs</t>
        </is>
      </c>
      <c r="H540" s="45" t="inlineStr">
        <is>
          <t>Charge</t>
        </is>
      </c>
      <c r="I540" s="45" t="inlineStr">
        <is>
          <t>Structure</t>
        </is>
      </c>
      <c r="J540" s="45" t="inlineStr">
        <is>
          <t>2024ACT_VDEF</t>
        </is>
      </c>
      <c r="K540" s="45" t="inlineStr">
        <is>
          <t>2024 (N-2)</t>
        </is>
      </c>
      <c r="L540" s="13" t="n">
        <v>29951</v>
      </c>
    </row>
    <row r="541">
      <c r="A541" s="45" t="inlineStr">
        <is>
          <t>MBWAY_BORDEAUX</t>
        </is>
      </c>
      <c r="B541" s="17" t="inlineStr">
        <is>
          <t>MBway Bordeaux</t>
        </is>
      </c>
      <c r="C541" s="45" t="inlineStr">
        <is>
          <t>MBway</t>
        </is>
      </c>
      <c r="D541" s="45" t="inlineStr">
        <is>
          <t>Bordeaux</t>
        </is>
      </c>
      <c r="E541" s="45" t="inlineStr">
        <is>
          <t>625</t>
        </is>
      </c>
      <c r="F541" s="17" t="inlineStr">
        <is>
          <t>Déplacements, missions &amp; réceptions</t>
        </is>
      </c>
      <c r="G541" s="45" t="inlineStr">
        <is>
          <t>62 — Autres services extérieurs</t>
        </is>
      </c>
      <c r="H541" s="45" t="inlineStr">
        <is>
          <t>Charge</t>
        </is>
      </c>
      <c r="I541" s="45" t="inlineStr">
        <is>
          <t>Structure</t>
        </is>
      </c>
      <c r="J541" s="45" t="inlineStr">
        <is>
          <t>2024ACT_VDEF</t>
        </is>
      </c>
      <c r="K541" s="45" t="inlineStr">
        <is>
          <t>2024 (N-2)</t>
        </is>
      </c>
      <c r="L541" s="13" t="n">
        <v>25367</v>
      </c>
    </row>
    <row r="542">
      <c r="A542" s="45" t="inlineStr">
        <is>
          <t>ISCOM_PARIS</t>
        </is>
      </c>
      <c r="B542" s="17" t="inlineStr">
        <is>
          <t>ISCOM Paris</t>
        </is>
      </c>
      <c r="C542" s="45" t="inlineStr">
        <is>
          <t>ISCOM</t>
        </is>
      </c>
      <c r="D542" s="45" t="inlineStr">
        <is>
          <t>Paris</t>
        </is>
      </c>
      <c r="E542" s="45" t="inlineStr">
        <is>
          <t>625</t>
        </is>
      </c>
      <c r="F542" s="17" t="inlineStr">
        <is>
          <t>Déplacements, missions &amp; réceptions</t>
        </is>
      </c>
      <c r="G542" s="45" t="inlineStr">
        <is>
          <t>62 — Autres services extérieurs</t>
        </is>
      </c>
      <c r="H542" s="45" t="inlineStr">
        <is>
          <t>Charge</t>
        </is>
      </c>
      <c r="I542" s="45" t="inlineStr">
        <is>
          <t>Structure</t>
        </is>
      </c>
      <c r="J542" s="45" t="inlineStr">
        <is>
          <t>2024ACT_VDEF</t>
        </is>
      </c>
      <c r="K542" s="45" t="inlineStr">
        <is>
          <t>2024 (N-2)</t>
        </is>
      </c>
      <c r="L542" s="13" t="n">
        <v>36064</v>
      </c>
    </row>
    <row r="543">
      <c r="A543" s="45" t="inlineStr">
        <is>
          <t>ISCOM_LILLE</t>
        </is>
      </c>
      <c r="B543" s="17" t="inlineStr">
        <is>
          <t>ISCOM Lille</t>
        </is>
      </c>
      <c r="C543" s="45" t="inlineStr">
        <is>
          <t>ISCOM</t>
        </is>
      </c>
      <c r="D543" s="45" t="inlineStr">
        <is>
          <t>Lille</t>
        </is>
      </c>
      <c r="E543" s="45" t="inlineStr">
        <is>
          <t>625</t>
        </is>
      </c>
      <c r="F543" s="17" t="inlineStr">
        <is>
          <t>Déplacements, missions &amp; réceptions</t>
        </is>
      </c>
      <c r="G543" s="45" t="inlineStr">
        <is>
          <t>62 — Autres services extérieurs</t>
        </is>
      </c>
      <c r="H543" s="45" t="inlineStr">
        <is>
          <t>Charge</t>
        </is>
      </c>
      <c r="I543" s="45" t="inlineStr">
        <is>
          <t>Structure</t>
        </is>
      </c>
      <c r="J543" s="45" t="inlineStr">
        <is>
          <t>2024ACT_VDEF</t>
        </is>
      </c>
      <c r="K543" s="45" t="inlineStr">
        <is>
          <t>2024 (N-2)</t>
        </is>
      </c>
      <c r="L543" s="13" t="n">
        <v>24857</v>
      </c>
    </row>
    <row r="544">
      <c r="A544" s="45" t="inlineStr">
        <is>
          <t>ISCOM_TOULOUSE</t>
        </is>
      </c>
      <c r="B544" s="17" t="inlineStr">
        <is>
          <t>ISCOM Toulouse</t>
        </is>
      </c>
      <c r="C544" s="45" t="inlineStr">
        <is>
          <t>ISCOM</t>
        </is>
      </c>
      <c r="D544" s="45" t="inlineStr">
        <is>
          <t>Toulouse</t>
        </is>
      </c>
      <c r="E544" s="45" t="inlineStr">
        <is>
          <t>625</t>
        </is>
      </c>
      <c r="F544" s="17" t="inlineStr">
        <is>
          <t>Déplacements, missions &amp; réceptions</t>
        </is>
      </c>
      <c r="G544" s="45" t="inlineStr">
        <is>
          <t>62 — Autres services extérieurs</t>
        </is>
      </c>
      <c r="H544" s="45" t="inlineStr">
        <is>
          <t>Charge</t>
        </is>
      </c>
      <c r="I544" s="45" t="inlineStr">
        <is>
          <t>Structure</t>
        </is>
      </c>
      <c r="J544" s="45" t="inlineStr">
        <is>
          <t>2024ACT_VDEF</t>
        </is>
      </c>
      <c r="K544" s="45" t="inlineStr">
        <is>
          <t>2024 (N-2)</t>
        </is>
      </c>
      <c r="L544" s="13" t="n">
        <v>23533</v>
      </c>
    </row>
    <row r="545">
      <c r="A545" s="45" t="inlineStr">
        <is>
          <t>IPAC_BACHELOR_FACTORY_NANTES</t>
        </is>
      </c>
      <c r="B545" s="17" t="inlineStr">
        <is>
          <t>Ipac Bachelor Factory Nantes</t>
        </is>
      </c>
      <c r="C545" s="45" t="inlineStr">
        <is>
          <t>Ipac Bachelor Factory</t>
        </is>
      </c>
      <c r="D545" s="45" t="inlineStr">
        <is>
          <t>Nantes</t>
        </is>
      </c>
      <c r="E545" s="45" t="inlineStr">
        <is>
          <t>625</t>
        </is>
      </c>
      <c r="F545" s="17" t="inlineStr">
        <is>
          <t>Déplacements, missions &amp; réceptions</t>
        </is>
      </c>
      <c r="G545" s="45" t="inlineStr">
        <is>
          <t>62 — Autres services extérieurs</t>
        </is>
      </c>
      <c r="H545" s="45" t="inlineStr">
        <is>
          <t>Charge</t>
        </is>
      </c>
      <c r="I545" s="45" t="inlineStr">
        <is>
          <t>Structure</t>
        </is>
      </c>
      <c r="J545" s="45" t="inlineStr">
        <is>
          <t>2024ACT_VDEF</t>
        </is>
      </c>
      <c r="K545" s="45" t="inlineStr">
        <is>
          <t>2024 (N-2)</t>
        </is>
      </c>
      <c r="L545" s="13" t="n">
        <v>14772</v>
      </c>
    </row>
    <row r="546">
      <c r="A546" s="45" t="inlineStr">
        <is>
          <t>IPAC_BACHELOR_FACTORY_RENNES</t>
        </is>
      </c>
      <c r="B546" s="17" t="inlineStr">
        <is>
          <t>Ipac Bachelor Factory Rennes</t>
        </is>
      </c>
      <c r="C546" s="45" t="inlineStr">
        <is>
          <t>Ipac Bachelor Factory</t>
        </is>
      </c>
      <c r="D546" s="45" t="inlineStr">
        <is>
          <t>Rennes</t>
        </is>
      </c>
      <c r="E546" s="45" t="inlineStr">
        <is>
          <t>625</t>
        </is>
      </c>
      <c r="F546" s="17" t="inlineStr">
        <is>
          <t>Déplacements, missions &amp; réceptions</t>
        </is>
      </c>
      <c r="G546" s="45" t="inlineStr">
        <is>
          <t>62 — Autres services extérieurs</t>
        </is>
      </c>
      <c r="H546" s="45" t="inlineStr">
        <is>
          <t>Charge</t>
        </is>
      </c>
      <c r="I546" s="45" t="inlineStr">
        <is>
          <t>Structure</t>
        </is>
      </c>
      <c r="J546" s="45" t="inlineStr">
        <is>
          <t>2024ACT_VDEF</t>
        </is>
      </c>
      <c r="K546" s="45" t="inlineStr">
        <is>
          <t>2024 (N-2)</t>
        </is>
      </c>
      <c r="L546" s="13" t="n">
        <v>11919</v>
      </c>
    </row>
    <row r="547">
      <c r="A547" s="45" t="inlineStr">
        <is>
          <t>IPAC_BACHELOR_FACTORY_MONTPELLIER</t>
        </is>
      </c>
      <c r="B547" s="17" t="inlineStr">
        <is>
          <t>Ipac Bachelor Factory Montpellier</t>
        </is>
      </c>
      <c r="C547" s="45" t="inlineStr">
        <is>
          <t>Ipac Bachelor Factory</t>
        </is>
      </c>
      <c r="D547" s="45" t="inlineStr">
        <is>
          <t>Montpellier</t>
        </is>
      </c>
      <c r="E547" s="45" t="inlineStr">
        <is>
          <t>625</t>
        </is>
      </c>
      <c r="F547" s="17" t="inlineStr">
        <is>
          <t>Déplacements, missions &amp; réceptions</t>
        </is>
      </c>
      <c r="G547" s="45" t="inlineStr">
        <is>
          <t>62 — Autres services extérieurs</t>
        </is>
      </c>
      <c r="H547" s="45" t="inlineStr">
        <is>
          <t>Charge</t>
        </is>
      </c>
      <c r="I547" s="45" t="inlineStr">
        <is>
          <t>Structure</t>
        </is>
      </c>
      <c r="J547" s="45" t="inlineStr">
        <is>
          <t>2024ACT_VDEF</t>
        </is>
      </c>
      <c r="K547" s="45" t="inlineStr">
        <is>
          <t>2024 (N-2)</t>
        </is>
      </c>
      <c r="L547" s="13" t="n">
        <v>11919</v>
      </c>
    </row>
    <row r="548">
      <c r="A548" s="45" t="inlineStr">
        <is>
          <t>PIGIER_LYON</t>
        </is>
      </c>
      <c r="B548" s="17" t="inlineStr">
        <is>
          <t>Pigier Lyon</t>
        </is>
      </c>
      <c r="C548" s="45" t="inlineStr">
        <is>
          <t>Pigier</t>
        </is>
      </c>
      <c r="D548" s="45" t="inlineStr">
        <is>
          <t>Lyon</t>
        </is>
      </c>
      <c r="E548" s="45" t="inlineStr">
        <is>
          <t>625</t>
        </is>
      </c>
      <c r="F548" s="17" t="inlineStr">
        <is>
          <t>Déplacements, missions &amp; réceptions</t>
        </is>
      </c>
      <c r="G548" s="45" t="inlineStr">
        <is>
          <t>62 — Autres services extérieurs</t>
        </is>
      </c>
      <c r="H548" s="45" t="inlineStr">
        <is>
          <t>Charge</t>
        </is>
      </c>
      <c r="I548" s="45" t="inlineStr">
        <is>
          <t>Structure</t>
        </is>
      </c>
      <c r="J548" s="45" t="inlineStr">
        <is>
          <t>2024ACT_VDEF</t>
        </is>
      </c>
      <c r="K548" s="45" t="inlineStr">
        <is>
          <t>2024 (N-2)</t>
        </is>
      </c>
      <c r="L548" s="13" t="n">
        <v>18541</v>
      </c>
    </row>
    <row r="549">
      <c r="A549" s="45" t="inlineStr">
        <is>
          <t>PIGIER_BORDEAUX</t>
        </is>
      </c>
      <c r="B549" s="17" t="inlineStr">
        <is>
          <t>Pigier Bordeaux</t>
        </is>
      </c>
      <c r="C549" s="45" t="inlineStr">
        <is>
          <t>Pigier</t>
        </is>
      </c>
      <c r="D549" s="45" t="inlineStr">
        <is>
          <t>Bordeaux</t>
        </is>
      </c>
      <c r="E549" s="45" t="inlineStr">
        <is>
          <t>625</t>
        </is>
      </c>
      <c r="F549" s="17" t="inlineStr">
        <is>
          <t>Déplacements, missions &amp; réceptions</t>
        </is>
      </c>
      <c r="G549" s="45" t="inlineStr">
        <is>
          <t>62 — Autres services extérieurs</t>
        </is>
      </c>
      <c r="H549" s="45" t="inlineStr">
        <is>
          <t>Charge</t>
        </is>
      </c>
      <c r="I549" s="45" t="inlineStr">
        <is>
          <t>Structure</t>
        </is>
      </c>
      <c r="J549" s="45" t="inlineStr">
        <is>
          <t>2024ACT_VDEF</t>
        </is>
      </c>
      <c r="K549" s="45" t="inlineStr">
        <is>
          <t>2024 (N-2)</t>
        </is>
      </c>
      <c r="L549" s="13" t="n">
        <v>14466</v>
      </c>
    </row>
    <row r="550">
      <c r="A550" s="45" t="inlineStr">
        <is>
          <t>TUNON_PARIS</t>
        </is>
      </c>
      <c r="B550" s="17" t="inlineStr">
        <is>
          <t>Tunon Paris</t>
        </is>
      </c>
      <c r="C550" s="45" t="inlineStr">
        <is>
          <t>Tunon</t>
        </is>
      </c>
      <c r="D550" s="45" t="inlineStr">
        <is>
          <t>Paris</t>
        </is>
      </c>
      <c r="E550" s="45" t="inlineStr">
        <is>
          <t>625</t>
        </is>
      </c>
      <c r="F550" s="17" t="inlineStr">
        <is>
          <t>Déplacements, missions &amp; réceptions</t>
        </is>
      </c>
      <c r="G550" s="45" t="inlineStr">
        <is>
          <t>62 — Autres services extérieurs</t>
        </is>
      </c>
      <c r="H550" s="45" t="inlineStr">
        <is>
          <t>Charge</t>
        </is>
      </c>
      <c r="I550" s="45" t="inlineStr">
        <is>
          <t>Structure</t>
        </is>
      </c>
      <c r="J550" s="45" t="inlineStr">
        <is>
          <t>2024ACT_VDEF</t>
        </is>
      </c>
      <c r="K550" s="45" t="inlineStr">
        <is>
          <t>2024 (N-2)</t>
        </is>
      </c>
      <c r="L550" s="13" t="n">
        <v>14059</v>
      </c>
    </row>
    <row r="551">
      <c r="A551" s="45" t="inlineStr">
        <is>
          <t>TUNON_LYON</t>
        </is>
      </c>
      <c r="B551" s="17" t="inlineStr">
        <is>
          <t>Tunon Lyon</t>
        </is>
      </c>
      <c r="C551" s="45" t="inlineStr">
        <is>
          <t>Tunon</t>
        </is>
      </c>
      <c r="D551" s="45" t="inlineStr">
        <is>
          <t>Lyon</t>
        </is>
      </c>
      <c r="E551" s="45" t="inlineStr">
        <is>
          <t>625</t>
        </is>
      </c>
      <c r="F551" s="17" t="inlineStr">
        <is>
          <t>Déplacements, missions &amp; réceptions</t>
        </is>
      </c>
      <c r="G551" s="45" t="inlineStr">
        <is>
          <t>62 — Autres services extérieurs</t>
        </is>
      </c>
      <c r="H551" s="45" t="inlineStr">
        <is>
          <t>Charge</t>
        </is>
      </c>
      <c r="I551" s="45" t="inlineStr">
        <is>
          <t>Structure</t>
        </is>
      </c>
      <c r="J551" s="45" t="inlineStr">
        <is>
          <t>2024ACT_VDEF</t>
        </is>
      </c>
      <c r="K551" s="45" t="inlineStr">
        <is>
          <t>2024 (N-2)</t>
        </is>
      </c>
      <c r="L551" s="13" t="n">
        <v>11919</v>
      </c>
    </row>
    <row r="552">
      <c r="A552" s="45" t="inlineStr">
        <is>
          <t>MBWAY_PARIS</t>
        </is>
      </c>
      <c r="B552" s="17" t="inlineStr">
        <is>
          <t>MBway Paris</t>
        </is>
      </c>
      <c r="C552" s="45" t="inlineStr">
        <is>
          <t>MBway</t>
        </is>
      </c>
      <c r="D552" s="45" t="inlineStr">
        <is>
          <t>Paris</t>
        </is>
      </c>
      <c r="E552" s="45" t="inlineStr">
        <is>
          <t>625</t>
        </is>
      </c>
      <c r="F552" s="17" t="inlineStr">
        <is>
          <t>Déplacements, missions &amp; réceptions</t>
        </is>
      </c>
      <c r="G552" s="45" t="inlineStr">
        <is>
          <t>62 — Autres services extérieurs</t>
        </is>
      </c>
      <c r="H552" s="45" t="inlineStr">
        <is>
          <t>Charge</t>
        </is>
      </c>
      <c r="I552" s="45" t="inlineStr">
        <is>
          <t>Structure</t>
        </is>
      </c>
      <c r="J552" s="45" t="inlineStr">
        <is>
          <t>2025ACT_VDEF</t>
        </is>
      </c>
      <c r="K552" s="45" t="inlineStr">
        <is>
          <t>2025 (N-1)</t>
        </is>
      </c>
      <c r="L552" s="13" t="n">
        <v>40699</v>
      </c>
    </row>
    <row r="553">
      <c r="A553" s="45" t="inlineStr">
        <is>
          <t>MBWAY_LYON</t>
        </is>
      </c>
      <c r="B553" s="17" t="inlineStr">
        <is>
          <t>MBway Lyon</t>
        </is>
      </c>
      <c r="C553" s="45" t="inlineStr">
        <is>
          <t>MBway</t>
        </is>
      </c>
      <c r="D553" s="45" t="inlineStr">
        <is>
          <t>Lyon</t>
        </is>
      </c>
      <c r="E553" s="45" t="inlineStr">
        <is>
          <t>625</t>
        </is>
      </c>
      <c r="F553" s="17" t="inlineStr">
        <is>
          <t>Déplacements, missions &amp; réceptions</t>
        </is>
      </c>
      <c r="G553" s="45" t="inlineStr">
        <is>
          <t>62 — Autres services extérieurs</t>
        </is>
      </c>
      <c r="H553" s="45" t="inlineStr">
        <is>
          <t>Charge</t>
        </is>
      </c>
      <c r="I553" s="45" t="inlineStr">
        <is>
          <t>Structure</t>
        </is>
      </c>
      <c r="J553" s="45" t="inlineStr">
        <is>
          <t>2025ACT_VDEF</t>
        </is>
      </c>
      <c r="K553" s="45" t="inlineStr">
        <is>
          <t>2025 (N-1)</t>
        </is>
      </c>
      <c r="L553" s="13" t="n">
        <v>34520</v>
      </c>
    </row>
    <row r="554">
      <c r="A554" s="45" t="inlineStr">
        <is>
          <t>MBWAY_NANTES</t>
        </is>
      </c>
      <c r="B554" s="17" t="inlineStr">
        <is>
          <t>MBway Nantes</t>
        </is>
      </c>
      <c r="C554" s="45" t="inlineStr">
        <is>
          <t>MBway</t>
        </is>
      </c>
      <c r="D554" s="45" t="inlineStr">
        <is>
          <t>Nantes</t>
        </is>
      </c>
      <c r="E554" s="45" t="inlineStr">
        <is>
          <t>625</t>
        </is>
      </c>
      <c r="F554" s="17" t="inlineStr">
        <is>
          <t>Déplacements, missions &amp; réceptions</t>
        </is>
      </c>
      <c r="G554" s="45" t="inlineStr">
        <is>
          <t>62 — Autres services extérieurs</t>
        </is>
      </c>
      <c r="H554" s="45" t="inlineStr">
        <is>
          <t>Charge</t>
        </is>
      </c>
      <c r="I554" s="45" t="inlineStr">
        <is>
          <t>Structure</t>
        </is>
      </c>
      <c r="J554" s="45" t="inlineStr">
        <is>
          <t>2025ACT_VDEF</t>
        </is>
      </c>
      <c r="K554" s="45" t="inlineStr">
        <is>
          <t>2025 (N-1)</t>
        </is>
      </c>
      <c r="L554" s="13" t="n">
        <v>31324</v>
      </c>
    </row>
    <row r="555">
      <c r="A555" s="45" t="inlineStr">
        <is>
          <t>MBWAY_BORDEAUX</t>
        </is>
      </c>
      <c r="B555" s="17" t="inlineStr">
        <is>
          <t>MBway Bordeaux</t>
        </is>
      </c>
      <c r="C555" s="45" t="inlineStr">
        <is>
          <t>MBway</t>
        </is>
      </c>
      <c r="D555" s="45" t="inlineStr">
        <is>
          <t>Bordeaux</t>
        </is>
      </c>
      <c r="E555" s="45" t="inlineStr">
        <is>
          <t>625</t>
        </is>
      </c>
      <c r="F555" s="17" t="inlineStr">
        <is>
          <t>Déplacements, missions &amp; réceptions</t>
        </is>
      </c>
      <c r="G555" s="45" t="inlineStr">
        <is>
          <t>62 — Autres services extérieurs</t>
        </is>
      </c>
      <c r="H555" s="45" t="inlineStr">
        <is>
          <t>Charge</t>
        </is>
      </c>
      <c r="I555" s="45" t="inlineStr">
        <is>
          <t>Structure</t>
        </is>
      </c>
      <c r="J555" s="45" t="inlineStr">
        <is>
          <t>2025ACT_VDEF</t>
        </is>
      </c>
      <c r="K555" s="45" t="inlineStr">
        <is>
          <t>2025 (N-1)</t>
        </is>
      </c>
      <c r="L555" s="13" t="n">
        <v>26529</v>
      </c>
    </row>
    <row r="556">
      <c r="A556" s="45" t="inlineStr">
        <is>
          <t>ISCOM_PARIS</t>
        </is>
      </c>
      <c r="B556" s="17" t="inlineStr">
        <is>
          <t>ISCOM Paris</t>
        </is>
      </c>
      <c r="C556" s="45" t="inlineStr">
        <is>
          <t>ISCOM</t>
        </is>
      </c>
      <c r="D556" s="45" t="inlineStr">
        <is>
          <t>Paris</t>
        </is>
      </c>
      <c r="E556" s="45" t="inlineStr">
        <is>
          <t>625</t>
        </is>
      </c>
      <c r="F556" s="17" t="inlineStr">
        <is>
          <t>Déplacements, missions &amp; réceptions</t>
        </is>
      </c>
      <c r="G556" s="45" t="inlineStr">
        <is>
          <t>62 — Autres services extérieurs</t>
        </is>
      </c>
      <c r="H556" s="45" t="inlineStr">
        <is>
          <t>Charge</t>
        </is>
      </c>
      <c r="I556" s="45" t="inlineStr">
        <is>
          <t>Structure</t>
        </is>
      </c>
      <c r="J556" s="45" t="inlineStr">
        <is>
          <t>2025ACT_VDEF</t>
        </is>
      </c>
      <c r="K556" s="45" t="inlineStr">
        <is>
          <t>2025 (N-1)</t>
        </is>
      </c>
      <c r="L556" s="13" t="n">
        <v>37716</v>
      </c>
    </row>
    <row r="557">
      <c r="A557" s="45" t="inlineStr">
        <is>
          <t>ISCOM_LILLE</t>
        </is>
      </c>
      <c r="B557" s="17" t="inlineStr">
        <is>
          <t>ISCOM Lille</t>
        </is>
      </c>
      <c r="C557" s="45" t="inlineStr">
        <is>
          <t>ISCOM</t>
        </is>
      </c>
      <c r="D557" s="45" t="inlineStr">
        <is>
          <t>Lille</t>
        </is>
      </c>
      <c r="E557" s="45" t="inlineStr">
        <is>
          <t>625</t>
        </is>
      </c>
      <c r="F557" s="17" t="inlineStr">
        <is>
          <t>Déplacements, missions &amp; réceptions</t>
        </is>
      </c>
      <c r="G557" s="45" t="inlineStr">
        <is>
          <t>62 — Autres services extérieurs</t>
        </is>
      </c>
      <c r="H557" s="45" t="inlineStr">
        <is>
          <t>Charge</t>
        </is>
      </c>
      <c r="I557" s="45" t="inlineStr">
        <is>
          <t>Structure</t>
        </is>
      </c>
      <c r="J557" s="45" t="inlineStr">
        <is>
          <t>2025ACT_VDEF</t>
        </is>
      </c>
      <c r="K557" s="45" t="inlineStr">
        <is>
          <t>2025 (N-1)</t>
        </is>
      </c>
      <c r="L557" s="13" t="n">
        <v>25996</v>
      </c>
    </row>
    <row r="558">
      <c r="A558" s="45" t="inlineStr">
        <is>
          <t>ISCOM_TOULOUSE</t>
        </is>
      </c>
      <c r="B558" s="17" t="inlineStr">
        <is>
          <t>ISCOM Toulouse</t>
        </is>
      </c>
      <c r="C558" s="45" t="inlineStr">
        <is>
          <t>ISCOM</t>
        </is>
      </c>
      <c r="D558" s="45" t="inlineStr">
        <is>
          <t>Toulouse</t>
        </is>
      </c>
      <c r="E558" s="45" t="inlineStr">
        <is>
          <t>625</t>
        </is>
      </c>
      <c r="F558" s="17" t="inlineStr">
        <is>
          <t>Déplacements, missions &amp; réceptions</t>
        </is>
      </c>
      <c r="G558" s="45" t="inlineStr">
        <is>
          <t>62 — Autres services extérieurs</t>
        </is>
      </c>
      <c r="H558" s="45" t="inlineStr">
        <is>
          <t>Charge</t>
        </is>
      </c>
      <c r="I558" s="45" t="inlineStr">
        <is>
          <t>Structure</t>
        </is>
      </c>
      <c r="J558" s="45" t="inlineStr">
        <is>
          <t>2025ACT_VDEF</t>
        </is>
      </c>
      <c r="K558" s="45" t="inlineStr">
        <is>
          <t>2025 (N-1)</t>
        </is>
      </c>
      <c r="L558" s="13" t="n">
        <v>24611</v>
      </c>
    </row>
    <row r="559">
      <c r="A559" s="45" t="inlineStr">
        <is>
          <t>IPAC_BACHELOR_FACTORY_NANTES</t>
        </is>
      </c>
      <c r="B559" s="17" t="inlineStr">
        <is>
          <t>Ipac Bachelor Factory Nantes</t>
        </is>
      </c>
      <c r="C559" s="45" t="inlineStr">
        <is>
          <t>Ipac Bachelor Factory</t>
        </is>
      </c>
      <c r="D559" s="45" t="inlineStr">
        <is>
          <t>Nantes</t>
        </is>
      </c>
      <c r="E559" s="45" t="inlineStr">
        <is>
          <t>625</t>
        </is>
      </c>
      <c r="F559" s="17" t="inlineStr">
        <is>
          <t>Déplacements, missions &amp; réceptions</t>
        </is>
      </c>
      <c r="G559" s="45" t="inlineStr">
        <is>
          <t>62 — Autres services extérieurs</t>
        </is>
      </c>
      <c r="H559" s="45" t="inlineStr">
        <is>
          <t>Charge</t>
        </is>
      </c>
      <c r="I559" s="45" t="inlineStr">
        <is>
          <t>Structure</t>
        </is>
      </c>
      <c r="J559" s="45" t="inlineStr">
        <is>
          <t>2025ACT_VDEF</t>
        </is>
      </c>
      <c r="K559" s="45" t="inlineStr">
        <is>
          <t>2025 (N-1)</t>
        </is>
      </c>
      <c r="L559" s="13" t="n">
        <v>15449</v>
      </c>
    </row>
    <row r="560">
      <c r="A560" s="45" t="inlineStr">
        <is>
          <t>IPAC_BACHELOR_FACTORY_RENNES</t>
        </is>
      </c>
      <c r="B560" s="17" t="inlineStr">
        <is>
          <t>Ipac Bachelor Factory Rennes</t>
        </is>
      </c>
      <c r="C560" s="45" t="inlineStr">
        <is>
          <t>Ipac Bachelor Factory</t>
        </is>
      </c>
      <c r="D560" s="45" t="inlineStr">
        <is>
          <t>Rennes</t>
        </is>
      </c>
      <c r="E560" s="45" t="inlineStr">
        <is>
          <t>625</t>
        </is>
      </c>
      <c r="F560" s="17" t="inlineStr">
        <is>
          <t>Déplacements, missions &amp; réceptions</t>
        </is>
      </c>
      <c r="G560" s="45" t="inlineStr">
        <is>
          <t>62 — Autres services extérieurs</t>
        </is>
      </c>
      <c r="H560" s="45" t="inlineStr">
        <is>
          <t>Charge</t>
        </is>
      </c>
      <c r="I560" s="45" t="inlineStr">
        <is>
          <t>Structure</t>
        </is>
      </c>
      <c r="J560" s="45" t="inlineStr">
        <is>
          <t>2025ACT_VDEF</t>
        </is>
      </c>
      <c r="K560" s="45" t="inlineStr">
        <is>
          <t>2025 (N-1)</t>
        </is>
      </c>
      <c r="L560" s="13" t="n">
        <v>12466</v>
      </c>
    </row>
    <row r="561">
      <c r="A561" s="45" t="inlineStr">
        <is>
          <t>IPAC_BACHELOR_FACTORY_MONTPELLIER</t>
        </is>
      </c>
      <c r="B561" s="17" t="inlineStr">
        <is>
          <t>Ipac Bachelor Factory Montpellier</t>
        </is>
      </c>
      <c r="C561" s="45" t="inlineStr">
        <is>
          <t>Ipac Bachelor Factory</t>
        </is>
      </c>
      <c r="D561" s="45" t="inlineStr">
        <is>
          <t>Montpellier</t>
        </is>
      </c>
      <c r="E561" s="45" t="inlineStr">
        <is>
          <t>625</t>
        </is>
      </c>
      <c r="F561" s="17" t="inlineStr">
        <is>
          <t>Déplacements, missions &amp; réceptions</t>
        </is>
      </c>
      <c r="G561" s="45" t="inlineStr">
        <is>
          <t>62 — Autres services extérieurs</t>
        </is>
      </c>
      <c r="H561" s="45" t="inlineStr">
        <is>
          <t>Charge</t>
        </is>
      </c>
      <c r="I561" s="45" t="inlineStr">
        <is>
          <t>Structure</t>
        </is>
      </c>
      <c r="J561" s="45" t="inlineStr">
        <is>
          <t>2025ACT_VDEF</t>
        </is>
      </c>
      <c r="K561" s="45" t="inlineStr">
        <is>
          <t>2025 (N-1)</t>
        </is>
      </c>
      <c r="L561" s="13" t="n">
        <v>12466</v>
      </c>
    </row>
    <row r="562">
      <c r="A562" s="45" t="inlineStr">
        <is>
          <t>PIGIER_LYON</t>
        </is>
      </c>
      <c r="B562" s="17" t="inlineStr">
        <is>
          <t>Pigier Lyon</t>
        </is>
      </c>
      <c r="C562" s="45" t="inlineStr">
        <is>
          <t>Pigier</t>
        </is>
      </c>
      <c r="D562" s="45" t="inlineStr">
        <is>
          <t>Lyon</t>
        </is>
      </c>
      <c r="E562" s="45" t="inlineStr">
        <is>
          <t>625</t>
        </is>
      </c>
      <c r="F562" s="17" t="inlineStr">
        <is>
          <t>Déplacements, missions &amp; réceptions</t>
        </is>
      </c>
      <c r="G562" s="45" t="inlineStr">
        <is>
          <t>62 — Autres services extérieurs</t>
        </is>
      </c>
      <c r="H562" s="45" t="inlineStr">
        <is>
          <t>Charge</t>
        </is>
      </c>
      <c r="I562" s="45" t="inlineStr">
        <is>
          <t>Structure</t>
        </is>
      </c>
      <c r="J562" s="45" t="inlineStr">
        <is>
          <t>2025ACT_VDEF</t>
        </is>
      </c>
      <c r="K562" s="45" t="inlineStr">
        <is>
          <t>2025 (N-1)</t>
        </is>
      </c>
      <c r="L562" s="13" t="n">
        <v>19391</v>
      </c>
    </row>
    <row r="563">
      <c r="A563" s="45" t="inlineStr">
        <is>
          <t>PIGIER_BORDEAUX</t>
        </is>
      </c>
      <c r="B563" s="17" t="inlineStr">
        <is>
          <t>Pigier Bordeaux</t>
        </is>
      </c>
      <c r="C563" s="45" t="inlineStr">
        <is>
          <t>Pigier</t>
        </is>
      </c>
      <c r="D563" s="45" t="inlineStr">
        <is>
          <t>Bordeaux</t>
        </is>
      </c>
      <c r="E563" s="45" t="inlineStr">
        <is>
          <t>625</t>
        </is>
      </c>
      <c r="F563" s="17" t="inlineStr">
        <is>
          <t>Déplacements, missions &amp; réceptions</t>
        </is>
      </c>
      <c r="G563" s="45" t="inlineStr">
        <is>
          <t>62 — Autres services extérieurs</t>
        </is>
      </c>
      <c r="H563" s="45" t="inlineStr">
        <is>
          <t>Charge</t>
        </is>
      </c>
      <c r="I563" s="45" t="inlineStr">
        <is>
          <t>Structure</t>
        </is>
      </c>
      <c r="J563" s="45" t="inlineStr">
        <is>
          <t>2025ACT_VDEF</t>
        </is>
      </c>
      <c r="K563" s="45" t="inlineStr">
        <is>
          <t>2025 (N-1)</t>
        </is>
      </c>
      <c r="L563" s="13" t="n">
        <v>15129</v>
      </c>
    </row>
    <row r="564">
      <c r="A564" s="45" t="inlineStr">
        <is>
          <t>TUNON_PARIS</t>
        </is>
      </c>
      <c r="B564" s="17" t="inlineStr">
        <is>
          <t>Tunon Paris</t>
        </is>
      </c>
      <c r="C564" s="45" t="inlineStr">
        <is>
          <t>Tunon</t>
        </is>
      </c>
      <c r="D564" s="45" t="inlineStr">
        <is>
          <t>Paris</t>
        </is>
      </c>
      <c r="E564" s="45" t="inlineStr">
        <is>
          <t>625</t>
        </is>
      </c>
      <c r="F564" s="17" t="inlineStr">
        <is>
          <t>Déplacements, missions &amp; réceptions</t>
        </is>
      </c>
      <c r="G564" s="45" t="inlineStr">
        <is>
          <t>62 — Autres services extérieurs</t>
        </is>
      </c>
      <c r="H564" s="45" t="inlineStr">
        <is>
          <t>Charge</t>
        </is>
      </c>
      <c r="I564" s="45" t="inlineStr">
        <is>
          <t>Structure</t>
        </is>
      </c>
      <c r="J564" s="45" t="inlineStr">
        <is>
          <t>2025ACT_VDEF</t>
        </is>
      </c>
      <c r="K564" s="45" t="inlineStr">
        <is>
          <t>2025 (N-1)</t>
        </is>
      </c>
      <c r="L564" s="13" t="n">
        <v>14703</v>
      </c>
    </row>
    <row r="565">
      <c r="A565" s="45" t="inlineStr">
        <is>
          <t>TUNON_LYON</t>
        </is>
      </c>
      <c r="B565" s="17" t="inlineStr">
        <is>
          <t>Tunon Lyon</t>
        </is>
      </c>
      <c r="C565" s="45" t="inlineStr">
        <is>
          <t>Tunon</t>
        </is>
      </c>
      <c r="D565" s="45" t="inlineStr">
        <is>
          <t>Lyon</t>
        </is>
      </c>
      <c r="E565" s="45" t="inlineStr">
        <is>
          <t>625</t>
        </is>
      </c>
      <c r="F565" s="17" t="inlineStr">
        <is>
          <t>Déplacements, missions &amp; réceptions</t>
        </is>
      </c>
      <c r="G565" s="45" t="inlineStr">
        <is>
          <t>62 — Autres services extérieurs</t>
        </is>
      </c>
      <c r="H565" s="45" t="inlineStr">
        <is>
          <t>Charge</t>
        </is>
      </c>
      <c r="I565" s="45" t="inlineStr">
        <is>
          <t>Structure</t>
        </is>
      </c>
      <c r="J565" s="45" t="inlineStr">
        <is>
          <t>2025ACT_VDEF</t>
        </is>
      </c>
      <c r="K565" s="45" t="inlineStr">
        <is>
          <t>2025 (N-1)</t>
        </is>
      </c>
      <c r="L565" s="13" t="n">
        <v>12466</v>
      </c>
    </row>
    <row r="566">
      <c r="A566" s="45" t="inlineStr">
        <is>
          <t>MBWAY_PARIS</t>
        </is>
      </c>
      <c r="B566" s="17" t="inlineStr">
        <is>
          <t>MBway Paris</t>
        </is>
      </c>
      <c r="C566" s="45" t="inlineStr">
        <is>
          <t>MBway</t>
        </is>
      </c>
      <c r="D566" s="45" t="inlineStr">
        <is>
          <t>Paris</t>
        </is>
      </c>
      <c r="E566" s="45" t="inlineStr">
        <is>
          <t>625</t>
        </is>
      </c>
      <c r="F566" s="17" t="inlineStr">
        <is>
          <t>Déplacements, missions &amp; réceptions</t>
        </is>
      </c>
      <c r="G566" s="45" t="inlineStr">
        <is>
          <t>62 — Autres services extérieurs</t>
        </is>
      </c>
      <c r="H566" s="45" t="inlineStr">
        <is>
          <t>Charge</t>
        </is>
      </c>
      <c r="I566" s="45" t="inlineStr">
        <is>
          <t>Structure</t>
        </is>
      </c>
      <c r="J566" s="45" t="inlineStr">
        <is>
          <t>2026ATT_VDEF</t>
        </is>
      </c>
      <c r="K566" s="45" t="inlineStr">
        <is>
          <t>2026 (Atterr.)</t>
        </is>
      </c>
      <c r="L566" s="13" t="n">
        <v>42642</v>
      </c>
    </row>
    <row r="567">
      <c r="A567" s="45" t="inlineStr">
        <is>
          <t>MBWAY_LYON</t>
        </is>
      </c>
      <c r="B567" s="17" t="inlineStr">
        <is>
          <t>MBway Lyon</t>
        </is>
      </c>
      <c r="C567" s="45" t="inlineStr">
        <is>
          <t>MBway</t>
        </is>
      </c>
      <c r="D567" s="45" t="inlineStr">
        <is>
          <t>Lyon</t>
        </is>
      </c>
      <c r="E567" s="45" t="inlineStr">
        <is>
          <t>625</t>
        </is>
      </c>
      <c r="F567" s="17" t="inlineStr">
        <is>
          <t>Déplacements, missions &amp; réceptions</t>
        </is>
      </c>
      <c r="G567" s="45" t="inlineStr">
        <is>
          <t>62 — Autres services extérieurs</t>
        </is>
      </c>
      <c r="H567" s="45" t="inlineStr">
        <is>
          <t>Charge</t>
        </is>
      </c>
      <c r="I567" s="45" t="inlineStr">
        <is>
          <t>Structure</t>
        </is>
      </c>
      <c r="J567" s="45" t="inlineStr">
        <is>
          <t>2026ATT_VDEF</t>
        </is>
      </c>
      <c r="K567" s="45" t="inlineStr">
        <is>
          <t>2026 (Atterr.)</t>
        </is>
      </c>
      <c r="L567" s="13" t="n">
        <v>36168</v>
      </c>
    </row>
    <row r="568">
      <c r="A568" s="45" t="inlineStr">
        <is>
          <t>MBWAY_NANTES</t>
        </is>
      </c>
      <c r="B568" s="17" t="inlineStr">
        <is>
          <t>MBway Nantes</t>
        </is>
      </c>
      <c r="C568" s="45" t="inlineStr">
        <is>
          <t>MBway</t>
        </is>
      </c>
      <c r="D568" s="45" t="inlineStr">
        <is>
          <t>Nantes</t>
        </is>
      </c>
      <c r="E568" s="45" t="inlineStr">
        <is>
          <t>625</t>
        </is>
      </c>
      <c r="F568" s="17" t="inlineStr">
        <is>
          <t>Déplacements, missions &amp; réceptions</t>
        </is>
      </c>
      <c r="G568" s="45" t="inlineStr">
        <is>
          <t>62 — Autres services extérieurs</t>
        </is>
      </c>
      <c r="H568" s="45" t="inlineStr">
        <is>
          <t>Charge</t>
        </is>
      </c>
      <c r="I568" s="45" t="inlineStr">
        <is>
          <t>Structure</t>
        </is>
      </c>
      <c r="J568" s="45" t="inlineStr">
        <is>
          <t>2026ATT_VDEF</t>
        </is>
      </c>
      <c r="K568" s="45" t="inlineStr">
        <is>
          <t>2026 (Atterr.)</t>
        </is>
      </c>
      <c r="L568" s="13" t="n">
        <v>32819</v>
      </c>
    </row>
    <row r="569">
      <c r="A569" s="45" t="inlineStr">
        <is>
          <t>MBWAY_BORDEAUX</t>
        </is>
      </c>
      <c r="B569" s="17" t="inlineStr">
        <is>
          <t>MBway Bordeaux</t>
        </is>
      </c>
      <c r="C569" s="45" t="inlineStr">
        <is>
          <t>MBway</t>
        </is>
      </c>
      <c r="D569" s="45" t="inlineStr">
        <is>
          <t>Bordeaux</t>
        </is>
      </c>
      <c r="E569" s="45" t="inlineStr">
        <is>
          <t>625</t>
        </is>
      </c>
      <c r="F569" s="17" t="inlineStr">
        <is>
          <t>Déplacements, missions &amp; réceptions</t>
        </is>
      </c>
      <c r="G569" s="45" t="inlineStr">
        <is>
          <t>62 — Autres services extérieurs</t>
        </is>
      </c>
      <c r="H569" s="45" t="inlineStr">
        <is>
          <t>Charge</t>
        </is>
      </c>
      <c r="I569" s="45" t="inlineStr">
        <is>
          <t>Structure</t>
        </is>
      </c>
      <c r="J569" s="45" t="inlineStr">
        <is>
          <t>2026ATT_VDEF</t>
        </is>
      </c>
      <c r="K569" s="45" t="inlineStr">
        <is>
          <t>2026 (Atterr.)</t>
        </is>
      </c>
      <c r="L569" s="13" t="n">
        <v>27796</v>
      </c>
    </row>
    <row r="570">
      <c r="A570" s="45" t="inlineStr">
        <is>
          <t>ISCOM_PARIS</t>
        </is>
      </c>
      <c r="B570" s="17" t="inlineStr">
        <is>
          <t>ISCOM Paris</t>
        </is>
      </c>
      <c r="C570" s="45" t="inlineStr">
        <is>
          <t>ISCOM</t>
        </is>
      </c>
      <c r="D570" s="45" t="inlineStr">
        <is>
          <t>Paris</t>
        </is>
      </c>
      <c r="E570" s="45" t="inlineStr">
        <is>
          <t>625</t>
        </is>
      </c>
      <c r="F570" s="17" t="inlineStr">
        <is>
          <t>Déplacements, missions &amp; réceptions</t>
        </is>
      </c>
      <c r="G570" s="45" t="inlineStr">
        <is>
          <t>62 — Autres services extérieurs</t>
        </is>
      </c>
      <c r="H570" s="45" t="inlineStr">
        <is>
          <t>Charge</t>
        </is>
      </c>
      <c r="I570" s="45" t="inlineStr">
        <is>
          <t>Structure</t>
        </is>
      </c>
      <c r="J570" s="45" t="inlineStr">
        <is>
          <t>2026ATT_VDEF</t>
        </is>
      </c>
      <c r="K570" s="45" t="inlineStr">
        <is>
          <t>2026 (Atterr.)</t>
        </is>
      </c>
      <c r="L570" s="13" t="n">
        <v>39517</v>
      </c>
    </row>
    <row r="571">
      <c r="A571" s="45" t="inlineStr">
        <is>
          <t>ISCOM_LILLE</t>
        </is>
      </c>
      <c r="B571" s="17" t="inlineStr">
        <is>
          <t>ISCOM Lille</t>
        </is>
      </c>
      <c r="C571" s="45" t="inlineStr">
        <is>
          <t>ISCOM</t>
        </is>
      </c>
      <c r="D571" s="45" t="inlineStr">
        <is>
          <t>Lille</t>
        </is>
      </c>
      <c r="E571" s="45" t="inlineStr">
        <is>
          <t>625</t>
        </is>
      </c>
      <c r="F571" s="17" t="inlineStr">
        <is>
          <t>Déplacements, missions &amp; réceptions</t>
        </is>
      </c>
      <c r="G571" s="45" t="inlineStr">
        <is>
          <t>62 — Autres services extérieurs</t>
        </is>
      </c>
      <c r="H571" s="45" t="inlineStr">
        <is>
          <t>Charge</t>
        </is>
      </c>
      <c r="I571" s="45" t="inlineStr">
        <is>
          <t>Structure</t>
        </is>
      </c>
      <c r="J571" s="45" t="inlineStr">
        <is>
          <t>2026ATT_VDEF</t>
        </is>
      </c>
      <c r="K571" s="45" t="inlineStr">
        <is>
          <t>2026 (Atterr.)</t>
        </is>
      </c>
      <c r="L571" s="13" t="n">
        <v>27237</v>
      </c>
    </row>
    <row r="572">
      <c r="A572" s="45" t="inlineStr">
        <is>
          <t>ISCOM_TOULOUSE</t>
        </is>
      </c>
      <c r="B572" s="17" t="inlineStr">
        <is>
          <t>ISCOM Toulouse</t>
        </is>
      </c>
      <c r="C572" s="45" t="inlineStr">
        <is>
          <t>ISCOM</t>
        </is>
      </c>
      <c r="D572" s="45" t="inlineStr">
        <is>
          <t>Toulouse</t>
        </is>
      </c>
      <c r="E572" s="45" t="inlineStr">
        <is>
          <t>625</t>
        </is>
      </c>
      <c r="F572" s="17" t="inlineStr">
        <is>
          <t>Déplacements, missions &amp; réceptions</t>
        </is>
      </c>
      <c r="G572" s="45" t="inlineStr">
        <is>
          <t>62 — Autres services extérieurs</t>
        </is>
      </c>
      <c r="H572" s="45" t="inlineStr">
        <is>
          <t>Charge</t>
        </is>
      </c>
      <c r="I572" s="45" t="inlineStr">
        <is>
          <t>Structure</t>
        </is>
      </c>
      <c r="J572" s="45" t="inlineStr">
        <is>
          <t>2026ATT_VDEF</t>
        </is>
      </c>
      <c r="K572" s="45" t="inlineStr">
        <is>
          <t>2026 (Atterr.)</t>
        </is>
      </c>
      <c r="L572" s="13" t="n">
        <v>25786</v>
      </c>
    </row>
    <row r="573">
      <c r="A573" s="45" t="inlineStr">
        <is>
          <t>IPAC_BACHELOR_FACTORY_NANTES</t>
        </is>
      </c>
      <c r="B573" s="17" t="inlineStr">
        <is>
          <t>Ipac Bachelor Factory Nantes</t>
        </is>
      </c>
      <c r="C573" s="45" t="inlineStr">
        <is>
          <t>Ipac Bachelor Factory</t>
        </is>
      </c>
      <c r="D573" s="45" t="inlineStr">
        <is>
          <t>Nantes</t>
        </is>
      </c>
      <c r="E573" s="45" t="inlineStr">
        <is>
          <t>625</t>
        </is>
      </c>
      <c r="F573" s="17" t="inlineStr">
        <is>
          <t>Déplacements, missions &amp; réceptions</t>
        </is>
      </c>
      <c r="G573" s="45" t="inlineStr">
        <is>
          <t>62 — Autres services extérieurs</t>
        </is>
      </c>
      <c r="H573" s="45" t="inlineStr">
        <is>
          <t>Charge</t>
        </is>
      </c>
      <c r="I573" s="45" t="inlineStr">
        <is>
          <t>Structure</t>
        </is>
      </c>
      <c r="J573" s="45" t="inlineStr">
        <is>
          <t>2026ATT_VDEF</t>
        </is>
      </c>
      <c r="K573" s="45" t="inlineStr">
        <is>
          <t>2026 (Atterr.)</t>
        </is>
      </c>
      <c r="L573" s="13" t="n">
        <v>16186</v>
      </c>
    </row>
    <row r="574">
      <c r="A574" s="45" t="inlineStr">
        <is>
          <t>IPAC_BACHELOR_FACTORY_RENNES</t>
        </is>
      </c>
      <c r="B574" s="17" t="inlineStr">
        <is>
          <t>Ipac Bachelor Factory Rennes</t>
        </is>
      </c>
      <c r="C574" s="45" t="inlineStr">
        <is>
          <t>Ipac Bachelor Factory</t>
        </is>
      </c>
      <c r="D574" s="45" t="inlineStr">
        <is>
          <t>Rennes</t>
        </is>
      </c>
      <c r="E574" s="45" t="inlineStr">
        <is>
          <t>625</t>
        </is>
      </c>
      <c r="F574" s="17" t="inlineStr">
        <is>
          <t>Déplacements, missions &amp; réceptions</t>
        </is>
      </c>
      <c r="G574" s="45" t="inlineStr">
        <is>
          <t>62 — Autres services extérieurs</t>
        </is>
      </c>
      <c r="H574" s="45" t="inlineStr">
        <is>
          <t>Charge</t>
        </is>
      </c>
      <c r="I574" s="45" t="inlineStr">
        <is>
          <t>Structure</t>
        </is>
      </c>
      <c r="J574" s="45" t="inlineStr">
        <is>
          <t>2026ATT_VDEF</t>
        </is>
      </c>
      <c r="K574" s="45" t="inlineStr">
        <is>
          <t>2026 (Atterr.)</t>
        </is>
      </c>
      <c r="L574" s="13" t="n">
        <v>13061</v>
      </c>
    </row>
    <row r="575">
      <c r="A575" s="45" t="inlineStr">
        <is>
          <t>IPAC_BACHELOR_FACTORY_MONTPELLIER</t>
        </is>
      </c>
      <c r="B575" s="17" t="inlineStr">
        <is>
          <t>Ipac Bachelor Factory Montpellier</t>
        </is>
      </c>
      <c r="C575" s="45" t="inlineStr">
        <is>
          <t>Ipac Bachelor Factory</t>
        </is>
      </c>
      <c r="D575" s="45" t="inlineStr">
        <is>
          <t>Montpellier</t>
        </is>
      </c>
      <c r="E575" s="45" t="inlineStr">
        <is>
          <t>625</t>
        </is>
      </c>
      <c r="F575" s="17" t="inlineStr">
        <is>
          <t>Déplacements, missions &amp; réceptions</t>
        </is>
      </c>
      <c r="G575" s="45" t="inlineStr">
        <is>
          <t>62 — Autres services extérieurs</t>
        </is>
      </c>
      <c r="H575" s="45" t="inlineStr">
        <is>
          <t>Charge</t>
        </is>
      </c>
      <c r="I575" s="45" t="inlineStr">
        <is>
          <t>Structure</t>
        </is>
      </c>
      <c r="J575" s="45" t="inlineStr">
        <is>
          <t>2026ATT_VDEF</t>
        </is>
      </c>
      <c r="K575" s="45" t="inlineStr">
        <is>
          <t>2026 (Atterr.)</t>
        </is>
      </c>
      <c r="L575" s="13" t="n">
        <v>13061</v>
      </c>
    </row>
    <row r="576">
      <c r="A576" s="45" t="inlineStr">
        <is>
          <t>PIGIER_LYON</t>
        </is>
      </c>
      <c r="B576" s="17" t="inlineStr">
        <is>
          <t>Pigier Lyon</t>
        </is>
      </c>
      <c r="C576" s="45" t="inlineStr">
        <is>
          <t>Pigier</t>
        </is>
      </c>
      <c r="D576" s="45" t="inlineStr">
        <is>
          <t>Lyon</t>
        </is>
      </c>
      <c r="E576" s="45" t="inlineStr">
        <is>
          <t>625</t>
        </is>
      </c>
      <c r="F576" s="17" t="inlineStr">
        <is>
          <t>Déplacements, missions &amp; réceptions</t>
        </is>
      </c>
      <c r="G576" s="45" t="inlineStr">
        <is>
          <t>62 — Autres services extérieurs</t>
        </is>
      </c>
      <c r="H576" s="45" t="inlineStr">
        <is>
          <t>Charge</t>
        </is>
      </c>
      <c r="I576" s="45" t="inlineStr">
        <is>
          <t>Structure</t>
        </is>
      </c>
      <c r="J576" s="45" t="inlineStr">
        <is>
          <t>2026ATT_VDEF</t>
        </is>
      </c>
      <c r="K576" s="45" t="inlineStr">
        <is>
          <t>2026 (Atterr.)</t>
        </is>
      </c>
      <c r="L576" s="13" t="n">
        <v>20316</v>
      </c>
    </row>
    <row r="577">
      <c r="A577" s="45" t="inlineStr">
        <is>
          <t>PIGIER_BORDEAUX</t>
        </is>
      </c>
      <c r="B577" s="17" t="inlineStr">
        <is>
          <t>Pigier Bordeaux</t>
        </is>
      </c>
      <c r="C577" s="45" t="inlineStr">
        <is>
          <t>Pigier</t>
        </is>
      </c>
      <c r="D577" s="45" t="inlineStr">
        <is>
          <t>Bordeaux</t>
        </is>
      </c>
      <c r="E577" s="45" t="inlineStr">
        <is>
          <t>625</t>
        </is>
      </c>
      <c r="F577" s="17" t="inlineStr">
        <is>
          <t>Déplacements, missions &amp; réceptions</t>
        </is>
      </c>
      <c r="G577" s="45" t="inlineStr">
        <is>
          <t>62 — Autres services extérieurs</t>
        </is>
      </c>
      <c r="H577" s="45" t="inlineStr">
        <is>
          <t>Charge</t>
        </is>
      </c>
      <c r="I577" s="45" t="inlineStr">
        <is>
          <t>Structure</t>
        </is>
      </c>
      <c r="J577" s="45" t="inlineStr">
        <is>
          <t>2026ATT_VDEF</t>
        </is>
      </c>
      <c r="K577" s="45" t="inlineStr">
        <is>
          <t>2026 (Atterr.)</t>
        </is>
      </c>
      <c r="L577" s="13" t="n">
        <v>15851</v>
      </c>
    </row>
    <row r="578">
      <c r="A578" s="45" t="inlineStr">
        <is>
          <t>TUNON_PARIS</t>
        </is>
      </c>
      <c r="B578" s="17" t="inlineStr">
        <is>
          <t>Tunon Paris</t>
        </is>
      </c>
      <c r="C578" s="45" t="inlineStr">
        <is>
          <t>Tunon</t>
        </is>
      </c>
      <c r="D578" s="45" t="inlineStr">
        <is>
          <t>Paris</t>
        </is>
      </c>
      <c r="E578" s="45" t="inlineStr">
        <is>
          <t>625</t>
        </is>
      </c>
      <c r="F578" s="17" t="inlineStr">
        <is>
          <t>Déplacements, missions &amp; réceptions</t>
        </is>
      </c>
      <c r="G578" s="45" t="inlineStr">
        <is>
          <t>62 — Autres services extérieurs</t>
        </is>
      </c>
      <c r="H578" s="45" t="inlineStr">
        <is>
          <t>Charge</t>
        </is>
      </c>
      <c r="I578" s="45" t="inlineStr">
        <is>
          <t>Structure</t>
        </is>
      </c>
      <c r="J578" s="45" t="inlineStr">
        <is>
          <t>2026ATT_VDEF</t>
        </is>
      </c>
      <c r="K578" s="45" t="inlineStr">
        <is>
          <t>2026 (Atterr.)</t>
        </is>
      </c>
      <c r="L578" s="13" t="n">
        <v>15405</v>
      </c>
    </row>
    <row r="579">
      <c r="A579" s="45" t="inlineStr">
        <is>
          <t>TUNON_LYON</t>
        </is>
      </c>
      <c r="B579" s="17" t="inlineStr">
        <is>
          <t>Tunon Lyon</t>
        </is>
      </c>
      <c r="C579" s="45" t="inlineStr">
        <is>
          <t>Tunon</t>
        </is>
      </c>
      <c r="D579" s="45" t="inlineStr">
        <is>
          <t>Lyon</t>
        </is>
      </c>
      <c r="E579" s="45" t="inlineStr">
        <is>
          <t>625</t>
        </is>
      </c>
      <c r="F579" s="17" t="inlineStr">
        <is>
          <t>Déplacements, missions &amp; réceptions</t>
        </is>
      </c>
      <c r="G579" s="45" t="inlineStr">
        <is>
          <t>62 — Autres services extérieurs</t>
        </is>
      </c>
      <c r="H579" s="45" t="inlineStr">
        <is>
          <t>Charge</t>
        </is>
      </c>
      <c r="I579" s="45" t="inlineStr">
        <is>
          <t>Structure</t>
        </is>
      </c>
      <c r="J579" s="45" t="inlineStr">
        <is>
          <t>2026ATT_VDEF</t>
        </is>
      </c>
      <c r="K579" s="45" t="inlineStr">
        <is>
          <t>2026 (Atterr.)</t>
        </is>
      </c>
      <c r="L579" s="13" t="n">
        <v>13061</v>
      </c>
    </row>
    <row r="580">
      <c r="A580" s="45" t="inlineStr">
        <is>
          <t>GROUPE</t>
        </is>
      </c>
      <c r="B580" s="17" t="inlineStr">
        <is>
          <t>GROUPE — Siège</t>
        </is>
      </c>
      <c r="C580" s="45" t="inlineStr">
        <is>
          <t>(groupe)</t>
        </is>
      </c>
      <c r="D580" s="45" t="inlineStr">
        <is>
          <t>(groupe)</t>
        </is>
      </c>
      <c r="E580" s="45" t="inlineStr">
        <is>
          <t>626</t>
        </is>
      </c>
      <c r="F580" s="17" t="inlineStr">
        <is>
          <t>Télécom, systèmes d'information &amp; affranchissement</t>
        </is>
      </c>
      <c r="G580" s="45" t="inlineStr">
        <is>
          <t>62 — Autres services extérieurs</t>
        </is>
      </c>
      <c r="H580" s="45" t="inlineStr">
        <is>
          <t>Charge</t>
        </is>
      </c>
      <c r="I580" s="45" t="inlineStr">
        <is>
          <t>Structure</t>
        </is>
      </c>
      <c r="J580" s="45" t="inlineStr">
        <is>
          <t>2024ACT_VDEF</t>
        </is>
      </c>
      <c r="K580" s="45" t="inlineStr">
        <is>
          <t>2024 (N-2)</t>
        </is>
      </c>
      <c r="L580" s="13" t="n">
        <v>412389</v>
      </c>
    </row>
    <row r="581">
      <c r="A581" s="45" t="inlineStr">
        <is>
          <t>GROUPE</t>
        </is>
      </c>
      <c r="B581" s="17" t="inlineStr">
        <is>
          <t>GROUPE — Siège</t>
        </is>
      </c>
      <c r="C581" s="45" t="inlineStr">
        <is>
          <t>(groupe)</t>
        </is>
      </c>
      <c r="D581" s="45" t="inlineStr">
        <is>
          <t>(groupe)</t>
        </is>
      </c>
      <c r="E581" s="45" t="inlineStr">
        <is>
          <t>626</t>
        </is>
      </c>
      <c r="F581" s="17" t="inlineStr">
        <is>
          <t>Télécom, systèmes d'information &amp; affranchissement</t>
        </is>
      </c>
      <c r="G581" s="45" t="inlineStr">
        <is>
          <t>62 — Autres services extérieurs</t>
        </is>
      </c>
      <c r="H581" s="45" t="inlineStr">
        <is>
          <t>Charge</t>
        </is>
      </c>
      <c r="I581" s="45" t="inlineStr">
        <is>
          <t>Structure</t>
        </is>
      </c>
      <c r="J581" s="45" t="inlineStr">
        <is>
          <t>2025ACT_VDEF</t>
        </is>
      </c>
      <c r="K581" s="45" t="inlineStr">
        <is>
          <t>2025 (N-1)</t>
        </is>
      </c>
      <c r="L581" s="13" t="n">
        <v>431286</v>
      </c>
    </row>
    <row r="582">
      <c r="A582" s="45" t="inlineStr">
        <is>
          <t>GROUPE</t>
        </is>
      </c>
      <c r="B582" s="17" t="inlineStr">
        <is>
          <t>GROUPE — Siège</t>
        </is>
      </c>
      <c r="C582" s="45" t="inlineStr">
        <is>
          <t>(groupe)</t>
        </is>
      </c>
      <c r="D582" s="45" t="inlineStr">
        <is>
          <t>(groupe)</t>
        </is>
      </c>
      <c r="E582" s="45" t="inlineStr">
        <is>
          <t>626</t>
        </is>
      </c>
      <c r="F582" s="17" t="inlineStr">
        <is>
          <t>Télécom, systèmes d'information &amp; affranchissement</t>
        </is>
      </c>
      <c r="G582" s="45" t="inlineStr">
        <is>
          <t>62 — Autres services extérieurs</t>
        </is>
      </c>
      <c r="H582" s="45" t="inlineStr">
        <is>
          <t>Charge</t>
        </is>
      </c>
      <c r="I582" s="45" t="inlineStr">
        <is>
          <t>Structure</t>
        </is>
      </c>
      <c r="J582" s="45" t="inlineStr">
        <is>
          <t>2026ATT_VDEF</t>
        </is>
      </c>
      <c r="K582" s="45" t="inlineStr">
        <is>
          <t>2026 (Atterr.)</t>
        </is>
      </c>
      <c r="L582" s="13" t="n">
        <v>451872</v>
      </c>
    </row>
    <row r="583">
      <c r="A583" s="45" t="inlineStr">
        <is>
          <t>GROUPE</t>
        </is>
      </c>
      <c r="B583" s="17" t="inlineStr">
        <is>
          <t>GROUPE — Siège</t>
        </is>
      </c>
      <c r="C583" s="45" t="inlineStr">
        <is>
          <t>(groupe)</t>
        </is>
      </c>
      <c r="D583" s="45" t="inlineStr">
        <is>
          <t>(groupe)</t>
        </is>
      </c>
      <c r="E583" s="45" t="inlineStr">
        <is>
          <t>6281</t>
        </is>
      </c>
      <c r="F583" s="17" t="inlineStr">
        <is>
          <t>Cotisations, documentation &amp; abonnements</t>
        </is>
      </c>
      <c r="G583" s="45" t="inlineStr">
        <is>
          <t>62 — Autres services extérieurs</t>
        </is>
      </c>
      <c r="H583" s="45" t="inlineStr">
        <is>
          <t>Charge</t>
        </is>
      </c>
      <c r="I583" s="45" t="inlineStr">
        <is>
          <t>Structure</t>
        </is>
      </c>
      <c r="J583" s="45" t="inlineStr">
        <is>
          <t>2024ACT_VDEF</t>
        </is>
      </c>
      <c r="K583" s="45" t="inlineStr">
        <is>
          <t>2024 (N-2)</t>
        </is>
      </c>
      <c r="L583" s="13" t="n">
        <v>164956</v>
      </c>
    </row>
    <row r="584">
      <c r="A584" s="45" t="inlineStr">
        <is>
          <t>GROUPE</t>
        </is>
      </c>
      <c r="B584" s="17" t="inlineStr">
        <is>
          <t>GROUPE — Siège</t>
        </is>
      </c>
      <c r="C584" s="45" t="inlineStr">
        <is>
          <t>(groupe)</t>
        </is>
      </c>
      <c r="D584" s="45" t="inlineStr">
        <is>
          <t>(groupe)</t>
        </is>
      </c>
      <c r="E584" s="45" t="inlineStr">
        <is>
          <t>6281</t>
        </is>
      </c>
      <c r="F584" s="17" t="inlineStr">
        <is>
          <t>Cotisations, documentation &amp; abonnements</t>
        </is>
      </c>
      <c r="G584" s="45" t="inlineStr">
        <is>
          <t>62 — Autres services extérieurs</t>
        </is>
      </c>
      <c r="H584" s="45" t="inlineStr">
        <is>
          <t>Charge</t>
        </is>
      </c>
      <c r="I584" s="45" t="inlineStr">
        <is>
          <t>Structure</t>
        </is>
      </c>
      <c r="J584" s="45" t="inlineStr">
        <is>
          <t>2025ACT_VDEF</t>
        </is>
      </c>
      <c r="K584" s="45" t="inlineStr">
        <is>
          <t>2025 (N-1)</t>
        </is>
      </c>
      <c r="L584" s="13" t="n">
        <v>172514</v>
      </c>
    </row>
    <row r="585">
      <c r="A585" s="45" t="inlineStr">
        <is>
          <t>GROUPE</t>
        </is>
      </c>
      <c r="B585" s="17" t="inlineStr">
        <is>
          <t>GROUPE — Siège</t>
        </is>
      </c>
      <c r="C585" s="45" t="inlineStr">
        <is>
          <t>(groupe)</t>
        </is>
      </c>
      <c r="D585" s="45" t="inlineStr">
        <is>
          <t>(groupe)</t>
        </is>
      </c>
      <c r="E585" s="45" t="inlineStr">
        <is>
          <t>6281</t>
        </is>
      </c>
      <c r="F585" s="17" t="inlineStr">
        <is>
          <t>Cotisations, documentation &amp; abonnements</t>
        </is>
      </c>
      <c r="G585" s="45" t="inlineStr">
        <is>
          <t>62 — Autres services extérieurs</t>
        </is>
      </c>
      <c r="H585" s="45" t="inlineStr">
        <is>
          <t>Charge</t>
        </is>
      </c>
      <c r="I585" s="45" t="inlineStr">
        <is>
          <t>Structure</t>
        </is>
      </c>
      <c r="J585" s="45" t="inlineStr">
        <is>
          <t>2026ATT_VDEF</t>
        </is>
      </c>
      <c r="K585" s="45" t="inlineStr">
        <is>
          <t>2026 (Atterr.)</t>
        </is>
      </c>
      <c r="L585" s="13" t="n">
        <v>180749</v>
      </c>
    </row>
    <row r="586">
      <c r="A586" s="45" t="inlineStr">
        <is>
          <t>GROUPE</t>
        </is>
      </c>
      <c r="B586" s="17" t="inlineStr">
        <is>
          <t>GROUPE — Siège</t>
        </is>
      </c>
      <c r="C586" s="45" t="inlineStr">
        <is>
          <t>(groupe)</t>
        </is>
      </c>
      <c r="D586" s="45" t="inlineStr">
        <is>
          <t>(groupe)</t>
        </is>
      </c>
      <c r="E586" s="45" t="inlineStr">
        <is>
          <t>6331</t>
        </is>
      </c>
      <c r="F586" s="17" t="inlineStr">
        <is>
          <t>Taxe sur les salaires</t>
        </is>
      </c>
      <c r="G586" s="45" t="inlineStr">
        <is>
          <t>63 — Impôts &amp; taxes</t>
        </is>
      </c>
      <c r="H586" s="45" t="inlineStr">
        <is>
          <t>Charge</t>
        </is>
      </c>
      <c r="I586" s="45" t="inlineStr">
        <is>
          <t>Impôts &amp; taxes</t>
        </is>
      </c>
      <c r="J586" s="45" t="inlineStr">
        <is>
          <t>2024ACT_VDEF</t>
        </is>
      </c>
      <c r="K586" s="45" t="inlineStr">
        <is>
          <t>2024 (N-2)</t>
        </is>
      </c>
      <c r="L586" s="13" t="n">
        <v>309292</v>
      </c>
    </row>
    <row r="587">
      <c r="A587" s="45" t="inlineStr">
        <is>
          <t>GROUPE</t>
        </is>
      </c>
      <c r="B587" s="17" t="inlineStr">
        <is>
          <t>GROUPE — Siège</t>
        </is>
      </c>
      <c r="C587" s="45" t="inlineStr">
        <is>
          <t>(groupe)</t>
        </is>
      </c>
      <c r="D587" s="45" t="inlineStr">
        <is>
          <t>(groupe)</t>
        </is>
      </c>
      <c r="E587" s="45" t="inlineStr">
        <is>
          <t>6331</t>
        </is>
      </c>
      <c r="F587" s="17" t="inlineStr">
        <is>
          <t>Taxe sur les salaires</t>
        </is>
      </c>
      <c r="G587" s="45" t="inlineStr">
        <is>
          <t>63 — Impôts &amp; taxes</t>
        </is>
      </c>
      <c r="H587" s="45" t="inlineStr">
        <is>
          <t>Charge</t>
        </is>
      </c>
      <c r="I587" s="45" t="inlineStr">
        <is>
          <t>Impôts &amp; taxes</t>
        </is>
      </c>
      <c r="J587" s="45" t="inlineStr">
        <is>
          <t>2025ACT_VDEF</t>
        </is>
      </c>
      <c r="K587" s="45" t="inlineStr">
        <is>
          <t>2025 (N-1)</t>
        </is>
      </c>
      <c r="L587" s="13" t="n">
        <v>323465</v>
      </c>
    </row>
    <row r="588">
      <c r="A588" s="45" t="inlineStr">
        <is>
          <t>GROUPE</t>
        </is>
      </c>
      <c r="B588" s="17" t="inlineStr">
        <is>
          <t>GROUPE — Siège</t>
        </is>
      </c>
      <c r="C588" s="45" t="inlineStr">
        <is>
          <t>(groupe)</t>
        </is>
      </c>
      <c r="D588" s="45" t="inlineStr">
        <is>
          <t>(groupe)</t>
        </is>
      </c>
      <c r="E588" s="45" t="inlineStr">
        <is>
          <t>6331</t>
        </is>
      </c>
      <c r="F588" s="17" t="inlineStr">
        <is>
          <t>Taxe sur les salaires</t>
        </is>
      </c>
      <c r="G588" s="45" t="inlineStr">
        <is>
          <t>63 — Impôts &amp; taxes</t>
        </is>
      </c>
      <c r="H588" s="45" t="inlineStr">
        <is>
          <t>Charge</t>
        </is>
      </c>
      <c r="I588" s="45" t="inlineStr">
        <is>
          <t>Impôts &amp; taxes</t>
        </is>
      </c>
      <c r="J588" s="45" t="inlineStr">
        <is>
          <t>2026ATT_VDEF</t>
        </is>
      </c>
      <c r="K588" s="45" t="inlineStr">
        <is>
          <t>2026 (Atterr.)</t>
        </is>
      </c>
      <c r="L588" s="13" t="n">
        <v>338904</v>
      </c>
    </row>
    <row r="589">
      <c r="A589" s="45" t="inlineStr">
        <is>
          <t>MBWAY_PARIS</t>
        </is>
      </c>
      <c r="B589" s="17" t="inlineStr">
        <is>
          <t>MBway Paris</t>
        </is>
      </c>
      <c r="C589" s="45" t="inlineStr">
        <is>
          <t>MBway</t>
        </is>
      </c>
      <c r="D589" s="45" t="inlineStr">
        <is>
          <t>Paris</t>
        </is>
      </c>
      <c r="E589" s="45" t="inlineStr">
        <is>
          <t>63511</t>
        </is>
      </c>
      <c r="F589" s="17" t="inlineStr">
        <is>
          <t>Cotisation foncière &amp; CVAE</t>
        </is>
      </c>
      <c r="G589" s="45" t="inlineStr">
        <is>
          <t>63 — Impôts &amp; taxes</t>
        </is>
      </c>
      <c r="H589" s="45" t="inlineStr">
        <is>
          <t>Charge</t>
        </is>
      </c>
      <c r="I589" s="45" t="inlineStr">
        <is>
          <t>Impôts &amp; taxes</t>
        </is>
      </c>
      <c r="J589" s="45" t="inlineStr">
        <is>
          <t>2024ACT_VDEF</t>
        </is>
      </c>
      <c r="K589" s="45" t="inlineStr">
        <is>
          <t>2024 (N-2)</t>
        </is>
      </c>
      <c r="L589" s="13" t="n">
        <v>23610</v>
      </c>
    </row>
    <row r="590">
      <c r="A590" s="45" t="inlineStr">
        <is>
          <t>MBWAY_LYON</t>
        </is>
      </c>
      <c r="B590" s="17" t="inlineStr">
        <is>
          <t>MBway Lyon</t>
        </is>
      </c>
      <c r="C590" s="45" t="inlineStr">
        <is>
          <t>MBway</t>
        </is>
      </c>
      <c r="D590" s="45" t="inlineStr">
        <is>
          <t>Lyon</t>
        </is>
      </c>
      <c r="E590" s="45" t="inlineStr">
        <is>
          <t>63511</t>
        </is>
      </c>
      <c r="F590" s="17" t="inlineStr">
        <is>
          <t>Cotisation foncière &amp; CVAE</t>
        </is>
      </c>
      <c r="G590" s="45" t="inlineStr">
        <is>
          <t>63 — Impôts &amp; taxes</t>
        </is>
      </c>
      <c r="H590" s="45" t="inlineStr">
        <is>
          <t>Charge</t>
        </is>
      </c>
      <c r="I590" s="45" t="inlineStr">
        <is>
          <t>Impôts &amp; taxes</t>
        </is>
      </c>
      <c r="J590" s="45" t="inlineStr">
        <is>
          <t>2024ACT_VDEF</t>
        </is>
      </c>
      <c r="K590" s="45" t="inlineStr">
        <is>
          <t>2024 (N-2)</t>
        </is>
      </c>
      <c r="L590" s="13" t="n">
        <v>20462</v>
      </c>
    </row>
    <row r="591">
      <c r="A591" s="45" t="inlineStr">
        <is>
          <t>MBWAY_NANTES</t>
        </is>
      </c>
      <c r="B591" s="17" t="inlineStr">
        <is>
          <t>MBway Nantes</t>
        </is>
      </c>
      <c r="C591" s="45" t="inlineStr">
        <is>
          <t>MBway</t>
        </is>
      </c>
      <c r="D591" s="45" t="inlineStr">
        <is>
          <t>Nantes</t>
        </is>
      </c>
      <c r="E591" s="45" t="inlineStr">
        <is>
          <t>63511</t>
        </is>
      </c>
      <c r="F591" s="17" t="inlineStr">
        <is>
          <t>Cotisation foncière &amp; CVAE</t>
        </is>
      </c>
      <c r="G591" s="45" t="inlineStr">
        <is>
          <t>63 — Impôts &amp; taxes</t>
        </is>
      </c>
      <c r="H591" s="45" t="inlineStr">
        <is>
          <t>Charge</t>
        </is>
      </c>
      <c r="I591" s="45" t="inlineStr">
        <is>
          <t>Impôts &amp; taxes</t>
        </is>
      </c>
      <c r="J591" s="45" t="inlineStr">
        <is>
          <t>2024ACT_VDEF</t>
        </is>
      </c>
      <c r="K591" s="45" t="inlineStr">
        <is>
          <t>2024 (N-2)</t>
        </is>
      </c>
      <c r="L591" s="13" t="n">
        <v>18888</v>
      </c>
    </row>
    <row r="592">
      <c r="A592" s="45" t="inlineStr">
        <is>
          <t>MBWAY_BORDEAUX</t>
        </is>
      </c>
      <c r="B592" s="17" t="inlineStr">
        <is>
          <t>MBway Bordeaux</t>
        </is>
      </c>
      <c r="C592" s="45" t="inlineStr">
        <is>
          <t>MBway</t>
        </is>
      </c>
      <c r="D592" s="45" t="inlineStr">
        <is>
          <t>Bordeaux</t>
        </is>
      </c>
      <c r="E592" s="45" t="inlineStr">
        <is>
          <t>63511</t>
        </is>
      </c>
      <c r="F592" s="17" t="inlineStr">
        <is>
          <t>Cotisation foncière &amp; CVAE</t>
        </is>
      </c>
      <c r="G592" s="45" t="inlineStr">
        <is>
          <t>63 — Impôts &amp; taxes</t>
        </is>
      </c>
      <c r="H592" s="45" t="inlineStr">
        <is>
          <t>Charge</t>
        </is>
      </c>
      <c r="I592" s="45" t="inlineStr">
        <is>
          <t>Impôts &amp; taxes</t>
        </is>
      </c>
      <c r="J592" s="45" t="inlineStr">
        <is>
          <t>2024ACT_VDEF</t>
        </is>
      </c>
      <c r="K592" s="45" t="inlineStr">
        <is>
          <t>2024 (N-2)</t>
        </is>
      </c>
      <c r="L592" s="13" t="n">
        <v>15740</v>
      </c>
    </row>
    <row r="593">
      <c r="A593" s="45" t="inlineStr">
        <is>
          <t>ISCOM_PARIS</t>
        </is>
      </c>
      <c r="B593" s="17" t="inlineStr">
        <is>
          <t>ISCOM Paris</t>
        </is>
      </c>
      <c r="C593" s="45" t="inlineStr">
        <is>
          <t>ISCOM</t>
        </is>
      </c>
      <c r="D593" s="45" t="inlineStr">
        <is>
          <t>Paris</t>
        </is>
      </c>
      <c r="E593" s="45" t="inlineStr">
        <is>
          <t>63511</t>
        </is>
      </c>
      <c r="F593" s="17" t="inlineStr">
        <is>
          <t>Cotisation foncière &amp; CVAE</t>
        </is>
      </c>
      <c r="G593" s="45" t="inlineStr">
        <is>
          <t>63 — Impôts &amp; taxes</t>
        </is>
      </c>
      <c r="H593" s="45" t="inlineStr">
        <is>
          <t>Charge</t>
        </is>
      </c>
      <c r="I593" s="45" t="inlineStr">
        <is>
          <t>Impôts &amp; taxes</t>
        </is>
      </c>
      <c r="J593" s="45" t="inlineStr">
        <is>
          <t>2024ACT_VDEF</t>
        </is>
      </c>
      <c r="K593" s="45" t="inlineStr">
        <is>
          <t>2024 (N-2)</t>
        </is>
      </c>
      <c r="L593" s="13" t="n">
        <v>23610</v>
      </c>
    </row>
    <row r="594">
      <c r="A594" s="45" t="inlineStr">
        <is>
          <t>ISCOM_LILLE</t>
        </is>
      </c>
      <c r="B594" s="17" t="inlineStr">
        <is>
          <t>ISCOM Lille</t>
        </is>
      </c>
      <c r="C594" s="45" t="inlineStr">
        <is>
          <t>ISCOM</t>
        </is>
      </c>
      <c r="D594" s="45" t="inlineStr">
        <is>
          <t>Lille</t>
        </is>
      </c>
      <c r="E594" s="45" t="inlineStr">
        <is>
          <t>63511</t>
        </is>
      </c>
      <c r="F594" s="17" t="inlineStr">
        <is>
          <t>Cotisation foncière &amp; CVAE</t>
        </is>
      </c>
      <c r="G594" s="45" t="inlineStr">
        <is>
          <t>63 — Impôts &amp; taxes</t>
        </is>
      </c>
      <c r="H594" s="45" t="inlineStr">
        <is>
          <t>Charge</t>
        </is>
      </c>
      <c r="I594" s="45" t="inlineStr">
        <is>
          <t>Impôts &amp; taxes</t>
        </is>
      </c>
      <c r="J594" s="45" t="inlineStr">
        <is>
          <t>2024ACT_VDEF</t>
        </is>
      </c>
      <c r="K594" s="45" t="inlineStr">
        <is>
          <t>2024 (N-2)</t>
        </is>
      </c>
      <c r="L594" s="13" t="n">
        <v>15740</v>
      </c>
    </row>
    <row r="595">
      <c r="A595" s="45" t="inlineStr">
        <is>
          <t>ISCOM_TOULOUSE</t>
        </is>
      </c>
      <c r="B595" s="17" t="inlineStr">
        <is>
          <t>ISCOM Toulouse</t>
        </is>
      </c>
      <c r="C595" s="45" t="inlineStr">
        <is>
          <t>ISCOM</t>
        </is>
      </c>
      <c r="D595" s="45" t="inlineStr">
        <is>
          <t>Toulouse</t>
        </is>
      </c>
      <c r="E595" s="45" t="inlineStr">
        <is>
          <t>63511</t>
        </is>
      </c>
      <c r="F595" s="17" t="inlineStr">
        <is>
          <t>Cotisation foncière &amp; CVAE</t>
        </is>
      </c>
      <c r="G595" s="45" t="inlineStr">
        <is>
          <t>63 — Impôts &amp; taxes</t>
        </is>
      </c>
      <c r="H595" s="45" t="inlineStr">
        <is>
          <t>Charge</t>
        </is>
      </c>
      <c r="I595" s="45" t="inlineStr">
        <is>
          <t>Impôts &amp; taxes</t>
        </is>
      </c>
      <c r="J595" s="45" t="inlineStr">
        <is>
          <t>2024ACT_VDEF</t>
        </is>
      </c>
      <c r="K595" s="45" t="inlineStr">
        <is>
          <t>2024 (N-2)</t>
        </is>
      </c>
      <c r="L595" s="13" t="n">
        <v>15740</v>
      </c>
    </row>
    <row r="596">
      <c r="A596" s="45" t="inlineStr">
        <is>
          <t>IPAC_BACHELOR_FACTORY_NANTES</t>
        </is>
      </c>
      <c r="B596" s="17" t="inlineStr">
        <is>
          <t>Ipac Bachelor Factory Nantes</t>
        </is>
      </c>
      <c r="C596" s="45" t="inlineStr">
        <is>
          <t>Ipac Bachelor Factory</t>
        </is>
      </c>
      <c r="D596" s="45" t="inlineStr">
        <is>
          <t>Nantes</t>
        </is>
      </c>
      <c r="E596" s="45" t="inlineStr">
        <is>
          <t>63511</t>
        </is>
      </c>
      <c r="F596" s="17" t="inlineStr">
        <is>
          <t>Cotisation foncière &amp; CVAE</t>
        </is>
      </c>
      <c r="G596" s="45" t="inlineStr">
        <is>
          <t>63 — Impôts &amp; taxes</t>
        </is>
      </c>
      <c r="H596" s="45" t="inlineStr">
        <is>
          <t>Charge</t>
        </is>
      </c>
      <c r="I596" s="45" t="inlineStr">
        <is>
          <t>Impôts &amp; taxes</t>
        </is>
      </c>
      <c r="J596" s="45" t="inlineStr">
        <is>
          <t>2024ACT_VDEF</t>
        </is>
      </c>
      <c r="K596" s="45" t="inlineStr">
        <is>
          <t>2024 (N-2)</t>
        </is>
      </c>
      <c r="L596" s="13" t="n">
        <v>9444</v>
      </c>
    </row>
    <row r="597">
      <c r="A597" s="45" t="inlineStr">
        <is>
          <t>IPAC_BACHELOR_FACTORY_RENNES</t>
        </is>
      </c>
      <c r="B597" s="17" t="inlineStr">
        <is>
          <t>Ipac Bachelor Factory Rennes</t>
        </is>
      </c>
      <c r="C597" s="45" t="inlineStr">
        <is>
          <t>Ipac Bachelor Factory</t>
        </is>
      </c>
      <c r="D597" s="45" t="inlineStr">
        <is>
          <t>Rennes</t>
        </is>
      </c>
      <c r="E597" s="45" t="inlineStr">
        <is>
          <t>63511</t>
        </is>
      </c>
      <c r="F597" s="17" t="inlineStr">
        <is>
          <t>Cotisation foncière &amp; CVAE</t>
        </is>
      </c>
      <c r="G597" s="45" t="inlineStr">
        <is>
          <t>63 — Impôts &amp; taxes</t>
        </is>
      </c>
      <c r="H597" s="45" t="inlineStr">
        <is>
          <t>Charge</t>
        </is>
      </c>
      <c r="I597" s="45" t="inlineStr">
        <is>
          <t>Impôts &amp; taxes</t>
        </is>
      </c>
      <c r="J597" s="45" t="inlineStr">
        <is>
          <t>2024ACT_VDEF</t>
        </is>
      </c>
      <c r="K597" s="45" t="inlineStr">
        <is>
          <t>2024 (N-2)</t>
        </is>
      </c>
      <c r="L597" s="13" t="n">
        <v>9444</v>
      </c>
    </row>
    <row r="598">
      <c r="A598" s="45" t="inlineStr">
        <is>
          <t>IPAC_BACHELOR_FACTORY_MONTPELLIER</t>
        </is>
      </c>
      <c r="B598" s="17" t="inlineStr">
        <is>
          <t>Ipac Bachelor Factory Montpellier</t>
        </is>
      </c>
      <c r="C598" s="45" t="inlineStr">
        <is>
          <t>Ipac Bachelor Factory</t>
        </is>
      </c>
      <c r="D598" s="45" t="inlineStr">
        <is>
          <t>Montpellier</t>
        </is>
      </c>
      <c r="E598" s="45" t="inlineStr">
        <is>
          <t>63511</t>
        </is>
      </c>
      <c r="F598" s="17" t="inlineStr">
        <is>
          <t>Cotisation foncière &amp; CVAE</t>
        </is>
      </c>
      <c r="G598" s="45" t="inlineStr">
        <is>
          <t>63 — Impôts &amp; taxes</t>
        </is>
      </c>
      <c r="H598" s="45" t="inlineStr">
        <is>
          <t>Charge</t>
        </is>
      </c>
      <c r="I598" s="45" t="inlineStr">
        <is>
          <t>Impôts &amp; taxes</t>
        </is>
      </c>
      <c r="J598" s="45" t="inlineStr">
        <is>
          <t>2024ACT_VDEF</t>
        </is>
      </c>
      <c r="K598" s="45" t="inlineStr">
        <is>
          <t>2024 (N-2)</t>
        </is>
      </c>
      <c r="L598" s="13" t="n">
        <v>9444</v>
      </c>
    </row>
    <row r="599">
      <c r="A599" s="45" t="inlineStr">
        <is>
          <t>PIGIER_LYON</t>
        </is>
      </c>
      <c r="B599" s="17" t="inlineStr">
        <is>
          <t>Pigier Lyon</t>
        </is>
      </c>
      <c r="C599" s="45" t="inlineStr">
        <is>
          <t>Pigier</t>
        </is>
      </c>
      <c r="D599" s="45" t="inlineStr">
        <is>
          <t>Lyon</t>
        </is>
      </c>
      <c r="E599" s="45" t="inlineStr">
        <is>
          <t>63511</t>
        </is>
      </c>
      <c r="F599" s="17" t="inlineStr">
        <is>
          <t>Cotisation foncière &amp; CVAE</t>
        </is>
      </c>
      <c r="G599" s="45" t="inlineStr">
        <is>
          <t>63 — Impôts &amp; taxes</t>
        </is>
      </c>
      <c r="H599" s="45" t="inlineStr">
        <is>
          <t>Charge</t>
        </is>
      </c>
      <c r="I599" s="45" t="inlineStr">
        <is>
          <t>Impôts &amp; taxes</t>
        </is>
      </c>
      <c r="J599" s="45" t="inlineStr">
        <is>
          <t>2024ACT_VDEF</t>
        </is>
      </c>
      <c r="K599" s="45" t="inlineStr">
        <is>
          <t>2024 (N-2)</t>
        </is>
      </c>
      <c r="L599" s="13" t="n">
        <v>12592</v>
      </c>
    </row>
    <row r="600">
      <c r="A600" s="45" t="inlineStr">
        <is>
          <t>PIGIER_BORDEAUX</t>
        </is>
      </c>
      <c r="B600" s="17" t="inlineStr">
        <is>
          <t>Pigier Bordeaux</t>
        </is>
      </c>
      <c r="C600" s="45" t="inlineStr">
        <is>
          <t>Pigier</t>
        </is>
      </c>
      <c r="D600" s="45" t="inlineStr">
        <is>
          <t>Bordeaux</t>
        </is>
      </c>
      <c r="E600" s="45" t="inlineStr">
        <is>
          <t>63511</t>
        </is>
      </c>
      <c r="F600" s="17" t="inlineStr">
        <is>
          <t>Cotisation foncière &amp; CVAE</t>
        </is>
      </c>
      <c r="G600" s="45" t="inlineStr">
        <is>
          <t>63 — Impôts &amp; taxes</t>
        </is>
      </c>
      <c r="H600" s="45" t="inlineStr">
        <is>
          <t>Charge</t>
        </is>
      </c>
      <c r="I600" s="45" t="inlineStr">
        <is>
          <t>Impôts &amp; taxes</t>
        </is>
      </c>
      <c r="J600" s="45" t="inlineStr">
        <is>
          <t>2024ACT_VDEF</t>
        </is>
      </c>
      <c r="K600" s="45" t="inlineStr">
        <is>
          <t>2024 (N-2)</t>
        </is>
      </c>
      <c r="L600" s="13" t="n">
        <v>12592</v>
      </c>
    </row>
    <row r="601">
      <c r="A601" s="45" t="inlineStr">
        <is>
          <t>TUNON_PARIS</t>
        </is>
      </c>
      <c r="B601" s="17" t="inlineStr">
        <is>
          <t>Tunon Paris</t>
        </is>
      </c>
      <c r="C601" s="45" t="inlineStr">
        <is>
          <t>Tunon</t>
        </is>
      </c>
      <c r="D601" s="45" t="inlineStr">
        <is>
          <t>Paris</t>
        </is>
      </c>
      <c r="E601" s="45" t="inlineStr">
        <is>
          <t>63511</t>
        </is>
      </c>
      <c r="F601" s="17" t="inlineStr">
        <is>
          <t>Cotisation foncière &amp; CVAE</t>
        </is>
      </c>
      <c r="G601" s="45" t="inlineStr">
        <is>
          <t>63 — Impôts &amp; taxes</t>
        </is>
      </c>
      <c r="H601" s="45" t="inlineStr">
        <is>
          <t>Charge</t>
        </is>
      </c>
      <c r="I601" s="45" t="inlineStr">
        <is>
          <t>Impôts &amp; taxes</t>
        </is>
      </c>
      <c r="J601" s="45" t="inlineStr">
        <is>
          <t>2024ACT_VDEF</t>
        </is>
      </c>
      <c r="K601" s="45" t="inlineStr">
        <is>
          <t>2024 (N-2)</t>
        </is>
      </c>
      <c r="L601" s="13" t="n">
        <v>9444</v>
      </c>
    </row>
    <row r="602">
      <c r="A602" s="45" t="inlineStr">
        <is>
          <t>TUNON_LYON</t>
        </is>
      </c>
      <c r="B602" s="17" t="inlineStr">
        <is>
          <t>Tunon Lyon</t>
        </is>
      </c>
      <c r="C602" s="45" t="inlineStr">
        <is>
          <t>Tunon</t>
        </is>
      </c>
      <c r="D602" s="45" t="inlineStr">
        <is>
          <t>Lyon</t>
        </is>
      </c>
      <c r="E602" s="45" t="inlineStr">
        <is>
          <t>63511</t>
        </is>
      </c>
      <c r="F602" s="17" t="inlineStr">
        <is>
          <t>Cotisation foncière &amp; CVAE</t>
        </is>
      </c>
      <c r="G602" s="45" t="inlineStr">
        <is>
          <t>63 — Impôts &amp; taxes</t>
        </is>
      </c>
      <c r="H602" s="45" t="inlineStr">
        <is>
          <t>Charge</t>
        </is>
      </c>
      <c r="I602" s="45" t="inlineStr">
        <is>
          <t>Impôts &amp; taxes</t>
        </is>
      </c>
      <c r="J602" s="45" t="inlineStr">
        <is>
          <t>2024ACT_VDEF</t>
        </is>
      </c>
      <c r="K602" s="45" t="inlineStr">
        <is>
          <t>2024 (N-2)</t>
        </is>
      </c>
      <c r="L602" s="13" t="n">
        <v>9444</v>
      </c>
    </row>
    <row r="603">
      <c r="A603" s="45" t="inlineStr">
        <is>
          <t>MBWAY_PARIS</t>
        </is>
      </c>
      <c r="B603" s="17" t="inlineStr">
        <is>
          <t>MBway Paris</t>
        </is>
      </c>
      <c r="C603" s="45" t="inlineStr">
        <is>
          <t>MBway</t>
        </is>
      </c>
      <c r="D603" s="45" t="inlineStr">
        <is>
          <t>Paris</t>
        </is>
      </c>
      <c r="E603" s="45" t="inlineStr">
        <is>
          <t>63511</t>
        </is>
      </c>
      <c r="F603" s="17" t="inlineStr">
        <is>
          <t>Cotisation foncière &amp; CVAE</t>
        </is>
      </c>
      <c r="G603" s="45" t="inlineStr">
        <is>
          <t>63 — Impôts &amp; taxes</t>
        </is>
      </c>
      <c r="H603" s="45" t="inlineStr">
        <is>
          <t>Charge</t>
        </is>
      </c>
      <c r="I603" s="45" t="inlineStr">
        <is>
          <t>Impôts &amp; taxes</t>
        </is>
      </c>
      <c r="J603" s="45" t="inlineStr">
        <is>
          <t>2025ACT_VDEF</t>
        </is>
      </c>
      <c r="K603" s="45" t="inlineStr">
        <is>
          <t>2025 (N-1)</t>
        </is>
      </c>
      <c r="L603" s="13" t="n">
        <v>24692</v>
      </c>
    </row>
    <row r="604">
      <c r="A604" s="45" t="inlineStr">
        <is>
          <t>MBWAY_LYON</t>
        </is>
      </c>
      <c r="B604" s="17" t="inlineStr">
        <is>
          <t>MBway Lyon</t>
        </is>
      </c>
      <c r="C604" s="45" t="inlineStr">
        <is>
          <t>MBway</t>
        </is>
      </c>
      <c r="D604" s="45" t="inlineStr">
        <is>
          <t>Lyon</t>
        </is>
      </c>
      <c r="E604" s="45" t="inlineStr">
        <is>
          <t>63511</t>
        </is>
      </c>
      <c r="F604" s="17" t="inlineStr">
        <is>
          <t>Cotisation foncière &amp; CVAE</t>
        </is>
      </c>
      <c r="G604" s="45" t="inlineStr">
        <is>
          <t>63 — Impôts &amp; taxes</t>
        </is>
      </c>
      <c r="H604" s="45" t="inlineStr">
        <is>
          <t>Charge</t>
        </is>
      </c>
      <c r="I604" s="45" t="inlineStr">
        <is>
          <t>Impôts &amp; taxes</t>
        </is>
      </c>
      <c r="J604" s="45" t="inlineStr">
        <is>
          <t>2025ACT_VDEF</t>
        </is>
      </c>
      <c r="K604" s="45" t="inlineStr">
        <is>
          <t>2025 (N-1)</t>
        </is>
      </c>
      <c r="L604" s="13" t="n">
        <v>21400</v>
      </c>
    </row>
    <row r="605">
      <c r="A605" s="45" t="inlineStr">
        <is>
          <t>MBWAY_NANTES</t>
        </is>
      </c>
      <c r="B605" s="17" t="inlineStr">
        <is>
          <t>MBway Nantes</t>
        </is>
      </c>
      <c r="C605" s="45" t="inlineStr">
        <is>
          <t>MBway</t>
        </is>
      </c>
      <c r="D605" s="45" t="inlineStr">
        <is>
          <t>Nantes</t>
        </is>
      </c>
      <c r="E605" s="45" t="inlineStr">
        <is>
          <t>63511</t>
        </is>
      </c>
      <c r="F605" s="17" t="inlineStr">
        <is>
          <t>Cotisation foncière &amp; CVAE</t>
        </is>
      </c>
      <c r="G605" s="45" t="inlineStr">
        <is>
          <t>63 — Impôts &amp; taxes</t>
        </is>
      </c>
      <c r="H605" s="45" t="inlineStr">
        <is>
          <t>Charge</t>
        </is>
      </c>
      <c r="I605" s="45" t="inlineStr">
        <is>
          <t>Impôts &amp; taxes</t>
        </is>
      </c>
      <c r="J605" s="45" t="inlineStr">
        <is>
          <t>2025ACT_VDEF</t>
        </is>
      </c>
      <c r="K605" s="45" t="inlineStr">
        <is>
          <t>2025 (N-1)</t>
        </is>
      </c>
      <c r="L605" s="13" t="n">
        <v>19754</v>
      </c>
    </row>
    <row r="606">
      <c r="A606" s="45" t="inlineStr">
        <is>
          <t>MBWAY_BORDEAUX</t>
        </is>
      </c>
      <c r="B606" s="17" t="inlineStr">
        <is>
          <t>MBway Bordeaux</t>
        </is>
      </c>
      <c r="C606" s="45" t="inlineStr">
        <is>
          <t>MBway</t>
        </is>
      </c>
      <c r="D606" s="45" t="inlineStr">
        <is>
          <t>Bordeaux</t>
        </is>
      </c>
      <c r="E606" s="45" t="inlineStr">
        <is>
          <t>63511</t>
        </is>
      </c>
      <c r="F606" s="17" t="inlineStr">
        <is>
          <t>Cotisation foncière &amp; CVAE</t>
        </is>
      </c>
      <c r="G606" s="45" t="inlineStr">
        <is>
          <t>63 — Impôts &amp; taxes</t>
        </is>
      </c>
      <c r="H606" s="45" t="inlineStr">
        <is>
          <t>Charge</t>
        </is>
      </c>
      <c r="I606" s="45" t="inlineStr">
        <is>
          <t>Impôts &amp; taxes</t>
        </is>
      </c>
      <c r="J606" s="45" t="inlineStr">
        <is>
          <t>2025ACT_VDEF</t>
        </is>
      </c>
      <c r="K606" s="45" t="inlineStr">
        <is>
          <t>2025 (N-1)</t>
        </is>
      </c>
      <c r="L606" s="13" t="n">
        <v>16461</v>
      </c>
    </row>
    <row r="607">
      <c r="A607" s="45" t="inlineStr">
        <is>
          <t>ISCOM_PARIS</t>
        </is>
      </c>
      <c r="B607" s="17" t="inlineStr">
        <is>
          <t>ISCOM Paris</t>
        </is>
      </c>
      <c r="C607" s="45" t="inlineStr">
        <is>
          <t>ISCOM</t>
        </is>
      </c>
      <c r="D607" s="45" t="inlineStr">
        <is>
          <t>Paris</t>
        </is>
      </c>
      <c r="E607" s="45" t="inlineStr">
        <is>
          <t>63511</t>
        </is>
      </c>
      <c r="F607" s="17" t="inlineStr">
        <is>
          <t>Cotisation foncière &amp; CVAE</t>
        </is>
      </c>
      <c r="G607" s="45" t="inlineStr">
        <is>
          <t>63 — Impôts &amp; taxes</t>
        </is>
      </c>
      <c r="H607" s="45" t="inlineStr">
        <is>
          <t>Charge</t>
        </is>
      </c>
      <c r="I607" s="45" t="inlineStr">
        <is>
          <t>Impôts &amp; taxes</t>
        </is>
      </c>
      <c r="J607" s="45" t="inlineStr">
        <is>
          <t>2025ACT_VDEF</t>
        </is>
      </c>
      <c r="K607" s="45" t="inlineStr">
        <is>
          <t>2025 (N-1)</t>
        </is>
      </c>
      <c r="L607" s="13" t="n">
        <v>24692</v>
      </c>
    </row>
    <row r="608">
      <c r="A608" s="45" t="inlineStr">
        <is>
          <t>ISCOM_LILLE</t>
        </is>
      </c>
      <c r="B608" s="17" t="inlineStr">
        <is>
          <t>ISCOM Lille</t>
        </is>
      </c>
      <c r="C608" s="45" t="inlineStr">
        <is>
          <t>ISCOM</t>
        </is>
      </c>
      <c r="D608" s="45" t="inlineStr">
        <is>
          <t>Lille</t>
        </is>
      </c>
      <c r="E608" s="45" t="inlineStr">
        <is>
          <t>63511</t>
        </is>
      </c>
      <c r="F608" s="17" t="inlineStr">
        <is>
          <t>Cotisation foncière &amp; CVAE</t>
        </is>
      </c>
      <c r="G608" s="45" t="inlineStr">
        <is>
          <t>63 — Impôts &amp; taxes</t>
        </is>
      </c>
      <c r="H608" s="45" t="inlineStr">
        <is>
          <t>Charge</t>
        </is>
      </c>
      <c r="I608" s="45" t="inlineStr">
        <is>
          <t>Impôts &amp; taxes</t>
        </is>
      </c>
      <c r="J608" s="45" t="inlineStr">
        <is>
          <t>2025ACT_VDEF</t>
        </is>
      </c>
      <c r="K608" s="45" t="inlineStr">
        <is>
          <t>2025 (N-1)</t>
        </is>
      </c>
      <c r="L608" s="13" t="n">
        <v>16461</v>
      </c>
    </row>
    <row r="609">
      <c r="A609" s="45" t="inlineStr">
        <is>
          <t>ISCOM_TOULOUSE</t>
        </is>
      </c>
      <c r="B609" s="17" t="inlineStr">
        <is>
          <t>ISCOM Toulouse</t>
        </is>
      </c>
      <c r="C609" s="45" t="inlineStr">
        <is>
          <t>ISCOM</t>
        </is>
      </c>
      <c r="D609" s="45" t="inlineStr">
        <is>
          <t>Toulouse</t>
        </is>
      </c>
      <c r="E609" s="45" t="inlineStr">
        <is>
          <t>63511</t>
        </is>
      </c>
      <c r="F609" s="17" t="inlineStr">
        <is>
          <t>Cotisation foncière &amp; CVAE</t>
        </is>
      </c>
      <c r="G609" s="45" t="inlineStr">
        <is>
          <t>63 — Impôts &amp; taxes</t>
        </is>
      </c>
      <c r="H609" s="45" t="inlineStr">
        <is>
          <t>Charge</t>
        </is>
      </c>
      <c r="I609" s="45" t="inlineStr">
        <is>
          <t>Impôts &amp; taxes</t>
        </is>
      </c>
      <c r="J609" s="45" t="inlineStr">
        <is>
          <t>2025ACT_VDEF</t>
        </is>
      </c>
      <c r="K609" s="45" t="inlineStr">
        <is>
          <t>2025 (N-1)</t>
        </is>
      </c>
      <c r="L609" s="13" t="n">
        <v>16461</v>
      </c>
    </row>
    <row r="610">
      <c r="A610" s="45" t="inlineStr">
        <is>
          <t>IPAC_BACHELOR_FACTORY_NANTES</t>
        </is>
      </c>
      <c r="B610" s="17" t="inlineStr">
        <is>
          <t>Ipac Bachelor Factory Nantes</t>
        </is>
      </c>
      <c r="C610" s="45" t="inlineStr">
        <is>
          <t>Ipac Bachelor Factory</t>
        </is>
      </c>
      <c r="D610" s="45" t="inlineStr">
        <is>
          <t>Nantes</t>
        </is>
      </c>
      <c r="E610" s="45" t="inlineStr">
        <is>
          <t>63511</t>
        </is>
      </c>
      <c r="F610" s="17" t="inlineStr">
        <is>
          <t>Cotisation foncière &amp; CVAE</t>
        </is>
      </c>
      <c r="G610" s="45" t="inlineStr">
        <is>
          <t>63 — Impôts &amp; taxes</t>
        </is>
      </c>
      <c r="H610" s="45" t="inlineStr">
        <is>
          <t>Charge</t>
        </is>
      </c>
      <c r="I610" s="45" t="inlineStr">
        <is>
          <t>Impôts &amp; taxes</t>
        </is>
      </c>
      <c r="J610" s="45" t="inlineStr">
        <is>
          <t>2025ACT_VDEF</t>
        </is>
      </c>
      <c r="K610" s="45" t="inlineStr">
        <is>
          <t>2025 (N-1)</t>
        </is>
      </c>
      <c r="L610" s="13" t="n">
        <v>9877</v>
      </c>
    </row>
    <row r="611">
      <c r="A611" s="45" t="inlineStr">
        <is>
          <t>IPAC_BACHELOR_FACTORY_RENNES</t>
        </is>
      </c>
      <c r="B611" s="17" t="inlineStr">
        <is>
          <t>Ipac Bachelor Factory Rennes</t>
        </is>
      </c>
      <c r="C611" s="45" t="inlineStr">
        <is>
          <t>Ipac Bachelor Factory</t>
        </is>
      </c>
      <c r="D611" s="45" t="inlineStr">
        <is>
          <t>Rennes</t>
        </is>
      </c>
      <c r="E611" s="45" t="inlineStr">
        <is>
          <t>63511</t>
        </is>
      </c>
      <c r="F611" s="17" t="inlineStr">
        <is>
          <t>Cotisation foncière &amp; CVAE</t>
        </is>
      </c>
      <c r="G611" s="45" t="inlineStr">
        <is>
          <t>63 — Impôts &amp; taxes</t>
        </is>
      </c>
      <c r="H611" s="45" t="inlineStr">
        <is>
          <t>Charge</t>
        </is>
      </c>
      <c r="I611" s="45" t="inlineStr">
        <is>
          <t>Impôts &amp; taxes</t>
        </is>
      </c>
      <c r="J611" s="45" t="inlineStr">
        <is>
          <t>2025ACT_VDEF</t>
        </is>
      </c>
      <c r="K611" s="45" t="inlineStr">
        <is>
          <t>2025 (N-1)</t>
        </is>
      </c>
      <c r="L611" s="13" t="n">
        <v>9877</v>
      </c>
    </row>
    <row r="612">
      <c r="A612" s="45" t="inlineStr">
        <is>
          <t>IPAC_BACHELOR_FACTORY_MONTPELLIER</t>
        </is>
      </c>
      <c r="B612" s="17" t="inlineStr">
        <is>
          <t>Ipac Bachelor Factory Montpellier</t>
        </is>
      </c>
      <c r="C612" s="45" t="inlineStr">
        <is>
          <t>Ipac Bachelor Factory</t>
        </is>
      </c>
      <c r="D612" s="45" t="inlineStr">
        <is>
          <t>Montpellier</t>
        </is>
      </c>
      <c r="E612" s="45" t="inlineStr">
        <is>
          <t>63511</t>
        </is>
      </c>
      <c r="F612" s="17" t="inlineStr">
        <is>
          <t>Cotisation foncière &amp; CVAE</t>
        </is>
      </c>
      <c r="G612" s="45" t="inlineStr">
        <is>
          <t>63 — Impôts &amp; taxes</t>
        </is>
      </c>
      <c r="H612" s="45" t="inlineStr">
        <is>
          <t>Charge</t>
        </is>
      </c>
      <c r="I612" s="45" t="inlineStr">
        <is>
          <t>Impôts &amp; taxes</t>
        </is>
      </c>
      <c r="J612" s="45" t="inlineStr">
        <is>
          <t>2025ACT_VDEF</t>
        </is>
      </c>
      <c r="K612" s="45" t="inlineStr">
        <is>
          <t>2025 (N-1)</t>
        </is>
      </c>
      <c r="L612" s="13" t="n">
        <v>9877</v>
      </c>
    </row>
    <row r="613">
      <c r="A613" s="45" t="inlineStr">
        <is>
          <t>PIGIER_LYON</t>
        </is>
      </c>
      <c r="B613" s="17" t="inlineStr">
        <is>
          <t>Pigier Lyon</t>
        </is>
      </c>
      <c r="C613" s="45" t="inlineStr">
        <is>
          <t>Pigier</t>
        </is>
      </c>
      <c r="D613" s="45" t="inlineStr">
        <is>
          <t>Lyon</t>
        </is>
      </c>
      <c r="E613" s="45" t="inlineStr">
        <is>
          <t>63511</t>
        </is>
      </c>
      <c r="F613" s="17" t="inlineStr">
        <is>
          <t>Cotisation foncière &amp; CVAE</t>
        </is>
      </c>
      <c r="G613" s="45" t="inlineStr">
        <is>
          <t>63 — Impôts &amp; taxes</t>
        </is>
      </c>
      <c r="H613" s="45" t="inlineStr">
        <is>
          <t>Charge</t>
        </is>
      </c>
      <c r="I613" s="45" t="inlineStr">
        <is>
          <t>Impôts &amp; taxes</t>
        </is>
      </c>
      <c r="J613" s="45" t="inlineStr">
        <is>
          <t>2025ACT_VDEF</t>
        </is>
      </c>
      <c r="K613" s="45" t="inlineStr">
        <is>
          <t>2025 (N-1)</t>
        </is>
      </c>
      <c r="L613" s="13" t="n">
        <v>13169</v>
      </c>
    </row>
    <row r="614">
      <c r="A614" s="45" t="inlineStr">
        <is>
          <t>PIGIER_BORDEAUX</t>
        </is>
      </c>
      <c r="B614" s="17" t="inlineStr">
        <is>
          <t>Pigier Bordeaux</t>
        </is>
      </c>
      <c r="C614" s="45" t="inlineStr">
        <is>
          <t>Pigier</t>
        </is>
      </c>
      <c r="D614" s="45" t="inlineStr">
        <is>
          <t>Bordeaux</t>
        </is>
      </c>
      <c r="E614" s="45" t="inlineStr">
        <is>
          <t>63511</t>
        </is>
      </c>
      <c r="F614" s="17" t="inlineStr">
        <is>
          <t>Cotisation foncière &amp; CVAE</t>
        </is>
      </c>
      <c r="G614" s="45" t="inlineStr">
        <is>
          <t>63 — Impôts &amp; taxes</t>
        </is>
      </c>
      <c r="H614" s="45" t="inlineStr">
        <is>
          <t>Charge</t>
        </is>
      </c>
      <c r="I614" s="45" t="inlineStr">
        <is>
          <t>Impôts &amp; taxes</t>
        </is>
      </c>
      <c r="J614" s="45" t="inlineStr">
        <is>
          <t>2025ACT_VDEF</t>
        </is>
      </c>
      <c r="K614" s="45" t="inlineStr">
        <is>
          <t>2025 (N-1)</t>
        </is>
      </c>
      <c r="L614" s="13" t="n">
        <v>13169</v>
      </c>
    </row>
    <row r="615">
      <c r="A615" s="45" t="inlineStr">
        <is>
          <t>TUNON_PARIS</t>
        </is>
      </c>
      <c r="B615" s="17" t="inlineStr">
        <is>
          <t>Tunon Paris</t>
        </is>
      </c>
      <c r="C615" s="45" t="inlineStr">
        <is>
          <t>Tunon</t>
        </is>
      </c>
      <c r="D615" s="45" t="inlineStr">
        <is>
          <t>Paris</t>
        </is>
      </c>
      <c r="E615" s="45" t="inlineStr">
        <is>
          <t>63511</t>
        </is>
      </c>
      <c r="F615" s="17" t="inlineStr">
        <is>
          <t>Cotisation foncière &amp; CVAE</t>
        </is>
      </c>
      <c r="G615" s="45" t="inlineStr">
        <is>
          <t>63 — Impôts &amp; taxes</t>
        </is>
      </c>
      <c r="H615" s="45" t="inlineStr">
        <is>
          <t>Charge</t>
        </is>
      </c>
      <c r="I615" s="45" t="inlineStr">
        <is>
          <t>Impôts &amp; taxes</t>
        </is>
      </c>
      <c r="J615" s="45" t="inlineStr">
        <is>
          <t>2025ACT_VDEF</t>
        </is>
      </c>
      <c r="K615" s="45" t="inlineStr">
        <is>
          <t>2025 (N-1)</t>
        </is>
      </c>
      <c r="L615" s="13" t="n">
        <v>9877</v>
      </c>
    </row>
    <row r="616">
      <c r="A616" s="45" t="inlineStr">
        <is>
          <t>TUNON_LYON</t>
        </is>
      </c>
      <c r="B616" s="17" t="inlineStr">
        <is>
          <t>Tunon Lyon</t>
        </is>
      </c>
      <c r="C616" s="45" t="inlineStr">
        <is>
          <t>Tunon</t>
        </is>
      </c>
      <c r="D616" s="45" t="inlineStr">
        <is>
          <t>Lyon</t>
        </is>
      </c>
      <c r="E616" s="45" t="inlineStr">
        <is>
          <t>63511</t>
        </is>
      </c>
      <c r="F616" s="17" t="inlineStr">
        <is>
          <t>Cotisation foncière &amp; CVAE</t>
        </is>
      </c>
      <c r="G616" s="45" t="inlineStr">
        <is>
          <t>63 — Impôts &amp; taxes</t>
        </is>
      </c>
      <c r="H616" s="45" t="inlineStr">
        <is>
          <t>Charge</t>
        </is>
      </c>
      <c r="I616" s="45" t="inlineStr">
        <is>
          <t>Impôts &amp; taxes</t>
        </is>
      </c>
      <c r="J616" s="45" t="inlineStr">
        <is>
          <t>2025ACT_VDEF</t>
        </is>
      </c>
      <c r="K616" s="45" t="inlineStr">
        <is>
          <t>2025 (N-1)</t>
        </is>
      </c>
      <c r="L616" s="13" t="n">
        <v>9877</v>
      </c>
    </row>
    <row r="617">
      <c r="A617" s="45" t="inlineStr">
        <is>
          <t>MBWAY_PARIS</t>
        </is>
      </c>
      <c r="B617" s="17" t="inlineStr">
        <is>
          <t>MBway Paris</t>
        </is>
      </c>
      <c r="C617" s="45" t="inlineStr">
        <is>
          <t>MBway</t>
        </is>
      </c>
      <c r="D617" s="45" t="inlineStr">
        <is>
          <t>Paris</t>
        </is>
      </c>
      <c r="E617" s="45" t="inlineStr">
        <is>
          <t>63511</t>
        </is>
      </c>
      <c r="F617" s="17" t="inlineStr">
        <is>
          <t>Cotisation foncière &amp; CVAE</t>
        </is>
      </c>
      <c r="G617" s="45" t="inlineStr">
        <is>
          <t>63 — Impôts &amp; taxes</t>
        </is>
      </c>
      <c r="H617" s="45" t="inlineStr">
        <is>
          <t>Charge</t>
        </is>
      </c>
      <c r="I617" s="45" t="inlineStr">
        <is>
          <t>Impôts &amp; taxes</t>
        </is>
      </c>
      <c r="J617" s="45" t="inlineStr">
        <is>
          <t>2026ATT_VDEF</t>
        </is>
      </c>
      <c r="K617" s="45" t="inlineStr">
        <is>
          <t>2026 (Atterr.)</t>
        </is>
      </c>
      <c r="L617" s="13" t="n">
        <v>25871</v>
      </c>
    </row>
    <row r="618">
      <c r="A618" s="45" t="inlineStr">
        <is>
          <t>MBWAY_LYON</t>
        </is>
      </c>
      <c r="B618" s="17" t="inlineStr">
        <is>
          <t>MBway Lyon</t>
        </is>
      </c>
      <c r="C618" s="45" t="inlineStr">
        <is>
          <t>MBway</t>
        </is>
      </c>
      <c r="D618" s="45" t="inlineStr">
        <is>
          <t>Lyon</t>
        </is>
      </c>
      <c r="E618" s="45" t="inlineStr">
        <is>
          <t>63511</t>
        </is>
      </c>
      <c r="F618" s="17" t="inlineStr">
        <is>
          <t>Cotisation foncière &amp; CVAE</t>
        </is>
      </c>
      <c r="G618" s="45" t="inlineStr">
        <is>
          <t>63 — Impôts &amp; taxes</t>
        </is>
      </c>
      <c r="H618" s="45" t="inlineStr">
        <is>
          <t>Charge</t>
        </is>
      </c>
      <c r="I618" s="45" t="inlineStr">
        <is>
          <t>Impôts &amp; taxes</t>
        </is>
      </c>
      <c r="J618" s="45" t="inlineStr">
        <is>
          <t>2026ATT_VDEF</t>
        </is>
      </c>
      <c r="K618" s="45" t="inlineStr">
        <is>
          <t>2026 (Atterr.)</t>
        </is>
      </c>
      <c r="L618" s="13" t="n">
        <v>22421</v>
      </c>
    </row>
    <row r="619">
      <c r="A619" s="45" t="inlineStr">
        <is>
          <t>MBWAY_NANTES</t>
        </is>
      </c>
      <c r="B619" s="17" t="inlineStr">
        <is>
          <t>MBway Nantes</t>
        </is>
      </c>
      <c r="C619" s="45" t="inlineStr">
        <is>
          <t>MBway</t>
        </is>
      </c>
      <c r="D619" s="45" t="inlineStr">
        <is>
          <t>Nantes</t>
        </is>
      </c>
      <c r="E619" s="45" t="inlineStr">
        <is>
          <t>63511</t>
        </is>
      </c>
      <c r="F619" s="17" t="inlineStr">
        <is>
          <t>Cotisation foncière &amp; CVAE</t>
        </is>
      </c>
      <c r="G619" s="45" t="inlineStr">
        <is>
          <t>63 — Impôts &amp; taxes</t>
        </is>
      </c>
      <c r="H619" s="45" t="inlineStr">
        <is>
          <t>Charge</t>
        </is>
      </c>
      <c r="I619" s="45" t="inlineStr">
        <is>
          <t>Impôts &amp; taxes</t>
        </is>
      </c>
      <c r="J619" s="45" t="inlineStr">
        <is>
          <t>2026ATT_VDEF</t>
        </is>
      </c>
      <c r="K619" s="45" t="inlineStr">
        <is>
          <t>2026 (Atterr.)</t>
        </is>
      </c>
      <c r="L619" s="13" t="n">
        <v>20696</v>
      </c>
    </row>
    <row r="620">
      <c r="A620" s="45" t="inlineStr">
        <is>
          <t>MBWAY_BORDEAUX</t>
        </is>
      </c>
      <c r="B620" s="17" t="inlineStr">
        <is>
          <t>MBway Bordeaux</t>
        </is>
      </c>
      <c r="C620" s="45" t="inlineStr">
        <is>
          <t>MBway</t>
        </is>
      </c>
      <c r="D620" s="45" t="inlineStr">
        <is>
          <t>Bordeaux</t>
        </is>
      </c>
      <c r="E620" s="45" t="inlineStr">
        <is>
          <t>63511</t>
        </is>
      </c>
      <c r="F620" s="17" t="inlineStr">
        <is>
          <t>Cotisation foncière &amp; CVAE</t>
        </is>
      </c>
      <c r="G620" s="45" t="inlineStr">
        <is>
          <t>63 — Impôts &amp; taxes</t>
        </is>
      </c>
      <c r="H620" s="45" t="inlineStr">
        <is>
          <t>Charge</t>
        </is>
      </c>
      <c r="I620" s="45" t="inlineStr">
        <is>
          <t>Impôts &amp; taxes</t>
        </is>
      </c>
      <c r="J620" s="45" t="inlineStr">
        <is>
          <t>2026ATT_VDEF</t>
        </is>
      </c>
      <c r="K620" s="45" t="inlineStr">
        <is>
          <t>2026 (Atterr.)</t>
        </is>
      </c>
      <c r="L620" s="13" t="n">
        <v>17247</v>
      </c>
    </row>
    <row r="621">
      <c r="A621" s="45" t="inlineStr">
        <is>
          <t>ISCOM_PARIS</t>
        </is>
      </c>
      <c r="B621" s="17" t="inlineStr">
        <is>
          <t>ISCOM Paris</t>
        </is>
      </c>
      <c r="C621" s="45" t="inlineStr">
        <is>
          <t>ISCOM</t>
        </is>
      </c>
      <c r="D621" s="45" t="inlineStr">
        <is>
          <t>Paris</t>
        </is>
      </c>
      <c r="E621" s="45" t="inlineStr">
        <is>
          <t>63511</t>
        </is>
      </c>
      <c r="F621" s="17" t="inlineStr">
        <is>
          <t>Cotisation foncière &amp; CVAE</t>
        </is>
      </c>
      <c r="G621" s="45" t="inlineStr">
        <is>
          <t>63 — Impôts &amp; taxes</t>
        </is>
      </c>
      <c r="H621" s="45" t="inlineStr">
        <is>
          <t>Charge</t>
        </is>
      </c>
      <c r="I621" s="45" t="inlineStr">
        <is>
          <t>Impôts &amp; taxes</t>
        </is>
      </c>
      <c r="J621" s="45" t="inlineStr">
        <is>
          <t>2026ATT_VDEF</t>
        </is>
      </c>
      <c r="K621" s="45" t="inlineStr">
        <is>
          <t>2026 (Atterr.)</t>
        </is>
      </c>
      <c r="L621" s="13" t="n">
        <v>25871</v>
      </c>
    </row>
    <row r="622">
      <c r="A622" s="45" t="inlineStr">
        <is>
          <t>ISCOM_LILLE</t>
        </is>
      </c>
      <c r="B622" s="17" t="inlineStr">
        <is>
          <t>ISCOM Lille</t>
        </is>
      </c>
      <c r="C622" s="45" t="inlineStr">
        <is>
          <t>ISCOM</t>
        </is>
      </c>
      <c r="D622" s="45" t="inlineStr">
        <is>
          <t>Lille</t>
        </is>
      </c>
      <c r="E622" s="45" t="inlineStr">
        <is>
          <t>63511</t>
        </is>
      </c>
      <c r="F622" s="17" t="inlineStr">
        <is>
          <t>Cotisation foncière &amp; CVAE</t>
        </is>
      </c>
      <c r="G622" s="45" t="inlineStr">
        <is>
          <t>63 — Impôts &amp; taxes</t>
        </is>
      </c>
      <c r="H622" s="45" t="inlineStr">
        <is>
          <t>Charge</t>
        </is>
      </c>
      <c r="I622" s="45" t="inlineStr">
        <is>
          <t>Impôts &amp; taxes</t>
        </is>
      </c>
      <c r="J622" s="45" t="inlineStr">
        <is>
          <t>2026ATT_VDEF</t>
        </is>
      </c>
      <c r="K622" s="45" t="inlineStr">
        <is>
          <t>2026 (Atterr.)</t>
        </is>
      </c>
      <c r="L622" s="13" t="n">
        <v>17247</v>
      </c>
    </row>
    <row r="623">
      <c r="A623" s="45" t="inlineStr">
        <is>
          <t>ISCOM_TOULOUSE</t>
        </is>
      </c>
      <c r="B623" s="17" t="inlineStr">
        <is>
          <t>ISCOM Toulouse</t>
        </is>
      </c>
      <c r="C623" s="45" t="inlineStr">
        <is>
          <t>ISCOM</t>
        </is>
      </c>
      <c r="D623" s="45" t="inlineStr">
        <is>
          <t>Toulouse</t>
        </is>
      </c>
      <c r="E623" s="45" t="inlineStr">
        <is>
          <t>63511</t>
        </is>
      </c>
      <c r="F623" s="17" t="inlineStr">
        <is>
          <t>Cotisation foncière &amp; CVAE</t>
        </is>
      </c>
      <c r="G623" s="45" t="inlineStr">
        <is>
          <t>63 — Impôts &amp; taxes</t>
        </is>
      </c>
      <c r="H623" s="45" t="inlineStr">
        <is>
          <t>Charge</t>
        </is>
      </c>
      <c r="I623" s="45" t="inlineStr">
        <is>
          <t>Impôts &amp; taxes</t>
        </is>
      </c>
      <c r="J623" s="45" t="inlineStr">
        <is>
          <t>2026ATT_VDEF</t>
        </is>
      </c>
      <c r="K623" s="45" t="inlineStr">
        <is>
          <t>2026 (Atterr.)</t>
        </is>
      </c>
      <c r="L623" s="13" t="n">
        <v>17247</v>
      </c>
    </row>
    <row r="624">
      <c r="A624" s="45" t="inlineStr">
        <is>
          <t>IPAC_BACHELOR_FACTORY_NANTES</t>
        </is>
      </c>
      <c r="B624" s="17" t="inlineStr">
        <is>
          <t>Ipac Bachelor Factory Nantes</t>
        </is>
      </c>
      <c r="C624" s="45" t="inlineStr">
        <is>
          <t>Ipac Bachelor Factory</t>
        </is>
      </c>
      <c r="D624" s="45" t="inlineStr">
        <is>
          <t>Nantes</t>
        </is>
      </c>
      <c r="E624" s="45" t="inlineStr">
        <is>
          <t>63511</t>
        </is>
      </c>
      <c r="F624" s="17" t="inlineStr">
        <is>
          <t>Cotisation foncière &amp; CVAE</t>
        </is>
      </c>
      <c r="G624" s="45" t="inlineStr">
        <is>
          <t>63 — Impôts &amp; taxes</t>
        </is>
      </c>
      <c r="H624" s="45" t="inlineStr">
        <is>
          <t>Charge</t>
        </is>
      </c>
      <c r="I624" s="45" t="inlineStr">
        <is>
          <t>Impôts &amp; taxes</t>
        </is>
      </c>
      <c r="J624" s="45" t="inlineStr">
        <is>
          <t>2026ATT_VDEF</t>
        </is>
      </c>
      <c r="K624" s="45" t="inlineStr">
        <is>
          <t>2026 (Atterr.)</t>
        </is>
      </c>
      <c r="L624" s="13" t="n">
        <v>10348</v>
      </c>
    </row>
    <row r="625">
      <c r="A625" s="45" t="inlineStr">
        <is>
          <t>IPAC_BACHELOR_FACTORY_RENNES</t>
        </is>
      </c>
      <c r="B625" s="17" t="inlineStr">
        <is>
          <t>Ipac Bachelor Factory Rennes</t>
        </is>
      </c>
      <c r="C625" s="45" t="inlineStr">
        <is>
          <t>Ipac Bachelor Factory</t>
        </is>
      </c>
      <c r="D625" s="45" t="inlineStr">
        <is>
          <t>Rennes</t>
        </is>
      </c>
      <c r="E625" s="45" t="inlineStr">
        <is>
          <t>63511</t>
        </is>
      </c>
      <c r="F625" s="17" t="inlineStr">
        <is>
          <t>Cotisation foncière &amp; CVAE</t>
        </is>
      </c>
      <c r="G625" s="45" t="inlineStr">
        <is>
          <t>63 — Impôts &amp; taxes</t>
        </is>
      </c>
      <c r="H625" s="45" t="inlineStr">
        <is>
          <t>Charge</t>
        </is>
      </c>
      <c r="I625" s="45" t="inlineStr">
        <is>
          <t>Impôts &amp; taxes</t>
        </is>
      </c>
      <c r="J625" s="45" t="inlineStr">
        <is>
          <t>2026ATT_VDEF</t>
        </is>
      </c>
      <c r="K625" s="45" t="inlineStr">
        <is>
          <t>2026 (Atterr.)</t>
        </is>
      </c>
      <c r="L625" s="13" t="n">
        <v>10348</v>
      </c>
    </row>
    <row r="626">
      <c r="A626" s="45" t="inlineStr">
        <is>
          <t>IPAC_BACHELOR_FACTORY_MONTPELLIER</t>
        </is>
      </c>
      <c r="B626" s="17" t="inlineStr">
        <is>
          <t>Ipac Bachelor Factory Montpellier</t>
        </is>
      </c>
      <c r="C626" s="45" t="inlineStr">
        <is>
          <t>Ipac Bachelor Factory</t>
        </is>
      </c>
      <c r="D626" s="45" t="inlineStr">
        <is>
          <t>Montpellier</t>
        </is>
      </c>
      <c r="E626" s="45" t="inlineStr">
        <is>
          <t>63511</t>
        </is>
      </c>
      <c r="F626" s="17" t="inlineStr">
        <is>
          <t>Cotisation foncière &amp; CVAE</t>
        </is>
      </c>
      <c r="G626" s="45" t="inlineStr">
        <is>
          <t>63 — Impôts &amp; taxes</t>
        </is>
      </c>
      <c r="H626" s="45" t="inlineStr">
        <is>
          <t>Charge</t>
        </is>
      </c>
      <c r="I626" s="45" t="inlineStr">
        <is>
          <t>Impôts &amp; taxes</t>
        </is>
      </c>
      <c r="J626" s="45" t="inlineStr">
        <is>
          <t>2026ATT_VDEF</t>
        </is>
      </c>
      <c r="K626" s="45" t="inlineStr">
        <is>
          <t>2026 (Atterr.)</t>
        </is>
      </c>
      <c r="L626" s="13" t="n">
        <v>10348</v>
      </c>
    </row>
    <row r="627">
      <c r="A627" s="45" t="inlineStr">
        <is>
          <t>PIGIER_LYON</t>
        </is>
      </c>
      <c r="B627" s="17" t="inlineStr">
        <is>
          <t>Pigier Lyon</t>
        </is>
      </c>
      <c r="C627" s="45" t="inlineStr">
        <is>
          <t>Pigier</t>
        </is>
      </c>
      <c r="D627" s="45" t="inlineStr">
        <is>
          <t>Lyon</t>
        </is>
      </c>
      <c r="E627" s="45" t="inlineStr">
        <is>
          <t>63511</t>
        </is>
      </c>
      <c r="F627" s="17" t="inlineStr">
        <is>
          <t>Cotisation foncière &amp; CVAE</t>
        </is>
      </c>
      <c r="G627" s="45" t="inlineStr">
        <is>
          <t>63 — Impôts &amp; taxes</t>
        </is>
      </c>
      <c r="H627" s="45" t="inlineStr">
        <is>
          <t>Charge</t>
        </is>
      </c>
      <c r="I627" s="45" t="inlineStr">
        <is>
          <t>Impôts &amp; taxes</t>
        </is>
      </c>
      <c r="J627" s="45" t="inlineStr">
        <is>
          <t>2026ATT_VDEF</t>
        </is>
      </c>
      <c r="K627" s="45" t="inlineStr">
        <is>
          <t>2026 (Atterr.)</t>
        </is>
      </c>
      <c r="L627" s="13" t="n">
        <v>13798</v>
      </c>
    </row>
    <row r="628">
      <c r="A628" s="45" t="inlineStr">
        <is>
          <t>PIGIER_BORDEAUX</t>
        </is>
      </c>
      <c r="B628" s="17" t="inlineStr">
        <is>
          <t>Pigier Bordeaux</t>
        </is>
      </c>
      <c r="C628" s="45" t="inlineStr">
        <is>
          <t>Pigier</t>
        </is>
      </c>
      <c r="D628" s="45" t="inlineStr">
        <is>
          <t>Bordeaux</t>
        </is>
      </c>
      <c r="E628" s="45" t="inlineStr">
        <is>
          <t>63511</t>
        </is>
      </c>
      <c r="F628" s="17" t="inlineStr">
        <is>
          <t>Cotisation foncière &amp; CVAE</t>
        </is>
      </c>
      <c r="G628" s="45" t="inlineStr">
        <is>
          <t>63 — Impôts &amp; taxes</t>
        </is>
      </c>
      <c r="H628" s="45" t="inlineStr">
        <is>
          <t>Charge</t>
        </is>
      </c>
      <c r="I628" s="45" t="inlineStr">
        <is>
          <t>Impôts &amp; taxes</t>
        </is>
      </c>
      <c r="J628" s="45" t="inlineStr">
        <is>
          <t>2026ATT_VDEF</t>
        </is>
      </c>
      <c r="K628" s="45" t="inlineStr">
        <is>
          <t>2026 (Atterr.)</t>
        </is>
      </c>
      <c r="L628" s="13" t="n">
        <v>13798</v>
      </c>
    </row>
    <row r="629">
      <c r="A629" s="45" t="inlineStr">
        <is>
          <t>TUNON_PARIS</t>
        </is>
      </c>
      <c r="B629" s="17" t="inlineStr">
        <is>
          <t>Tunon Paris</t>
        </is>
      </c>
      <c r="C629" s="45" t="inlineStr">
        <is>
          <t>Tunon</t>
        </is>
      </c>
      <c r="D629" s="45" t="inlineStr">
        <is>
          <t>Paris</t>
        </is>
      </c>
      <c r="E629" s="45" t="inlineStr">
        <is>
          <t>63511</t>
        </is>
      </c>
      <c r="F629" s="17" t="inlineStr">
        <is>
          <t>Cotisation foncière &amp; CVAE</t>
        </is>
      </c>
      <c r="G629" s="45" t="inlineStr">
        <is>
          <t>63 — Impôts &amp; taxes</t>
        </is>
      </c>
      <c r="H629" s="45" t="inlineStr">
        <is>
          <t>Charge</t>
        </is>
      </c>
      <c r="I629" s="45" t="inlineStr">
        <is>
          <t>Impôts &amp; taxes</t>
        </is>
      </c>
      <c r="J629" s="45" t="inlineStr">
        <is>
          <t>2026ATT_VDEF</t>
        </is>
      </c>
      <c r="K629" s="45" t="inlineStr">
        <is>
          <t>2026 (Atterr.)</t>
        </is>
      </c>
      <c r="L629" s="13" t="n">
        <v>10348</v>
      </c>
    </row>
    <row r="630">
      <c r="A630" s="45" t="inlineStr">
        <is>
          <t>TUNON_LYON</t>
        </is>
      </c>
      <c r="B630" s="17" t="inlineStr">
        <is>
          <t>Tunon Lyon</t>
        </is>
      </c>
      <c r="C630" s="45" t="inlineStr">
        <is>
          <t>Tunon</t>
        </is>
      </c>
      <c r="D630" s="45" t="inlineStr">
        <is>
          <t>Lyon</t>
        </is>
      </c>
      <c r="E630" s="45" t="inlineStr">
        <is>
          <t>63511</t>
        </is>
      </c>
      <c r="F630" s="17" t="inlineStr">
        <is>
          <t>Cotisation foncière &amp; CVAE</t>
        </is>
      </c>
      <c r="G630" s="45" t="inlineStr">
        <is>
          <t>63 — Impôts &amp; taxes</t>
        </is>
      </c>
      <c r="H630" s="45" t="inlineStr">
        <is>
          <t>Charge</t>
        </is>
      </c>
      <c r="I630" s="45" t="inlineStr">
        <is>
          <t>Impôts &amp; taxes</t>
        </is>
      </c>
      <c r="J630" s="45" t="inlineStr">
        <is>
          <t>2026ATT_VDEF</t>
        </is>
      </c>
      <c r="K630" s="45" t="inlineStr">
        <is>
          <t>2026 (Atterr.)</t>
        </is>
      </c>
      <c r="L630" s="13" t="n">
        <v>10348</v>
      </c>
    </row>
    <row r="631">
      <c r="A631" s="45" t="inlineStr">
        <is>
          <t>GROUPE</t>
        </is>
      </c>
      <c r="B631" s="17" t="inlineStr">
        <is>
          <t>GROUPE — Siège</t>
        </is>
      </c>
      <c r="C631" s="45" t="inlineStr">
        <is>
          <t>(groupe)</t>
        </is>
      </c>
      <c r="D631" s="45" t="inlineStr">
        <is>
          <t>(groupe)</t>
        </is>
      </c>
      <c r="E631" s="45" t="inlineStr">
        <is>
          <t>6333</t>
        </is>
      </c>
      <c r="F631" s="17" t="inlineStr">
        <is>
          <t>Participation formation professionnelle</t>
        </is>
      </c>
      <c r="G631" s="45" t="inlineStr">
        <is>
          <t>63 — Impôts &amp; taxes</t>
        </is>
      </c>
      <c r="H631" s="45" t="inlineStr">
        <is>
          <t>Charge</t>
        </is>
      </c>
      <c r="I631" s="45" t="inlineStr">
        <is>
          <t>Impôts &amp; taxes</t>
        </is>
      </c>
      <c r="J631" s="45" t="inlineStr">
        <is>
          <t>2024ACT_VDEF</t>
        </is>
      </c>
      <c r="K631" s="45" t="inlineStr">
        <is>
          <t>2024 (N-2)</t>
        </is>
      </c>
      <c r="L631" s="13" t="n">
        <v>103097</v>
      </c>
    </row>
    <row r="632">
      <c r="A632" s="45" t="inlineStr">
        <is>
          <t>GROUPE</t>
        </is>
      </c>
      <c r="B632" s="17" t="inlineStr">
        <is>
          <t>GROUPE — Siège</t>
        </is>
      </c>
      <c r="C632" s="45" t="inlineStr">
        <is>
          <t>(groupe)</t>
        </is>
      </c>
      <c r="D632" s="45" t="inlineStr">
        <is>
          <t>(groupe)</t>
        </is>
      </c>
      <c r="E632" s="45" t="inlineStr">
        <is>
          <t>6333</t>
        </is>
      </c>
      <c r="F632" s="17" t="inlineStr">
        <is>
          <t>Participation formation professionnelle</t>
        </is>
      </c>
      <c r="G632" s="45" t="inlineStr">
        <is>
          <t>63 — Impôts &amp; taxes</t>
        </is>
      </c>
      <c r="H632" s="45" t="inlineStr">
        <is>
          <t>Charge</t>
        </is>
      </c>
      <c r="I632" s="45" t="inlineStr">
        <is>
          <t>Impôts &amp; taxes</t>
        </is>
      </c>
      <c r="J632" s="45" t="inlineStr">
        <is>
          <t>2025ACT_VDEF</t>
        </is>
      </c>
      <c r="K632" s="45" t="inlineStr">
        <is>
          <t>2025 (N-1)</t>
        </is>
      </c>
      <c r="L632" s="13" t="n">
        <v>107822</v>
      </c>
    </row>
    <row r="633">
      <c r="A633" s="45" t="inlineStr">
        <is>
          <t>GROUPE</t>
        </is>
      </c>
      <c r="B633" s="17" t="inlineStr">
        <is>
          <t>GROUPE — Siège</t>
        </is>
      </c>
      <c r="C633" s="45" t="inlineStr">
        <is>
          <t>(groupe)</t>
        </is>
      </c>
      <c r="D633" s="45" t="inlineStr">
        <is>
          <t>(groupe)</t>
        </is>
      </c>
      <c r="E633" s="45" t="inlineStr">
        <is>
          <t>6333</t>
        </is>
      </c>
      <c r="F633" s="17" t="inlineStr">
        <is>
          <t>Participation formation professionnelle</t>
        </is>
      </c>
      <c r="G633" s="45" t="inlineStr">
        <is>
          <t>63 — Impôts &amp; taxes</t>
        </is>
      </c>
      <c r="H633" s="45" t="inlineStr">
        <is>
          <t>Charge</t>
        </is>
      </c>
      <c r="I633" s="45" t="inlineStr">
        <is>
          <t>Impôts &amp; taxes</t>
        </is>
      </c>
      <c r="J633" s="45" t="inlineStr">
        <is>
          <t>2026ATT_VDEF</t>
        </is>
      </c>
      <c r="K633" s="45" t="inlineStr">
        <is>
          <t>2026 (Atterr.)</t>
        </is>
      </c>
      <c r="L633" s="13" t="n">
        <v>112968</v>
      </c>
    </row>
    <row r="634">
      <c r="A634" s="45" t="inlineStr">
        <is>
          <t>MBWAY_PARIS</t>
        </is>
      </c>
      <c r="B634" s="17" t="inlineStr">
        <is>
          <t>MBway Paris</t>
        </is>
      </c>
      <c r="C634" s="45" t="inlineStr">
        <is>
          <t>MBway</t>
        </is>
      </c>
      <c r="D634" s="45" t="inlineStr">
        <is>
          <t>Paris</t>
        </is>
      </c>
      <c r="E634" s="45" t="inlineStr">
        <is>
          <t>6811</t>
        </is>
      </c>
      <c r="F634" s="17" t="inlineStr">
        <is>
          <t>Dotations aux amortissements (D&amp;A)</t>
        </is>
      </c>
      <c r="G634" s="45" t="inlineStr">
        <is>
          <t>68 — Dotations &amp; amort.</t>
        </is>
      </c>
      <c r="H634" s="45" t="inlineStr">
        <is>
          <t>Charge</t>
        </is>
      </c>
      <c r="I634" s="45" t="inlineStr">
        <is>
          <t>Dotations</t>
        </is>
      </c>
      <c r="J634" s="45" t="inlineStr">
        <is>
          <t>2024ACT_VDEF</t>
        </is>
      </c>
      <c r="K634" s="45" t="inlineStr">
        <is>
          <t>2024 (N-2)</t>
        </is>
      </c>
      <c r="L634" s="13" t="n">
        <v>137849</v>
      </c>
    </row>
    <row r="635">
      <c r="A635" s="45" t="inlineStr">
        <is>
          <t>MBWAY_LYON</t>
        </is>
      </c>
      <c r="B635" s="17" t="inlineStr">
        <is>
          <t>MBway Lyon</t>
        </is>
      </c>
      <c r="C635" s="45" t="inlineStr">
        <is>
          <t>MBway</t>
        </is>
      </c>
      <c r="D635" s="45" t="inlineStr">
        <is>
          <t>Lyon</t>
        </is>
      </c>
      <c r="E635" s="45" t="inlineStr">
        <is>
          <t>6811</t>
        </is>
      </c>
      <c r="F635" s="17" t="inlineStr">
        <is>
          <t>Dotations aux amortissements (D&amp;A)</t>
        </is>
      </c>
      <c r="G635" s="45" t="inlineStr">
        <is>
          <t>68 — Dotations &amp; amort.</t>
        </is>
      </c>
      <c r="H635" s="45" t="inlineStr">
        <is>
          <t>Charge</t>
        </is>
      </c>
      <c r="I635" s="45" t="inlineStr">
        <is>
          <t>Dotations</t>
        </is>
      </c>
      <c r="J635" s="45" t="inlineStr">
        <is>
          <t>2024ACT_VDEF</t>
        </is>
      </c>
      <c r="K635" s="45" t="inlineStr">
        <is>
          <t>2024 (N-2)</t>
        </is>
      </c>
      <c r="L635" s="13" t="n">
        <v>119469</v>
      </c>
    </row>
    <row r="636">
      <c r="A636" s="45" t="inlineStr">
        <is>
          <t>MBWAY_NANTES</t>
        </is>
      </c>
      <c r="B636" s="17" t="inlineStr">
        <is>
          <t>MBway Nantes</t>
        </is>
      </c>
      <c r="C636" s="45" t="inlineStr">
        <is>
          <t>MBway</t>
        </is>
      </c>
      <c r="D636" s="45" t="inlineStr">
        <is>
          <t>Nantes</t>
        </is>
      </c>
      <c r="E636" s="45" t="inlineStr">
        <is>
          <t>6811</t>
        </is>
      </c>
      <c r="F636" s="17" t="inlineStr">
        <is>
          <t>Dotations aux amortissements (D&amp;A)</t>
        </is>
      </c>
      <c r="G636" s="45" t="inlineStr">
        <is>
          <t>68 — Dotations &amp; amort.</t>
        </is>
      </c>
      <c r="H636" s="45" t="inlineStr">
        <is>
          <t>Charge</t>
        </is>
      </c>
      <c r="I636" s="45" t="inlineStr">
        <is>
          <t>Dotations</t>
        </is>
      </c>
      <c r="J636" s="45" t="inlineStr">
        <is>
          <t>2024ACT_VDEF</t>
        </is>
      </c>
      <c r="K636" s="45" t="inlineStr">
        <is>
          <t>2024 (N-2)</t>
        </is>
      </c>
      <c r="L636" s="13" t="n">
        <v>110279</v>
      </c>
    </row>
    <row r="637">
      <c r="A637" s="45" t="inlineStr">
        <is>
          <t>MBWAY_BORDEAUX</t>
        </is>
      </c>
      <c r="B637" s="17" t="inlineStr">
        <is>
          <t>MBway Bordeaux</t>
        </is>
      </c>
      <c r="C637" s="45" t="inlineStr">
        <is>
          <t>MBway</t>
        </is>
      </c>
      <c r="D637" s="45" t="inlineStr">
        <is>
          <t>Bordeaux</t>
        </is>
      </c>
      <c r="E637" s="45" t="inlineStr">
        <is>
          <t>6811</t>
        </is>
      </c>
      <c r="F637" s="17" t="inlineStr">
        <is>
          <t>Dotations aux amortissements (D&amp;A)</t>
        </is>
      </c>
      <c r="G637" s="45" t="inlineStr">
        <is>
          <t>68 — Dotations &amp; amort.</t>
        </is>
      </c>
      <c r="H637" s="45" t="inlineStr">
        <is>
          <t>Charge</t>
        </is>
      </c>
      <c r="I637" s="45" t="inlineStr">
        <is>
          <t>Dotations</t>
        </is>
      </c>
      <c r="J637" s="45" t="inlineStr">
        <is>
          <t>2024ACT_VDEF</t>
        </is>
      </c>
      <c r="K637" s="45" t="inlineStr">
        <is>
          <t>2024 (N-2)</t>
        </is>
      </c>
      <c r="L637" s="13" t="n">
        <v>91900</v>
      </c>
    </row>
    <row r="638">
      <c r="A638" s="45" t="inlineStr">
        <is>
          <t>ISCOM_PARIS</t>
        </is>
      </c>
      <c r="B638" s="17" t="inlineStr">
        <is>
          <t>ISCOM Paris</t>
        </is>
      </c>
      <c r="C638" s="45" t="inlineStr">
        <is>
          <t>ISCOM</t>
        </is>
      </c>
      <c r="D638" s="45" t="inlineStr">
        <is>
          <t>Paris</t>
        </is>
      </c>
      <c r="E638" s="45" t="inlineStr">
        <is>
          <t>6811</t>
        </is>
      </c>
      <c r="F638" s="17" t="inlineStr">
        <is>
          <t>Dotations aux amortissements (D&amp;A)</t>
        </is>
      </c>
      <c r="G638" s="45" t="inlineStr">
        <is>
          <t>68 — Dotations &amp; amort.</t>
        </is>
      </c>
      <c r="H638" s="45" t="inlineStr">
        <is>
          <t>Charge</t>
        </is>
      </c>
      <c r="I638" s="45" t="inlineStr">
        <is>
          <t>Dotations</t>
        </is>
      </c>
      <c r="J638" s="45" t="inlineStr">
        <is>
          <t>2024ACT_VDEF</t>
        </is>
      </c>
      <c r="K638" s="45" t="inlineStr">
        <is>
          <t>2024 (N-2)</t>
        </is>
      </c>
      <c r="L638" s="13" t="n">
        <v>137849</v>
      </c>
    </row>
    <row r="639">
      <c r="A639" s="45" t="inlineStr">
        <is>
          <t>ISCOM_LILLE</t>
        </is>
      </c>
      <c r="B639" s="17" t="inlineStr">
        <is>
          <t>ISCOM Lille</t>
        </is>
      </c>
      <c r="C639" s="45" t="inlineStr">
        <is>
          <t>ISCOM</t>
        </is>
      </c>
      <c r="D639" s="45" t="inlineStr">
        <is>
          <t>Lille</t>
        </is>
      </c>
      <c r="E639" s="45" t="inlineStr">
        <is>
          <t>6811</t>
        </is>
      </c>
      <c r="F639" s="17" t="inlineStr">
        <is>
          <t>Dotations aux amortissements (D&amp;A)</t>
        </is>
      </c>
      <c r="G639" s="45" t="inlineStr">
        <is>
          <t>68 — Dotations &amp; amort.</t>
        </is>
      </c>
      <c r="H639" s="45" t="inlineStr">
        <is>
          <t>Charge</t>
        </is>
      </c>
      <c r="I639" s="45" t="inlineStr">
        <is>
          <t>Dotations</t>
        </is>
      </c>
      <c r="J639" s="45" t="inlineStr">
        <is>
          <t>2024ACT_VDEF</t>
        </is>
      </c>
      <c r="K639" s="45" t="inlineStr">
        <is>
          <t>2024 (N-2)</t>
        </is>
      </c>
      <c r="L639" s="13" t="n">
        <v>91900</v>
      </c>
    </row>
    <row r="640">
      <c r="A640" s="45" t="inlineStr">
        <is>
          <t>ISCOM_TOULOUSE</t>
        </is>
      </c>
      <c r="B640" s="17" t="inlineStr">
        <is>
          <t>ISCOM Toulouse</t>
        </is>
      </c>
      <c r="C640" s="45" t="inlineStr">
        <is>
          <t>ISCOM</t>
        </is>
      </c>
      <c r="D640" s="45" t="inlineStr">
        <is>
          <t>Toulouse</t>
        </is>
      </c>
      <c r="E640" s="45" t="inlineStr">
        <is>
          <t>6811</t>
        </is>
      </c>
      <c r="F640" s="17" t="inlineStr">
        <is>
          <t>Dotations aux amortissements (D&amp;A)</t>
        </is>
      </c>
      <c r="G640" s="45" t="inlineStr">
        <is>
          <t>68 — Dotations &amp; amort.</t>
        </is>
      </c>
      <c r="H640" s="45" t="inlineStr">
        <is>
          <t>Charge</t>
        </is>
      </c>
      <c r="I640" s="45" t="inlineStr">
        <is>
          <t>Dotations</t>
        </is>
      </c>
      <c r="J640" s="45" t="inlineStr">
        <is>
          <t>2024ACT_VDEF</t>
        </is>
      </c>
      <c r="K640" s="45" t="inlineStr">
        <is>
          <t>2024 (N-2)</t>
        </is>
      </c>
      <c r="L640" s="13" t="n">
        <v>91900</v>
      </c>
    </row>
    <row r="641">
      <c r="A641" s="45" t="inlineStr">
        <is>
          <t>IPAC_BACHELOR_FACTORY_NANTES</t>
        </is>
      </c>
      <c r="B641" s="17" t="inlineStr">
        <is>
          <t>Ipac Bachelor Factory Nantes</t>
        </is>
      </c>
      <c r="C641" s="45" t="inlineStr">
        <is>
          <t>Ipac Bachelor Factory</t>
        </is>
      </c>
      <c r="D641" s="45" t="inlineStr">
        <is>
          <t>Nantes</t>
        </is>
      </c>
      <c r="E641" s="45" t="inlineStr">
        <is>
          <t>6811</t>
        </is>
      </c>
      <c r="F641" s="17" t="inlineStr">
        <is>
          <t>Dotations aux amortissements (D&amp;A)</t>
        </is>
      </c>
      <c r="G641" s="45" t="inlineStr">
        <is>
          <t>68 — Dotations &amp; amort.</t>
        </is>
      </c>
      <c r="H641" s="45" t="inlineStr">
        <is>
          <t>Charge</t>
        </is>
      </c>
      <c r="I641" s="45" t="inlineStr">
        <is>
          <t>Dotations</t>
        </is>
      </c>
      <c r="J641" s="45" t="inlineStr">
        <is>
          <t>2024ACT_VDEF</t>
        </is>
      </c>
      <c r="K641" s="45" t="inlineStr">
        <is>
          <t>2024 (N-2)</t>
        </is>
      </c>
      <c r="L641" s="13" t="n">
        <v>55140</v>
      </c>
    </row>
    <row r="642">
      <c r="A642" s="45" t="inlineStr">
        <is>
          <t>IPAC_BACHELOR_FACTORY_RENNES</t>
        </is>
      </c>
      <c r="B642" s="17" t="inlineStr">
        <is>
          <t>Ipac Bachelor Factory Rennes</t>
        </is>
      </c>
      <c r="C642" s="45" t="inlineStr">
        <is>
          <t>Ipac Bachelor Factory</t>
        </is>
      </c>
      <c r="D642" s="45" t="inlineStr">
        <is>
          <t>Rennes</t>
        </is>
      </c>
      <c r="E642" s="45" t="inlineStr">
        <is>
          <t>6811</t>
        </is>
      </c>
      <c r="F642" s="17" t="inlineStr">
        <is>
          <t>Dotations aux amortissements (D&amp;A)</t>
        </is>
      </c>
      <c r="G642" s="45" t="inlineStr">
        <is>
          <t>68 — Dotations &amp; amort.</t>
        </is>
      </c>
      <c r="H642" s="45" t="inlineStr">
        <is>
          <t>Charge</t>
        </is>
      </c>
      <c r="I642" s="45" t="inlineStr">
        <is>
          <t>Dotations</t>
        </is>
      </c>
      <c r="J642" s="45" t="inlineStr">
        <is>
          <t>2024ACT_VDEF</t>
        </is>
      </c>
      <c r="K642" s="45" t="inlineStr">
        <is>
          <t>2024 (N-2)</t>
        </is>
      </c>
      <c r="L642" s="13" t="n">
        <v>55140</v>
      </c>
    </row>
    <row r="643">
      <c r="A643" s="45" t="inlineStr">
        <is>
          <t>IPAC_BACHELOR_FACTORY_MONTPELLIER</t>
        </is>
      </c>
      <c r="B643" s="17" t="inlineStr">
        <is>
          <t>Ipac Bachelor Factory Montpellier</t>
        </is>
      </c>
      <c r="C643" s="45" t="inlineStr">
        <is>
          <t>Ipac Bachelor Factory</t>
        </is>
      </c>
      <c r="D643" s="45" t="inlineStr">
        <is>
          <t>Montpellier</t>
        </is>
      </c>
      <c r="E643" s="45" t="inlineStr">
        <is>
          <t>6811</t>
        </is>
      </c>
      <c r="F643" s="17" t="inlineStr">
        <is>
          <t>Dotations aux amortissements (D&amp;A)</t>
        </is>
      </c>
      <c r="G643" s="45" t="inlineStr">
        <is>
          <t>68 — Dotations &amp; amort.</t>
        </is>
      </c>
      <c r="H643" s="45" t="inlineStr">
        <is>
          <t>Charge</t>
        </is>
      </c>
      <c r="I643" s="45" t="inlineStr">
        <is>
          <t>Dotations</t>
        </is>
      </c>
      <c r="J643" s="45" t="inlineStr">
        <is>
          <t>2024ACT_VDEF</t>
        </is>
      </c>
      <c r="K643" s="45" t="inlineStr">
        <is>
          <t>2024 (N-2)</t>
        </is>
      </c>
      <c r="L643" s="13" t="n">
        <v>55140</v>
      </c>
    </row>
    <row r="644">
      <c r="A644" s="45" t="inlineStr">
        <is>
          <t>PIGIER_LYON</t>
        </is>
      </c>
      <c r="B644" s="17" t="inlineStr">
        <is>
          <t>Pigier Lyon</t>
        </is>
      </c>
      <c r="C644" s="45" t="inlineStr">
        <is>
          <t>Pigier</t>
        </is>
      </c>
      <c r="D644" s="45" t="inlineStr">
        <is>
          <t>Lyon</t>
        </is>
      </c>
      <c r="E644" s="45" t="inlineStr">
        <is>
          <t>6811</t>
        </is>
      </c>
      <c r="F644" s="17" t="inlineStr">
        <is>
          <t>Dotations aux amortissements (D&amp;A)</t>
        </is>
      </c>
      <c r="G644" s="45" t="inlineStr">
        <is>
          <t>68 — Dotations &amp; amort.</t>
        </is>
      </c>
      <c r="H644" s="45" t="inlineStr">
        <is>
          <t>Charge</t>
        </is>
      </c>
      <c r="I644" s="45" t="inlineStr">
        <is>
          <t>Dotations</t>
        </is>
      </c>
      <c r="J644" s="45" t="inlineStr">
        <is>
          <t>2024ACT_VDEF</t>
        </is>
      </c>
      <c r="K644" s="45" t="inlineStr">
        <is>
          <t>2024 (N-2)</t>
        </is>
      </c>
      <c r="L644" s="13" t="n">
        <v>73520</v>
      </c>
    </row>
    <row r="645">
      <c r="A645" s="45" t="inlineStr">
        <is>
          <t>PIGIER_BORDEAUX</t>
        </is>
      </c>
      <c r="B645" s="17" t="inlineStr">
        <is>
          <t>Pigier Bordeaux</t>
        </is>
      </c>
      <c r="C645" s="45" t="inlineStr">
        <is>
          <t>Pigier</t>
        </is>
      </c>
      <c r="D645" s="45" t="inlineStr">
        <is>
          <t>Bordeaux</t>
        </is>
      </c>
      <c r="E645" s="45" t="inlineStr">
        <is>
          <t>6811</t>
        </is>
      </c>
      <c r="F645" s="17" t="inlineStr">
        <is>
          <t>Dotations aux amortissements (D&amp;A)</t>
        </is>
      </c>
      <c r="G645" s="45" t="inlineStr">
        <is>
          <t>68 — Dotations &amp; amort.</t>
        </is>
      </c>
      <c r="H645" s="45" t="inlineStr">
        <is>
          <t>Charge</t>
        </is>
      </c>
      <c r="I645" s="45" t="inlineStr">
        <is>
          <t>Dotations</t>
        </is>
      </c>
      <c r="J645" s="45" t="inlineStr">
        <is>
          <t>2024ACT_VDEF</t>
        </is>
      </c>
      <c r="K645" s="45" t="inlineStr">
        <is>
          <t>2024 (N-2)</t>
        </is>
      </c>
      <c r="L645" s="13" t="n">
        <v>73520</v>
      </c>
    </row>
    <row r="646">
      <c r="A646" s="45" t="inlineStr">
        <is>
          <t>TUNON_PARIS</t>
        </is>
      </c>
      <c r="B646" s="17" t="inlineStr">
        <is>
          <t>Tunon Paris</t>
        </is>
      </c>
      <c r="C646" s="45" t="inlineStr">
        <is>
          <t>Tunon</t>
        </is>
      </c>
      <c r="D646" s="45" t="inlineStr">
        <is>
          <t>Paris</t>
        </is>
      </c>
      <c r="E646" s="45" t="inlineStr">
        <is>
          <t>6811</t>
        </is>
      </c>
      <c r="F646" s="17" t="inlineStr">
        <is>
          <t>Dotations aux amortissements (D&amp;A)</t>
        </is>
      </c>
      <c r="G646" s="45" t="inlineStr">
        <is>
          <t>68 — Dotations &amp; amort.</t>
        </is>
      </c>
      <c r="H646" s="45" t="inlineStr">
        <is>
          <t>Charge</t>
        </is>
      </c>
      <c r="I646" s="45" t="inlineStr">
        <is>
          <t>Dotations</t>
        </is>
      </c>
      <c r="J646" s="45" t="inlineStr">
        <is>
          <t>2024ACT_VDEF</t>
        </is>
      </c>
      <c r="K646" s="45" t="inlineStr">
        <is>
          <t>2024 (N-2)</t>
        </is>
      </c>
      <c r="L646" s="13" t="n">
        <v>55140</v>
      </c>
    </row>
    <row r="647">
      <c r="A647" s="45" t="inlineStr">
        <is>
          <t>TUNON_LYON</t>
        </is>
      </c>
      <c r="B647" s="17" t="inlineStr">
        <is>
          <t>Tunon Lyon</t>
        </is>
      </c>
      <c r="C647" s="45" t="inlineStr">
        <is>
          <t>Tunon</t>
        </is>
      </c>
      <c r="D647" s="45" t="inlineStr">
        <is>
          <t>Lyon</t>
        </is>
      </c>
      <c r="E647" s="45" t="inlineStr">
        <is>
          <t>6811</t>
        </is>
      </c>
      <c r="F647" s="17" t="inlineStr">
        <is>
          <t>Dotations aux amortissements (D&amp;A)</t>
        </is>
      </c>
      <c r="G647" s="45" t="inlineStr">
        <is>
          <t>68 — Dotations &amp; amort.</t>
        </is>
      </c>
      <c r="H647" s="45" t="inlineStr">
        <is>
          <t>Charge</t>
        </is>
      </c>
      <c r="I647" s="45" t="inlineStr">
        <is>
          <t>Dotations</t>
        </is>
      </c>
      <c r="J647" s="45" t="inlineStr">
        <is>
          <t>2024ACT_VDEF</t>
        </is>
      </c>
      <c r="K647" s="45" t="inlineStr">
        <is>
          <t>2024 (N-2)</t>
        </is>
      </c>
      <c r="L647" s="13" t="n">
        <v>55140</v>
      </c>
    </row>
    <row r="648">
      <c r="A648" s="45" t="inlineStr">
        <is>
          <t>MBWAY_PARIS</t>
        </is>
      </c>
      <c r="B648" s="17" t="inlineStr">
        <is>
          <t>MBway Paris</t>
        </is>
      </c>
      <c r="C648" s="45" t="inlineStr">
        <is>
          <t>MBway</t>
        </is>
      </c>
      <c r="D648" s="45" t="inlineStr">
        <is>
          <t>Paris</t>
        </is>
      </c>
      <c r="E648" s="45" t="inlineStr">
        <is>
          <t>6811</t>
        </is>
      </c>
      <c r="F648" s="17" t="inlineStr">
        <is>
          <t>Dotations aux amortissements (D&amp;A)</t>
        </is>
      </c>
      <c r="G648" s="45" t="inlineStr">
        <is>
          <t>68 — Dotations &amp; amort.</t>
        </is>
      </c>
      <c r="H648" s="45" t="inlineStr">
        <is>
          <t>Charge</t>
        </is>
      </c>
      <c r="I648" s="45" t="inlineStr">
        <is>
          <t>Dotations</t>
        </is>
      </c>
      <c r="J648" s="45" t="inlineStr">
        <is>
          <t>2025ACT_VDEF</t>
        </is>
      </c>
      <c r="K648" s="45" t="inlineStr">
        <is>
          <t>2025 (N-1)</t>
        </is>
      </c>
      <c r="L648" s="13" t="n">
        <v>146120</v>
      </c>
    </row>
    <row r="649">
      <c r="A649" s="45" t="inlineStr">
        <is>
          <t>MBWAY_LYON</t>
        </is>
      </c>
      <c r="B649" s="17" t="inlineStr">
        <is>
          <t>MBway Lyon</t>
        </is>
      </c>
      <c r="C649" s="45" t="inlineStr">
        <is>
          <t>MBway</t>
        </is>
      </c>
      <c r="D649" s="45" t="inlineStr">
        <is>
          <t>Lyon</t>
        </is>
      </c>
      <c r="E649" s="45" t="inlineStr">
        <is>
          <t>6811</t>
        </is>
      </c>
      <c r="F649" s="17" t="inlineStr">
        <is>
          <t>Dotations aux amortissements (D&amp;A)</t>
        </is>
      </c>
      <c r="G649" s="45" t="inlineStr">
        <is>
          <t>68 — Dotations &amp; amort.</t>
        </is>
      </c>
      <c r="H649" s="45" t="inlineStr">
        <is>
          <t>Charge</t>
        </is>
      </c>
      <c r="I649" s="45" t="inlineStr">
        <is>
          <t>Dotations</t>
        </is>
      </c>
      <c r="J649" s="45" t="inlineStr">
        <is>
          <t>2025ACT_VDEF</t>
        </is>
      </c>
      <c r="K649" s="45" t="inlineStr">
        <is>
          <t>2025 (N-1)</t>
        </is>
      </c>
      <c r="L649" s="13" t="n">
        <v>126638</v>
      </c>
    </row>
    <row r="650">
      <c r="A650" s="45" t="inlineStr">
        <is>
          <t>MBWAY_NANTES</t>
        </is>
      </c>
      <c r="B650" s="17" t="inlineStr">
        <is>
          <t>MBway Nantes</t>
        </is>
      </c>
      <c r="C650" s="45" t="inlineStr">
        <is>
          <t>MBway</t>
        </is>
      </c>
      <c r="D650" s="45" t="inlineStr">
        <is>
          <t>Nantes</t>
        </is>
      </c>
      <c r="E650" s="45" t="inlineStr">
        <is>
          <t>6811</t>
        </is>
      </c>
      <c r="F650" s="17" t="inlineStr">
        <is>
          <t>Dotations aux amortissements (D&amp;A)</t>
        </is>
      </c>
      <c r="G650" s="45" t="inlineStr">
        <is>
          <t>68 — Dotations &amp; amort.</t>
        </is>
      </c>
      <c r="H650" s="45" t="inlineStr">
        <is>
          <t>Charge</t>
        </is>
      </c>
      <c r="I650" s="45" t="inlineStr">
        <is>
          <t>Dotations</t>
        </is>
      </c>
      <c r="J650" s="45" t="inlineStr">
        <is>
          <t>2025ACT_VDEF</t>
        </is>
      </c>
      <c r="K650" s="45" t="inlineStr">
        <is>
          <t>2025 (N-1)</t>
        </is>
      </c>
      <c r="L650" s="13" t="n">
        <v>116896</v>
      </c>
    </row>
    <row r="651">
      <c r="A651" s="45" t="inlineStr">
        <is>
          <t>MBWAY_BORDEAUX</t>
        </is>
      </c>
      <c r="B651" s="17" t="inlineStr">
        <is>
          <t>MBway Bordeaux</t>
        </is>
      </c>
      <c r="C651" s="45" t="inlineStr">
        <is>
          <t>MBway</t>
        </is>
      </c>
      <c r="D651" s="45" t="inlineStr">
        <is>
          <t>Bordeaux</t>
        </is>
      </c>
      <c r="E651" s="45" t="inlineStr">
        <is>
          <t>6811</t>
        </is>
      </c>
      <c r="F651" s="17" t="inlineStr">
        <is>
          <t>Dotations aux amortissements (D&amp;A)</t>
        </is>
      </c>
      <c r="G651" s="45" t="inlineStr">
        <is>
          <t>68 — Dotations &amp; amort.</t>
        </is>
      </c>
      <c r="H651" s="45" t="inlineStr">
        <is>
          <t>Charge</t>
        </is>
      </c>
      <c r="I651" s="45" t="inlineStr">
        <is>
          <t>Dotations</t>
        </is>
      </c>
      <c r="J651" s="45" t="inlineStr">
        <is>
          <t>2025ACT_VDEF</t>
        </is>
      </c>
      <c r="K651" s="45" t="inlineStr">
        <is>
          <t>2025 (N-1)</t>
        </is>
      </c>
      <c r="L651" s="13" t="n">
        <v>97413</v>
      </c>
    </row>
    <row r="652">
      <c r="A652" s="45" t="inlineStr">
        <is>
          <t>ISCOM_PARIS</t>
        </is>
      </c>
      <c r="B652" s="17" t="inlineStr">
        <is>
          <t>ISCOM Paris</t>
        </is>
      </c>
      <c r="C652" s="45" t="inlineStr">
        <is>
          <t>ISCOM</t>
        </is>
      </c>
      <c r="D652" s="45" t="inlineStr">
        <is>
          <t>Paris</t>
        </is>
      </c>
      <c r="E652" s="45" t="inlineStr">
        <is>
          <t>6811</t>
        </is>
      </c>
      <c r="F652" s="17" t="inlineStr">
        <is>
          <t>Dotations aux amortissements (D&amp;A)</t>
        </is>
      </c>
      <c r="G652" s="45" t="inlineStr">
        <is>
          <t>68 — Dotations &amp; amort.</t>
        </is>
      </c>
      <c r="H652" s="45" t="inlineStr">
        <is>
          <t>Charge</t>
        </is>
      </c>
      <c r="I652" s="45" t="inlineStr">
        <is>
          <t>Dotations</t>
        </is>
      </c>
      <c r="J652" s="45" t="inlineStr">
        <is>
          <t>2025ACT_VDEF</t>
        </is>
      </c>
      <c r="K652" s="45" t="inlineStr">
        <is>
          <t>2025 (N-1)</t>
        </is>
      </c>
      <c r="L652" s="13" t="n">
        <v>146120</v>
      </c>
    </row>
    <row r="653">
      <c r="A653" s="45" t="inlineStr">
        <is>
          <t>ISCOM_LILLE</t>
        </is>
      </c>
      <c r="B653" s="17" t="inlineStr">
        <is>
          <t>ISCOM Lille</t>
        </is>
      </c>
      <c r="C653" s="45" t="inlineStr">
        <is>
          <t>ISCOM</t>
        </is>
      </c>
      <c r="D653" s="45" t="inlineStr">
        <is>
          <t>Lille</t>
        </is>
      </c>
      <c r="E653" s="45" t="inlineStr">
        <is>
          <t>6811</t>
        </is>
      </c>
      <c r="F653" s="17" t="inlineStr">
        <is>
          <t>Dotations aux amortissements (D&amp;A)</t>
        </is>
      </c>
      <c r="G653" s="45" t="inlineStr">
        <is>
          <t>68 — Dotations &amp; amort.</t>
        </is>
      </c>
      <c r="H653" s="45" t="inlineStr">
        <is>
          <t>Charge</t>
        </is>
      </c>
      <c r="I653" s="45" t="inlineStr">
        <is>
          <t>Dotations</t>
        </is>
      </c>
      <c r="J653" s="45" t="inlineStr">
        <is>
          <t>2025ACT_VDEF</t>
        </is>
      </c>
      <c r="K653" s="45" t="inlineStr">
        <is>
          <t>2025 (N-1)</t>
        </is>
      </c>
      <c r="L653" s="13" t="n">
        <v>97413</v>
      </c>
    </row>
    <row r="654">
      <c r="A654" s="45" t="inlineStr">
        <is>
          <t>ISCOM_TOULOUSE</t>
        </is>
      </c>
      <c r="B654" s="17" t="inlineStr">
        <is>
          <t>ISCOM Toulouse</t>
        </is>
      </c>
      <c r="C654" s="45" t="inlineStr">
        <is>
          <t>ISCOM</t>
        </is>
      </c>
      <c r="D654" s="45" t="inlineStr">
        <is>
          <t>Toulouse</t>
        </is>
      </c>
      <c r="E654" s="45" t="inlineStr">
        <is>
          <t>6811</t>
        </is>
      </c>
      <c r="F654" s="17" t="inlineStr">
        <is>
          <t>Dotations aux amortissements (D&amp;A)</t>
        </is>
      </c>
      <c r="G654" s="45" t="inlineStr">
        <is>
          <t>68 — Dotations &amp; amort.</t>
        </is>
      </c>
      <c r="H654" s="45" t="inlineStr">
        <is>
          <t>Charge</t>
        </is>
      </c>
      <c r="I654" s="45" t="inlineStr">
        <is>
          <t>Dotations</t>
        </is>
      </c>
      <c r="J654" s="45" t="inlineStr">
        <is>
          <t>2025ACT_VDEF</t>
        </is>
      </c>
      <c r="K654" s="45" t="inlineStr">
        <is>
          <t>2025 (N-1)</t>
        </is>
      </c>
      <c r="L654" s="13" t="n">
        <v>97413</v>
      </c>
    </row>
    <row r="655">
      <c r="A655" s="45" t="inlineStr">
        <is>
          <t>IPAC_BACHELOR_FACTORY_NANTES</t>
        </is>
      </c>
      <c r="B655" s="17" t="inlineStr">
        <is>
          <t>Ipac Bachelor Factory Nantes</t>
        </is>
      </c>
      <c r="C655" s="45" t="inlineStr">
        <is>
          <t>Ipac Bachelor Factory</t>
        </is>
      </c>
      <c r="D655" s="45" t="inlineStr">
        <is>
          <t>Nantes</t>
        </is>
      </c>
      <c r="E655" s="45" t="inlineStr">
        <is>
          <t>6811</t>
        </is>
      </c>
      <c r="F655" s="17" t="inlineStr">
        <is>
          <t>Dotations aux amortissements (D&amp;A)</t>
        </is>
      </c>
      <c r="G655" s="45" t="inlineStr">
        <is>
          <t>68 — Dotations &amp; amort.</t>
        </is>
      </c>
      <c r="H655" s="45" t="inlineStr">
        <is>
          <t>Charge</t>
        </is>
      </c>
      <c r="I655" s="45" t="inlineStr">
        <is>
          <t>Dotations</t>
        </is>
      </c>
      <c r="J655" s="45" t="inlineStr">
        <is>
          <t>2025ACT_VDEF</t>
        </is>
      </c>
      <c r="K655" s="45" t="inlineStr">
        <is>
          <t>2025 (N-1)</t>
        </is>
      </c>
      <c r="L655" s="13" t="n">
        <v>58448</v>
      </c>
    </row>
    <row r="656">
      <c r="A656" s="45" t="inlineStr">
        <is>
          <t>IPAC_BACHELOR_FACTORY_RENNES</t>
        </is>
      </c>
      <c r="B656" s="17" t="inlineStr">
        <is>
          <t>Ipac Bachelor Factory Rennes</t>
        </is>
      </c>
      <c r="C656" s="45" t="inlineStr">
        <is>
          <t>Ipac Bachelor Factory</t>
        </is>
      </c>
      <c r="D656" s="45" t="inlineStr">
        <is>
          <t>Rennes</t>
        </is>
      </c>
      <c r="E656" s="45" t="inlineStr">
        <is>
          <t>6811</t>
        </is>
      </c>
      <c r="F656" s="17" t="inlineStr">
        <is>
          <t>Dotations aux amortissements (D&amp;A)</t>
        </is>
      </c>
      <c r="G656" s="45" t="inlineStr">
        <is>
          <t>68 — Dotations &amp; amort.</t>
        </is>
      </c>
      <c r="H656" s="45" t="inlineStr">
        <is>
          <t>Charge</t>
        </is>
      </c>
      <c r="I656" s="45" t="inlineStr">
        <is>
          <t>Dotations</t>
        </is>
      </c>
      <c r="J656" s="45" t="inlineStr">
        <is>
          <t>2025ACT_VDEF</t>
        </is>
      </c>
      <c r="K656" s="45" t="inlineStr">
        <is>
          <t>2025 (N-1)</t>
        </is>
      </c>
      <c r="L656" s="13" t="n">
        <v>58448</v>
      </c>
    </row>
    <row r="657">
      <c r="A657" s="45" t="inlineStr">
        <is>
          <t>IPAC_BACHELOR_FACTORY_MONTPELLIER</t>
        </is>
      </c>
      <c r="B657" s="17" t="inlineStr">
        <is>
          <t>Ipac Bachelor Factory Montpellier</t>
        </is>
      </c>
      <c r="C657" s="45" t="inlineStr">
        <is>
          <t>Ipac Bachelor Factory</t>
        </is>
      </c>
      <c r="D657" s="45" t="inlineStr">
        <is>
          <t>Montpellier</t>
        </is>
      </c>
      <c r="E657" s="45" t="inlineStr">
        <is>
          <t>6811</t>
        </is>
      </c>
      <c r="F657" s="17" t="inlineStr">
        <is>
          <t>Dotations aux amortissements (D&amp;A)</t>
        </is>
      </c>
      <c r="G657" s="45" t="inlineStr">
        <is>
          <t>68 — Dotations &amp; amort.</t>
        </is>
      </c>
      <c r="H657" s="45" t="inlineStr">
        <is>
          <t>Charge</t>
        </is>
      </c>
      <c r="I657" s="45" t="inlineStr">
        <is>
          <t>Dotations</t>
        </is>
      </c>
      <c r="J657" s="45" t="inlineStr">
        <is>
          <t>2025ACT_VDEF</t>
        </is>
      </c>
      <c r="K657" s="45" t="inlineStr">
        <is>
          <t>2025 (N-1)</t>
        </is>
      </c>
      <c r="L657" s="13" t="n">
        <v>58448</v>
      </c>
    </row>
    <row r="658">
      <c r="A658" s="45" t="inlineStr">
        <is>
          <t>PIGIER_LYON</t>
        </is>
      </c>
      <c r="B658" s="17" t="inlineStr">
        <is>
          <t>Pigier Lyon</t>
        </is>
      </c>
      <c r="C658" s="45" t="inlineStr">
        <is>
          <t>Pigier</t>
        </is>
      </c>
      <c r="D658" s="45" t="inlineStr">
        <is>
          <t>Lyon</t>
        </is>
      </c>
      <c r="E658" s="45" t="inlineStr">
        <is>
          <t>6811</t>
        </is>
      </c>
      <c r="F658" s="17" t="inlineStr">
        <is>
          <t>Dotations aux amortissements (D&amp;A)</t>
        </is>
      </c>
      <c r="G658" s="45" t="inlineStr">
        <is>
          <t>68 — Dotations &amp; amort.</t>
        </is>
      </c>
      <c r="H658" s="45" t="inlineStr">
        <is>
          <t>Charge</t>
        </is>
      </c>
      <c r="I658" s="45" t="inlineStr">
        <is>
          <t>Dotations</t>
        </is>
      </c>
      <c r="J658" s="45" t="inlineStr">
        <is>
          <t>2025ACT_VDEF</t>
        </is>
      </c>
      <c r="K658" s="45" t="inlineStr">
        <is>
          <t>2025 (N-1)</t>
        </is>
      </c>
      <c r="L658" s="13" t="n">
        <v>77931</v>
      </c>
    </row>
    <row r="659">
      <c r="A659" s="45" t="inlineStr">
        <is>
          <t>PIGIER_BORDEAUX</t>
        </is>
      </c>
      <c r="B659" s="17" t="inlineStr">
        <is>
          <t>Pigier Bordeaux</t>
        </is>
      </c>
      <c r="C659" s="45" t="inlineStr">
        <is>
          <t>Pigier</t>
        </is>
      </c>
      <c r="D659" s="45" t="inlineStr">
        <is>
          <t>Bordeaux</t>
        </is>
      </c>
      <c r="E659" s="45" t="inlineStr">
        <is>
          <t>6811</t>
        </is>
      </c>
      <c r="F659" s="17" t="inlineStr">
        <is>
          <t>Dotations aux amortissements (D&amp;A)</t>
        </is>
      </c>
      <c r="G659" s="45" t="inlineStr">
        <is>
          <t>68 — Dotations &amp; amort.</t>
        </is>
      </c>
      <c r="H659" s="45" t="inlineStr">
        <is>
          <t>Charge</t>
        </is>
      </c>
      <c r="I659" s="45" t="inlineStr">
        <is>
          <t>Dotations</t>
        </is>
      </c>
      <c r="J659" s="45" t="inlineStr">
        <is>
          <t>2025ACT_VDEF</t>
        </is>
      </c>
      <c r="K659" s="45" t="inlineStr">
        <is>
          <t>2025 (N-1)</t>
        </is>
      </c>
      <c r="L659" s="13" t="n">
        <v>77931</v>
      </c>
    </row>
    <row r="660">
      <c r="A660" s="45" t="inlineStr">
        <is>
          <t>TUNON_PARIS</t>
        </is>
      </c>
      <c r="B660" s="17" t="inlineStr">
        <is>
          <t>Tunon Paris</t>
        </is>
      </c>
      <c r="C660" s="45" t="inlineStr">
        <is>
          <t>Tunon</t>
        </is>
      </c>
      <c r="D660" s="45" t="inlineStr">
        <is>
          <t>Paris</t>
        </is>
      </c>
      <c r="E660" s="45" t="inlineStr">
        <is>
          <t>6811</t>
        </is>
      </c>
      <c r="F660" s="17" t="inlineStr">
        <is>
          <t>Dotations aux amortissements (D&amp;A)</t>
        </is>
      </c>
      <c r="G660" s="45" t="inlineStr">
        <is>
          <t>68 — Dotations &amp; amort.</t>
        </is>
      </c>
      <c r="H660" s="45" t="inlineStr">
        <is>
          <t>Charge</t>
        </is>
      </c>
      <c r="I660" s="45" t="inlineStr">
        <is>
          <t>Dotations</t>
        </is>
      </c>
      <c r="J660" s="45" t="inlineStr">
        <is>
          <t>2025ACT_VDEF</t>
        </is>
      </c>
      <c r="K660" s="45" t="inlineStr">
        <is>
          <t>2025 (N-1)</t>
        </is>
      </c>
      <c r="L660" s="13" t="n">
        <v>58448</v>
      </c>
    </row>
    <row r="661">
      <c r="A661" s="45" t="inlineStr">
        <is>
          <t>TUNON_LYON</t>
        </is>
      </c>
      <c r="B661" s="17" t="inlineStr">
        <is>
          <t>Tunon Lyon</t>
        </is>
      </c>
      <c r="C661" s="45" t="inlineStr">
        <is>
          <t>Tunon</t>
        </is>
      </c>
      <c r="D661" s="45" t="inlineStr">
        <is>
          <t>Lyon</t>
        </is>
      </c>
      <c r="E661" s="45" t="inlineStr">
        <is>
          <t>6811</t>
        </is>
      </c>
      <c r="F661" s="17" t="inlineStr">
        <is>
          <t>Dotations aux amortissements (D&amp;A)</t>
        </is>
      </c>
      <c r="G661" s="45" t="inlineStr">
        <is>
          <t>68 — Dotations &amp; amort.</t>
        </is>
      </c>
      <c r="H661" s="45" t="inlineStr">
        <is>
          <t>Charge</t>
        </is>
      </c>
      <c r="I661" s="45" t="inlineStr">
        <is>
          <t>Dotations</t>
        </is>
      </c>
      <c r="J661" s="45" t="inlineStr">
        <is>
          <t>2025ACT_VDEF</t>
        </is>
      </c>
      <c r="K661" s="45" t="inlineStr">
        <is>
          <t>2025 (N-1)</t>
        </is>
      </c>
      <c r="L661" s="13" t="n">
        <v>58448</v>
      </c>
    </row>
    <row r="662">
      <c r="A662" s="45" t="inlineStr">
        <is>
          <t>MBWAY_PARIS</t>
        </is>
      </c>
      <c r="B662" s="17" t="inlineStr">
        <is>
          <t>MBway Paris</t>
        </is>
      </c>
      <c r="C662" s="45" t="inlineStr">
        <is>
          <t>MBway</t>
        </is>
      </c>
      <c r="D662" s="45" t="inlineStr">
        <is>
          <t>Paris</t>
        </is>
      </c>
      <c r="E662" s="45" t="inlineStr">
        <is>
          <t>6811</t>
        </is>
      </c>
      <c r="F662" s="17" t="inlineStr">
        <is>
          <t>Dotations aux amortissements (D&amp;A)</t>
        </is>
      </c>
      <c r="G662" s="45" t="inlineStr">
        <is>
          <t>68 — Dotations &amp; amort.</t>
        </is>
      </c>
      <c r="H662" s="45" t="inlineStr">
        <is>
          <t>Charge</t>
        </is>
      </c>
      <c r="I662" s="45" t="inlineStr">
        <is>
          <t>Dotations</t>
        </is>
      </c>
      <c r="J662" s="45" t="inlineStr">
        <is>
          <t>2026ATT_VDEF</t>
        </is>
      </c>
      <c r="K662" s="45" t="inlineStr">
        <is>
          <t>2026 (Atterr.)</t>
        </is>
      </c>
      <c r="L662" s="13" t="n">
        <v>154887</v>
      </c>
    </row>
    <row r="663">
      <c r="A663" s="45" t="inlineStr">
        <is>
          <t>MBWAY_LYON</t>
        </is>
      </c>
      <c r="B663" s="17" t="inlineStr">
        <is>
          <t>MBway Lyon</t>
        </is>
      </c>
      <c r="C663" s="45" t="inlineStr">
        <is>
          <t>MBway</t>
        </is>
      </c>
      <c r="D663" s="45" t="inlineStr">
        <is>
          <t>Lyon</t>
        </is>
      </c>
      <c r="E663" s="45" t="inlineStr">
        <is>
          <t>6811</t>
        </is>
      </c>
      <c r="F663" s="17" t="inlineStr">
        <is>
          <t>Dotations aux amortissements (D&amp;A)</t>
        </is>
      </c>
      <c r="G663" s="45" t="inlineStr">
        <is>
          <t>68 — Dotations &amp; amort.</t>
        </is>
      </c>
      <c r="H663" s="45" t="inlineStr">
        <is>
          <t>Charge</t>
        </is>
      </c>
      <c r="I663" s="45" t="inlineStr">
        <is>
          <t>Dotations</t>
        </is>
      </c>
      <c r="J663" s="45" t="inlineStr">
        <is>
          <t>2026ATT_VDEF</t>
        </is>
      </c>
      <c r="K663" s="45" t="inlineStr">
        <is>
          <t>2026 (Atterr.)</t>
        </is>
      </c>
      <c r="L663" s="13" t="n">
        <v>134236</v>
      </c>
    </row>
    <row r="664">
      <c r="A664" s="45" t="inlineStr">
        <is>
          <t>MBWAY_NANTES</t>
        </is>
      </c>
      <c r="B664" s="17" t="inlineStr">
        <is>
          <t>MBway Nantes</t>
        </is>
      </c>
      <c r="C664" s="45" t="inlineStr">
        <is>
          <t>MBway</t>
        </is>
      </c>
      <c r="D664" s="45" t="inlineStr">
        <is>
          <t>Nantes</t>
        </is>
      </c>
      <c r="E664" s="45" t="inlineStr">
        <is>
          <t>6811</t>
        </is>
      </c>
      <c r="F664" s="17" t="inlineStr">
        <is>
          <t>Dotations aux amortissements (D&amp;A)</t>
        </is>
      </c>
      <c r="G664" s="45" t="inlineStr">
        <is>
          <t>68 — Dotations &amp; amort.</t>
        </is>
      </c>
      <c r="H664" s="45" t="inlineStr">
        <is>
          <t>Charge</t>
        </is>
      </c>
      <c r="I664" s="45" t="inlineStr">
        <is>
          <t>Dotations</t>
        </is>
      </c>
      <c r="J664" s="45" t="inlineStr">
        <is>
          <t>2026ATT_VDEF</t>
        </is>
      </c>
      <c r="K664" s="45" t="inlineStr">
        <is>
          <t>2026 (Atterr.)</t>
        </is>
      </c>
      <c r="L664" s="13" t="n">
        <v>123910</v>
      </c>
    </row>
    <row r="665">
      <c r="A665" s="45" t="inlineStr">
        <is>
          <t>MBWAY_BORDEAUX</t>
        </is>
      </c>
      <c r="B665" s="17" t="inlineStr">
        <is>
          <t>MBway Bordeaux</t>
        </is>
      </c>
      <c r="C665" s="45" t="inlineStr">
        <is>
          <t>MBway</t>
        </is>
      </c>
      <c r="D665" s="45" t="inlineStr">
        <is>
          <t>Bordeaux</t>
        </is>
      </c>
      <c r="E665" s="45" t="inlineStr">
        <is>
          <t>6811</t>
        </is>
      </c>
      <c r="F665" s="17" t="inlineStr">
        <is>
          <t>Dotations aux amortissements (D&amp;A)</t>
        </is>
      </c>
      <c r="G665" s="45" t="inlineStr">
        <is>
          <t>68 — Dotations &amp; amort.</t>
        </is>
      </c>
      <c r="H665" s="45" t="inlineStr">
        <is>
          <t>Charge</t>
        </is>
      </c>
      <c r="I665" s="45" t="inlineStr">
        <is>
          <t>Dotations</t>
        </is>
      </c>
      <c r="J665" s="45" t="inlineStr">
        <is>
          <t>2026ATT_VDEF</t>
        </is>
      </c>
      <c r="K665" s="45" t="inlineStr">
        <is>
          <t>2026 (Atterr.)</t>
        </is>
      </c>
      <c r="L665" s="13" t="n">
        <v>103258</v>
      </c>
    </row>
    <row r="666">
      <c r="A666" s="45" t="inlineStr">
        <is>
          <t>ISCOM_PARIS</t>
        </is>
      </c>
      <c r="B666" s="17" t="inlineStr">
        <is>
          <t>ISCOM Paris</t>
        </is>
      </c>
      <c r="C666" s="45" t="inlineStr">
        <is>
          <t>ISCOM</t>
        </is>
      </c>
      <c r="D666" s="45" t="inlineStr">
        <is>
          <t>Paris</t>
        </is>
      </c>
      <c r="E666" s="45" t="inlineStr">
        <is>
          <t>6811</t>
        </is>
      </c>
      <c r="F666" s="17" t="inlineStr">
        <is>
          <t>Dotations aux amortissements (D&amp;A)</t>
        </is>
      </c>
      <c r="G666" s="45" t="inlineStr">
        <is>
          <t>68 — Dotations &amp; amort.</t>
        </is>
      </c>
      <c r="H666" s="45" t="inlineStr">
        <is>
          <t>Charge</t>
        </is>
      </c>
      <c r="I666" s="45" t="inlineStr">
        <is>
          <t>Dotations</t>
        </is>
      </c>
      <c r="J666" s="45" t="inlineStr">
        <is>
          <t>2026ATT_VDEF</t>
        </is>
      </c>
      <c r="K666" s="45" t="inlineStr">
        <is>
          <t>2026 (Atterr.)</t>
        </is>
      </c>
      <c r="L666" s="13" t="n">
        <v>154887</v>
      </c>
    </row>
    <row r="667">
      <c r="A667" s="45" t="inlineStr">
        <is>
          <t>ISCOM_LILLE</t>
        </is>
      </c>
      <c r="B667" s="17" t="inlineStr">
        <is>
          <t>ISCOM Lille</t>
        </is>
      </c>
      <c r="C667" s="45" t="inlineStr">
        <is>
          <t>ISCOM</t>
        </is>
      </c>
      <c r="D667" s="45" t="inlineStr">
        <is>
          <t>Lille</t>
        </is>
      </c>
      <c r="E667" s="45" t="inlineStr">
        <is>
          <t>6811</t>
        </is>
      </c>
      <c r="F667" s="17" t="inlineStr">
        <is>
          <t>Dotations aux amortissements (D&amp;A)</t>
        </is>
      </c>
      <c r="G667" s="45" t="inlineStr">
        <is>
          <t>68 — Dotations &amp; amort.</t>
        </is>
      </c>
      <c r="H667" s="45" t="inlineStr">
        <is>
          <t>Charge</t>
        </is>
      </c>
      <c r="I667" s="45" t="inlineStr">
        <is>
          <t>Dotations</t>
        </is>
      </c>
      <c r="J667" s="45" t="inlineStr">
        <is>
          <t>2026ATT_VDEF</t>
        </is>
      </c>
      <c r="K667" s="45" t="inlineStr">
        <is>
          <t>2026 (Atterr.)</t>
        </is>
      </c>
      <c r="L667" s="13" t="n">
        <v>103258</v>
      </c>
    </row>
    <row r="668">
      <c r="A668" s="45" t="inlineStr">
        <is>
          <t>ISCOM_TOULOUSE</t>
        </is>
      </c>
      <c r="B668" s="17" t="inlineStr">
        <is>
          <t>ISCOM Toulouse</t>
        </is>
      </c>
      <c r="C668" s="45" t="inlineStr">
        <is>
          <t>ISCOM</t>
        </is>
      </c>
      <c r="D668" s="45" t="inlineStr">
        <is>
          <t>Toulouse</t>
        </is>
      </c>
      <c r="E668" s="45" t="inlineStr">
        <is>
          <t>6811</t>
        </is>
      </c>
      <c r="F668" s="17" t="inlineStr">
        <is>
          <t>Dotations aux amortissements (D&amp;A)</t>
        </is>
      </c>
      <c r="G668" s="45" t="inlineStr">
        <is>
          <t>68 — Dotations &amp; amort.</t>
        </is>
      </c>
      <c r="H668" s="45" t="inlineStr">
        <is>
          <t>Charge</t>
        </is>
      </c>
      <c r="I668" s="45" t="inlineStr">
        <is>
          <t>Dotations</t>
        </is>
      </c>
      <c r="J668" s="45" t="inlineStr">
        <is>
          <t>2026ATT_VDEF</t>
        </is>
      </c>
      <c r="K668" s="45" t="inlineStr">
        <is>
          <t>2026 (Atterr.)</t>
        </is>
      </c>
      <c r="L668" s="13" t="n">
        <v>103258</v>
      </c>
    </row>
    <row r="669">
      <c r="A669" s="45" t="inlineStr">
        <is>
          <t>IPAC_BACHELOR_FACTORY_NANTES</t>
        </is>
      </c>
      <c r="B669" s="17" t="inlineStr">
        <is>
          <t>Ipac Bachelor Factory Nantes</t>
        </is>
      </c>
      <c r="C669" s="45" t="inlineStr">
        <is>
          <t>Ipac Bachelor Factory</t>
        </is>
      </c>
      <c r="D669" s="45" t="inlineStr">
        <is>
          <t>Nantes</t>
        </is>
      </c>
      <c r="E669" s="45" t="inlineStr">
        <is>
          <t>6811</t>
        </is>
      </c>
      <c r="F669" s="17" t="inlineStr">
        <is>
          <t>Dotations aux amortissements (D&amp;A)</t>
        </is>
      </c>
      <c r="G669" s="45" t="inlineStr">
        <is>
          <t>68 — Dotations &amp; amort.</t>
        </is>
      </c>
      <c r="H669" s="45" t="inlineStr">
        <is>
          <t>Charge</t>
        </is>
      </c>
      <c r="I669" s="45" t="inlineStr">
        <is>
          <t>Dotations</t>
        </is>
      </c>
      <c r="J669" s="45" t="inlineStr">
        <is>
          <t>2026ATT_VDEF</t>
        </is>
      </c>
      <c r="K669" s="45" t="inlineStr">
        <is>
          <t>2026 (Atterr.)</t>
        </is>
      </c>
      <c r="L669" s="13" t="n">
        <v>61955</v>
      </c>
    </row>
    <row r="670">
      <c r="A670" s="45" t="inlineStr">
        <is>
          <t>IPAC_BACHELOR_FACTORY_RENNES</t>
        </is>
      </c>
      <c r="B670" s="17" t="inlineStr">
        <is>
          <t>Ipac Bachelor Factory Rennes</t>
        </is>
      </c>
      <c r="C670" s="45" t="inlineStr">
        <is>
          <t>Ipac Bachelor Factory</t>
        </is>
      </c>
      <c r="D670" s="45" t="inlineStr">
        <is>
          <t>Rennes</t>
        </is>
      </c>
      <c r="E670" s="45" t="inlineStr">
        <is>
          <t>6811</t>
        </is>
      </c>
      <c r="F670" s="17" t="inlineStr">
        <is>
          <t>Dotations aux amortissements (D&amp;A)</t>
        </is>
      </c>
      <c r="G670" s="45" t="inlineStr">
        <is>
          <t>68 — Dotations &amp; amort.</t>
        </is>
      </c>
      <c r="H670" s="45" t="inlineStr">
        <is>
          <t>Charge</t>
        </is>
      </c>
      <c r="I670" s="45" t="inlineStr">
        <is>
          <t>Dotations</t>
        </is>
      </c>
      <c r="J670" s="45" t="inlineStr">
        <is>
          <t>2026ATT_VDEF</t>
        </is>
      </c>
      <c r="K670" s="45" t="inlineStr">
        <is>
          <t>2026 (Atterr.)</t>
        </is>
      </c>
      <c r="L670" s="13" t="n">
        <v>61955</v>
      </c>
    </row>
    <row r="671">
      <c r="A671" s="45" t="inlineStr">
        <is>
          <t>IPAC_BACHELOR_FACTORY_MONTPELLIER</t>
        </is>
      </c>
      <c r="B671" s="17" t="inlineStr">
        <is>
          <t>Ipac Bachelor Factory Montpellier</t>
        </is>
      </c>
      <c r="C671" s="45" t="inlineStr">
        <is>
          <t>Ipac Bachelor Factory</t>
        </is>
      </c>
      <c r="D671" s="45" t="inlineStr">
        <is>
          <t>Montpellier</t>
        </is>
      </c>
      <c r="E671" s="45" t="inlineStr">
        <is>
          <t>6811</t>
        </is>
      </c>
      <c r="F671" s="17" t="inlineStr">
        <is>
          <t>Dotations aux amortissements (D&amp;A)</t>
        </is>
      </c>
      <c r="G671" s="45" t="inlineStr">
        <is>
          <t>68 — Dotations &amp; amort.</t>
        </is>
      </c>
      <c r="H671" s="45" t="inlineStr">
        <is>
          <t>Charge</t>
        </is>
      </c>
      <c r="I671" s="45" t="inlineStr">
        <is>
          <t>Dotations</t>
        </is>
      </c>
      <c r="J671" s="45" t="inlineStr">
        <is>
          <t>2026ATT_VDEF</t>
        </is>
      </c>
      <c r="K671" s="45" t="inlineStr">
        <is>
          <t>2026 (Atterr.)</t>
        </is>
      </c>
      <c r="L671" s="13" t="n">
        <v>61955</v>
      </c>
    </row>
    <row r="672">
      <c r="A672" s="45" t="inlineStr">
        <is>
          <t>PIGIER_LYON</t>
        </is>
      </c>
      <c r="B672" s="17" t="inlineStr">
        <is>
          <t>Pigier Lyon</t>
        </is>
      </c>
      <c r="C672" s="45" t="inlineStr">
        <is>
          <t>Pigier</t>
        </is>
      </c>
      <c r="D672" s="45" t="inlineStr">
        <is>
          <t>Lyon</t>
        </is>
      </c>
      <c r="E672" s="45" t="inlineStr">
        <is>
          <t>6811</t>
        </is>
      </c>
      <c r="F672" s="17" t="inlineStr">
        <is>
          <t>Dotations aux amortissements (D&amp;A)</t>
        </is>
      </c>
      <c r="G672" s="45" t="inlineStr">
        <is>
          <t>68 — Dotations &amp; amort.</t>
        </is>
      </c>
      <c r="H672" s="45" t="inlineStr">
        <is>
          <t>Charge</t>
        </is>
      </c>
      <c r="I672" s="45" t="inlineStr">
        <is>
          <t>Dotations</t>
        </is>
      </c>
      <c r="J672" s="45" t="inlineStr">
        <is>
          <t>2026ATT_VDEF</t>
        </is>
      </c>
      <c r="K672" s="45" t="inlineStr">
        <is>
          <t>2026 (Atterr.)</t>
        </is>
      </c>
      <c r="L672" s="13" t="n">
        <v>82607</v>
      </c>
    </row>
    <row r="673">
      <c r="A673" s="45" t="inlineStr">
        <is>
          <t>PIGIER_BORDEAUX</t>
        </is>
      </c>
      <c r="B673" s="17" t="inlineStr">
        <is>
          <t>Pigier Bordeaux</t>
        </is>
      </c>
      <c r="C673" s="45" t="inlineStr">
        <is>
          <t>Pigier</t>
        </is>
      </c>
      <c r="D673" s="45" t="inlineStr">
        <is>
          <t>Bordeaux</t>
        </is>
      </c>
      <c r="E673" s="45" t="inlineStr">
        <is>
          <t>6811</t>
        </is>
      </c>
      <c r="F673" s="17" t="inlineStr">
        <is>
          <t>Dotations aux amortissements (D&amp;A)</t>
        </is>
      </c>
      <c r="G673" s="45" t="inlineStr">
        <is>
          <t>68 — Dotations &amp; amort.</t>
        </is>
      </c>
      <c r="H673" s="45" t="inlineStr">
        <is>
          <t>Charge</t>
        </is>
      </c>
      <c r="I673" s="45" t="inlineStr">
        <is>
          <t>Dotations</t>
        </is>
      </c>
      <c r="J673" s="45" t="inlineStr">
        <is>
          <t>2026ATT_VDEF</t>
        </is>
      </c>
      <c r="K673" s="45" t="inlineStr">
        <is>
          <t>2026 (Atterr.)</t>
        </is>
      </c>
      <c r="L673" s="13" t="n">
        <v>82607</v>
      </c>
    </row>
    <row r="674">
      <c r="A674" s="45" t="inlineStr">
        <is>
          <t>TUNON_PARIS</t>
        </is>
      </c>
      <c r="B674" s="17" t="inlineStr">
        <is>
          <t>Tunon Paris</t>
        </is>
      </c>
      <c r="C674" s="45" t="inlineStr">
        <is>
          <t>Tunon</t>
        </is>
      </c>
      <c r="D674" s="45" t="inlineStr">
        <is>
          <t>Paris</t>
        </is>
      </c>
      <c r="E674" s="45" t="inlineStr">
        <is>
          <t>6811</t>
        </is>
      </c>
      <c r="F674" s="17" t="inlineStr">
        <is>
          <t>Dotations aux amortissements (D&amp;A)</t>
        </is>
      </c>
      <c r="G674" s="45" t="inlineStr">
        <is>
          <t>68 — Dotations &amp; amort.</t>
        </is>
      </c>
      <c r="H674" s="45" t="inlineStr">
        <is>
          <t>Charge</t>
        </is>
      </c>
      <c r="I674" s="45" t="inlineStr">
        <is>
          <t>Dotations</t>
        </is>
      </c>
      <c r="J674" s="45" t="inlineStr">
        <is>
          <t>2026ATT_VDEF</t>
        </is>
      </c>
      <c r="K674" s="45" t="inlineStr">
        <is>
          <t>2026 (Atterr.)</t>
        </is>
      </c>
      <c r="L674" s="13" t="n">
        <v>61955</v>
      </c>
    </row>
    <row r="675">
      <c r="A675" s="45" t="inlineStr">
        <is>
          <t>TUNON_LYON</t>
        </is>
      </c>
      <c r="B675" s="17" t="inlineStr">
        <is>
          <t>Tunon Lyon</t>
        </is>
      </c>
      <c r="C675" s="45" t="inlineStr">
        <is>
          <t>Tunon</t>
        </is>
      </c>
      <c r="D675" s="45" t="inlineStr">
        <is>
          <t>Lyon</t>
        </is>
      </c>
      <c r="E675" s="45" t="inlineStr">
        <is>
          <t>6811</t>
        </is>
      </c>
      <c r="F675" s="17" t="inlineStr">
        <is>
          <t>Dotations aux amortissements (D&amp;A)</t>
        </is>
      </c>
      <c r="G675" s="45" t="inlineStr">
        <is>
          <t>68 — Dotations &amp; amort.</t>
        </is>
      </c>
      <c r="H675" s="45" t="inlineStr">
        <is>
          <t>Charge</t>
        </is>
      </c>
      <c r="I675" s="45" t="inlineStr">
        <is>
          <t>Dotations</t>
        </is>
      </c>
      <c r="J675" s="45" t="inlineStr">
        <is>
          <t>2026ATT_VDEF</t>
        </is>
      </c>
      <c r="K675" s="45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64" t="inlineStr">
        <is>
          <t>PRODUITS</t>
        </is>
      </c>
      <c r="C4" s="65" t="n"/>
      <c r="D4" s="65" t="n"/>
      <c r="E4" s="65" t="n"/>
      <c r="F4" s="65" t="n"/>
      <c r="G4" s="65" t="n"/>
      <c r="H4" s="65" t="n"/>
    </row>
    <row r="5">
      <c r="B5" s="46" t="inlineStr">
        <is>
          <t>7062</t>
        </is>
      </c>
      <c r="C5" s="61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66">
        <f>F5*('04_Moteur'!$AA$62/22544725)</f>
        <v/>
      </c>
      <c r="H5" s="16">
        <f>IFERROR(G5/F5-1,0)</f>
        <v/>
      </c>
    </row>
    <row r="6">
      <c r="B6" s="46" t="inlineStr">
        <is>
          <t>706</t>
        </is>
      </c>
      <c r="C6" s="61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66">
        <f>F6*('04_Moteur'!$AA$62/22544725)</f>
        <v/>
      </c>
      <c r="H6" s="16">
        <f>IFERROR(G6/F6-1,0)</f>
        <v/>
      </c>
    </row>
    <row r="7">
      <c r="B7" s="46" t="inlineStr">
        <is>
          <t>708</t>
        </is>
      </c>
      <c r="C7" s="61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66">
        <f>F7*('04_Moteur'!$AA$62/22544725)</f>
        <v/>
      </c>
      <c r="H7" s="16">
        <f>IFERROR(G7/F7-1,0)</f>
        <v/>
      </c>
    </row>
    <row r="8">
      <c r="B8" s="67" t="inlineStr">
        <is>
          <t> </t>
        </is>
      </c>
      <c r="C8" s="49" t="inlineStr">
        <is>
          <t>CHIFFRE D'AFFAIRES</t>
        </is>
      </c>
      <c r="D8" s="51">
        <f>SUMIFS('06_Compta'!$L$4:$L$675,'06_Compta'!$H$4:$H$675,"Produit",'06_Compta'!$J$4:$J$675,"2024ACT_VDEF")</f>
        <v/>
      </c>
      <c r="E8" s="51">
        <f>SUMIFS('06_Compta'!$L$4:$L$675,'06_Compta'!$H$4:$H$675,"Produit",'06_Compta'!$J$4:$J$675,"2025ACT_VDEF")</f>
        <v/>
      </c>
      <c r="F8" s="51">
        <f>SUMIFS('06_Compta'!$L$4:$L$675,'06_Compta'!$H$4:$H$675,"Produit",'06_Compta'!$J$4:$J$675,"2026ATT_VDEF")</f>
        <v/>
      </c>
      <c r="G8" s="68">
        <f>G5+G6+G7</f>
        <v/>
      </c>
      <c r="H8" s="69">
        <f>IFERROR(G8/F8-1,0)</f>
        <v/>
      </c>
    </row>
    <row r="9" ht="20" customHeight="1">
      <c r="B9" s="64" t="inlineStr">
        <is>
          <t>COÛTS DIRECTS</t>
        </is>
      </c>
      <c r="C9" s="65" t="n"/>
      <c r="D9" s="65" t="n"/>
      <c r="E9" s="65" t="n"/>
      <c r="F9" s="65" t="n"/>
      <c r="G9" s="65" t="n"/>
      <c r="H9" s="65" t="n"/>
    </row>
    <row r="10">
      <c r="B10" s="46" t="inlineStr">
        <is>
          <t>621</t>
        </is>
      </c>
      <c r="C10" s="61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66">
        <f>F10*(('04_Moteur'!$AA$62/22544725)*(1-'01_Cadrage'!$H$25))</f>
        <v/>
      </c>
      <c r="H10" s="16">
        <f>IFERROR(G10/F10-1,0)</f>
        <v/>
      </c>
    </row>
    <row r="11">
      <c r="B11" s="46" t="inlineStr">
        <is>
          <t>604</t>
        </is>
      </c>
      <c r="C11" s="61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66">
        <f>F11*(('04_Moteur'!$AA$62/22544725)*(1-'01_Cadrage'!$H$25))</f>
        <v/>
      </c>
      <c r="H11" s="16">
        <f>IFERROR(G11/F11-1,0)</f>
        <v/>
      </c>
    </row>
    <row r="12">
      <c r="B12" s="46" t="inlineStr">
        <is>
          <t>6063</t>
        </is>
      </c>
      <c r="C12" s="61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66">
        <f>F12*(('04_Moteur'!$AA$62/22544725)*(1-'01_Cadrage'!$H$25))</f>
        <v/>
      </c>
      <c r="H12" s="16">
        <f>IFERROR(G12/F12-1,0)</f>
        <v/>
      </c>
    </row>
    <row r="13">
      <c r="B13" s="46" t="inlineStr">
        <is>
          <t>6231</t>
        </is>
      </c>
      <c r="C13" s="61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66">
        <f>F13*(1+'01_Cadrage'!$H$16)</f>
        <v/>
      </c>
      <c r="H13" s="16">
        <f>IFERROR(G13/F13-1,0)</f>
        <v/>
      </c>
    </row>
    <row r="14">
      <c r="B14" s="67" t="inlineStr">
        <is>
          <t> </t>
        </is>
      </c>
      <c r="C14" s="49" t="inlineStr">
        <is>
          <t>MARGE DE CONTRIBUTION</t>
        </is>
      </c>
      <c r="D14" s="51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1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1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8">
        <f>G5+G6+G7+G10+G11+G12+G13</f>
        <v/>
      </c>
      <c r="H14" s="69">
        <f>IFERROR(G14/F14-1,0)</f>
        <v/>
      </c>
    </row>
    <row r="15" ht="20" customHeight="1">
      <c r="B15" s="64" t="inlineStr">
        <is>
          <t>PERSONNEL</t>
        </is>
      </c>
      <c r="C15" s="65" t="n"/>
      <c r="D15" s="65" t="n"/>
      <c r="E15" s="65" t="n"/>
      <c r="F15" s="65" t="n"/>
      <c r="G15" s="65" t="n"/>
      <c r="H15" s="65" t="n"/>
    </row>
    <row r="16">
      <c r="B16" s="46" t="inlineStr">
        <is>
          <t>6411</t>
        </is>
      </c>
      <c r="C16" s="61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66">
        <f>F16*((1+'01_Cadrage'!$H$23)*(1+'01_Cadrage'!$H$24))</f>
        <v/>
      </c>
      <c r="H16" s="16">
        <f>IFERROR(G16/F16-1,0)</f>
        <v/>
      </c>
    </row>
    <row r="17">
      <c r="B17" s="46" t="inlineStr">
        <is>
          <t>6413</t>
        </is>
      </c>
      <c r="C17" s="61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66">
        <f>F17*((1+'01_Cadrage'!$H$23)*(1+'01_Cadrage'!$H$24))</f>
        <v/>
      </c>
      <c r="H17" s="16">
        <f>IFERROR(G17/F17-1,0)</f>
        <v/>
      </c>
    </row>
    <row r="18">
      <c r="B18" s="46" t="inlineStr">
        <is>
          <t>6414</t>
        </is>
      </c>
      <c r="C18" s="61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66">
        <f>F18*((1+'01_Cadrage'!$H$23)*(1+'01_Cadrage'!$H$24))</f>
        <v/>
      </c>
      <c r="H18" s="16">
        <f>IFERROR(G18/F18-1,0)</f>
        <v/>
      </c>
    </row>
    <row r="19">
      <c r="B19" s="46" t="inlineStr">
        <is>
          <t>645</t>
        </is>
      </c>
      <c r="C19" s="61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66">
        <f>F19*((1+'01_Cadrage'!$H$23)*(1+'01_Cadrage'!$H$24))</f>
        <v/>
      </c>
      <c r="H19" s="16">
        <f>IFERROR(G19/F19-1,0)</f>
        <v/>
      </c>
    </row>
    <row r="20" ht="20" customHeight="1">
      <c r="B20" s="64" t="inlineStr">
        <is>
          <t>STRUCTURE</t>
        </is>
      </c>
      <c r="C20" s="65" t="n"/>
      <c r="D20" s="65" t="n"/>
      <c r="E20" s="65" t="n"/>
      <c r="F20" s="65" t="n"/>
      <c r="G20" s="65" t="n"/>
      <c r="H20" s="65" t="n"/>
    </row>
    <row r="21">
      <c r="B21" s="46" t="inlineStr">
        <is>
          <t>613</t>
        </is>
      </c>
      <c r="C21" s="61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66">
        <f>F21*((1+'01_Cadrage'!$H$22)*(1-'01_Cadrage'!$H$25)*(1+'01_Cadrage'!$H$26))</f>
        <v/>
      </c>
      <c r="H21" s="16">
        <f>IFERROR(G21/F21-1,0)</f>
        <v/>
      </c>
    </row>
    <row r="22">
      <c r="B22" s="46" t="inlineStr">
        <is>
          <t>615</t>
        </is>
      </c>
      <c r="C22" s="61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66">
        <f>F22*((1+'01_Cadrage'!$H$22)*(1-'01_Cadrage'!$H$25)*(1+'01_Cadrage'!$H$26))</f>
        <v/>
      </c>
      <c r="H22" s="16">
        <f>IFERROR(G22/F22-1,0)</f>
        <v/>
      </c>
    </row>
    <row r="23">
      <c r="B23" s="46" t="inlineStr">
        <is>
          <t>616</t>
        </is>
      </c>
      <c r="C23" s="61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66">
        <f>F23*((1+'01_Cadrage'!$H$22)*(1-'01_Cadrage'!$H$25)*(1+'01_Cadrage'!$H$26))</f>
        <v/>
      </c>
      <c r="H23" s="16">
        <f>IFERROR(G23/F23-1,0)</f>
        <v/>
      </c>
    </row>
    <row r="24">
      <c r="B24" s="46" t="inlineStr">
        <is>
          <t>6226</t>
        </is>
      </c>
      <c r="C24" s="61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66">
        <f>F24*((1+'01_Cadrage'!$H$22)*(1-'01_Cadrage'!$H$25)*(1+'01_Cadrage'!$H$26))</f>
        <v/>
      </c>
      <c r="H24" s="16">
        <f>IFERROR(G24/F24-1,0)</f>
        <v/>
      </c>
    </row>
    <row r="25">
      <c r="B25" s="46" t="inlineStr">
        <is>
          <t>6236</t>
        </is>
      </c>
      <c r="C25" s="61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66">
        <f>F25*(1+'01_Cadrage'!$H$17)</f>
        <v/>
      </c>
      <c r="H25" s="16">
        <f>IFERROR(G25/F25-1,0)</f>
        <v/>
      </c>
    </row>
    <row r="26">
      <c r="B26" s="46" t="inlineStr">
        <is>
          <t>625</t>
        </is>
      </c>
      <c r="C26" s="61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66">
        <f>F26*((1+'01_Cadrage'!$H$22)*(1-'01_Cadrage'!$H$25)*(1+'01_Cadrage'!$H$26))</f>
        <v/>
      </c>
      <c r="H26" s="16">
        <f>IFERROR(G26/F26-1,0)</f>
        <v/>
      </c>
    </row>
    <row r="27">
      <c r="B27" s="46" t="inlineStr">
        <is>
          <t>626</t>
        </is>
      </c>
      <c r="C27" s="61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66">
        <f>F27*((1+'01_Cadrage'!$H$22)*(1-'01_Cadrage'!$H$25)*(1+'01_Cadrage'!$H$26))</f>
        <v/>
      </c>
      <c r="H27" s="16">
        <f>IFERROR(G27/F27-1,0)</f>
        <v/>
      </c>
    </row>
    <row r="28">
      <c r="B28" s="46" t="inlineStr">
        <is>
          <t>6281</t>
        </is>
      </c>
      <c r="C28" s="61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66">
        <f>F28*((1+'01_Cadrage'!$H$22)*(1-'01_Cadrage'!$H$25)*(1+'01_Cadrage'!$H$26))</f>
        <v/>
      </c>
      <c r="H28" s="16">
        <f>IFERROR(G28/F28-1,0)</f>
        <v/>
      </c>
    </row>
    <row r="29" ht="20" customHeight="1">
      <c r="B29" s="64" t="inlineStr">
        <is>
          <t>IMPÔTS &amp; TAXES</t>
        </is>
      </c>
      <c r="C29" s="65" t="n"/>
      <c r="D29" s="65" t="n"/>
      <c r="E29" s="65" t="n"/>
      <c r="F29" s="65" t="n"/>
      <c r="G29" s="65" t="n"/>
      <c r="H29" s="65" t="n"/>
    </row>
    <row r="30">
      <c r="B30" s="46" t="inlineStr">
        <is>
          <t>6331</t>
        </is>
      </c>
      <c r="C30" s="61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66">
        <f>F30*((1+'01_Cadrage'!$H$22)*(1-'01_Cadrage'!$H$25))</f>
        <v/>
      </c>
      <c r="H30" s="16">
        <f>IFERROR(G30/F30-1,0)</f>
        <v/>
      </c>
    </row>
    <row r="31">
      <c r="B31" s="46" t="inlineStr">
        <is>
          <t>63511</t>
        </is>
      </c>
      <c r="C31" s="61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66">
        <f>F31*((1+'01_Cadrage'!$H$22)*(1-'01_Cadrage'!$H$25))</f>
        <v/>
      </c>
      <c r="H31" s="16">
        <f>IFERROR(G31/F31-1,0)</f>
        <v/>
      </c>
    </row>
    <row r="32">
      <c r="B32" s="46" t="inlineStr">
        <is>
          <t>6333</t>
        </is>
      </c>
      <c r="C32" s="61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66">
        <f>F32*((1+'01_Cadrage'!$H$22)*(1-'01_Cadrage'!$H$25))</f>
        <v/>
      </c>
      <c r="H32" s="16">
        <f>IFERROR(G32/F32-1,0)</f>
        <v/>
      </c>
    </row>
    <row r="33">
      <c r="B33" s="67" t="inlineStr">
        <is>
          <t> </t>
        </is>
      </c>
      <c r="C33" s="49" t="inlineStr">
        <is>
          <t>EBITDA</t>
        </is>
      </c>
      <c r="D33" s="51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1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1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8">
        <f>G5+G6+G7+G10+G11+G12+G13+G16+G17+G18+G19+G21+G22+G23+G24+G25+G26+G27+G28+G30+G31+G32</f>
        <v/>
      </c>
      <c r="H33" s="69">
        <f>IFERROR(G33/F33-1,0)</f>
        <v/>
      </c>
    </row>
    <row r="34" ht="20" customHeight="1">
      <c r="B34" s="64" t="inlineStr">
        <is>
          <t>DOTATIONS</t>
        </is>
      </c>
      <c r="C34" s="65" t="n"/>
      <c r="D34" s="65" t="n"/>
      <c r="E34" s="65" t="n"/>
      <c r="F34" s="65" t="n"/>
      <c r="G34" s="65" t="n"/>
      <c r="H34" s="65" t="n"/>
    </row>
    <row r="35">
      <c r="B35" s="46" t="inlineStr">
        <is>
          <t>6811</t>
        </is>
      </c>
      <c r="C35" s="61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66">
        <f>F35*(1+'01_Cadrage'!$H$22)</f>
        <v/>
      </c>
      <c r="H35" s="16">
        <f>IFERROR(G35/F35-1,0)</f>
        <v/>
      </c>
    </row>
    <row r="36">
      <c r="B36" s="67" t="inlineStr">
        <is>
          <t> </t>
        </is>
      </c>
      <c r="C36" s="49" t="inlineStr">
        <is>
          <t>EBIT / RÉSULTAT D'EXPLOITATION</t>
        </is>
      </c>
      <c r="D36" s="51">
        <f>SUMIFS('06_Compta'!$L$4:$L$675,'06_Compta'!$H$4:$H$675,"Produit",'06_Compta'!$J$4:$J$675,"2024ACT_VDEF")-SUMIFS('06_Compta'!$L$4:$L$675,'06_Compta'!$H$4:$H$675,"Charge",'06_Compta'!$J$4:$J$675,"2024ACT_VDEF")</f>
        <v/>
      </c>
      <c r="E36" s="51">
        <f>SUMIFS('06_Compta'!$L$4:$L$675,'06_Compta'!$H$4:$H$675,"Produit",'06_Compta'!$J$4:$J$675,"2025ACT_VDEF")-SUMIFS('06_Compta'!$L$4:$L$675,'06_Compta'!$H$4:$H$675,"Charge",'06_Compta'!$J$4:$J$675,"2025ACT_VDEF")</f>
        <v/>
      </c>
      <c r="F36" s="51">
        <f>SUMIFS('06_Compta'!$L$4:$L$675,'06_Compta'!$H$4:$H$675,"Produit",'06_Compta'!$J$4:$J$675,"2026ATT_VDEF")-SUMIFS('06_Compta'!$L$4:$L$675,'06_Compta'!$H$4:$H$675,"Charge",'06_Compta'!$J$4:$J$675,"2026ATT_VDEF")</f>
        <v/>
      </c>
      <c r="G36" s="68">
        <f>G5+G6+G7+G10+G11+G12+G13+G16+G17+G18+G19+G21+G22+G23+G24+G25+G26+G27+G28+G30+G31+G32+G35</f>
        <v/>
      </c>
      <c r="H36" s="69">
        <f>IFERROR(G36/F36-1,0)</f>
        <v/>
      </c>
    </row>
    <row r="37">
      <c r="C37" s="31" t="inlineStr">
        <is>
          <t>Marge EBITDA %</t>
        </is>
      </c>
      <c r="D37" s="70">
        <f>IFERROR(D33/D8,0)</f>
        <v/>
      </c>
      <c r="E37" s="70">
        <f>IFERROR(E33/E8,0)</f>
        <v/>
      </c>
      <c r="F37" s="70">
        <f>IFERROR(F33/F8,0)</f>
        <v/>
      </c>
      <c r="G37" s="70">
        <f>IFERROR(G33/G8,0)</f>
        <v/>
      </c>
    </row>
    <row r="38">
      <c r="C38" s="31" t="inlineStr">
        <is>
          <t>Marge EBIT %</t>
        </is>
      </c>
      <c r="D38" s="70">
        <f>IFERROR(D36/D8,0)</f>
        <v/>
      </c>
      <c r="E38" s="70">
        <f>IFERROR(E36/E8,0)</f>
        <v/>
      </c>
      <c r="F38" s="70">
        <f>IFERROR(F36/F8,0)</f>
        <v/>
      </c>
      <c r="G38" s="70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71">
        <f>N12</f>
        <v/>
      </c>
      <c r="E4" s="8" t="inlineStr">
        <is>
          <t>Construit (ajusté) :</t>
        </is>
      </c>
      <c r="G4" s="71">
        <f>M12</f>
        <v/>
      </c>
      <c r="I4" s="8" t="inlineStr">
        <is>
          <t>Reste à trouver :</t>
        </is>
      </c>
      <c r="K4" s="72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5">
        <f>'04_Moteur'!D9</f>
        <v/>
      </c>
      <c r="C7" s="45">
        <f>'04_Moteur'!E9</f>
        <v/>
      </c>
      <c r="D7" s="23">
        <f>'04_Moteur'!T9</f>
        <v/>
      </c>
      <c r="E7" s="47">
        <f>'04_Moteur'!O9</f>
        <v/>
      </c>
      <c r="F7" s="47">
        <f>'04_Moteur'!Q9</f>
        <v/>
      </c>
      <c r="G7" s="47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5">
        <f>'04_Moteur'!D10</f>
        <v/>
      </c>
      <c r="C8" s="45">
        <f>'04_Moteur'!E10</f>
        <v/>
      </c>
      <c r="D8" s="23">
        <f>'04_Moteur'!T10</f>
        <v/>
      </c>
      <c r="E8" s="47">
        <f>'04_Moteur'!O10</f>
        <v/>
      </c>
      <c r="F8" s="47">
        <f>'04_Moteur'!Q10</f>
        <v/>
      </c>
      <c r="G8" s="47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5">
        <f>'04_Moteur'!D11</f>
        <v/>
      </c>
      <c r="C9" s="45">
        <f>'04_Moteur'!E11</f>
        <v/>
      </c>
      <c r="D9" s="23">
        <f>'04_Moteur'!T11</f>
        <v/>
      </c>
      <c r="E9" s="47">
        <f>'04_Moteur'!O11</f>
        <v/>
      </c>
      <c r="F9" s="47">
        <f>'04_Moteur'!Q11</f>
        <v/>
      </c>
      <c r="G9" s="47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5">
        <f>'04_Moteur'!D12</f>
        <v/>
      </c>
      <c r="C10" s="45">
        <f>'04_Moteur'!E12</f>
        <v/>
      </c>
      <c r="D10" s="23">
        <f>'04_Moteur'!T12</f>
        <v/>
      </c>
      <c r="E10" s="47">
        <f>'04_Moteur'!O12</f>
        <v/>
      </c>
      <c r="F10" s="47">
        <f>'04_Moteur'!Q12</f>
        <v/>
      </c>
      <c r="G10" s="47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5">
        <f>'04_Moteur'!D13</f>
        <v/>
      </c>
      <c r="C11" s="45">
        <f>'04_Moteur'!E13</f>
        <v/>
      </c>
      <c r="D11" s="23">
        <f>'04_Moteur'!T13</f>
        <v/>
      </c>
      <c r="E11" s="47">
        <f>'04_Moteur'!O13</f>
        <v/>
      </c>
      <c r="F11" s="47">
        <f>'04_Moteur'!Q13</f>
        <v/>
      </c>
      <c r="G11" s="47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9" t="inlineStr">
        <is>
          <t>TOTAL CAMPUS</t>
        </is>
      </c>
      <c r="B12" s="50" t="inlineStr">
        <is>
          <t> </t>
        </is>
      </c>
      <c r="C12" s="50" t="inlineStr">
        <is>
          <t> </t>
        </is>
      </c>
      <c r="D12" s="52">
        <f>SUM(D7:D11)</f>
        <v/>
      </c>
      <c r="E12" s="50" t="inlineStr">
        <is>
          <t> </t>
        </is>
      </c>
      <c r="F12" s="50" t="inlineStr">
        <is>
          <t> </t>
        </is>
      </c>
      <c r="G12" s="50" t="inlineStr">
        <is>
          <t> </t>
        </is>
      </c>
      <c r="H12" s="52">
        <f>SUM(H7:H11)</f>
        <v/>
      </c>
      <c r="I12" s="50" t="inlineStr">
        <is>
          <t> </t>
        </is>
      </c>
      <c r="J12" s="50" t="inlineStr">
        <is>
          <t> </t>
        </is>
      </c>
      <c r="K12" s="50" t="inlineStr">
        <is>
          <t> </t>
        </is>
      </c>
      <c r="L12" s="52">
        <f>SUM(L7:L11)</f>
        <v/>
      </c>
      <c r="M12" s="51">
        <f>SUM(M7:M11)</f>
        <v/>
      </c>
      <c r="N12" s="51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3">
        <f>'04_Moteur'!$AA$62</f>
        <v/>
      </c>
      <c r="C3" s="36" t="n"/>
      <c r="D3" s="37" t="n"/>
      <c r="E3" s="73">
        <f>'07_PnL'!$G$33</f>
        <v/>
      </c>
      <c r="F3" s="36" t="n"/>
      <c r="G3" s="37" t="n"/>
      <c r="H3" s="74">
        <f>IFERROR('07_PnL'!$G$33/'04_Moteur'!$AA$62,0)</f>
        <v/>
      </c>
      <c r="I3" s="36" t="n"/>
      <c r="J3" s="37" t="n"/>
      <c r="K3" s="75">
        <f>'04_Moteur'!$Y$62</f>
        <v/>
      </c>
      <c r="L3" s="36" t="n"/>
      <c r="M3" s="37" t="n"/>
    </row>
    <row r="4">
      <c r="B4" s="44" t="inlineStr">
        <is>
          <t>CA construit (budget)</t>
        </is>
      </c>
      <c r="C4" s="36" t="n"/>
      <c r="D4" s="37" t="n"/>
      <c r="E4" s="44" t="inlineStr">
        <is>
          <t>EBITDA construit</t>
        </is>
      </c>
      <c r="F4" s="36" t="n"/>
      <c r="G4" s="37" t="n"/>
      <c r="H4" s="43" t="inlineStr">
        <is>
          <t>Marge EBITDA</t>
        </is>
      </c>
      <c r="I4" s="36" t="n"/>
      <c r="J4" s="37" t="n"/>
      <c r="K4" s="44" t="inlineStr">
        <is>
          <t>Effectif construit</t>
        </is>
      </c>
      <c r="L4" s="36" t="n"/>
      <c r="M4" s="37" t="n"/>
    </row>
    <row r="6">
      <c r="B6" s="73">
        <f>'01_Cadrage'!F7</f>
        <v/>
      </c>
      <c r="C6" s="36" t="n"/>
      <c r="D6" s="37" t="n"/>
      <c r="E6" s="76">
        <f>'01_Cadrage'!D12</f>
        <v/>
      </c>
      <c r="F6" s="36" t="n"/>
      <c r="G6" s="37" t="n"/>
      <c r="H6" s="73">
        <f>IFERROR(SUM('03_Campagnes'!$K$4:$K$17)/SUM('03_Campagnes'!$L$4:$L$17),0)</f>
        <v/>
      </c>
      <c r="I6" s="36" t="n"/>
      <c r="J6" s="37" t="n"/>
      <c r="K6" s="73">
        <f>IFERROR(SUM('03_Campagnes'!$K$4:$K$17)/'04_Moteur'!$W$62,0)</f>
        <v/>
      </c>
      <c r="L6" s="36" t="n"/>
      <c r="M6" s="37" t="n"/>
    </row>
    <row r="7">
      <c r="B7" s="44" t="inlineStr">
        <is>
          <t>Écart à la cible CA</t>
        </is>
      </c>
      <c r="C7" s="36" t="n"/>
      <c r="D7" s="37" t="n"/>
      <c r="E7" s="77" t="inlineStr">
        <is>
          <t>Reste à trouver CA</t>
        </is>
      </c>
      <c r="F7" s="36" t="n"/>
      <c r="G7" s="37" t="n"/>
      <c r="H7" s="44" t="inlineStr">
        <is>
          <t>CPL effectif moyen</t>
        </is>
      </c>
      <c r="I7" s="36" t="n"/>
      <c r="J7" s="37" t="n"/>
      <c r="K7" s="44" t="inlineStr">
        <is>
          <t>Coût d'acquisition / inscrit</t>
        </is>
      </c>
      <c r="L7" s="36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61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61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9" t="inlineStr">
        <is>
          <t>→ CA Budget construit</t>
        </is>
      </c>
      <c r="D14" s="51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61" t="inlineStr">
        <is>
          <t>+ Effet CA (à marge réf.)</t>
        </is>
      </c>
      <c r="D18" s="15">
        <f>('04_Moteur'!$AA$62-22544725)*IFERROR('07_PnL'!$F$33/22544725,0)</f>
        <v/>
      </c>
    </row>
    <row r="19">
      <c r="B19" s="61" t="inlineStr">
        <is>
          <t>+ Effet coûts &amp; levier op.</t>
        </is>
      </c>
      <c r="D19" s="15">
        <f>'07_PnL'!$G$33-'07_PnL'!$F$33-D18</f>
        <v/>
      </c>
    </row>
    <row r="20">
      <c r="B20" s="49" t="inlineStr">
        <is>
          <t>→ EBITDA Budget construit</t>
        </is>
      </c>
      <c r="D20" s="51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8">
        <f>'01b_Pilotage'!$D$7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8">
        <f>'01b_Pilotage'!$D$8</f>
        <v/>
      </c>
    </row>
    <row r="5">
      <c r="B5" s="8" t="inlineStr">
        <is>
          <t>Niveau 3 — Campus → Classe, clé (CFO) :</t>
        </is>
      </c>
      <c r="E5" s="78">
        <f>'01b_Pilotage'!$D$9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'02_Socle'!A4</f>
        <v/>
      </c>
      <c r="B8" s="45">
        <f>'02_Socle'!B4</f>
        <v/>
      </c>
      <c r="C8" s="17">
        <f>'02_Socle'!C4</f>
        <v/>
      </c>
      <c r="D8" s="45">
        <f>'02_Socle'!E4</f>
        <v/>
      </c>
      <c r="E8" s="45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F8*0.12+0.021*SUMIFS('02_Socle'!$U$4:$U$61,'02_Socle'!$A$4:$A$61,A8,'02_Socle'!$B$4:$B$61,B8)*IFERROR('02_Socle'!K4/SUMIFS('02_Socle'!$K$4:$K$61,'02_Socle'!$A$4:$A$61,A8,'02_Socle'!$B$4:$B$61,B8),0)</f>
        <v/>
      </c>
      <c r="J8" s="15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9" t="n">
        <v>0</v>
      </c>
    </row>
    <row r="9">
      <c r="A9" s="17">
        <f>'02_Socle'!A5</f>
        <v/>
      </c>
      <c r="B9" s="45">
        <f>'02_Socle'!B5</f>
        <v/>
      </c>
      <c r="C9" s="17">
        <f>'02_Socle'!C5</f>
        <v/>
      </c>
      <c r="D9" s="45">
        <f>'02_Socle'!E5</f>
        <v/>
      </c>
      <c r="E9" s="45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F9*0.12+0.021*SUMIFS('02_Socle'!$U$4:$U$61,'02_Socle'!$A$4:$A$61,A9,'02_Socle'!$B$4:$B$61,B9)*IFERROR('02_Socle'!K5/SUMIFS('02_Socle'!$K$4:$K$61,'02_Socle'!$A$4:$A$61,A9,'02_Socle'!$B$4:$B$61,B9),0)</f>
        <v/>
      </c>
      <c r="J9" s="15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9" t="n">
        <v>0</v>
      </c>
    </row>
    <row r="10">
      <c r="A10" s="17">
        <f>'02_Socle'!A6</f>
        <v/>
      </c>
      <c r="B10" s="45">
        <f>'02_Socle'!B6</f>
        <v/>
      </c>
      <c r="C10" s="17">
        <f>'02_Socle'!C6</f>
        <v/>
      </c>
      <c r="D10" s="45">
        <f>'02_Socle'!E6</f>
        <v/>
      </c>
      <c r="E10" s="45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F10*0.12+0.021*SUMIFS('02_Socle'!$U$4:$U$61,'02_Socle'!$A$4:$A$61,A10,'02_Socle'!$B$4:$B$61,B10)*IFERROR('02_Socle'!K6/SUMIFS('02_Socle'!$K$4:$K$61,'02_Socle'!$A$4:$A$61,A10,'02_Socle'!$B$4:$B$61,B10),0)</f>
        <v/>
      </c>
      <c r="J10" s="15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9" t="n">
        <v>0</v>
      </c>
    </row>
    <row r="11">
      <c r="A11" s="17">
        <f>'02_Socle'!A7</f>
        <v/>
      </c>
      <c r="B11" s="45">
        <f>'02_Socle'!B7</f>
        <v/>
      </c>
      <c r="C11" s="17">
        <f>'02_Socle'!C7</f>
        <v/>
      </c>
      <c r="D11" s="45">
        <f>'02_Socle'!E7</f>
        <v/>
      </c>
      <c r="E11" s="45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F11*0.12+0.021*SUMIFS('02_Socle'!$U$4:$U$61,'02_Socle'!$A$4:$A$61,A11,'02_Socle'!$B$4:$B$61,B11)*IFERROR('02_Socle'!K7/SUMIFS('02_Socle'!$K$4:$K$61,'02_Socle'!$A$4:$A$61,A11,'02_Socle'!$B$4:$B$61,B11),0)</f>
        <v/>
      </c>
      <c r="J11" s="15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9" t="n">
        <v>0</v>
      </c>
    </row>
    <row r="12">
      <c r="A12" s="17">
        <f>'02_Socle'!A8</f>
        <v/>
      </c>
      <c r="B12" s="45">
        <f>'02_Socle'!B8</f>
        <v/>
      </c>
      <c r="C12" s="17">
        <f>'02_Socle'!C8</f>
        <v/>
      </c>
      <c r="D12" s="45">
        <f>'02_Socle'!E8</f>
        <v/>
      </c>
      <c r="E12" s="45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F12*0.12+0.021*SUMIFS('02_Socle'!$U$4:$U$61,'02_Socle'!$A$4:$A$61,A12,'02_Socle'!$B$4:$B$61,B12)*IFERROR('02_Socle'!K8/SUMIFS('02_Socle'!$K$4:$K$61,'02_Socle'!$A$4:$A$61,A12,'02_Socle'!$B$4:$B$61,B12),0)</f>
        <v/>
      </c>
      <c r="J12" s="15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9" t="n">
        <v>0</v>
      </c>
    </row>
    <row r="13">
      <c r="A13" s="17">
        <f>'02_Socle'!A9</f>
        <v/>
      </c>
      <c r="B13" s="45">
        <f>'02_Socle'!B9</f>
        <v/>
      </c>
      <c r="C13" s="17">
        <f>'02_Socle'!C9</f>
        <v/>
      </c>
      <c r="D13" s="45">
        <f>'02_Socle'!E9</f>
        <v/>
      </c>
      <c r="E13" s="45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F13*0.12+0.021*SUMIFS('02_Socle'!$U$4:$U$61,'02_Socle'!$A$4:$A$61,A13,'02_Socle'!$B$4:$B$61,B13)*IFERROR('02_Socle'!K9/SUMIFS('02_Socle'!$K$4:$K$61,'02_Socle'!$A$4:$A$61,A13,'02_Socle'!$B$4:$B$61,B13),0)</f>
        <v/>
      </c>
      <c r="J13" s="15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9" t="n">
        <v>0</v>
      </c>
    </row>
    <row r="14">
      <c r="A14" s="17">
        <f>'02_Socle'!A10</f>
        <v/>
      </c>
      <c r="B14" s="45">
        <f>'02_Socle'!B10</f>
        <v/>
      </c>
      <c r="C14" s="17">
        <f>'02_Socle'!C10</f>
        <v/>
      </c>
      <c r="D14" s="45">
        <f>'02_Socle'!E10</f>
        <v/>
      </c>
      <c r="E14" s="45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F14*0.12+0.021*SUMIFS('02_Socle'!$U$4:$U$61,'02_Socle'!$A$4:$A$61,A14,'02_Socle'!$B$4:$B$61,B14)*IFERROR('02_Socle'!K10/SUMIFS('02_Socle'!$K$4:$K$61,'02_Socle'!$A$4:$A$61,A14,'02_Socle'!$B$4:$B$61,B14),0)</f>
        <v/>
      </c>
      <c r="J14" s="15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9" t="n">
        <v>0</v>
      </c>
    </row>
    <row r="15">
      <c r="A15" s="17">
        <f>'02_Socle'!A11</f>
        <v/>
      </c>
      <c r="B15" s="45">
        <f>'02_Socle'!B11</f>
        <v/>
      </c>
      <c r="C15" s="17">
        <f>'02_Socle'!C11</f>
        <v/>
      </c>
      <c r="D15" s="45">
        <f>'02_Socle'!E11</f>
        <v/>
      </c>
      <c r="E15" s="45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F15*0.12+0.021*SUMIFS('02_Socle'!$U$4:$U$61,'02_Socle'!$A$4:$A$61,A15,'02_Socle'!$B$4:$B$61,B15)*IFERROR('02_Socle'!K11/SUMIFS('02_Socle'!$K$4:$K$61,'02_Socle'!$A$4:$A$61,A15,'02_Socle'!$B$4:$B$61,B15),0)</f>
        <v/>
      </c>
      <c r="J15" s="15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9" t="n">
        <v>0</v>
      </c>
    </row>
    <row r="16">
      <c r="A16" s="17">
        <f>'02_Socle'!A12</f>
        <v/>
      </c>
      <c r="B16" s="45">
        <f>'02_Socle'!B12</f>
        <v/>
      </c>
      <c r="C16" s="17">
        <f>'02_Socle'!C12</f>
        <v/>
      </c>
      <c r="D16" s="45">
        <f>'02_Socle'!E12</f>
        <v/>
      </c>
      <c r="E16" s="45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F16*0.12+0.021*SUMIFS('02_Socle'!$U$4:$U$61,'02_Socle'!$A$4:$A$61,A16,'02_Socle'!$B$4:$B$61,B16)*IFERROR('02_Socle'!K12/SUMIFS('02_Socle'!$K$4:$K$61,'02_Socle'!$A$4:$A$61,A16,'02_Socle'!$B$4:$B$61,B16),0)</f>
        <v/>
      </c>
      <c r="J16" s="15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9" t="n">
        <v>0</v>
      </c>
    </row>
    <row r="17">
      <c r="A17" s="17">
        <f>'02_Socle'!A13</f>
        <v/>
      </c>
      <c r="B17" s="45">
        <f>'02_Socle'!B13</f>
        <v/>
      </c>
      <c r="C17" s="17">
        <f>'02_Socle'!C13</f>
        <v/>
      </c>
      <c r="D17" s="45">
        <f>'02_Socle'!E13</f>
        <v/>
      </c>
      <c r="E17" s="45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F17*0.12+0.021*SUMIFS('02_Socle'!$U$4:$U$61,'02_Socle'!$A$4:$A$61,A17,'02_Socle'!$B$4:$B$61,B17)*IFERROR('02_Socle'!K13/SUMIFS('02_Socle'!$K$4:$K$61,'02_Socle'!$A$4:$A$61,A17,'02_Socle'!$B$4:$B$61,B17),0)</f>
        <v/>
      </c>
      <c r="J17" s="15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9" t="n">
        <v>0</v>
      </c>
    </row>
    <row r="18">
      <c r="A18" s="17">
        <f>'02_Socle'!A14</f>
        <v/>
      </c>
      <c r="B18" s="45">
        <f>'02_Socle'!B14</f>
        <v/>
      </c>
      <c r="C18" s="17">
        <f>'02_Socle'!C14</f>
        <v/>
      </c>
      <c r="D18" s="45">
        <f>'02_Socle'!E14</f>
        <v/>
      </c>
      <c r="E18" s="45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F18*0.12+0.021*SUMIFS('02_Socle'!$U$4:$U$61,'02_Socle'!$A$4:$A$61,A18,'02_Socle'!$B$4:$B$61,B18)*IFERROR('02_Socle'!K14/SUMIFS('02_Socle'!$K$4:$K$61,'02_Socle'!$A$4:$A$61,A18,'02_Socle'!$B$4:$B$61,B18),0)</f>
        <v/>
      </c>
      <c r="J18" s="15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9" t="n">
        <v>0</v>
      </c>
    </row>
    <row r="19">
      <c r="A19" s="17">
        <f>'02_Socle'!A15</f>
        <v/>
      </c>
      <c r="B19" s="45">
        <f>'02_Socle'!B15</f>
        <v/>
      </c>
      <c r="C19" s="17">
        <f>'02_Socle'!C15</f>
        <v/>
      </c>
      <c r="D19" s="45">
        <f>'02_Socle'!E15</f>
        <v/>
      </c>
      <c r="E19" s="45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F19*0.12+0.021*SUMIFS('02_Socle'!$U$4:$U$61,'02_Socle'!$A$4:$A$61,A19,'02_Socle'!$B$4:$B$61,B19)*IFERROR('02_Socle'!K15/SUMIFS('02_Socle'!$K$4:$K$61,'02_Socle'!$A$4:$A$61,A19,'02_Socle'!$B$4:$B$61,B19),0)</f>
        <v/>
      </c>
      <c r="J19" s="15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9" t="n">
        <v>0</v>
      </c>
    </row>
    <row r="20">
      <c r="A20" s="17">
        <f>'02_Socle'!A16</f>
        <v/>
      </c>
      <c r="B20" s="45">
        <f>'02_Socle'!B16</f>
        <v/>
      </c>
      <c r="C20" s="17">
        <f>'02_Socle'!C16</f>
        <v/>
      </c>
      <c r="D20" s="45">
        <f>'02_Socle'!E16</f>
        <v/>
      </c>
      <c r="E20" s="45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F20*0.12+0.021*SUMIFS('02_Socle'!$U$4:$U$61,'02_Socle'!$A$4:$A$61,A20,'02_Socle'!$B$4:$B$61,B20)*IFERROR('02_Socle'!K16/SUMIFS('02_Socle'!$K$4:$K$61,'02_Socle'!$A$4:$A$61,A20,'02_Socle'!$B$4:$B$61,B20),0)</f>
        <v/>
      </c>
      <c r="J20" s="15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9" t="n">
        <v>0</v>
      </c>
    </row>
    <row r="21">
      <c r="A21" s="17">
        <f>'02_Socle'!A17</f>
        <v/>
      </c>
      <c r="B21" s="45">
        <f>'02_Socle'!B17</f>
        <v/>
      </c>
      <c r="C21" s="17">
        <f>'02_Socle'!C17</f>
        <v/>
      </c>
      <c r="D21" s="45">
        <f>'02_Socle'!E17</f>
        <v/>
      </c>
      <c r="E21" s="45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F21*0.12+0.021*SUMIFS('02_Socle'!$U$4:$U$61,'02_Socle'!$A$4:$A$61,A21,'02_Socle'!$B$4:$B$61,B21)*IFERROR('02_Socle'!K17/SUMIFS('02_Socle'!$K$4:$K$61,'02_Socle'!$A$4:$A$61,A21,'02_Socle'!$B$4:$B$61,B21),0)</f>
        <v/>
      </c>
      <c r="J21" s="15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9" t="n">
        <v>0</v>
      </c>
    </row>
    <row r="22">
      <c r="A22" s="17">
        <f>'02_Socle'!A18</f>
        <v/>
      </c>
      <c r="B22" s="45">
        <f>'02_Socle'!B18</f>
        <v/>
      </c>
      <c r="C22" s="17">
        <f>'02_Socle'!C18</f>
        <v/>
      </c>
      <c r="D22" s="45">
        <f>'02_Socle'!E18</f>
        <v/>
      </c>
      <c r="E22" s="45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F22*0.12+0.021*SUMIFS('02_Socle'!$U$4:$U$61,'02_Socle'!$A$4:$A$61,A22,'02_Socle'!$B$4:$B$61,B22)*IFERROR('02_Socle'!K18/SUMIFS('02_Socle'!$K$4:$K$61,'02_Socle'!$A$4:$A$61,A22,'02_Socle'!$B$4:$B$61,B22),0)</f>
        <v/>
      </c>
      <c r="J22" s="15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9" t="n">
        <v>0</v>
      </c>
    </row>
    <row r="23">
      <c r="A23" s="17">
        <f>'02_Socle'!A19</f>
        <v/>
      </c>
      <c r="B23" s="45">
        <f>'02_Socle'!B19</f>
        <v/>
      </c>
      <c r="C23" s="17">
        <f>'02_Socle'!C19</f>
        <v/>
      </c>
      <c r="D23" s="45">
        <f>'02_Socle'!E19</f>
        <v/>
      </c>
      <c r="E23" s="45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F23*0.12+0.021*SUMIFS('02_Socle'!$U$4:$U$61,'02_Socle'!$A$4:$A$61,A23,'02_Socle'!$B$4:$B$61,B23)*IFERROR('02_Socle'!K19/SUMIFS('02_Socle'!$K$4:$K$61,'02_Socle'!$A$4:$A$61,A23,'02_Socle'!$B$4:$B$61,B23),0)</f>
        <v/>
      </c>
      <c r="J23" s="15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9" t="n">
        <v>0</v>
      </c>
    </row>
    <row r="24">
      <c r="A24" s="17">
        <f>'02_Socle'!A20</f>
        <v/>
      </c>
      <c r="B24" s="45">
        <f>'02_Socle'!B20</f>
        <v/>
      </c>
      <c r="C24" s="17">
        <f>'02_Socle'!C20</f>
        <v/>
      </c>
      <c r="D24" s="45">
        <f>'02_Socle'!E20</f>
        <v/>
      </c>
      <c r="E24" s="45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F24*0.12+0.021*SUMIFS('02_Socle'!$U$4:$U$61,'02_Socle'!$A$4:$A$61,A24,'02_Socle'!$B$4:$B$61,B24)*IFERROR('02_Socle'!K20/SUMIFS('02_Socle'!$K$4:$K$61,'02_Socle'!$A$4:$A$61,A24,'02_Socle'!$B$4:$B$61,B24),0)</f>
        <v/>
      </c>
      <c r="J24" s="15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9" t="n">
        <v>0</v>
      </c>
    </row>
    <row r="25">
      <c r="A25" s="17">
        <f>'02_Socle'!A21</f>
        <v/>
      </c>
      <c r="B25" s="45">
        <f>'02_Socle'!B21</f>
        <v/>
      </c>
      <c r="C25" s="17">
        <f>'02_Socle'!C21</f>
        <v/>
      </c>
      <c r="D25" s="45">
        <f>'02_Socle'!E21</f>
        <v/>
      </c>
      <c r="E25" s="45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F25*0.12+0.021*SUMIFS('02_Socle'!$U$4:$U$61,'02_Socle'!$A$4:$A$61,A25,'02_Socle'!$B$4:$B$61,B25)*IFERROR('02_Socle'!K21/SUMIFS('02_Socle'!$K$4:$K$61,'02_Socle'!$A$4:$A$61,A25,'02_Socle'!$B$4:$B$61,B25),0)</f>
        <v/>
      </c>
      <c r="J25" s="15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9" t="n">
        <v>0</v>
      </c>
    </row>
    <row r="26">
      <c r="A26" s="17">
        <f>'02_Socle'!A22</f>
        <v/>
      </c>
      <c r="B26" s="45">
        <f>'02_Socle'!B22</f>
        <v/>
      </c>
      <c r="C26" s="17">
        <f>'02_Socle'!C22</f>
        <v/>
      </c>
      <c r="D26" s="45">
        <f>'02_Socle'!E22</f>
        <v/>
      </c>
      <c r="E26" s="45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F26*0.12+0.021*SUMIFS('02_Socle'!$U$4:$U$61,'02_Socle'!$A$4:$A$61,A26,'02_Socle'!$B$4:$B$61,B26)*IFERROR('02_Socle'!K22/SUMIFS('02_Socle'!$K$4:$K$61,'02_Socle'!$A$4:$A$61,A26,'02_Socle'!$B$4:$B$61,B26),0)</f>
        <v/>
      </c>
      <c r="J26" s="15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9" t="n">
        <v>0</v>
      </c>
    </row>
    <row r="27">
      <c r="A27" s="17">
        <f>'02_Socle'!A23</f>
        <v/>
      </c>
      <c r="B27" s="45">
        <f>'02_Socle'!B23</f>
        <v/>
      </c>
      <c r="C27" s="17">
        <f>'02_Socle'!C23</f>
        <v/>
      </c>
      <c r="D27" s="45">
        <f>'02_Socle'!E23</f>
        <v/>
      </c>
      <c r="E27" s="45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F27*0.12+0.021*SUMIFS('02_Socle'!$U$4:$U$61,'02_Socle'!$A$4:$A$61,A27,'02_Socle'!$B$4:$B$61,B27)*IFERROR('02_Socle'!K23/SUMIFS('02_Socle'!$K$4:$K$61,'02_Socle'!$A$4:$A$61,A27,'02_Socle'!$B$4:$B$61,B27),0)</f>
        <v/>
      </c>
      <c r="J27" s="15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9" t="n">
        <v>0</v>
      </c>
    </row>
    <row r="28">
      <c r="A28" s="17">
        <f>'02_Socle'!A24</f>
        <v/>
      </c>
      <c r="B28" s="45">
        <f>'02_Socle'!B24</f>
        <v/>
      </c>
      <c r="C28" s="17">
        <f>'02_Socle'!C24</f>
        <v/>
      </c>
      <c r="D28" s="45">
        <f>'02_Socle'!E24</f>
        <v/>
      </c>
      <c r="E28" s="45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F28*0.12+0.021*SUMIFS('02_Socle'!$U$4:$U$61,'02_Socle'!$A$4:$A$61,A28,'02_Socle'!$B$4:$B$61,B28)*IFERROR('02_Socle'!K24/SUMIFS('02_Socle'!$K$4:$K$61,'02_Socle'!$A$4:$A$61,A28,'02_Socle'!$B$4:$B$61,B28),0)</f>
        <v/>
      </c>
      <c r="J28" s="15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9" t="n">
        <v>0</v>
      </c>
    </row>
    <row r="29">
      <c r="A29" s="17">
        <f>'02_Socle'!A25</f>
        <v/>
      </c>
      <c r="B29" s="45">
        <f>'02_Socle'!B25</f>
        <v/>
      </c>
      <c r="C29" s="17">
        <f>'02_Socle'!C25</f>
        <v/>
      </c>
      <c r="D29" s="45">
        <f>'02_Socle'!E25</f>
        <v/>
      </c>
      <c r="E29" s="45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F29*0.12+0.021*SUMIFS('02_Socle'!$U$4:$U$61,'02_Socle'!$A$4:$A$61,A29,'02_Socle'!$B$4:$B$61,B29)*IFERROR('02_Socle'!K25/SUMIFS('02_Socle'!$K$4:$K$61,'02_Socle'!$A$4:$A$61,A29,'02_Socle'!$B$4:$B$61,B29),0)</f>
        <v/>
      </c>
      <c r="J29" s="15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9" t="n">
        <v>0</v>
      </c>
    </row>
    <row r="30">
      <c r="A30" s="17">
        <f>'02_Socle'!A26</f>
        <v/>
      </c>
      <c r="B30" s="45">
        <f>'02_Socle'!B26</f>
        <v/>
      </c>
      <c r="C30" s="17">
        <f>'02_Socle'!C26</f>
        <v/>
      </c>
      <c r="D30" s="45">
        <f>'02_Socle'!E26</f>
        <v/>
      </c>
      <c r="E30" s="45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F30*0.12+0.021*SUMIFS('02_Socle'!$U$4:$U$61,'02_Socle'!$A$4:$A$61,A30,'02_Socle'!$B$4:$B$61,B30)*IFERROR('02_Socle'!K26/SUMIFS('02_Socle'!$K$4:$K$61,'02_Socle'!$A$4:$A$61,A30,'02_Socle'!$B$4:$B$61,B30),0)</f>
        <v/>
      </c>
      <c r="J30" s="15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9" t="n">
        <v>0</v>
      </c>
    </row>
    <row r="31">
      <c r="A31" s="17">
        <f>'02_Socle'!A27</f>
        <v/>
      </c>
      <c r="B31" s="45">
        <f>'02_Socle'!B27</f>
        <v/>
      </c>
      <c r="C31" s="17">
        <f>'02_Socle'!C27</f>
        <v/>
      </c>
      <c r="D31" s="45">
        <f>'02_Socle'!E27</f>
        <v/>
      </c>
      <c r="E31" s="45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F31*0.12+0.021*SUMIFS('02_Socle'!$U$4:$U$61,'02_Socle'!$A$4:$A$61,A31,'02_Socle'!$B$4:$B$61,B31)*IFERROR('02_Socle'!K27/SUMIFS('02_Socle'!$K$4:$K$61,'02_Socle'!$A$4:$A$61,A31,'02_Socle'!$B$4:$B$61,B31),0)</f>
        <v/>
      </c>
      <c r="J31" s="15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9" t="n">
        <v>0</v>
      </c>
    </row>
    <row r="32">
      <c r="A32" s="17">
        <f>'02_Socle'!A28</f>
        <v/>
      </c>
      <c r="B32" s="45">
        <f>'02_Socle'!B28</f>
        <v/>
      </c>
      <c r="C32" s="17">
        <f>'02_Socle'!C28</f>
        <v/>
      </c>
      <c r="D32" s="45">
        <f>'02_Socle'!E28</f>
        <v/>
      </c>
      <c r="E32" s="45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F32*0.12+0.021*SUMIFS('02_Socle'!$U$4:$U$61,'02_Socle'!$A$4:$A$61,A32,'02_Socle'!$B$4:$B$61,B32)*IFERROR('02_Socle'!K28/SUMIFS('02_Socle'!$K$4:$K$61,'02_Socle'!$A$4:$A$61,A32,'02_Socle'!$B$4:$B$61,B32),0)</f>
        <v/>
      </c>
      <c r="J32" s="15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9" t="n">
        <v>0</v>
      </c>
    </row>
    <row r="33">
      <c r="A33" s="17">
        <f>'02_Socle'!A29</f>
        <v/>
      </c>
      <c r="B33" s="45">
        <f>'02_Socle'!B29</f>
        <v/>
      </c>
      <c r="C33" s="17">
        <f>'02_Socle'!C29</f>
        <v/>
      </c>
      <c r="D33" s="45">
        <f>'02_Socle'!E29</f>
        <v/>
      </c>
      <c r="E33" s="45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F33*0.12+0.021*SUMIFS('02_Socle'!$U$4:$U$61,'02_Socle'!$A$4:$A$61,A33,'02_Socle'!$B$4:$B$61,B33)*IFERROR('02_Socle'!K29/SUMIFS('02_Socle'!$K$4:$K$61,'02_Socle'!$A$4:$A$61,A33,'02_Socle'!$B$4:$B$61,B33),0)</f>
        <v/>
      </c>
      <c r="J33" s="15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9" t="n">
        <v>0</v>
      </c>
    </row>
    <row r="34">
      <c r="A34" s="17">
        <f>'02_Socle'!A30</f>
        <v/>
      </c>
      <c r="B34" s="45">
        <f>'02_Socle'!B30</f>
        <v/>
      </c>
      <c r="C34" s="17">
        <f>'02_Socle'!C30</f>
        <v/>
      </c>
      <c r="D34" s="45">
        <f>'02_Socle'!E30</f>
        <v/>
      </c>
      <c r="E34" s="45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F34*0.12+0.021*SUMIFS('02_Socle'!$U$4:$U$61,'02_Socle'!$A$4:$A$61,A34,'02_Socle'!$B$4:$B$61,B34)*IFERROR('02_Socle'!K30/SUMIFS('02_Socle'!$K$4:$K$61,'02_Socle'!$A$4:$A$61,A34,'02_Socle'!$B$4:$B$61,B34),0)</f>
        <v/>
      </c>
      <c r="J34" s="15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9" t="n">
        <v>0</v>
      </c>
    </row>
    <row r="35">
      <c r="A35" s="17">
        <f>'02_Socle'!A31</f>
        <v/>
      </c>
      <c r="B35" s="45">
        <f>'02_Socle'!B31</f>
        <v/>
      </c>
      <c r="C35" s="17">
        <f>'02_Socle'!C31</f>
        <v/>
      </c>
      <c r="D35" s="45">
        <f>'02_Socle'!E31</f>
        <v/>
      </c>
      <c r="E35" s="45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F35*0.12+0.021*SUMIFS('02_Socle'!$U$4:$U$61,'02_Socle'!$A$4:$A$61,A35,'02_Socle'!$B$4:$B$61,B35)*IFERROR('02_Socle'!K31/SUMIFS('02_Socle'!$K$4:$K$61,'02_Socle'!$A$4:$A$61,A35,'02_Socle'!$B$4:$B$61,B35),0)</f>
        <v/>
      </c>
      <c r="J35" s="15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9" t="n">
        <v>0</v>
      </c>
    </row>
    <row r="36">
      <c r="A36" s="17">
        <f>'02_Socle'!A32</f>
        <v/>
      </c>
      <c r="B36" s="45">
        <f>'02_Socle'!B32</f>
        <v/>
      </c>
      <c r="C36" s="17">
        <f>'02_Socle'!C32</f>
        <v/>
      </c>
      <c r="D36" s="45">
        <f>'02_Socle'!E32</f>
        <v/>
      </c>
      <c r="E36" s="45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F36*0.12+0.021*SUMIFS('02_Socle'!$U$4:$U$61,'02_Socle'!$A$4:$A$61,A36,'02_Socle'!$B$4:$B$61,B36)*IFERROR('02_Socle'!K32/SUMIFS('02_Socle'!$K$4:$K$61,'02_Socle'!$A$4:$A$61,A36,'02_Socle'!$B$4:$B$61,B36),0)</f>
        <v/>
      </c>
      <c r="J36" s="15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9" t="n">
        <v>0</v>
      </c>
    </row>
    <row r="37">
      <c r="A37" s="17">
        <f>'02_Socle'!A33</f>
        <v/>
      </c>
      <c r="B37" s="45">
        <f>'02_Socle'!B33</f>
        <v/>
      </c>
      <c r="C37" s="17">
        <f>'02_Socle'!C33</f>
        <v/>
      </c>
      <c r="D37" s="45">
        <f>'02_Socle'!E33</f>
        <v/>
      </c>
      <c r="E37" s="45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F37*0.12+0.021*SUMIFS('02_Socle'!$U$4:$U$61,'02_Socle'!$A$4:$A$61,A37,'02_Socle'!$B$4:$B$61,B37)*IFERROR('02_Socle'!K33/SUMIFS('02_Socle'!$K$4:$K$61,'02_Socle'!$A$4:$A$61,A37,'02_Socle'!$B$4:$B$61,B37),0)</f>
        <v/>
      </c>
      <c r="J37" s="15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9" t="n">
        <v>0</v>
      </c>
    </row>
    <row r="38">
      <c r="A38" s="17">
        <f>'02_Socle'!A34</f>
        <v/>
      </c>
      <c r="B38" s="45">
        <f>'02_Socle'!B34</f>
        <v/>
      </c>
      <c r="C38" s="17">
        <f>'02_Socle'!C34</f>
        <v/>
      </c>
      <c r="D38" s="45">
        <f>'02_Socle'!E34</f>
        <v/>
      </c>
      <c r="E38" s="45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F38*0.12+0.021*SUMIFS('02_Socle'!$U$4:$U$61,'02_Socle'!$A$4:$A$61,A38,'02_Socle'!$B$4:$B$61,B38)*IFERROR('02_Socle'!K34/SUMIFS('02_Socle'!$K$4:$K$61,'02_Socle'!$A$4:$A$61,A38,'02_Socle'!$B$4:$B$61,B38),0)</f>
        <v/>
      </c>
      <c r="J38" s="15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9" t="n">
        <v>0</v>
      </c>
    </row>
    <row r="39">
      <c r="A39" s="17">
        <f>'02_Socle'!A35</f>
        <v/>
      </c>
      <c r="B39" s="45">
        <f>'02_Socle'!B35</f>
        <v/>
      </c>
      <c r="C39" s="17">
        <f>'02_Socle'!C35</f>
        <v/>
      </c>
      <c r="D39" s="45">
        <f>'02_Socle'!E35</f>
        <v/>
      </c>
      <c r="E39" s="45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F39*0.12+0.021*SUMIFS('02_Socle'!$U$4:$U$61,'02_Socle'!$A$4:$A$61,A39,'02_Socle'!$B$4:$B$61,B39)*IFERROR('02_Socle'!K35/SUMIFS('02_Socle'!$K$4:$K$61,'02_Socle'!$A$4:$A$61,A39,'02_Socle'!$B$4:$B$61,B39),0)</f>
        <v/>
      </c>
      <c r="J39" s="15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9" t="n">
        <v>0</v>
      </c>
    </row>
    <row r="40">
      <c r="A40" s="17">
        <f>'02_Socle'!A36</f>
        <v/>
      </c>
      <c r="B40" s="45">
        <f>'02_Socle'!B36</f>
        <v/>
      </c>
      <c r="C40" s="17">
        <f>'02_Socle'!C36</f>
        <v/>
      </c>
      <c r="D40" s="45">
        <f>'02_Socle'!E36</f>
        <v/>
      </c>
      <c r="E40" s="45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F40*0.12+0.021*SUMIFS('02_Socle'!$U$4:$U$61,'02_Socle'!$A$4:$A$61,A40,'02_Socle'!$B$4:$B$61,B40)*IFERROR('02_Socle'!K36/SUMIFS('02_Socle'!$K$4:$K$61,'02_Socle'!$A$4:$A$61,A40,'02_Socle'!$B$4:$B$61,B40),0)</f>
        <v/>
      </c>
      <c r="J40" s="15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9" t="n">
        <v>0</v>
      </c>
    </row>
    <row r="41">
      <c r="A41" s="17">
        <f>'02_Socle'!A37</f>
        <v/>
      </c>
      <c r="B41" s="45">
        <f>'02_Socle'!B37</f>
        <v/>
      </c>
      <c r="C41" s="17">
        <f>'02_Socle'!C37</f>
        <v/>
      </c>
      <c r="D41" s="45">
        <f>'02_Socle'!E37</f>
        <v/>
      </c>
      <c r="E41" s="45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F41*0.12+0.021*SUMIFS('02_Socle'!$U$4:$U$61,'02_Socle'!$A$4:$A$61,A41,'02_Socle'!$B$4:$B$61,B41)*IFERROR('02_Socle'!K37/SUMIFS('02_Socle'!$K$4:$K$61,'02_Socle'!$A$4:$A$61,A41,'02_Socle'!$B$4:$B$61,B41),0)</f>
        <v/>
      </c>
      <c r="J41" s="15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9" t="n">
        <v>0</v>
      </c>
    </row>
    <row r="42">
      <c r="A42" s="17">
        <f>'02_Socle'!A38</f>
        <v/>
      </c>
      <c r="B42" s="45">
        <f>'02_Socle'!B38</f>
        <v/>
      </c>
      <c r="C42" s="17">
        <f>'02_Socle'!C38</f>
        <v/>
      </c>
      <c r="D42" s="45">
        <f>'02_Socle'!E38</f>
        <v/>
      </c>
      <c r="E42" s="45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F42*0.12+0.021*SUMIFS('02_Socle'!$U$4:$U$61,'02_Socle'!$A$4:$A$61,A42,'02_Socle'!$B$4:$B$61,B42)*IFERROR('02_Socle'!K38/SUMIFS('02_Socle'!$K$4:$K$61,'02_Socle'!$A$4:$A$61,A42,'02_Socle'!$B$4:$B$61,B42),0)</f>
        <v/>
      </c>
      <c r="J42" s="15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9" t="n">
        <v>0</v>
      </c>
    </row>
    <row r="43">
      <c r="A43" s="17">
        <f>'02_Socle'!A39</f>
        <v/>
      </c>
      <c r="B43" s="45">
        <f>'02_Socle'!B39</f>
        <v/>
      </c>
      <c r="C43" s="17">
        <f>'02_Socle'!C39</f>
        <v/>
      </c>
      <c r="D43" s="45">
        <f>'02_Socle'!E39</f>
        <v/>
      </c>
      <c r="E43" s="45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F43*0.12+0.021*SUMIFS('02_Socle'!$U$4:$U$61,'02_Socle'!$A$4:$A$61,A43,'02_Socle'!$B$4:$B$61,B43)*IFERROR('02_Socle'!K39/SUMIFS('02_Socle'!$K$4:$K$61,'02_Socle'!$A$4:$A$61,A43,'02_Socle'!$B$4:$B$61,B43),0)</f>
        <v/>
      </c>
      <c r="J43" s="15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9" t="n">
        <v>0</v>
      </c>
    </row>
    <row r="44">
      <c r="A44" s="17">
        <f>'02_Socle'!A40</f>
        <v/>
      </c>
      <c r="B44" s="45">
        <f>'02_Socle'!B40</f>
        <v/>
      </c>
      <c r="C44" s="17">
        <f>'02_Socle'!C40</f>
        <v/>
      </c>
      <c r="D44" s="45">
        <f>'02_Socle'!E40</f>
        <v/>
      </c>
      <c r="E44" s="45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F44*0.12+0.021*SUMIFS('02_Socle'!$U$4:$U$61,'02_Socle'!$A$4:$A$61,A44,'02_Socle'!$B$4:$B$61,B44)*IFERROR('02_Socle'!K40/SUMIFS('02_Socle'!$K$4:$K$61,'02_Socle'!$A$4:$A$61,A44,'02_Socle'!$B$4:$B$61,B44),0)</f>
        <v/>
      </c>
      <c r="J44" s="15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9" t="n">
        <v>0</v>
      </c>
    </row>
    <row r="45">
      <c r="A45" s="17">
        <f>'02_Socle'!A41</f>
        <v/>
      </c>
      <c r="B45" s="45">
        <f>'02_Socle'!B41</f>
        <v/>
      </c>
      <c r="C45" s="17">
        <f>'02_Socle'!C41</f>
        <v/>
      </c>
      <c r="D45" s="45">
        <f>'02_Socle'!E41</f>
        <v/>
      </c>
      <c r="E45" s="45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F45*0.12+0.021*SUMIFS('02_Socle'!$U$4:$U$61,'02_Socle'!$A$4:$A$61,A45,'02_Socle'!$B$4:$B$61,B45)*IFERROR('02_Socle'!K41/SUMIFS('02_Socle'!$K$4:$K$61,'02_Socle'!$A$4:$A$61,A45,'02_Socle'!$B$4:$B$61,B45),0)</f>
        <v/>
      </c>
      <c r="J45" s="15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9" t="n">
        <v>0</v>
      </c>
    </row>
    <row r="46">
      <c r="A46" s="17">
        <f>'02_Socle'!A42</f>
        <v/>
      </c>
      <c r="B46" s="45">
        <f>'02_Socle'!B42</f>
        <v/>
      </c>
      <c r="C46" s="17">
        <f>'02_Socle'!C42</f>
        <v/>
      </c>
      <c r="D46" s="45">
        <f>'02_Socle'!E42</f>
        <v/>
      </c>
      <c r="E46" s="45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F46*0.12+0.021*SUMIFS('02_Socle'!$U$4:$U$61,'02_Socle'!$A$4:$A$61,A46,'02_Socle'!$B$4:$B$61,B46)*IFERROR('02_Socle'!K42/SUMIFS('02_Socle'!$K$4:$K$61,'02_Socle'!$A$4:$A$61,A46,'02_Socle'!$B$4:$B$61,B46),0)</f>
        <v/>
      </c>
      <c r="J46" s="15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9" t="n">
        <v>0</v>
      </c>
    </row>
    <row r="47">
      <c r="A47" s="17">
        <f>'02_Socle'!A43</f>
        <v/>
      </c>
      <c r="B47" s="45">
        <f>'02_Socle'!B43</f>
        <v/>
      </c>
      <c r="C47" s="17">
        <f>'02_Socle'!C43</f>
        <v/>
      </c>
      <c r="D47" s="45">
        <f>'02_Socle'!E43</f>
        <v/>
      </c>
      <c r="E47" s="45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F47*0.12+0.021*SUMIFS('02_Socle'!$U$4:$U$61,'02_Socle'!$A$4:$A$61,A47,'02_Socle'!$B$4:$B$61,B47)*IFERROR('02_Socle'!K43/SUMIFS('02_Socle'!$K$4:$K$61,'02_Socle'!$A$4:$A$61,A47,'02_Socle'!$B$4:$B$61,B47),0)</f>
        <v/>
      </c>
      <c r="J47" s="15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9" t="n">
        <v>0</v>
      </c>
    </row>
    <row r="48">
      <c r="A48" s="17">
        <f>'02_Socle'!A44</f>
        <v/>
      </c>
      <c r="B48" s="45">
        <f>'02_Socle'!B44</f>
        <v/>
      </c>
      <c r="C48" s="17">
        <f>'02_Socle'!C44</f>
        <v/>
      </c>
      <c r="D48" s="45">
        <f>'02_Socle'!E44</f>
        <v/>
      </c>
      <c r="E48" s="45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F48*0.12+0.021*SUMIFS('02_Socle'!$U$4:$U$61,'02_Socle'!$A$4:$A$61,A48,'02_Socle'!$B$4:$B$61,B48)*IFERROR('02_Socle'!K44/SUMIFS('02_Socle'!$K$4:$K$61,'02_Socle'!$A$4:$A$61,A48,'02_Socle'!$B$4:$B$61,B48),0)</f>
        <v/>
      </c>
      <c r="J48" s="15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9" t="n">
        <v>0</v>
      </c>
    </row>
    <row r="49">
      <c r="A49" s="17">
        <f>'02_Socle'!A45</f>
        <v/>
      </c>
      <c r="B49" s="45">
        <f>'02_Socle'!B45</f>
        <v/>
      </c>
      <c r="C49" s="17">
        <f>'02_Socle'!C45</f>
        <v/>
      </c>
      <c r="D49" s="45">
        <f>'02_Socle'!E45</f>
        <v/>
      </c>
      <c r="E49" s="45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F49*0.12+0.021*SUMIFS('02_Socle'!$U$4:$U$61,'02_Socle'!$A$4:$A$61,A49,'02_Socle'!$B$4:$B$61,B49)*IFERROR('02_Socle'!K45/SUMIFS('02_Socle'!$K$4:$K$61,'02_Socle'!$A$4:$A$61,A49,'02_Socle'!$B$4:$B$61,B49),0)</f>
        <v/>
      </c>
      <c r="J49" s="15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9" t="n">
        <v>0</v>
      </c>
    </row>
    <row r="50">
      <c r="A50" s="17">
        <f>'02_Socle'!A46</f>
        <v/>
      </c>
      <c r="B50" s="45">
        <f>'02_Socle'!B46</f>
        <v/>
      </c>
      <c r="C50" s="17">
        <f>'02_Socle'!C46</f>
        <v/>
      </c>
      <c r="D50" s="45">
        <f>'02_Socle'!E46</f>
        <v/>
      </c>
      <c r="E50" s="45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F50*0.12+0.021*SUMIFS('02_Socle'!$U$4:$U$61,'02_Socle'!$A$4:$A$61,A50,'02_Socle'!$B$4:$B$61,B50)*IFERROR('02_Socle'!K46/SUMIFS('02_Socle'!$K$4:$K$61,'02_Socle'!$A$4:$A$61,A50,'02_Socle'!$B$4:$B$61,B50),0)</f>
        <v/>
      </c>
      <c r="J50" s="15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9" t="n">
        <v>0</v>
      </c>
    </row>
    <row r="51">
      <c r="A51" s="17">
        <f>'02_Socle'!A47</f>
        <v/>
      </c>
      <c r="B51" s="45">
        <f>'02_Socle'!B47</f>
        <v/>
      </c>
      <c r="C51" s="17">
        <f>'02_Socle'!C47</f>
        <v/>
      </c>
      <c r="D51" s="45">
        <f>'02_Socle'!E47</f>
        <v/>
      </c>
      <c r="E51" s="45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F51*0.12+0.021*SUMIFS('02_Socle'!$U$4:$U$61,'02_Socle'!$A$4:$A$61,A51,'02_Socle'!$B$4:$B$61,B51)*IFERROR('02_Socle'!K47/SUMIFS('02_Socle'!$K$4:$K$61,'02_Socle'!$A$4:$A$61,A51,'02_Socle'!$B$4:$B$61,B51),0)</f>
        <v/>
      </c>
      <c r="J51" s="15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9" t="n">
        <v>0</v>
      </c>
    </row>
    <row r="52">
      <c r="A52" s="17">
        <f>'02_Socle'!A48</f>
        <v/>
      </c>
      <c r="B52" s="45">
        <f>'02_Socle'!B48</f>
        <v/>
      </c>
      <c r="C52" s="17">
        <f>'02_Socle'!C48</f>
        <v/>
      </c>
      <c r="D52" s="45">
        <f>'02_Socle'!E48</f>
        <v/>
      </c>
      <c r="E52" s="45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F52*0.12+0.021*SUMIFS('02_Socle'!$U$4:$U$61,'02_Socle'!$A$4:$A$61,A52,'02_Socle'!$B$4:$B$61,B52)*IFERROR('02_Socle'!K48/SUMIFS('02_Socle'!$K$4:$K$61,'02_Socle'!$A$4:$A$61,A52,'02_Socle'!$B$4:$B$61,B52),0)</f>
        <v/>
      </c>
      <c r="J52" s="15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9" t="n">
        <v>0</v>
      </c>
    </row>
    <row r="53">
      <c r="A53" s="17">
        <f>'02_Socle'!A49</f>
        <v/>
      </c>
      <c r="B53" s="45">
        <f>'02_Socle'!B49</f>
        <v/>
      </c>
      <c r="C53" s="17">
        <f>'02_Socle'!C49</f>
        <v/>
      </c>
      <c r="D53" s="45">
        <f>'02_Socle'!E49</f>
        <v/>
      </c>
      <c r="E53" s="45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F53*0.12+0.021*SUMIFS('02_Socle'!$U$4:$U$61,'02_Socle'!$A$4:$A$61,A53,'02_Socle'!$B$4:$B$61,B53)*IFERROR('02_Socle'!K49/SUMIFS('02_Socle'!$K$4:$K$61,'02_Socle'!$A$4:$A$61,A53,'02_Socle'!$B$4:$B$61,B53),0)</f>
        <v/>
      </c>
      <c r="J53" s="15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9" t="n">
        <v>0</v>
      </c>
    </row>
    <row r="54">
      <c r="A54" s="17">
        <f>'02_Socle'!A50</f>
        <v/>
      </c>
      <c r="B54" s="45">
        <f>'02_Socle'!B50</f>
        <v/>
      </c>
      <c r="C54" s="17">
        <f>'02_Socle'!C50</f>
        <v/>
      </c>
      <c r="D54" s="45">
        <f>'02_Socle'!E50</f>
        <v/>
      </c>
      <c r="E54" s="45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F54*0.12+0.021*SUMIFS('02_Socle'!$U$4:$U$61,'02_Socle'!$A$4:$A$61,A54,'02_Socle'!$B$4:$B$61,B54)*IFERROR('02_Socle'!K50/SUMIFS('02_Socle'!$K$4:$K$61,'02_Socle'!$A$4:$A$61,A54,'02_Socle'!$B$4:$B$61,B54),0)</f>
        <v/>
      </c>
      <c r="J54" s="15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9" t="n">
        <v>0</v>
      </c>
    </row>
    <row r="55">
      <c r="A55" s="17">
        <f>'02_Socle'!A51</f>
        <v/>
      </c>
      <c r="B55" s="45">
        <f>'02_Socle'!B51</f>
        <v/>
      </c>
      <c r="C55" s="17">
        <f>'02_Socle'!C51</f>
        <v/>
      </c>
      <c r="D55" s="45">
        <f>'02_Socle'!E51</f>
        <v/>
      </c>
      <c r="E55" s="45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F55*0.12+0.021*SUMIFS('02_Socle'!$U$4:$U$61,'02_Socle'!$A$4:$A$61,A55,'02_Socle'!$B$4:$B$61,B55)*IFERROR('02_Socle'!K51/SUMIFS('02_Socle'!$K$4:$K$61,'02_Socle'!$A$4:$A$61,A55,'02_Socle'!$B$4:$B$61,B55),0)</f>
        <v/>
      </c>
      <c r="J55" s="15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9" t="n">
        <v>0</v>
      </c>
    </row>
    <row r="56">
      <c r="A56" s="17">
        <f>'02_Socle'!A52</f>
        <v/>
      </c>
      <c r="B56" s="45">
        <f>'02_Socle'!B52</f>
        <v/>
      </c>
      <c r="C56" s="17">
        <f>'02_Socle'!C52</f>
        <v/>
      </c>
      <c r="D56" s="45">
        <f>'02_Socle'!E52</f>
        <v/>
      </c>
      <c r="E56" s="45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F56*0.12+0.021*SUMIFS('02_Socle'!$U$4:$U$61,'02_Socle'!$A$4:$A$61,A56,'02_Socle'!$B$4:$B$61,B56)*IFERROR('02_Socle'!K52/SUMIFS('02_Socle'!$K$4:$K$61,'02_Socle'!$A$4:$A$61,A56,'02_Socle'!$B$4:$B$61,B56),0)</f>
        <v/>
      </c>
      <c r="J56" s="15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9" t="n">
        <v>0</v>
      </c>
    </row>
    <row r="57">
      <c r="A57" s="17">
        <f>'02_Socle'!A53</f>
        <v/>
      </c>
      <c r="B57" s="45">
        <f>'02_Socle'!B53</f>
        <v/>
      </c>
      <c r="C57" s="17">
        <f>'02_Socle'!C53</f>
        <v/>
      </c>
      <c r="D57" s="45">
        <f>'02_Socle'!E53</f>
        <v/>
      </c>
      <c r="E57" s="45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F57*0.12+0.021*SUMIFS('02_Socle'!$U$4:$U$61,'02_Socle'!$A$4:$A$61,A57,'02_Socle'!$B$4:$B$61,B57)*IFERROR('02_Socle'!K53/SUMIFS('02_Socle'!$K$4:$K$61,'02_Socle'!$A$4:$A$61,A57,'02_Socle'!$B$4:$B$61,B57),0)</f>
        <v/>
      </c>
      <c r="J57" s="15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9" t="n">
        <v>0</v>
      </c>
    </row>
    <row r="58">
      <c r="A58" s="17">
        <f>'02_Socle'!A54</f>
        <v/>
      </c>
      <c r="B58" s="45">
        <f>'02_Socle'!B54</f>
        <v/>
      </c>
      <c r="C58" s="17">
        <f>'02_Socle'!C54</f>
        <v/>
      </c>
      <c r="D58" s="45">
        <f>'02_Socle'!E54</f>
        <v/>
      </c>
      <c r="E58" s="45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F58*0.12+0.021*SUMIFS('02_Socle'!$U$4:$U$61,'02_Socle'!$A$4:$A$61,A58,'02_Socle'!$B$4:$B$61,B58)*IFERROR('02_Socle'!K54/SUMIFS('02_Socle'!$K$4:$K$61,'02_Socle'!$A$4:$A$61,A58,'02_Socle'!$B$4:$B$61,B58),0)</f>
        <v/>
      </c>
      <c r="J58" s="15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9" t="n">
        <v>0</v>
      </c>
    </row>
    <row r="59">
      <c r="A59" s="17">
        <f>'02_Socle'!A55</f>
        <v/>
      </c>
      <c r="B59" s="45">
        <f>'02_Socle'!B55</f>
        <v/>
      </c>
      <c r="C59" s="17">
        <f>'02_Socle'!C55</f>
        <v/>
      </c>
      <c r="D59" s="45">
        <f>'02_Socle'!E55</f>
        <v/>
      </c>
      <c r="E59" s="45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F59*0.12+0.021*SUMIFS('02_Socle'!$U$4:$U$61,'02_Socle'!$A$4:$A$61,A59,'02_Socle'!$B$4:$B$61,B59)*IFERROR('02_Socle'!K55/SUMIFS('02_Socle'!$K$4:$K$61,'02_Socle'!$A$4:$A$61,A59,'02_Socle'!$B$4:$B$61,B59),0)</f>
        <v/>
      </c>
      <c r="J59" s="15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9" t="n">
        <v>0</v>
      </c>
    </row>
    <row r="60">
      <c r="A60" s="17">
        <f>'02_Socle'!A56</f>
        <v/>
      </c>
      <c r="B60" s="45">
        <f>'02_Socle'!B56</f>
        <v/>
      </c>
      <c r="C60" s="17">
        <f>'02_Socle'!C56</f>
        <v/>
      </c>
      <c r="D60" s="45">
        <f>'02_Socle'!E56</f>
        <v/>
      </c>
      <c r="E60" s="45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F60*0.12+0.021*SUMIFS('02_Socle'!$U$4:$U$61,'02_Socle'!$A$4:$A$61,A60,'02_Socle'!$B$4:$B$61,B60)*IFERROR('02_Socle'!K56/SUMIFS('02_Socle'!$K$4:$K$61,'02_Socle'!$A$4:$A$61,A60,'02_Socle'!$B$4:$B$61,B60),0)</f>
        <v/>
      </c>
      <c r="J60" s="15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9" t="n">
        <v>0</v>
      </c>
    </row>
    <row r="61">
      <c r="A61" s="17">
        <f>'02_Socle'!A57</f>
        <v/>
      </c>
      <c r="B61" s="45">
        <f>'02_Socle'!B57</f>
        <v/>
      </c>
      <c r="C61" s="17">
        <f>'02_Socle'!C57</f>
        <v/>
      </c>
      <c r="D61" s="45">
        <f>'02_Socle'!E57</f>
        <v/>
      </c>
      <c r="E61" s="45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F61*0.12+0.021*SUMIFS('02_Socle'!$U$4:$U$61,'02_Socle'!$A$4:$A$61,A61,'02_Socle'!$B$4:$B$61,B61)*IFERROR('02_Socle'!K57/SUMIFS('02_Socle'!$K$4:$K$61,'02_Socle'!$A$4:$A$61,A61,'02_Socle'!$B$4:$B$61,B61),0)</f>
        <v/>
      </c>
      <c r="J61" s="15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9" t="n">
        <v>0</v>
      </c>
    </row>
    <row r="62">
      <c r="A62" s="17">
        <f>'02_Socle'!A58</f>
        <v/>
      </c>
      <c r="B62" s="45">
        <f>'02_Socle'!B58</f>
        <v/>
      </c>
      <c r="C62" s="17">
        <f>'02_Socle'!C58</f>
        <v/>
      </c>
      <c r="D62" s="45">
        <f>'02_Socle'!E58</f>
        <v/>
      </c>
      <c r="E62" s="45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F62*0.12+0.021*SUMIFS('02_Socle'!$U$4:$U$61,'02_Socle'!$A$4:$A$61,A62,'02_Socle'!$B$4:$B$61,B62)*IFERROR('02_Socle'!K58/SUMIFS('02_Socle'!$K$4:$K$61,'02_Socle'!$A$4:$A$61,A62,'02_Socle'!$B$4:$B$61,B62),0)</f>
        <v/>
      </c>
      <c r="J62" s="15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9" t="n">
        <v>0</v>
      </c>
    </row>
    <row r="63">
      <c r="A63" s="17">
        <f>'02_Socle'!A59</f>
        <v/>
      </c>
      <c r="B63" s="45">
        <f>'02_Socle'!B59</f>
        <v/>
      </c>
      <c r="C63" s="17">
        <f>'02_Socle'!C59</f>
        <v/>
      </c>
      <c r="D63" s="45">
        <f>'02_Socle'!E59</f>
        <v/>
      </c>
      <c r="E63" s="45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F63*0.12+0.021*SUMIFS('02_Socle'!$U$4:$U$61,'02_Socle'!$A$4:$A$61,A63,'02_Socle'!$B$4:$B$61,B63)*IFERROR('02_Socle'!K59/SUMIFS('02_Socle'!$K$4:$K$61,'02_Socle'!$A$4:$A$61,A63,'02_Socle'!$B$4:$B$61,B63),0)</f>
        <v/>
      </c>
      <c r="J63" s="15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9" t="n">
        <v>0</v>
      </c>
    </row>
    <row r="64">
      <c r="A64" s="17">
        <f>'02_Socle'!A60</f>
        <v/>
      </c>
      <c r="B64" s="45">
        <f>'02_Socle'!B60</f>
        <v/>
      </c>
      <c r="C64" s="17">
        <f>'02_Socle'!C60</f>
        <v/>
      </c>
      <c r="D64" s="45">
        <f>'02_Socle'!E60</f>
        <v/>
      </c>
      <c r="E64" s="45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F64*0.12+0.021*SUMIFS('02_Socle'!$U$4:$U$61,'02_Socle'!$A$4:$A$61,A64,'02_Socle'!$B$4:$B$61,B64)*IFERROR('02_Socle'!K60/SUMIFS('02_Socle'!$K$4:$K$61,'02_Socle'!$A$4:$A$61,A64,'02_Socle'!$B$4:$B$61,B64),0)</f>
        <v/>
      </c>
      <c r="J64" s="15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9" t="n">
        <v>0</v>
      </c>
    </row>
    <row r="65">
      <c r="A65" s="17">
        <f>'02_Socle'!A61</f>
        <v/>
      </c>
      <c r="B65" s="45">
        <f>'02_Socle'!B61</f>
        <v/>
      </c>
      <c r="C65" s="17">
        <f>'02_Socle'!C61</f>
        <v/>
      </c>
      <c r="D65" s="45">
        <f>'02_Socle'!E61</f>
        <v/>
      </c>
      <c r="E65" s="45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F65*0.12+0.021*SUMIFS('02_Socle'!$U$4:$U$61,'02_Socle'!$A$4:$A$61,A65,'02_Socle'!$B$4:$B$61,B65)*IFERROR('02_Socle'!K61/SUMIFS('02_Socle'!$K$4:$K$61,'02_Socle'!$A$4:$A$61,A65,'02_Socle'!$B$4:$B$61,B65),0)</f>
        <v/>
      </c>
      <c r="J65" s="15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9" t="n">
        <v>0</v>
      </c>
    </row>
    <row r="66">
      <c r="A66" s="49" t="inlineStr">
        <is>
          <t>TOTAL</t>
        </is>
      </c>
      <c r="B66" s="50" t="inlineStr">
        <is>
          <t> </t>
        </is>
      </c>
      <c r="C66" s="50" t="inlineStr">
        <is>
          <t> </t>
        </is>
      </c>
      <c r="D66" s="50" t="inlineStr">
        <is>
          <t> </t>
        </is>
      </c>
      <c r="E66" s="50" t="inlineStr">
        <is>
          <t> </t>
        </is>
      </c>
      <c r="F66" s="51">
        <f>SUM(F8:F65)</f>
        <v/>
      </c>
      <c r="G66" s="52">
        <f>SUM(G8:G65)</f>
        <v/>
      </c>
      <c r="H66" s="52">
        <f>SUM(H8:H65)</f>
        <v/>
      </c>
      <c r="I66" s="51">
        <f>SUM(I8:I65)</f>
        <v/>
      </c>
      <c r="J66" s="51">
        <f>SUM(J8:J65)</f>
        <v/>
      </c>
      <c r="K66" s="51">
        <f>SUM(K8:K65)</f>
        <v/>
      </c>
      <c r="L66" s="51">
        <f>SUM(L8:L65)</f>
        <v/>
      </c>
      <c r="M66" s="51">
        <f>IFERROR(L66/G66,0)</f>
        <v/>
      </c>
      <c r="N66" s="51">
        <f>IFERROR(L66/H66,0)</f>
        <v/>
      </c>
      <c r="O66" s="51">
        <f>IFERROR(F66/G66-M66,0)</f>
        <v/>
      </c>
      <c r="P66" s="80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36" t="n"/>
      <c r="E69" s="36" t="n"/>
      <c r="F69" s="36" t="n"/>
      <c r="G69" s="36" t="n"/>
      <c r="H69" s="37" t="n"/>
    </row>
    <row r="70" ht="42" customHeight="1">
      <c r="A70" s="81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6" t="n"/>
      <c r="E70" s="36" t="n"/>
      <c r="F70" s="36" t="n"/>
      <c r="G70" s="36" t="n"/>
      <c r="H70" s="37" t="n"/>
    </row>
    <row r="72">
      <c r="A72" s="8" t="inlineStr">
        <is>
          <t>Contestations en attente :</t>
        </is>
      </c>
      <c r="D72" s="82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83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83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83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83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83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83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60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5" customWidth="1" min="3" max="3"/>
    <col width="7" customWidth="1" min="4" max="4"/>
    <col width="7" customWidth="1" min="5" max="5"/>
    <col width="9" customWidth="1" min="6" max="6"/>
    <col width="7" customWidth="1" min="7" max="7"/>
    <col width="10" customWidth="1" min="8" max="8"/>
    <col width="9" customWidth="1" min="9" max="9"/>
    <col width="10" customWidth="1" min="10" max="10"/>
    <col width="9" customWidth="1" min="11" max="11"/>
    <col width="10" customWidth="1" min="12" max="12"/>
    <col width="10" customWidth="1" min="13" max="13"/>
    <col width="12" customWidth="1" min="14" max="14"/>
    <col width="11" customWidth="1" min="15" max="15"/>
    <col width="11" customWidth="1" min="16" max="16"/>
    <col width="12" customWidth="1" min="17" max="17"/>
    <col width="13" customWidth="1" min="18" max="18"/>
    <col width="12" customWidth="1" min="19" max="19"/>
    <col width="44" customWidth="1" min="20" max="20"/>
  </cols>
  <sheetData>
    <row r="1" ht="24" customHeight="1">
      <c r="A1" s="1" t="inlineStr">
        <is>
          <t>PLANIFICATEUR DE SECTIONS — dimensionner l'offre (nombre de sections) sur la DEMANDE projetée · décision sur les ENTRÉES · ouvrir ⇆ fusionner dans le MÊME tableau</t>
        </is>
      </c>
    </row>
    <row r="2" ht="44" customHeight="1">
      <c r="A2" s="7" t="inlineStr">
        <is>
          <t>On raisonne comme un directeur de campus : une SECTION coûte un enseignant (fixe/section, qu'elle soit pleine ou non). On ouvre là où la DEMANDE dépasse la capacité, on fusionne là où les sections sont sous-remplies. Effectif projeté = MIN(demande, sections×capacité). Contribution = CA − enseignement − variable. Décision sur la 1ʳᵉ année ; B2/B3 suivent la cohorte.</t>
        </is>
      </c>
    </row>
    <row r="3">
      <c r="A3" s="8" t="inlineStr">
        <is>
          <t>🟢 Enseignant / section :</t>
        </is>
      </c>
      <c r="C3" s="66">
        <f>(SUMIFS('06_Compta'!$L$4:$L$675,'06_Compta'!$E$4:$E$675,"621",'06_Compta'!$J$4:$J$675,"2026ATT_VDEF")+SUMIFS('06_Compta'!$L$4:$L$675,'06_Compta'!$E$4:$E$675,"6411",'06_Compta'!$J$4:$J$675,"2026ATT_VDEF"))/SUM('02_Socle'!$O$4:$O$61)</f>
        <v/>
      </c>
      <c r="D3" s="8" t="inlineStr">
        <is>
          <t>Variable / étudiant :</t>
        </is>
      </c>
      <c r="E3" s="66">
        <f>(SUMIFS('06_Compta'!$L$4:$L$675,'06_Compta'!$E$4:$E$675,"604",'06_Compta'!$J$4:$J$675,"2026ATT_VDEF")+SUMIFS('06_Compta'!$L$4:$L$675,'06_Compta'!$E$4:$E$675,"6063",'06_Compta'!$J$4:$J$675,"2026ATT_VDEF"))/SUM('02_Socle'!$M$4:$M$61)</f>
        <v/>
      </c>
      <c r="F3" s="8" t="inlineStr">
        <is>
          <t>Mkt / entrant :</t>
        </is>
      </c>
      <c r="G3" s="66">
        <f>SUMIFS('06_Compta'!$L$4:$L$675,'06_Compta'!$E$4:$E$675,"6231",'06_Compta'!$J$4:$J$675,"2026ATT_VDEF")/SUM('02_Socle'!$K$4:$K$61)</f>
        <v/>
      </c>
      <c r="H3" s="8" t="inlineStr">
        <is>
          <t>Fixe campus (loyer, permanents…) :</t>
        </is>
      </c>
      <c r="J3" s="84" t="n">
        <v>0.385</v>
      </c>
      <c r="K3" s="31" t="inlineStr">
        <is>
          <t>du CA (se réalloue si l'effectif bouge → colonne ripple ci-dessous)</t>
        </is>
      </c>
    </row>
    <row r="5" ht="40" customHeight="1">
      <c r="A5" s="11" t="inlineStr">
        <is>
          <t>Marque</t>
        </is>
      </c>
      <c r="B5" s="11" t="inlineStr">
        <is>
          <t>Ville</t>
        </is>
      </c>
      <c r="C5" s="11" t="inlineStr">
        <is>
          <t>Programme</t>
        </is>
      </c>
      <c r="D5" s="11" t="inlineStr">
        <is>
          <t>Niveau</t>
        </is>
      </c>
      <c r="E5" s="11" t="inlineStr">
        <is>
          <t>Cap/sect.</t>
        </is>
      </c>
      <c r="F5" s="11" t="inlineStr">
        <is>
          <t>Effectif actuel</t>
        </is>
      </c>
      <c r="G5" s="11" t="inlineStr">
        <is>
          <t>Sect. act.</t>
        </is>
      </c>
      <c r="H5" s="11" t="inlineStr">
        <is>
          <t>Demande projetée</t>
        </is>
      </c>
      <c r="I5" s="11" t="inlineStr">
        <is>
          <t>🎯 Sect. reco.</t>
        </is>
      </c>
      <c r="J5" s="11" t="inlineStr">
        <is>
          <t>🔵 Sect. planif.</t>
        </is>
      </c>
      <c r="K5" s="11" t="inlineStr">
        <is>
          <t>Capacité</t>
        </is>
      </c>
      <c r="L5" s="11" t="inlineStr">
        <is>
          <t>Effectif projeté</t>
        </is>
      </c>
      <c r="M5" s="11" t="inlineStr">
        <is>
          <t>Remplissage</t>
        </is>
      </c>
      <c r="N5" s="11" t="inlineStr">
        <is>
          <t>CA projeté</t>
        </is>
      </c>
      <c r="O5" s="11" t="inlineStr">
        <is>
          <t>Enseignement</t>
        </is>
      </c>
      <c r="P5" s="11" t="inlineStr">
        <is>
          <t>Variable+Mkt</t>
        </is>
      </c>
      <c r="Q5" s="11" t="inlineStr">
        <is>
          <t>Contribution</t>
        </is>
      </c>
      <c r="R5" s="11" t="inlineStr">
        <is>
          <t>Contrib. à structure act.</t>
        </is>
      </c>
      <c r="S5" s="11" t="inlineStr">
        <is>
          <t>Δ Contribution</t>
        </is>
      </c>
      <c r="T5" s="11" t="inlineStr">
        <is>
          <t>Conseil</t>
        </is>
      </c>
    </row>
    <row r="6">
      <c r="A6" s="17">
        <f>'02_Socle'!A4</f>
        <v/>
      </c>
      <c r="B6" s="45">
        <f>'02_Socle'!B4</f>
        <v/>
      </c>
      <c r="C6" s="17">
        <f>'02_Socle'!C4</f>
        <v/>
      </c>
      <c r="D6" s="45">
        <f>'02_Socle'!E4</f>
        <v/>
      </c>
      <c r="E6" s="57" t="n">
        <v>32</v>
      </c>
      <c r="F6" s="23">
        <f>'02_Socle'!M4</f>
        <v/>
      </c>
      <c r="G6" s="23">
        <f>'02_Socle'!O4</f>
        <v/>
      </c>
      <c r="H6" s="79" t="n">
        <v>115</v>
      </c>
      <c r="I6" s="85">
        <f>MAX(1,CEILING(H6/E6,1))</f>
        <v/>
      </c>
      <c r="J6" s="79" t="n">
        <v>3</v>
      </c>
      <c r="K6" s="23">
        <f>J6*E6</f>
        <v/>
      </c>
      <c r="L6" s="22">
        <f>MIN(H6,K6)</f>
        <v/>
      </c>
      <c r="M6" s="47">
        <f>IFERROR(L6/K6,0)</f>
        <v/>
      </c>
      <c r="N6" s="15">
        <f>L6*('02_Socle'!P4+'01_Cadrage'!$H$30)</f>
        <v/>
      </c>
      <c r="O6" s="15">
        <f>J6*$C$3</f>
        <v/>
      </c>
      <c r="P6" s="15">
        <f>L6*($E$3+$G$3)</f>
        <v/>
      </c>
      <c r="Q6" s="14">
        <f>N6-O6-P6</f>
        <v/>
      </c>
      <c r="R6" s="15">
        <f>MIN(H6,G6*E6)*('02_Socle'!P4+'01_Cadrage'!$H$30)-G6*$C$3-MIN(H6,G6*E6)*($E$3+$G$3)</f>
        <v/>
      </c>
      <c r="S6" s="14">
        <f>Q6-R6</f>
        <v/>
      </c>
      <c r="T6" s="61">
        <f>IF(I6&gt;G6,"🟢 OUVRIR +"&amp;(I6-G6)&amp;" — demande "&amp;H6&amp;" &gt; capacité "&amp;(G6*E6)&amp;" (sections pleines, on refuse des étudiants)",IF(I6&lt;G6,"🟠 FUSIONNER −"&amp;(G6-I6)&amp;" — "&amp;(G6*E6)&amp;" places pour "&amp;H6&amp;" demandés (sous-remplissage)","✔ Maintenir — offre alignée sur la demande"))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57" t="n">
        <v>26</v>
      </c>
      <c r="F7" s="23">
        <f>'02_Socle'!M7</f>
        <v/>
      </c>
      <c r="G7" s="23">
        <f>'02_Socle'!O7</f>
        <v/>
      </c>
      <c r="H7" s="79" t="n">
        <v>115</v>
      </c>
      <c r="I7" s="85">
        <f>MAX(1,CEILING(H7/E7,1))</f>
        <v/>
      </c>
      <c r="J7" s="79" t="n">
        <v>3</v>
      </c>
      <c r="K7" s="23">
        <f>J7*E7</f>
        <v/>
      </c>
      <c r="L7" s="22">
        <f>MIN(H7,K7)</f>
        <v/>
      </c>
      <c r="M7" s="47">
        <f>IFERROR(L7/K7,0)</f>
        <v/>
      </c>
      <c r="N7" s="15">
        <f>L7*('02_Socle'!P7+'01_Cadrage'!$H$30)</f>
        <v/>
      </c>
      <c r="O7" s="15">
        <f>J7*$C$3</f>
        <v/>
      </c>
      <c r="P7" s="15">
        <f>L7*($E$3+$G$3)</f>
        <v/>
      </c>
      <c r="Q7" s="14">
        <f>N7-O7-P7</f>
        <v/>
      </c>
      <c r="R7" s="15">
        <f>MIN(H7,G7*E7)*('02_Socle'!P7+'01_Cadrage'!$H$30)-G7*$C$3-MIN(H7,G7*E7)*($E$3+$G$3)</f>
        <v/>
      </c>
      <c r="S7" s="14">
        <f>Q7-R7</f>
        <v/>
      </c>
      <c r="T7" s="61">
        <f>IF(I7&gt;G7,"🟢 OUVRIR +"&amp;(I7-G7)&amp;" — demande "&amp;H7&amp;" &gt; capacité "&amp;(G7*E7)&amp;" (sections pleines, on refuse des étudiants)",IF(I7&lt;G7,"🟠 FUSIONNER −"&amp;(G7-I7)&amp;" — "&amp;(G7*E7)&amp;" places pour "&amp;H7&amp;" demandés (sous-remplissage)","✔ Maintenir — offre alignée sur la demande"))</f>
        <v/>
      </c>
    </row>
    <row r="8">
      <c r="A8" s="17">
        <f>'02_Socle'!A9</f>
        <v/>
      </c>
      <c r="B8" s="45">
        <f>'02_Socle'!B9</f>
        <v/>
      </c>
      <c r="C8" s="17">
        <f>'02_Socle'!C9</f>
        <v/>
      </c>
      <c r="D8" s="45">
        <f>'02_Socle'!E9</f>
        <v/>
      </c>
      <c r="E8" s="57" t="n">
        <v>32</v>
      </c>
      <c r="F8" s="23">
        <f>'02_Socle'!M9</f>
        <v/>
      </c>
      <c r="G8" s="23">
        <f>'02_Socle'!O9</f>
        <v/>
      </c>
      <c r="H8" s="79" t="n">
        <v>81</v>
      </c>
      <c r="I8" s="85">
        <f>MAX(1,CEILING(H8/E8,1))</f>
        <v/>
      </c>
      <c r="J8" s="79" t="n">
        <v>3</v>
      </c>
      <c r="K8" s="23">
        <f>J8*E8</f>
        <v/>
      </c>
      <c r="L8" s="22">
        <f>MIN(H8,K8)</f>
        <v/>
      </c>
      <c r="M8" s="47">
        <f>IFERROR(L8/K8,0)</f>
        <v/>
      </c>
      <c r="N8" s="15">
        <f>L8*('02_Socle'!P9+'01_Cadrage'!$H$30)</f>
        <v/>
      </c>
      <c r="O8" s="15">
        <f>J8*$C$3</f>
        <v/>
      </c>
      <c r="P8" s="15">
        <f>L8*($E$3+$G$3)</f>
        <v/>
      </c>
      <c r="Q8" s="14">
        <f>N8-O8-P8</f>
        <v/>
      </c>
      <c r="R8" s="15">
        <f>MIN(H8,G8*E8)*('02_Socle'!P9+'01_Cadrage'!$H$30)-G8*$C$3-MIN(H8,G8*E8)*($E$3+$G$3)</f>
        <v/>
      </c>
      <c r="S8" s="14">
        <f>Q8-R8</f>
        <v/>
      </c>
      <c r="T8" s="61">
        <f>IF(I8&gt;G8,"🟢 OUVRIR +"&amp;(I8-G8)&amp;" — demande "&amp;H8&amp;" &gt; capacité "&amp;(G8*E8)&amp;" (sections pleines, on refuse des étudiants)",IF(I8&lt;G8,"🟠 FUSIONNER −"&amp;(G8-I8)&amp;" — "&amp;(G8*E8)&amp;" places pour "&amp;H8&amp;" demandés (sous-remplissage)","✔ Maintenir — offre alignée sur la demande"))</f>
        <v/>
      </c>
    </row>
    <row r="9">
      <c r="A9" s="17">
        <f>'02_Socle'!A12</f>
        <v/>
      </c>
      <c r="B9" s="45">
        <f>'02_Socle'!B12</f>
        <v/>
      </c>
      <c r="C9" s="17">
        <f>'02_Socle'!C12</f>
        <v/>
      </c>
      <c r="D9" s="45">
        <f>'02_Socle'!E12</f>
        <v/>
      </c>
      <c r="E9" s="57" t="n">
        <v>26</v>
      </c>
      <c r="F9" s="23">
        <f>'02_Socle'!M12</f>
        <v/>
      </c>
      <c r="G9" s="23">
        <f>'02_Socle'!O12</f>
        <v/>
      </c>
      <c r="H9" s="79" t="n">
        <v>81</v>
      </c>
      <c r="I9" s="85">
        <f>MAX(1,CEILING(H9/E9,1))</f>
        <v/>
      </c>
      <c r="J9" s="79" t="n">
        <v>3</v>
      </c>
      <c r="K9" s="23">
        <f>J9*E9</f>
        <v/>
      </c>
      <c r="L9" s="22">
        <f>MIN(H9,K9)</f>
        <v/>
      </c>
      <c r="M9" s="47">
        <f>IFERROR(L9/K9,0)</f>
        <v/>
      </c>
      <c r="N9" s="15">
        <f>L9*('02_Socle'!P12+'01_Cadrage'!$H$30)</f>
        <v/>
      </c>
      <c r="O9" s="15">
        <f>J9*$C$3</f>
        <v/>
      </c>
      <c r="P9" s="15">
        <f>L9*($E$3+$G$3)</f>
        <v/>
      </c>
      <c r="Q9" s="14">
        <f>N9-O9-P9</f>
        <v/>
      </c>
      <c r="R9" s="15">
        <f>MIN(H9,G9*E9)*('02_Socle'!P12+'01_Cadrage'!$H$30)-G9*$C$3-MIN(H9,G9*E9)*($E$3+$G$3)</f>
        <v/>
      </c>
      <c r="S9" s="14">
        <f>Q9-R9</f>
        <v/>
      </c>
      <c r="T9" s="61">
        <f>IF(I9&gt;G9,"🟢 OUVRIR +"&amp;(I9-G9)&amp;" — demande "&amp;H9&amp;" &gt; capacité "&amp;(G9*E9)&amp;" (sections pleines, on refuse des étudiants)",IF(I9&lt;G9,"🟠 FUSIONNER −"&amp;(G9-I9)&amp;" — "&amp;(G9*E9)&amp;" places pour "&amp;H9&amp;" demandés (sous-remplissage)","✔ Maintenir — offre alignée sur la demande"))</f>
        <v/>
      </c>
    </row>
    <row r="10">
      <c r="A10" s="17">
        <f>'02_Socle'!A14</f>
        <v/>
      </c>
      <c r="B10" s="45">
        <f>'02_Socle'!B14</f>
        <v/>
      </c>
      <c r="C10" s="17">
        <f>'02_Socle'!C14</f>
        <v/>
      </c>
      <c r="D10" s="45">
        <f>'02_Socle'!E14</f>
        <v/>
      </c>
      <c r="E10" s="57" t="n">
        <v>32</v>
      </c>
      <c r="F10" s="23">
        <f>'02_Socle'!M14</f>
        <v/>
      </c>
      <c r="G10" s="23">
        <f>'02_Socle'!O14</f>
        <v/>
      </c>
      <c r="H10" s="79" t="n">
        <v>71</v>
      </c>
      <c r="I10" s="85">
        <f>MAX(1,CEILING(H10/E10,1))</f>
        <v/>
      </c>
      <c r="J10" s="79" t="n">
        <v>2</v>
      </c>
      <c r="K10" s="23">
        <f>J10*E10</f>
        <v/>
      </c>
      <c r="L10" s="22">
        <f>MIN(H10,K10)</f>
        <v/>
      </c>
      <c r="M10" s="47">
        <f>IFERROR(L10/K10,0)</f>
        <v/>
      </c>
      <c r="N10" s="15">
        <f>L10*('02_Socle'!P14+'01_Cadrage'!$H$30)</f>
        <v/>
      </c>
      <c r="O10" s="15">
        <f>J10*$C$3</f>
        <v/>
      </c>
      <c r="P10" s="15">
        <f>L10*($E$3+$G$3)</f>
        <v/>
      </c>
      <c r="Q10" s="14">
        <f>N10-O10-P10</f>
        <v/>
      </c>
      <c r="R10" s="15">
        <f>MIN(H10,G10*E10)*('02_Socle'!P14+'01_Cadrage'!$H$30)-G10*$C$3-MIN(H10,G10*E10)*($E$3+$G$3)</f>
        <v/>
      </c>
      <c r="S10" s="14">
        <f>Q10-R10</f>
        <v/>
      </c>
      <c r="T10" s="61">
        <f>IF(I10&gt;G10,"🟢 OUVRIR +"&amp;(I10-G10)&amp;" — demande "&amp;H10&amp;" &gt; capacité "&amp;(G10*E10)&amp;" (sections pleines, on refuse des étudiants)",IF(I10&lt;G10,"🟠 FUSIONNER −"&amp;(G10-I10)&amp;" — "&amp;(G10*E10)&amp;" places pour "&amp;H10&amp;" demandés (sous-remplissage)","✔ Maintenir — offre alignée sur la demande"))</f>
        <v/>
      </c>
    </row>
    <row r="11">
      <c r="A11" s="17">
        <f>'02_Socle'!A17</f>
        <v/>
      </c>
      <c r="B11" s="45">
        <f>'02_Socle'!B17</f>
        <v/>
      </c>
      <c r="C11" s="17">
        <f>'02_Socle'!C17</f>
        <v/>
      </c>
      <c r="D11" s="45">
        <f>'02_Socle'!E17</f>
        <v/>
      </c>
      <c r="E11" s="57" t="n">
        <v>26</v>
      </c>
      <c r="F11" s="23">
        <f>'02_Socle'!M17</f>
        <v/>
      </c>
      <c r="G11" s="23">
        <f>'02_Socle'!O17</f>
        <v/>
      </c>
      <c r="H11" s="79" t="n">
        <v>71</v>
      </c>
      <c r="I11" s="85">
        <f>MAX(1,CEILING(H11/E11,1))</f>
        <v/>
      </c>
      <c r="J11" s="79" t="n">
        <v>3</v>
      </c>
      <c r="K11" s="23">
        <f>J11*E11</f>
        <v/>
      </c>
      <c r="L11" s="22">
        <f>MIN(H11,K11)</f>
        <v/>
      </c>
      <c r="M11" s="47">
        <f>IFERROR(L11/K11,0)</f>
        <v/>
      </c>
      <c r="N11" s="15">
        <f>L11*('02_Socle'!P17+'01_Cadrage'!$H$30)</f>
        <v/>
      </c>
      <c r="O11" s="15">
        <f>J11*$C$3</f>
        <v/>
      </c>
      <c r="P11" s="15">
        <f>L11*($E$3+$G$3)</f>
        <v/>
      </c>
      <c r="Q11" s="14">
        <f>N11-O11-P11</f>
        <v/>
      </c>
      <c r="R11" s="15">
        <f>MIN(H11,G11*E11)*('02_Socle'!P17+'01_Cadrage'!$H$30)-G11*$C$3-MIN(H11,G11*E11)*($E$3+$G$3)</f>
        <v/>
      </c>
      <c r="S11" s="14">
        <f>Q11-R11</f>
        <v/>
      </c>
      <c r="T11" s="61">
        <f>IF(I11&gt;G11,"🟢 OUVRIR +"&amp;(I11-G11)&amp;" — demande "&amp;H11&amp;" &gt; capacité "&amp;(G11*E11)&amp;" (sections pleines, on refuse des étudiants)",IF(I11&lt;G11,"🟠 FUSIONNER −"&amp;(G11-I11)&amp;" — "&amp;(G11*E11)&amp;" places pour "&amp;H11&amp;" demandés (sous-remplissage)","✔ Maintenir — offre alignée sur la demande"))</f>
        <v/>
      </c>
    </row>
    <row r="12">
      <c r="A12" s="17">
        <f>'02_Socle'!A19</f>
        <v/>
      </c>
      <c r="B12" s="45">
        <f>'02_Socle'!B19</f>
        <v/>
      </c>
      <c r="C12" s="17">
        <f>'02_Socle'!C19</f>
        <v/>
      </c>
      <c r="D12" s="45">
        <f>'02_Socle'!E19</f>
        <v/>
      </c>
      <c r="E12" s="57" t="n">
        <v>32</v>
      </c>
      <c r="F12" s="23">
        <f>'02_Socle'!M19</f>
        <v/>
      </c>
      <c r="G12" s="23">
        <f>'02_Socle'!O19</f>
        <v/>
      </c>
      <c r="H12" s="79" t="n">
        <v>50</v>
      </c>
      <c r="I12" s="85">
        <f>MAX(1,CEILING(H12/E12,1))</f>
        <v/>
      </c>
      <c r="J12" s="79" t="n">
        <v>2</v>
      </c>
      <c r="K12" s="23">
        <f>J12*E12</f>
        <v/>
      </c>
      <c r="L12" s="22">
        <f>MIN(H12,K12)</f>
        <v/>
      </c>
      <c r="M12" s="47">
        <f>IFERROR(L12/K12,0)</f>
        <v/>
      </c>
      <c r="N12" s="15">
        <f>L12*('02_Socle'!P19+'01_Cadrage'!$H$30)</f>
        <v/>
      </c>
      <c r="O12" s="15">
        <f>J12*$C$3</f>
        <v/>
      </c>
      <c r="P12" s="15">
        <f>L12*($E$3+$G$3)</f>
        <v/>
      </c>
      <c r="Q12" s="14">
        <f>N12-O12-P12</f>
        <v/>
      </c>
      <c r="R12" s="15">
        <f>MIN(H12,G12*E12)*('02_Socle'!P19+'01_Cadrage'!$H$30)-G12*$C$3-MIN(H12,G12*E12)*($E$3+$G$3)</f>
        <v/>
      </c>
      <c r="S12" s="14">
        <f>Q12-R12</f>
        <v/>
      </c>
      <c r="T12" s="61">
        <f>IF(I12&gt;G12,"🟢 OUVRIR +"&amp;(I12-G12)&amp;" — demande "&amp;H12&amp;" &gt; capacité "&amp;(G12*E12)&amp;" (sections pleines, on refuse des étudiants)",IF(I12&lt;G12,"🟠 FUSIONNER −"&amp;(G12-I12)&amp;" — "&amp;(G12*E12)&amp;" places pour "&amp;H12&amp;" demandés (sous-remplissage)","✔ Maintenir — offre alignée sur la demande"))</f>
        <v/>
      </c>
    </row>
    <row r="13">
      <c r="A13" s="17">
        <f>'02_Socle'!A22</f>
        <v/>
      </c>
      <c r="B13" s="45">
        <f>'02_Socle'!B22</f>
        <v/>
      </c>
      <c r="C13" s="17">
        <f>'02_Socle'!C22</f>
        <v/>
      </c>
      <c r="D13" s="45">
        <f>'02_Socle'!E22</f>
        <v/>
      </c>
      <c r="E13" s="57" t="n">
        <v>26</v>
      </c>
      <c r="F13" s="23">
        <f>'02_Socle'!M22</f>
        <v/>
      </c>
      <c r="G13" s="23">
        <f>'02_Socle'!O22</f>
        <v/>
      </c>
      <c r="H13" s="79" t="n">
        <v>50</v>
      </c>
      <c r="I13" s="85">
        <f>MAX(1,CEILING(H13/E13,1))</f>
        <v/>
      </c>
      <c r="J13" s="79" t="n">
        <v>2</v>
      </c>
      <c r="K13" s="23">
        <f>J13*E13</f>
        <v/>
      </c>
      <c r="L13" s="22">
        <f>MIN(H13,K13)</f>
        <v/>
      </c>
      <c r="M13" s="47">
        <f>IFERROR(L13/K13,0)</f>
        <v/>
      </c>
      <c r="N13" s="15">
        <f>L13*('02_Socle'!P22+'01_Cadrage'!$H$30)</f>
        <v/>
      </c>
      <c r="O13" s="15">
        <f>J13*$C$3</f>
        <v/>
      </c>
      <c r="P13" s="15">
        <f>L13*($E$3+$G$3)</f>
        <v/>
      </c>
      <c r="Q13" s="14">
        <f>N13-O13-P13</f>
        <v/>
      </c>
      <c r="R13" s="15">
        <f>MIN(H13,G13*E13)*('02_Socle'!P22+'01_Cadrage'!$H$30)-G13*$C$3-MIN(H13,G13*E13)*($E$3+$G$3)</f>
        <v/>
      </c>
      <c r="S13" s="14">
        <f>Q13-R13</f>
        <v/>
      </c>
      <c r="T13" s="61">
        <f>IF(I13&gt;G13,"🟢 OUVRIR +"&amp;(I13-G13)&amp;" — demande "&amp;H13&amp;" &gt; capacité "&amp;(G13*E13)&amp;" (sections pleines, on refuse des étudiants)",IF(I13&lt;G13,"🟠 FUSIONNER −"&amp;(G13-I13)&amp;" — "&amp;(G13*E13)&amp;" places pour "&amp;H13&amp;" demandés (sous-remplissage)","✔ Maintenir — offre alignée sur la demande"))</f>
        <v/>
      </c>
    </row>
    <row r="14">
      <c r="A14" s="17">
        <f>'02_Socle'!A24</f>
        <v/>
      </c>
      <c r="B14" s="45">
        <f>'02_Socle'!B24</f>
        <v/>
      </c>
      <c r="C14" s="17">
        <f>'02_Socle'!C24</f>
        <v/>
      </c>
      <c r="D14" s="45">
        <f>'02_Socle'!E24</f>
        <v/>
      </c>
      <c r="E14" s="57" t="n">
        <v>32</v>
      </c>
      <c r="F14" s="23">
        <f>'02_Socle'!M24</f>
        <v/>
      </c>
      <c r="G14" s="23">
        <f>'02_Socle'!O24</f>
        <v/>
      </c>
      <c r="H14" s="79" t="n">
        <v>98</v>
      </c>
      <c r="I14" s="85">
        <f>MAX(1,CEILING(H14/E14,1))</f>
        <v/>
      </c>
      <c r="J14" s="79" t="n">
        <v>3</v>
      </c>
      <c r="K14" s="23">
        <f>J14*E14</f>
        <v/>
      </c>
      <c r="L14" s="22">
        <f>MIN(H14,K14)</f>
        <v/>
      </c>
      <c r="M14" s="47">
        <f>IFERROR(L14/K14,0)</f>
        <v/>
      </c>
      <c r="N14" s="15">
        <f>L14*('02_Socle'!P24+'01_Cadrage'!$H$30)</f>
        <v/>
      </c>
      <c r="O14" s="15">
        <f>J14*$C$3</f>
        <v/>
      </c>
      <c r="P14" s="15">
        <f>L14*($E$3+$G$3)</f>
        <v/>
      </c>
      <c r="Q14" s="14">
        <f>N14-O14-P14</f>
        <v/>
      </c>
      <c r="R14" s="15">
        <f>MIN(H14,G14*E14)*('02_Socle'!P24+'01_Cadrage'!$H$30)-G14*$C$3-MIN(H14,G14*E14)*($E$3+$G$3)</f>
        <v/>
      </c>
      <c r="S14" s="14">
        <f>Q14-R14</f>
        <v/>
      </c>
      <c r="T14" s="61">
        <f>IF(I14&gt;G14,"🟢 OUVRIR +"&amp;(I14-G14)&amp;" — demande "&amp;H14&amp;" &gt; capacité "&amp;(G14*E14)&amp;" (sections pleines, on refuse des étudiants)",IF(I14&lt;G14,"🟠 FUSIONNER −"&amp;(G14-I14)&amp;" — "&amp;(G14*E14)&amp;" places pour "&amp;H14&amp;" demandés (sous-remplissage)","✔ Maintenir — offre alignée sur la demande"))</f>
        <v/>
      </c>
    </row>
    <row r="15">
      <c r="A15" s="17">
        <f>'02_Socle'!A27</f>
        <v/>
      </c>
      <c r="B15" s="45">
        <f>'02_Socle'!B27</f>
        <v/>
      </c>
      <c r="C15" s="17">
        <f>'02_Socle'!C27</f>
        <v/>
      </c>
      <c r="D15" s="45">
        <f>'02_Socle'!E27</f>
        <v/>
      </c>
      <c r="E15" s="57" t="n">
        <v>26</v>
      </c>
      <c r="F15" s="23">
        <f>'02_Socle'!M27</f>
        <v/>
      </c>
      <c r="G15" s="23">
        <f>'02_Socle'!O27</f>
        <v/>
      </c>
      <c r="H15" s="79" t="n">
        <v>98</v>
      </c>
      <c r="I15" s="85">
        <f>MAX(1,CEILING(H15/E15,1))</f>
        <v/>
      </c>
      <c r="J15" s="79" t="n">
        <v>3</v>
      </c>
      <c r="K15" s="23">
        <f>J15*E15</f>
        <v/>
      </c>
      <c r="L15" s="22">
        <f>MIN(H15,K15)</f>
        <v/>
      </c>
      <c r="M15" s="47">
        <f>IFERROR(L15/K15,0)</f>
        <v/>
      </c>
      <c r="N15" s="15">
        <f>L15*('02_Socle'!P27+'01_Cadrage'!$H$30)</f>
        <v/>
      </c>
      <c r="O15" s="15">
        <f>J15*$C$3</f>
        <v/>
      </c>
      <c r="P15" s="15">
        <f>L15*($E$3+$G$3)</f>
        <v/>
      </c>
      <c r="Q15" s="14">
        <f>N15-O15-P15</f>
        <v/>
      </c>
      <c r="R15" s="15">
        <f>MIN(H15,G15*E15)*('02_Socle'!P27+'01_Cadrage'!$H$30)-G15*$C$3-MIN(H15,G15*E15)*($E$3+$G$3)</f>
        <v/>
      </c>
      <c r="S15" s="14">
        <f>Q15-R15</f>
        <v/>
      </c>
      <c r="T15" s="61">
        <f>IF(I15&gt;G15,"🟢 OUVRIR +"&amp;(I15-G15)&amp;" — demande "&amp;H15&amp;" &gt; capacité "&amp;(G15*E15)&amp;" (sections pleines, on refuse des étudiants)",IF(I15&lt;G15,"🟠 FUSIONNER −"&amp;(G15-I15)&amp;" — "&amp;(G15*E15)&amp;" places pour "&amp;H15&amp;" demandés (sous-remplissage)","✔ Maintenir — offre alignée sur la demande"))</f>
        <v/>
      </c>
    </row>
    <row r="16">
      <c r="A16" s="17">
        <f>'02_Socle'!A29</f>
        <v/>
      </c>
      <c r="B16" s="45">
        <f>'02_Socle'!B29</f>
        <v/>
      </c>
      <c r="C16" s="17">
        <f>'02_Socle'!C29</f>
        <v/>
      </c>
      <c r="D16" s="45">
        <f>'02_Socle'!E29</f>
        <v/>
      </c>
      <c r="E16" s="57" t="n">
        <v>32</v>
      </c>
      <c r="F16" s="23">
        <f>'02_Socle'!M29</f>
        <v/>
      </c>
      <c r="G16" s="23">
        <f>'02_Socle'!O29</f>
        <v/>
      </c>
      <c r="H16" s="79" t="n">
        <v>54</v>
      </c>
      <c r="I16" s="85">
        <f>MAX(1,CEILING(H16/E16,1))</f>
        <v/>
      </c>
      <c r="J16" s="79" t="n">
        <v>2</v>
      </c>
      <c r="K16" s="23">
        <f>J16*E16</f>
        <v/>
      </c>
      <c r="L16" s="22">
        <f>MIN(H16,K16)</f>
        <v/>
      </c>
      <c r="M16" s="47">
        <f>IFERROR(L16/K16,0)</f>
        <v/>
      </c>
      <c r="N16" s="15">
        <f>L16*('02_Socle'!P29+'01_Cadrage'!$H$30)</f>
        <v/>
      </c>
      <c r="O16" s="15">
        <f>J16*$C$3</f>
        <v/>
      </c>
      <c r="P16" s="15">
        <f>L16*($E$3+$G$3)</f>
        <v/>
      </c>
      <c r="Q16" s="14">
        <f>N16-O16-P16</f>
        <v/>
      </c>
      <c r="R16" s="15">
        <f>MIN(H16,G16*E16)*('02_Socle'!P29+'01_Cadrage'!$H$30)-G16*$C$3-MIN(H16,G16*E16)*($E$3+$G$3)</f>
        <v/>
      </c>
      <c r="S16" s="14">
        <f>Q16-R16</f>
        <v/>
      </c>
      <c r="T16" s="61">
        <f>IF(I16&gt;G16,"🟢 OUVRIR +"&amp;(I16-G16)&amp;" — demande "&amp;H16&amp;" &gt; capacité "&amp;(G16*E16)&amp;" (sections pleines, on refuse des étudiants)",IF(I16&lt;G16,"🟠 FUSIONNER −"&amp;(G16-I16)&amp;" — "&amp;(G16*E16)&amp;" places pour "&amp;H16&amp;" demandés (sous-remplissage)","✔ Maintenir — offre alignée sur la demande"))</f>
        <v/>
      </c>
    </row>
    <row r="17">
      <c r="A17" s="17">
        <f>'02_Socle'!A32</f>
        <v/>
      </c>
      <c r="B17" s="45">
        <f>'02_Socle'!B32</f>
        <v/>
      </c>
      <c r="C17" s="17">
        <f>'02_Socle'!C32</f>
        <v/>
      </c>
      <c r="D17" s="45">
        <f>'02_Socle'!E32</f>
        <v/>
      </c>
      <c r="E17" s="57" t="n">
        <v>26</v>
      </c>
      <c r="F17" s="23">
        <f>'02_Socle'!M32</f>
        <v/>
      </c>
      <c r="G17" s="23">
        <f>'02_Socle'!O32</f>
        <v/>
      </c>
      <c r="H17" s="79" t="n">
        <v>54</v>
      </c>
      <c r="I17" s="85">
        <f>MAX(1,CEILING(H17/E17,1))</f>
        <v/>
      </c>
      <c r="J17" s="79" t="n">
        <v>2</v>
      </c>
      <c r="K17" s="23">
        <f>J17*E17</f>
        <v/>
      </c>
      <c r="L17" s="22">
        <f>MIN(H17,K17)</f>
        <v/>
      </c>
      <c r="M17" s="47">
        <f>IFERROR(L17/K17,0)</f>
        <v/>
      </c>
      <c r="N17" s="15">
        <f>L17*('02_Socle'!P32+'01_Cadrage'!$H$30)</f>
        <v/>
      </c>
      <c r="O17" s="15">
        <f>J17*$C$3</f>
        <v/>
      </c>
      <c r="P17" s="15">
        <f>L17*($E$3+$G$3)</f>
        <v/>
      </c>
      <c r="Q17" s="14">
        <f>N17-O17-P17</f>
        <v/>
      </c>
      <c r="R17" s="15">
        <f>MIN(H17,G17*E17)*('02_Socle'!P32+'01_Cadrage'!$H$30)-G17*$C$3-MIN(H17,G17*E17)*($E$3+$G$3)</f>
        <v/>
      </c>
      <c r="S17" s="14">
        <f>Q17-R17</f>
        <v/>
      </c>
      <c r="T17" s="61">
        <f>IF(I17&gt;G17,"🟢 OUVRIR +"&amp;(I17-G17)&amp;" — demande "&amp;H17&amp;" &gt; capacité "&amp;(G17*E17)&amp;" (sections pleines, on refuse des étudiants)",IF(I17&lt;G17,"🟠 FUSIONNER −"&amp;(G17-I17)&amp;" — "&amp;(G17*E17)&amp;" places pour "&amp;H17&amp;" demandés (sous-remplissage)","✔ Maintenir — offre alignée sur la demande"))</f>
        <v/>
      </c>
    </row>
    <row r="18">
      <c r="A18" s="17">
        <f>'02_Socle'!A34</f>
        <v/>
      </c>
      <c r="B18" s="45">
        <f>'02_Socle'!B34</f>
        <v/>
      </c>
      <c r="C18" s="17">
        <f>'02_Socle'!C34</f>
        <v/>
      </c>
      <c r="D18" s="45">
        <f>'02_Socle'!E34</f>
        <v/>
      </c>
      <c r="E18" s="57" t="n">
        <v>32</v>
      </c>
      <c r="F18" s="23">
        <f>'02_Socle'!M34</f>
        <v/>
      </c>
      <c r="G18" s="23">
        <f>'02_Socle'!O34</f>
        <v/>
      </c>
      <c r="H18" s="79" t="n">
        <v>45</v>
      </c>
      <c r="I18" s="85">
        <f>MAX(1,CEILING(H18/E18,1))</f>
        <v/>
      </c>
      <c r="J18" s="79" t="n">
        <v>2</v>
      </c>
      <c r="K18" s="23">
        <f>J18*E18</f>
        <v/>
      </c>
      <c r="L18" s="22">
        <f>MIN(H18,K18)</f>
        <v/>
      </c>
      <c r="M18" s="47">
        <f>IFERROR(L18/K18,0)</f>
        <v/>
      </c>
      <c r="N18" s="15">
        <f>L18*('02_Socle'!P34+'01_Cadrage'!$H$30)</f>
        <v/>
      </c>
      <c r="O18" s="15">
        <f>J18*$C$3</f>
        <v/>
      </c>
      <c r="P18" s="15">
        <f>L18*($E$3+$G$3)</f>
        <v/>
      </c>
      <c r="Q18" s="14">
        <f>N18-O18-P18</f>
        <v/>
      </c>
      <c r="R18" s="15">
        <f>MIN(H18,G18*E18)*('02_Socle'!P34+'01_Cadrage'!$H$30)-G18*$C$3-MIN(H18,G18*E18)*($E$3+$G$3)</f>
        <v/>
      </c>
      <c r="S18" s="14">
        <f>Q18-R18</f>
        <v/>
      </c>
      <c r="T18" s="61">
        <f>IF(I18&gt;G18,"🟢 OUVRIR +"&amp;(I18-G18)&amp;" — demande "&amp;H18&amp;" &gt; capacité "&amp;(G18*E18)&amp;" (sections pleines, on refuse des étudiants)",IF(I18&lt;G18,"🟠 FUSIONNER −"&amp;(G18-I18)&amp;" — "&amp;(G18*E18)&amp;" places pour "&amp;H18&amp;" demandés (sous-remplissage)","✔ Maintenir — offre alignée sur la demande"))</f>
        <v/>
      </c>
    </row>
    <row r="19">
      <c r="A19" s="17">
        <f>'02_Socle'!A37</f>
        <v/>
      </c>
      <c r="B19" s="45">
        <f>'02_Socle'!B37</f>
        <v/>
      </c>
      <c r="C19" s="17">
        <f>'02_Socle'!C37</f>
        <v/>
      </c>
      <c r="D19" s="45">
        <f>'02_Socle'!E37</f>
        <v/>
      </c>
      <c r="E19" s="57" t="n">
        <v>26</v>
      </c>
      <c r="F19" s="23">
        <f>'02_Socle'!M37</f>
        <v/>
      </c>
      <c r="G19" s="23">
        <f>'02_Socle'!O37</f>
        <v/>
      </c>
      <c r="H19" s="79" t="n">
        <v>45</v>
      </c>
      <c r="I19" s="85">
        <f>MAX(1,CEILING(H19/E19,1))</f>
        <v/>
      </c>
      <c r="J19" s="79" t="n">
        <v>2</v>
      </c>
      <c r="K19" s="23">
        <f>J19*E19</f>
        <v/>
      </c>
      <c r="L19" s="22">
        <f>MIN(H19,K19)</f>
        <v/>
      </c>
      <c r="M19" s="47">
        <f>IFERROR(L19/K19,0)</f>
        <v/>
      </c>
      <c r="N19" s="15">
        <f>L19*('02_Socle'!P37+'01_Cadrage'!$H$30)</f>
        <v/>
      </c>
      <c r="O19" s="15">
        <f>J19*$C$3</f>
        <v/>
      </c>
      <c r="P19" s="15">
        <f>L19*($E$3+$G$3)</f>
        <v/>
      </c>
      <c r="Q19" s="14">
        <f>N19-O19-P19</f>
        <v/>
      </c>
      <c r="R19" s="15">
        <f>MIN(H19,G19*E19)*('02_Socle'!P37+'01_Cadrage'!$H$30)-G19*$C$3-MIN(H19,G19*E19)*($E$3+$G$3)</f>
        <v/>
      </c>
      <c r="S19" s="14">
        <f>Q19-R19</f>
        <v/>
      </c>
      <c r="T19" s="61">
        <f>IF(I19&gt;G19,"🟢 OUVRIR +"&amp;(I19-G19)&amp;" — demande "&amp;H19&amp;" &gt; capacité "&amp;(G19*E19)&amp;" (sections pleines, on refuse des étudiants)",IF(I19&lt;G19,"🟠 FUSIONNER −"&amp;(G19-I19)&amp;" — "&amp;(G19*E19)&amp;" places pour "&amp;H19&amp;" demandés (sous-remplissage)","✔ Maintenir — offre alignée sur la demande"))</f>
        <v/>
      </c>
    </row>
    <row r="20">
      <c r="A20" s="17">
        <f>'02_Socle'!A39</f>
        <v/>
      </c>
      <c r="B20" s="45">
        <f>'02_Socle'!B39</f>
        <v/>
      </c>
      <c r="C20" s="17">
        <f>'02_Socle'!C39</f>
        <v/>
      </c>
      <c r="D20" s="45">
        <f>'02_Socle'!E39</f>
        <v/>
      </c>
      <c r="E20" s="57" t="n">
        <v>32</v>
      </c>
      <c r="F20" s="23">
        <f>'02_Socle'!M39</f>
        <v/>
      </c>
      <c r="G20" s="23">
        <f>'02_Socle'!O39</f>
        <v/>
      </c>
      <c r="H20" s="79" t="n">
        <v>48</v>
      </c>
      <c r="I20" s="85">
        <f>MAX(1,CEILING(H20/E20,1))</f>
        <v/>
      </c>
      <c r="J20" s="79" t="n">
        <v>2</v>
      </c>
      <c r="K20" s="23">
        <f>J20*E20</f>
        <v/>
      </c>
      <c r="L20" s="22">
        <f>MIN(H20,K20)</f>
        <v/>
      </c>
      <c r="M20" s="47">
        <f>IFERROR(L20/K20,0)</f>
        <v/>
      </c>
      <c r="N20" s="15">
        <f>L20*('02_Socle'!P39+'01_Cadrage'!$H$30)</f>
        <v/>
      </c>
      <c r="O20" s="15">
        <f>J20*$C$3</f>
        <v/>
      </c>
      <c r="P20" s="15">
        <f>L20*($E$3+$G$3)</f>
        <v/>
      </c>
      <c r="Q20" s="14">
        <f>N20-O20-P20</f>
        <v/>
      </c>
      <c r="R20" s="15">
        <f>MIN(H20,G20*E20)*('02_Socle'!P39+'01_Cadrage'!$H$30)-G20*$C$3-MIN(H20,G20*E20)*($E$3+$G$3)</f>
        <v/>
      </c>
      <c r="S20" s="14">
        <f>Q20-R20</f>
        <v/>
      </c>
      <c r="T20" s="61">
        <f>IF(I20&gt;G20,"🟢 OUVRIR +"&amp;(I20-G20)&amp;" — demande "&amp;H20&amp;" &gt; capacité "&amp;(G20*E20)&amp;" (sections pleines, on refuse des étudiants)",IF(I20&lt;G20,"🟠 FUSIONNER −"&amp;(G20-I20)&amp;" — "&amp;(G20*E20)&amp;" places pour "&amp;H20&amp;" demandés (sous-remplissage)","✔ Maintenir — offre alignée sur la demande"))</f>
        <v/>
      </c>
    </row>
    <row r="21">
      <c r="A21" s="17">
        <f>'02_Socle'!A42</f>
        <v/>
      </c>
      <c r="B21" s="45">
        <f>'02_Socle'!B42</f>
        <v/>
      </c>
      <c r="C21" s="17">
        <f>'02_Socle'!C42</f>
        <v/>
      </c>
      <c r="D21" s="45">
        <f>'02_Socle'!E42</f>
        <v/>
      </c>
      <c r="E21" s="57" t="n">
        <v>32</v>
      </c>
      <c r="F21" s="23">
        <f>'02_Socle'!M42</f>
        <v/>
      </c>
      <c r="G21" s="23">
        <f>'02_Socle'!O42</f>
        <v/>
      </c>
      <c r="H21" s="79" t="n">
        <v>32</v>
      </c>
      <c r="I21" s="85">
        <f>MAX(1,CEILING(H21/E21,1))</f>
        <v/>
      </c>
      <c r="J21" s="79" t="n">
        <v>2</v>
      </c>
      <c r="K21" s="23">
        <f>J21*E21</f>
        <v/>
      </c>
      <c r="L21" s="22">
        <f>MIN(H21,K21)</f>
        <v/>
      </c>
      <c r="M21" s="47">
        <f>IFERROR(L21/K21,0)</f>
        <v/>
      </c>
      <c r="N21" s="15">
        <f>L21*('02_Socle'!P42+'01_Cadrage'!$H$30)</f>
        <v/>
      </c>
      <c r="O21" s="15">
        <f>J21*$C$3</f>
        <v/>
      </c>
      <c r="P21" s="15">
        <f>L21*($E$3+$G$3)</f>
        <v/>
      </c>
      <c r="Q21" s="14">
        <f>N21-O21-P21</f>
        <v/>
      </c>
      <c r="R21" s="15">
        <f>MIN(H21,G21*E21)*('02_Socle'!P42+'01_Cadrage'!$H$30)-G21*$C$3-MIN(H21,G21*E21)*($E$3+$G$3)</f>
        <v/>
      </c>
      <c r="S21" s="14">
        <f>Q21-R21</f>
        <v/>
      </c>
      <c r="T21" s="61">
        <f>IF(I21&gt;G21,"🟢 OUVRIR +"&amp;(I21-G21)&amp;" — demande "&amp;H21&amp;" &gt; capacité "&amp;(G21*E21)&amp;" (sections pleines, on refuse des étudiants)",IF(I21&lt;G21,"🟠 FUSIONNER −"&amp;(G21-I21)&amp;" — "&amp;(G21*E21)&amp;" places pour "&amp;H21&amp;" demandés (sous-remplissage)","✔ Maintenir — offre alignée sur la demande"))</f>
        <v/>
      </c>
    </row>
    <row r="22">
      <c r="A22" s="17">
        <f>'02_Socle'!A45</f>
        <v/>
      </c>
      <c r="B22" s="45">
        <f>'02_Socle'!B45</f>
        <v/>
      </c>
      <c r="C22" s="17">
        <f>'02_Socle'!C45</f>
        <v/>
      </c>
      <c r="D22" s="45">
        <f>'02_Socle'!E45</f>
        <v/>
      </c>
      <c r="E22" s="57" t="n">
        <v>32</v>
      </c>
      <c r="F22" s="23">
        <f>'02_Socle'!M45</f>
        <v/>
      </c>
      <c r="G22" s="23">
        <f>'02_Socle'!O45</f>
        <v/>
      </c>
      <c r="H22" s="79" t="n">
        <v>34</v>
      </c>
      <c r="I22" s="85">
        <f>MAX(1,CEILING(H22/E22,1))</f>
        <v/>
      </c>
      <c r="J22" s="79" t="n">
        <v>2</v>
      </c>
      <c r="K22" s="23">
        <f>J22*E22</f>
        <v/>
      </c>
      <c r="L22" s="22">
        <f>MIN(H22,K22)</f>
        <v/>
      </c>
      <c r="M22" s="47">
        <f>IFERROR(L22/K22,0)</f>
        <v/>
      </c>
      <c r="N22" s="15">
        <f>L22*('02_Socle'!P45+'01_Cadrage'!$H$30)</f>
        <v/>
      </c>
      <c r="O22" s="15">
        <f>J22*$C$3</f>
        <v/>
      </c>
      <c r="P22" s="15">
        <f>L22*($E$3+$G$3)</f>
        <v/>
      </c>
      <c r="Q22" s="14">
        <f>N22-O22-P22</f>
        <v/>
      </c>
      <c r="R22" s="15">
        <f>MIN(H22,G22*E22)*('02_Socle'!P45+'01_Cadrage'!$H$30)-G22*$C$3-MIN(H22,G22*E22)*($E$3+$G$3)</f>
        <v/>
      </c>
      <c r="S22" s="14">
        <f>Q22-R22</f>
        <v/>
      </c>
      <c r="T22" s="61">
        <f>IF(I22&gt;G22,"🟢 OUVRIR +"&amp;(I22-G22)&amp;" — demande "&amp;H22&amp;" &gt; capacité "&amp;(G22*E22)&amp;" (sections pleines, on refuse des étudiants)",IF(I22&lt;G22,"🟠 FUSIONNER −"&amp;(G22-I22)&amp;" — "&amp;(G22*E22)&amp;" places pour "&amp;H22&amp;" demandés (sous-remplissage)","✔ Maintenir — offre alignée sur la demande"))</f>
        <v/>
      </c>
    </row>
    <row r="23">
      <c r="A23" s="17">
        <f>'02_Socle'!A48</f>
        <v/>
      </c>
      <c r="B23" s="45">
        <f>'02_Socle'!B48</f>
        <v/>
      </c>
      <c r="C23" s="17">
        <f>'02_Socle'!C48</f>
        <v/>
      </c>
      <c r="D23" s="45">
        <f>'02_Socle'!E48</f>
        <v/>
      </c>
      <c r="E23" s="57" t="n">
        <v>30</v>
      </c>
      <c r="F23" s="23">
        <f>'02_Socle'!M48</f>
        <v/>
      </c>
      <c r="G23" s="23">
        <f>'02_Socle'!O48</f>
        <v/>
      </c>
      <c r="H23" s="79" t="n">
        <v>40</v>
      </c>
      <c r="I23" s="85">
        <f>MAX(1,CEILING(H23/E23,1))</f>
        <v/>
      </c>
      <c r="J23" s="79" t="n">
        <v>2</v>
      </c>
      <c r="K23" s="23">
        <f>J23*E23</f>
        <v/>
      </c>
      <c r="L23" s="22">
        <f>MIN(H23,K23)</f>
        <v/>
      </c>
      <c r="M23" s="47">
        <f>IFERROR(L23/K23,0)</f>
        <v/>
      </c>
      <c r="N23" s="15">
        <f>L23*('02_Socle'!P48+'01_Cadrage'!$H$30)</f>
        <v/>
      </c>
      <c r="O23" s="15">
        <f>J23*$C$3</f>
        <v/>
      </c>
      <c r="P23" s="15">
        <f>L23*($E$3+$G$3)</f>
        <v/>
      </c>
      <c r="Q23" s="14">
        <f>N23-O23-P23</f>
        <v/>
      </c>
      <c r="R23" s="15">
        <f>MIN(H23,G23*E23)*('02_Socle'!P48+'01_Cadrage'!$H$30)-G23*$C$3-MIN(H23,G23*E23)*($E$3+$G$3)</f>
        <v/>
      </c>
      <c r="S23" s="14">
        <f>Q23-R23</f>
        <v/>
      </c>
      <c r="T23" s="61">
        <f>IF(I23&gt;G23,"🟢 OUVRIR +"&amp;(I23-G23)&amp;" — demande "&amp;H23&amp;" &gt; capacité "&amp;(G23*E23)&amp;" (sections pleines, on refuse des étudiants)",IF(I23&lt;G23,"🟠 FUSIONNER −"&amp;(G23-I23)&amp;" — "&amp;(G23*E23)&amp;" places pour "&amp;H23&amp;" demandés (sous-remplissage)","✔ Maintenir — offre alignée sur la demande"))</f>
        <v/>
      </c>
    </row>
    <row r="24">
      <c r="A24" s="17">
        <f>'02_Socle'!A50</f>
        <v/>
      </c>
      <c r="B24" s="45">
        <f>'02_Socle'!B50</f>
        <v/>
      </c>
      <c r="C24" s="17">
        <f>'02_Socle'!C50</f>
        <v/>
      </c>
      <c r="D24" s="45">
        <f>'02_Socle'!E50</f>
        <v/>
      </c>
      <c r="E24" s="57" t="n">
        <v>32</v>
      </c>
      <c r="F24" s="23">
        <f>'02_Socle'!M50</f>
        <v/>
      </c>
      <c r="G24" s="23">
        <f>'02_Socle'!O50</f>
        <v/>
      </c>
      <c r="H24" s="79" t="n">
        <v>40</v>
      </c>
      <c r="I24" s="85">
        <f>MAX(1,CEILING(H24/E24,1))</f>
        <v/>
      </c>
      <c r="J24" s="79" t="n">
        <v>2</v>
      </c>
      <c r="K24" s="23">
        <f>J24*E24</f>
        <v/>
      </c>
      <c r="L24" s="22">
        <f>MIN(H24,K24)</f>
        <v/>
      </c>
      <c r="M24" s="47">
        <f>IFERROR(L24/K24,0)</f>
        <v/>
      </c>
      <c r="N24" s="15">
        <f>L24*('02_Socle'!P50+'01_Cadrage'!$H$30)</f>
        <v/>
      </c>
      <c r="O24" s="15">
        <f>J24*$C$3</f>
        <v/>
      </c>
      <c r="P24" s="15">
        <f>L24*($E$3+$G$3)</f>
        <v/>
      </c>
      <c r="Q24" s="14">
        <f>N24-O24-P24</f>
        <v/>
      </c>
      <c r="R24" s="15">
        <f>MIN(H24,G24*E24)*('02_Socle'!P50+'01_Cadrage'!$H$30)-G24*$C$3-MIN(H24,G24*E24)*($E$3+$G$3)</f>
        <v/>
      </c>
      <c r="S24" s="14">
        <f>Q24-R24</f>
        <v/>
      </c>
      <c r="T24" s="61">
        <f>IF(I24&gt;G24,"🟢 OUVRIR +"&amp;(I24-G24)&amp;" — demande "&amp;H24&amp;" &gt; capacité "&amp;(G24*E24)&amp;" (sections pleines, on refuse des étudiants)",IF(I24&lt;G24,"🟠 FUSIONNER −"&amp;(G24-I24)&amp;" — "&amp;(G24*E24)&amp;" places pour "&amp;H24&amp;" demandés (sous-remplissage)","✔ Maintenir — offre alignée sur la demande"))</f>
        <v/>
      </c>
    </row>
    <row r="25">
      <c r="A25" s="17">
        <f>'02_Socle'!A52</f>
        <v/>
      </c>
      <c r="B25" s="45">
        <f>'02_Socle'!B52</f>
        <v/>
      </c>
      <c r="C25" s="17">
        <f>'02_Socle'!C52</f>
        <v/>
      </c>
      <c r="D25" s="45">
        <f>'02_Socle'!E52</f>
        <v/>
      </c>
      <c r="E25" s="57" t="n">
        <v>30</v>
      </c>
      <c r="F25" s="23">
        <f>'02_Socle'!M52</f>
        <v/>
      </c>
      <c r="G25" s="23">
        <f>'02_Socle'!O52</f>
        <v/>
      </c>
      <c r="H25" s="79" t="n">
        <v>22</v>
      </c>
      <c r="I25" s="85">
        <f>MAX(1,CEILING(H25/E25,1))</f>
        <v/>
      </c>
      <c r="J25" s="79" t="n">
        <v>2</v>
      </c>
      <c r="K25" s="23">
        <f>J25*E25</f>
        <v/>
      </c>
      <c r="L25" s="22">
        <f>MIN(H25,K25)</f>
        <v/>
      </c>
      <c r="M25" s="47">
        <f>IFERROR(L25/K25,0)</f>
        <v/>
      </c>
      <c r="N25" s="15">
        <f>L25*('02_Socle'!P52+'01_Cadrage'!$H$30)</f>
        <v/>
      </c>
      <c r="O25" s="15">
        <f>J25*$C$3</f>
        <v/>
      </c>
      <c r="P25" s="15">
        <f>L25*($E$3+$G$3)</f>
        <v/>
      </c>
      <c r="Q25" s="14">
        <f>N25-O25-P25</f>
        <v/>
      </c>
      <c r="R25" s="15">
        <f>MIN(H25,G25*E25)*('02_Socle'!P52+'01_Cadrage'!$H$30)-G25*$C$3-MIN(H25,G25*E25)*($E$3+$G$3)</f>
        <v/>
      </c>
      <c r="S25" s="14">
        <f>Q25-R25</f>
        <v/>
      </c>
      <c r="T25" s="61">
        <f>IF(I25&gt;G25,"🟢 OUVRIR +"&amp;(I25-G25)&amp;" — demande "&amp;H25&amp;" &gt; capacité "&amp;(G25*E25)&amp;" (sections pleines, on refuse des étudiants)",IF(I25&lt;G25,"🟠 FUSIONNER −"&amp;(G25-I25)&amp;" — "&amp;(G25*E25)&amp;" places pour "&amp;H25&amp;" demandés (sous-remplissage)","✔ Maintenir — offre alignée sur la demande"))</f>
        <v/>
      </c>
    </row>
    <row r="26">
      <c r="A26" s="17">
        <f>'02_Socle'!A54</f>
        <v/>
      </c>
      <c r="B26" s="45">
        <f>'02_Socle'!B54</f>
        <v/>
      </c>
      <c r="C26" s="17">
        <f>'02_Socle'!C54</f>
        <v/>
      </c>
      <c r="D26" s="45">
        <f>'02_Socle'!E54</f>
        <v/>
      </c>
      <c r="E26" s="57" t="n">
        <v>32</v>
      </c>
      <c r="F26" s="23">
        <f>'02_Socle'!M54</f>
        <v/>
      </c>
      <c r="G26" s="23">
        <f>'02_Socle'!O54</f>
        <v/>
      </c>
      <c r="H26" s="79" t="n">
        <v>22</v>
      </c>
      <c r="I26" s="85">
        <f>MAX(1,CEILING(H26/E26,1))</f>
        <v/>
      </c>
      <c r="J26" s="79" t="n">
        <v>2</v>
      </c>
      <c r="K26" s="23">
        <f>J26*E26</f>
        <v/>
      </c>
      <c r="L26" s="22">
        <f>MIN(H26,K26)</f>
        <v/>
      </c>
      <c r="M26" s="47">
        <f>IFERROR(L26/K26,0)</f>
        <v/>
      </c>
      <c r="N26" s="15">
        <f>L26*('02_Socle'!P54+'01_Cadrage'!$H$30)</f>
        <v/>
      </c>
      <c r="O26" s="15">
        <f>J26*$C$3</f>
        <v/>
      </c>
      <c r="P26" s="15">
        <f>L26*($E$3+$G$3)</f>
        <v/>
      </c>
      <c r="Q26" s="14">
        <f>N26-O26-P26</f>
        <v/>
      </c>
      <c r="R26" s="15">
        <f>MIN(H26,G26*E26)*('02_Socle'!P54+'01_Cadrage'!$H$30)-G26*$C$3-MIN(H26,G26*E26)*($E$3+$G$3)</f>
        <v/>
      </c>
      <c r="S26" s="14">
        <f>Q26-R26</f>
        <v/>
      </c>
      <c r="T26" s="61">
        <f>IF(I26&gt;G26,"🟢 OUVRIR +"&amp;(I26-G26)&amp;" — demande "&amp;H26&amp;" &gt; capacité "&amp;(G26*E26)&amp;" (sections pleines, on refuse des étudiants)",IF(I26&lt;G26,"🟠 FUSIONNER −"&amp;(G26-I26)&amp;" — "&amp;(G26*E26)&amp;" places pour "&amp;H26&amp;" demandés (sous-remplissage)","✔ Maintenir — offre alignée sur la demande"))</f>
        <v/>
      </c>
    </row>
    <row r="27">
      <c r="A27" s="17">
        <f>'02_Socle'!A56</f>
        <v/>
      </c>
      <c r="B27" s="45">
        <f>'02_Socle'!B56</f>
        <v/>
      </c>
      <c r="C27" s="17">
        <f>'02_Socle'!C56</f>
        <v/>
      </c>
      <c r="D27" s="45">
        <f>'02_Socle'!E56</f>
        <v/>
      </c>
      <c r="E27" s="57" t="n">
        <v>32</v>
      </c>
      <c r="F27" s="23">
        <f>'02_Socle'!M56</f>
        <v/>
      </c>
      <c r="G27" s="23">
        <f>'02_Socle'!O56</f>
        <v/>
      </c>
      <c r="H27" s="79" t="n">
        <v>51</v>
      </c>
      <c r="I27" s="85">
        <f>MAX(1,CEILING(H27/E27,1))</f>
        <v/>
      </c>
      <c r="J27" s="79" t="n">
        <v>2</v>
      </c>
      <c r="K27" s="23">
        <f>J27*E27</f>
        <v/>
      </c>
      <c r="L27" s="22">
        <f>MIN(H27,K27)</f>
        <v/>
      </c>
      <c r="M27" s="47">
        <f>IFERROR(L27/K27,0)</f>
        <v/>
      </c>
      <c r="N27" s="15">
        <f>L27*('02_Socle'!P56+'01_Cadrage'!$H$30)</f>
        <v/>
      </c>
      <c r="O27" s="15">
        <f>J27*$C$3</f>
        <v/>
      </c>
      <c r="P27" s="15">
        <f>L27*($E$3+$G$3)</f>
        <v/>
      </c>
      <c r="Q27" s="14">
        <f>N27-O27-P27</f>
        <v/>
      </c>
      <c r="R27" s="15">
        <f>MIN(H27,G27*E27)*('02_Socle'!P56+'01_Cadrage'!$H$30)-G27*$C$3-MIN(H27,G27*E27)*($E$3+$G$3)</f>
        <v/>
      </c>
      <c r="S27" s="14">
        <f>Q27-R27</f>
        <v/>
      </c>
      <c r="T27" s="61">
        <f>IF(I27&gt;G27,"🟢 OUVRIR +"&amp;(I27-G27)&amp;" — demande "&amp;H27&amp;" &gt; capacité "&amp;(G27*E27)&amp;" (sections pleines, on refuse des étudiants)",IF(I27&lt;G27,"🟠 FUSIONNER −"&amp;(G27-I27)&amp;" — "&amp;(G27*E27)&amp;" places pour "&amp;H27&amp;" demandés (sous-remplissage)","✔ Maintenir — offre alignée sur la demande"))</f>
        <v/>
      </c>
    </row>
    <row r="28">
      <c r="A28" s="17">
        <f>'02_Socle'!A59</f>
        <v/>
      </c>
      <c r="B28" s="45">
        <f>'02_Socle'!B59</f>
        <v/>
      </c>
      <c r="C28" s="17">
        <f>'02_Socle'!C59</f>
        <v/>
      </c>
      <c r="D28" s="45">
        <f>'02_Socle'!E59</f>
        <v/>
      </c>
      <c r="E28" s="57" t="n">
        <v>32</v>
      </c>
      <c r="F28" s="23">
        <f>'02_Socle'!M59</f>
        <v/>
      </c>
      <c r="G28" s="23">
        <f>'02_Socle'!O59</f>
        <v/>
      </c>
      <c r="H28" s="79" t="n">
        <v>33</v>
      </c>
      <c r="I28" s="85">
        <f>MAX(1,CEILING(H28/E28,1))</f>
        <v/>
      </c>
      <c r="J28" s="79" t="n">
        <v>2</v>
      </c>
      <c r="K28" s="23">
        <f>J28*E28</f>
        <v/>
      </c>
      <c r="L28" s="22">
        <f>MIN(H28,K28)</f>
        <v/>
      </c>
      <c r="M28" s="47">
        <f>IFERROR(L28/K28,0)</f>
        <v/>
      </c>
      <c r="N28" s="15">
        <f>L28*('02_Socle'!P59+'01_Cadrage'!$H$30)</f>
        <v/>
      </c>
      <c r="O28" s="15">
        <f>J28*$C$3</f>
        <v/>
      </c>
      <c r="P28" s="15">
        <f>L28*($E$3+$G$3)</f>
        <v/>
      </c>
      <c r="Q28" s="14">
        <f>N28-O28-P28</f>
        <v/>
      </c>
      <c r="R28" s="15">
        <f>MIN(H28,G28*E28)*('02_Socle'!P59+'01_Cadrage'!$H$30)-G28*$C$3-MIN(H28,G28*E28)*($E$3+$G$3)</f>
        <v/>
      </c>
      <c r="S28" s="14">
        <f>Q28-R28</f>
        <v/>
      </c>
      <c r="T28" s="61">
        <f>IF(I28&gt;G28,"🟢 OUVRIR +"&amp;(I28-G28)&amp;" — demande "&amp;H28&amp;" &gt; capacité "&amp;(G28*E28)&amp;" (sections pleines, on refuse des étudiants)",IF(I28&lt;G28,"🟠 FUSIONNER −"&amp;(G28-I28)&amp;" — "&amp;(G28*E28)&amp;" places pour "&amp;H28&amp;" demandés (sous-remplissage)","✔ Maintenir — offre alignée sur la demande"))</f>
        <v/>
      </c>
    </row>
    <row r="29">
      <c r="A29" s="49" t="inlineStr">
        <is>
          <t>TOTAL</t>
        </is>
      </c>
      <c r="B29" s="50" t="inlineStr">
        <is>
          <t> </t>
        </is>
      </c>
      <c r="C29" s="50" t="inlineStr">
        <is>
          <t> </t>
        </is>
      </c>
      <c r="D29" s="50" t="inlineStr">
        <is>
          <t> </t>
        </is>
      </c>
      <c r="E29" s="50" t="inlineStr">
        <is>
          <t> </t>
        </is>
      </c>
      <c r="F29" s="52">
        <f>SUM(F6:F28)</f>
        <v/>
      </c>
      <c r="G29" s="52">
        <f>SUM(G6:G28)</f>
        <v/>
      </c>
      <c r="H29" s="52">
        <f>SUM(H6:H28)</f>
        <v/>
      </c>
      <c r="I29" s="52">
        <f>SUM(I6:I28)</f>
        <v/>
      </c>
      <c r="J29" s="52">
        <f>SUM(J6:J28)</f>
        <v/>
      </c>
      <c r="K29" s="52">
        <f>SUM(K6:K28)</f>
        <v/>
      </c>
      <c r="L29" s="52">
        <f>SUM(L6:L28)</f>
        <v/>
      </c>
      <c r="N29" s="51">
        <f>SUM(N6:N28)</f>
        <v/>
      </c>
      <c r="O29" s="51">
        <f>SUM(O6:O28)</f>
        <v/>
      </c>
      <c r="P29" s="51">
        <f>SUM(P6:P28)</f>
        <v/>
      </c>
      <c r="Q29" s="51">
        <f>SUM(Q6:Q28)</f>
        <v/>
      </c>
      <c r="R29" s="51">
        <f>SUM(R6:R28)</f>
        <v/>
      </c>
      <c r="S29" s="51">
        <f>SUM(S6:S28)</f>
        <v/>
      </c>
    </row>
    <row r="31" ht="20" customHeight="1">
      <c r="A31" s="3" t="inlineStr">
        <is>
          <t>Impact des décisions de sections — Δ EBITDA (à demande projetée donnée)</t>
        </is>
      </c>
      <c r="B31" s="4" t="n"/>
      <c r="C31" s="4" t="n"/>
      <c r="D31" s="4" t="n"/>
      <c r="E31" s="4" t="n"/>
      <c r="F31" s="4" t="n"/>
      <c r="G31" s="4" t="n"/>
    </row>
    <row r="32">
      <c r="A32" s="8" t="inlineStr">
        <is>
          <t>EBITDA de référence (atterrissage) :</t>
        </is>
      </c>
      <c r="D32" s="14">
        <f>('10_Allocation'!F66-'10_Allocation'!L66)</f>
        <v/>
      </c>
      <c r="E32" s="8" t="inlineStr">
        <is>
          <t>Sections à OUVRIR :</t>
        </is>
      </c>
      <c r="F32" s="82">
        <f>SUMPRODUCT(--(I6:I28&gt;G6:G28),(I6:I28-G6:G28))</f>
        <v/>
      </c>
    </row>
    <row r="33">
      <c r="A33" s="8" t="inlineStr">
        <is>
          <t>Δ EBITDA — décisions de sections :</t>
        </is>
      </c>
      <c r="D33" s="14">
        <f>S29</f>
        <v/>
      </c>
      <c r="E33" s="8" t="inlineStr">
        <is>
          <t>Sections à FUSIONNER :</t>
        </is>
      </c>
      <c r="F33" s="82">
        <f>SUMPRODUCT(--(I6:I28&lt;G6:G28),(G6:G28-I6:I28))</f>
        <v/>
      </c>
    </row>
    <row r="34">
      <c r="A34" s="8" t="inlineStr">
        <is>
          <t>EBITDA après décisions :</t>
        </is>
      </c>
      <c r="D34" s="68">
        <f>('10_Allocation'!F66-'10_Allocation'!L66)+S29</f>
        <v/>
      </c>
      <c r="E34" s="8" t="inlineStr">
        <is>
          <t>Demande non couverte (places manquantes) :</t>
        </is>
      </c>
      <c r="F34" s="85">
        <f>SUMPRODUCT(--($H$6:$H$28&gt;$K$6:$K$28),($H$6:$H$28-$K$6:$K$28))</f>
        <v/>
      </c>
    </row>
    <row r="36" ht="42" customHeight="1">
      <c r="A36" s="7" t="inlineStr">
        <is>
          <t>Adopter une recommandation = recopier la 🎯 colonne reco. dans la 🔵 colonne planif. À défaut (planif. = actuel), Δ = 0. Le loyer et les permanents (fixe campus) ne disparaissent pas : à demande donnée, FUSIONNER économise un enseignant sans perdre d'étudiant (ils tiennent dans moins de sections) ; OUVRIR capte de la demande refusée. Δ EBITDA = somme des Δ contribution.</t>
        </is>
      </c>
    </row>
    <row r="37"/>
    <row r="39" ht="20" customHeight="1">
      <c r="A39" s="3" t="inlineStr">
        <is>
          <t>Capacité par campus &amp; réallocation du coût fixe (ripple) — l'ouverture couvre-t-elle la demande ?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 ht="40" customHeight="1">
      <c r="A40" s="11" t="inlineStr">
        <is>
          <t>Marque</t>
        </is>
      </c>
      <c r="B40" s="11" t="inlineStr">
        <is>
          <t>Ville</t>
        </is>
      </c>
      <c r="C40" s="11" t="inlineStr">
        <is>
          <t>Demande (entrées)</t>
        </is>
      </c>
      <c r="D40" s="11" t="inlineStr">
        <is>
          <t>Capacité planifiée</t>
        </is>
      </c>
      <c r="E40" s="11" t="inlineStr">
        <is>
          <t>Effectif projeté</t>
        </is>
      </c>
      <c r="F40" s="11" t="inlineStr">
        <is>
          <t>Couverture</t>
        </is>
      </c>
      <c r="G40" s="11" t="inlineStr">
        <is>
          <t>Fixe campus/étu AUJOURD'HUI</t>
        </is>
      </c>
      <c r="H40" s="11" t="inlineStr">
        <is>
          <t>Fixe campus/étu APRÈS plan</t>
        </is>
      </c>
      <c r="I40" s="11" t="inlineStr">
        <is>
          <t>Δ fixe/étu</t>
        </is>
      </c>
      <c r="J40" s="11" t="inlineStr">
        <is>
          <t>Lecture</t>
        </is>
      </c>
    </row>
    <row r="41">
      <c r="A41" s="17" t="inlineStr">
        <is>
          <t>MBway</t>
        </is>
      </c>
      <c r="B41" s="45" t="inlineStr">
        <is>
          <t>Paris</t>
        </is>
      </c>
      <c r="C41" s="23">
        <f>SUMIFS($H$6:$H$28,$A$6:$A$28,A41,$B$6:$B$28,B41)</f>
        <v/>
      </c>
      <c r="D41" s="23">
        <f>SUMIFS($K$6:$K$28,$A$6:$A$28,A41,$B$6:$B$28,B41)</f>
        <v/>
      </c>
      <c r="E41" s="23">
        <f>SUMIFS($L$6:$L$28,$A$6:$A$28,A41,$B$6:$B$28,B41)</f>
        <v/>
      </c>
      <c r="F41" s="60">
        <f>IF(D41&gt;=C41,"✓ couverte","⚠ manque "&amp;(C41-D41))</f>
        <v/>
      </c>
      <c r="G41" s="15">
        <f>IFERROR(0.385*SUMIFS('02_Socle'!$U$4:$U$61,'02_Socle'!$A$4:$A$61,A41,'02_Socle'!$B$4:$B$61,B41)/SUMIFS('02_Socle'!$M$4:$M$61,'02_Socle'!$A$4:$A$61,A41,'02_Socle'!$B$4:$B$61,B41),0)</f>
        <v/>
      </c>
      <c r="H41" s="15">
        <f>IFERROR(0.385*SUMIFS('02_Socle'!$U$4:$U$61,'02_Socle'!$A$4:$A$61,A41,'02_Socle'!$B$4:$B$61,B41)/(SUMIFS('02_Socle'!$M$4:$M$61,'02_Socle'!$A$4:$A$61,A41,'02_Socle'!$B$4:$B$61,B41)-SUMIFS($F$6:$F$28,$A$6:$A$28,A41,$B$6:$B$28,B41)+SUMIFS($L$6:$L$28,$A$6:$A$28,A41,$B$6:$B$28,B41)),0)</f>
        <v/>
      </c>
      <c r="I41" s="14">
        <f>H41-G41</f>
        <v/>
      </c>
      <c r="J41" s="61">
        <f>IF(I41&lt;-1,"↓ plus d'étudiants → fixe/étu baisse (dilution)",IF(I41&gt;1,"↑ moins d'étudiants → fixe/étu monte (ripple)","="))</f>
        <v/>
      </c>
    </row>
    <row r="42">
      <c r="A42" s="17" t="inlineStr">
        <is>
          <t>MBway</t>
        </is>
      </c>
      <c r="B42" s="45" t="inlineStr">
        <is>
          <t>Lyon</t>
        </is>
      </c>
      <c r="C42" s="23">
        <f>SUMIFS($H$6:$H$28,$A$6:$A$28,A42,$B$6:$B$28,B42)</f>
        <v/>
      </c>
      <c r="D42" s="23">
        <f>SUMIFS($K$6:$K$28,$A$6:$A$28,A42,$B$6:$B$28,B42)</f>
        <v/>
      </c>
      <c r="E42" s="23">
        <f>SUMIFS($L$6:$L$28,$A$6:$A$28,A42,$B$6:$B$28,B42)</f>
        <v/>
      </c>
      <c r="F42" s="60">
        <f>IF(D42&gt;=C42,"✓ couverte","⚠ manque "&amp;(C42-D42))</f>
        <v/>
      </c>
      <c r="G42" s="15">
        <f>IFERROR(0.385*SUMIFS('02_Socle'!$U$4:$U$61,'02_Socle'!$A$4:$A$61,A42,'02_Socle'!$B$4:$B$61,B42)/SUMIFS('02_Socle'!$M$4:$M$61,'02_Socle'!$A$4:$A$61,A42,'02_Socle'!$B$4:$B$61,B42),0)</f>
        <v/>
      </c>
      <c r="H42" s="15">
        <f>IFERROR(0.385*SUMIFS('02_Socle'!$U$4:$U$61,'02_Socle'!$A$4:$A$61,A42,'02_Socle'!$B$4:$B$61,B42)/(SUMIFS('02_Socle'!$M$4:$M$61,'02_Socle'!$A$4:$A$61,A42,'02_Socle'!$B$4:$B$61,B42)-SUMIFS($F$6:$F$28,$A$6:$A$28,A42,$B$6:$B$28,B42)+SUMIFS($L$6:$L$28,$A$6:$A$28,A42,$B$6:$B$28,B42)),0)</f>
        <v/>
      </c>
      <c r="I42" s="14">
        <f>H42-G42</f>
        <v/>
      </c>
      <c r="J42" s="61">
        <f>IF(I42&lt;-1,"↓ plus d'étudiants → fixe/étu baisse (dilution)",IF(I42&gt;1,"↑ moins d'étudiants → fixe/étu monte (ripple)","="))</f>
        <v/>
      </c>
    </row>
    <row r="43">
      <c r="A43" s="17" t="inlineStr">
        <is>
          <t>MBway</t>
        </is>
      </c>
      <c r="B43" s="45" t="inlineStr">
        <is>
          <t>Nantes</t>
        </is>
      </c>
      <c r="C43" s="23">
        <f>SUMIFS($H$6:$H$28,$A$6:$A$28,A43,$B$6:$B$28,B43)</f>
        <v/>
      </c>
      <c r="D43" s="23">
        <f>SUMIFS($K$6:$K$28,$A$6:$A$28,A43,$B$6:$B$28,B43)</f>
        <v/>
      </c>
      <c r="E43" s="23">
        <f>SUMIFS($L$6:$L$28,$A$6:$A$28,A43,$B$6:$B$28,B43)</f>
        <v/>
      </c>
      <c r="F43" s="60">
        <f>IF(D43&gt;=C43,"✓ couverte","⚠ manque "&amp;(C43-D43))</f>
        <v/>
      </c>
      <c r="G43" s="15">
        <f>IFERROR(0.385*SUMIFS('02_Socle'!$U$4:$U$61,'02_Socle'!$A$4:$A$61,A43,'02_Socle'!$B$4:$B$61,B43)/SUMIFS('02_Socle'!$M$4:$M$61,'02_Socle'!$A$4:$A$61,A43,'02_Socle'!$B$4:$B$61,B43),0)</f>
        <v/>
      </c>
      <c r="H43" s="15">
        <f>IFERROR(0.385*SUMIFS('02_Socle'!$U$4:$U$61,'02_Socle'!$A$4:$A$61,A43,'02_Socle'!$B$4:$B$61,B43)/(SUMIFS('02_Socle'!$M$4:$M$61,'02_Socle'!$A$4:$A$61,A43,'02_Socle'!$B$4:$B$61,B43)-SUMIFS($F$6:$F$28,$A$6:$A$28,A43,$B$6:$B$28,B43)+SUMIFS($L$6:$L$28,$A$6:$A$28,A43,$B$6:$B$28,B43)),0)</f>
        <v/>
      </c>
      <c r="I43" s="14">
        <f>H43-G43</f>
        <v/>
      </c>
      <c r="J43" s="61">
        <f>IF(I43&lt;-1,"↓ plus d'étudiants → fixe/étu baisse (dilution)",IF(I43&gt;1,"↑ moins d'étudiants → fixe/étu monte (ripple)","="))</f>
        <v/>
      </c>
    </row>
    <row r="44">
      <c r="A44" s="17" t="inlineStr">
        <is>
          <t>MBway</t>
        </is>
      </c>
      <c r="B44" s="45" t="inlineStr">
        <is>
          <t>Bordeaux</t>
        </is>
      </c>
      <c r="C44" s="23">
        <f>SUMIFS($H$6:$H$28,$A$6:$A$28,A44,$B$6:$B$28,B44)</f>
        <v/>
      </c>
      <c r="D44" s="23">
        <f>SUMIFS($K$6:$K$28,$A$6:$A$28,A44,$B$6:$B$28,B44)</f>
        <v/>
      </c>
      <c r="E44" s="23">
        <f>SUMIFS($L$6:$L$28,$A$6:$A$28,A44,$B$6:$B$28,B44)</f>
        <v/>
      </c>
      <c r="F44" s="60">
        <f>IF(D44&gt;=C44,"✓ couverte","⚠ manque "&amp;(C44-D44))</f>
        <v/>
      </c>
      <c r="G44" s="15">
        <f>IFERROR(0.385*SUMIFS('02_Socle'!$U$4:$U$61,'02_Socle'!$A$4:$A$61,A44,'02_Socle'!$B$4:$B$61,B44)/SUMIFS('02_Socle'!$M$4:$M$61,'02_Socle'!$A$4:$A$61,A44,'02_Socle'!$B$4:$B$61,B44),0)</f>
        <v/>
      </c>
      <c r="H44" s="15">
        <f>IFERROR(0.385*SUMIFS('02_Socle'!$U$4:$U$61,'02_Socle'!$A$4:$A$61,A44,'02_Socle'!$B$4:$B$61,B44)/(SUMIFS('02_Socle'!$M$4:$M$61,'02_Socle'!$A$4:$A$61,A44,'02_Socle'!$B$4:$B$61,B44)-SUMIFS($F$6:$F$28,$A$6:$A$28,A44,$B$6:$B$28,B44)+SUMIFS($L$6:$L$28,$A$6:$A$28,A44,$B$6:$B$28,B44)),0)</f>
        <v/>
      </c>
      <c r="I44" s="14">
        <f>H44-G44</f>
        <v/>
      </c>
      <c r="J44" s="61">
        <f>IF(I44&lt;-1,"↓ plus d'étudiants → fixe/étu baisse (dilution)",IF(I44&gt;1,"↑ moins d'étudiants → fixe/étu monte (ripple)","="))</f>
        <v/>
      </c>
    </row>
    <row r="45">
      <c r="A45" s="17" t="inlineStr">
        <is>
          <t>ISCOM</t>
        </is>
      </c>
      <c r="B45" s="45" t="inlineStr">
        <is>
          <t>Paris</t>
        </is>
      </c>
      <c r="C45" s="23">
        <f>SUMIFS($H$6:$H$28,$A$6:$A$28,A45,$B$6:$B$28,B45)</f>
        <v/>
      </c>
      <c r="D45" s="23">
        <f>SUMIFS($K$6:$K$28,$A$6:$A$28,A45,$B$6:$B$28,B45)</f>
        <v/>
      </c>
      <c r="E45" s="23">
        <f>SUMIFS($L$6:$L$28,$A$6:$A$28,A45,$B$6:$B$28,B45)</f>
        <v/>
      </c>
      <c r="F45" s="60">
        <f>IF(D45&gt;=C45,"✓ couverte","⚠ manque "&amp;(C45-D45))</f>
        <v/>
      </c>
      <c r="G45" s="15">
        <f>IFERROR(0.385*SUMIFS('02_Socle'!$U$4:$U$61,'02_Socle'!$A$4:$A$61,A45,'02_Socle'!$B$4:$B$61,B45)/SUMIFS('02_Socle'!$M$4:$M$61,'02_Socle'!$A$4:$A$61,A45,'02_Socle'!$B$4:$B$61,B45),0)</f>
        <v/>
      </c>
      <c r="H45" s="15">
        <f>IFERROR(0.385*SUMIFS('02_Socle'!$U$4:$U$61,'02_Socle'!$A$4:$A$61,A45,'02_Socle'!$B$4:$B$61,B45)/(SUMIFS('02_Socle'!$M$4:$M$61,'02_Socle'!$A$4:$A$61,A45,'02_Socle'!$B$4:$B$61,B45)-SUMIFS($F$6:$F$28,$A$6:$A$28,A45,$B$6:$B$28,B45)+SUMIFS($L$6:$L$28,$A$6:$A$28,A45,$B$6:$B$28,B45)),0)</f>
        <v/>
      </c>
      <c r="I45" s="14">
        <f>H45-G45</f>
        <v/>
      </c>
      <c r="J45" s="61">
        <f>IF(I45&lt;-1,"↓ plus d'étudiants → fixe/étu baisse (dilution)",IF(I45&gt;1,"↑ moins d'étudiants → fixe/étu monte (ripple)","="))</f>
        <v/>
      </c>
    </row>
    <row r="46">
      <c r="A46" s="17" t="inlineStr">
        <is>
          <t>ISCOM</t>
        </is>
      </c>
      <c r="B46" s="45" t="inlineStr">
        <is>
          <t>Lille</t>
        </is>
      </c>
      <c r="C46" s="23">
        <f>SUMIFS($H$6:$H$28,$A$6:$A$28,A46,$B$6:$B$28,B46)</f>
        <v/>
      </c>
      <c r="D46" s="23">
        <f>SUMIFS($K$6:$K$28,$A$6:$A$28,A46,$B$6:$B$28,B46)</f>
        <v/>
      </c>
      <c r="E46" s="23">
        <f>SUMIFS($L$6:$L$28,$A$6:$A$28,A46,$B$6:$B$28,B46)</f>
        <v/>
      </c>
      <c r="F46" s="60">
        <f>IF(D46&gt;=C46,"✓ couverte","⚠ manque "&amp;(C46-D46))</f>
        <v/>
      </c>
      <c r="G46" s="15">
        <f>IFERROR(0.385*SUMIFS('02_Socle'!$U$4:$U$61,'02_Socle'!$A$4:$A$61,A46,'02_Socle'!$B$4:$B$61,B46)/SUMIFS('02_Socle'!$M$4:$M$61,'02_Socle'!$A$4:$A$61,A46,'02_Socle'!$B$4:$B$61,B46),0)</f>
        <v/>
      </c>
      <c r="H46" s="15">
        <f>IFERROR(0.385*SUMIFS('02_Socle'!$U$4:$U$61,'02_Socle'!$A$4:$A$61,A46,'02_Socle'!$B$4:$B$61,B46)/(SUMIFS('02_Socle'!$M$4:$M$61,'02_Socle'!$A$4:$A$61,A46,'02_Socle'!$B$4:$B$61,B46)-SUMIFS($F$6:$F$28,$A$6:$A$28,A46,$B$6:$B$28,B46)+SUMIFS($L$6:$L$28,$A$6:$A$28,A46,$B$6:$B$28,B46)),0)</f>
        <v/>
      </c>
      <c r="I46" s="14">
        <f>H46-G46</f>
        <v/>
      </c>
      <c r="J46" s="61">
        <f>IF(I46&lt;-1,"↓ plus d'étudiants → fixe/étu baisse (dilution)",IF(I46&gt;1,"↑ moins d'étudiants → fixe/étu monte (ripple)","="))</f>
        <v/>
      </c>
    </row>
    <row r="47">
      <c r="A47" s="17" t="inlineStr">
        <is>
          <t>ISCOM</t>
        </is>
      </c>
      <c r="B47" s="45" t="inlineStr">
        <is>
          <t>Toulouse</t>
        </is>
      </c>
      <c r="C47" s="23">
        <f>SUMIFS($H$6:$H$28,$A$6:$A$28,A47,$B$6:$B$28,B47)</f>
        <v/>
      </c>
      <c r="D47" s="23">
        <f>SUMIFS($K$6:$K$28,$A$6:$A$28,A47,$B$6:$B$28,B47)</f>
        <v/>
      </c>
      <c r="E47" s="23">
        <f>SUMIFS($L$6:$L$28,$A$6:$A$28,A47,$B$6:$B$28,B47)</f>
        <v/>
      </c>
      <c r="F47" s="60">
        <f>IF(D47&gt;=C47,"✓ couverte","⚠ manque "&amp;(C47-D47))</f>
        <v/>
      </c>
      <c r="G47" s="15">
        <f>IFERROR(0.385*SUMIFS('02_Socle'!$U$4:$U$61,'02_Socle'!$A$4:$A$61,A47,'02_Socle'!$B$4:$B$61,B47)/SUMIFS('02_Socle'!$M$4:$M$61,'02_Socle'!$A$4:$A$61,A47,'02_Socle'!$B$4:$B$61,B47),0)</f>
        <v/>
      </c>
      <c r="H47" s="15">
        <f>IFERROR(0.385*SUMIFS('02_Socle'!$U$4:$U$61,'02_Socle'!$A$4:$A$61,A47,'02_Socle'!$B$4:$B$61,B47)/(SUMIFS('02_Socle'!$M$4:$M$61,'02_Socle'!$A$4:$A$61,A47,'02_Socle'!$B$4:$B$61,B47)-SUMIFS($F$6:$F$28,$A$6:$A$28,A47,$B$6:$B$28,B47)+SUMIFS($L$6:$L$28,$A$6:$A$28,A47,$B$6:$B$28,B47)),0)</f>
        <v/>
      </c>
      <c r="I47" s="14">
        <f>H47-G47</f>
        <v/>
      </c>
      <c r="J47" s="61">
        <f>IF(I47&lt;-1,"↓ plus d'étudiants → fixe/étu baisse (dilution)",IF(I47&gt;1,"↑ moins d'étudiants → fixe/étu monte (ripple)","="))</f>
        <v/>
      </c>
    </row>
    <row r="48">
      <c r="A48" s="17" t="inlineStr">
        <is>
          <t>Ipac Bachelor Factory</t>
        </is>
      </c>
      <c r="B48" s="45" t="inlineStr">
        <is>
          <t>Nantes</t>
        </is>
      </c>
      <c r="C48" s="23">
        <f>SUMIFS($H$6:$H$28,$A$6:$A$28,A48,$B$6:$B$28,B48)</f>
        <v/>
      </c>
      <c r="D48" s="23">
        <f>SUMIFS($K$6:$K$28,$A$6:$A$28,A48,$B$6:$B$28,B48)</f>
        <v/>
      </c>
      <c r="E48" s="23">
        <f>SUMIFS($L$6:$L$28,$A$6:$A$28,A48,$B$6:$B$28,B48)</f>
        <v/>
      </c>
      <c r="F48" s="60">
        <f>IF(D48&gt;=C48,"✓ couverte","⚠ manque "&amp;(C48-D48))</f>
        <v/>
      </c>
      <c r="G48" s="15">
        <f>IFERROR(0.385*SUMIFS('02_Socle'!$U$4:$U$61,'02_Socle'!$A$4:$A$61,A48,'02_Socle'!$B$4:$B$61,B48)/SUMIFS('02_Socle'!$M$4:$M$61,'02_Socle'!$A$4:$A$61,A48,'02_Socle'!$B$4:$B$61,B48),0)</f>
        <v/>
      </c>
      <c r="H48" s="15">
        <f>IFERROR(0.385*SUMIFS('02_Socle'!$U$4:$U$61,'02_Socle'!$A$4:$A$61,A48,'02_Socle'!$B$4:$B$61,B48)/(SUMIFS('02_Socle'!$M$4:$M$61,'02_Socle'!$A$4:$A$61,A48,'02_Socle'!$B$4:$B$61,B48)-SUMIFS($F$6:$F$28,$A$6:$A$28,A48,$B$6:$B$28,B48)+SUMIFS($L$6:$L$28,$A$6:$A$28,A48,$B$6:$B$28,B48)),0)</f>
        <v/>
      </c>
      <c r="I48" s="14">
        <f>H48-G48</f>
        <v/>
      </c>
      <c r="J48" s="61">
        <f>IF(I48&lt;-1,"↓ plus d'étudiants → fixe/étu baisse (dilution)",IF(I48&gt;1,"↑ moins d'étudiants → fixe/étu monte (ripple)","="))</f>
        <v/>
      </c>
    </row>
    <row r="49">
      <c r="A49" s="17" t="inlineStr">
        <is>
          <t>Ipac Bachelor Factory</t>
        </is>
      </c>
      <c r="B49" s="45" t="inlineStr">
        <is>
          <t>Rennes</t>
        </is>
      </c>
      <c r="C49" s="23">
        <f>SUMIFS($H$6:$H$28,$A$6:$A$28,A49,$B$6:$B$28,B49)</f>
        <v/>
      </c>
      <c r="D49" s="23">
        <f>SUMIFS($K$6:$K$28,$A$6:$A$28,A49,$B$6:$B$28,B49)</f>
        <v/>
      </c>
      <c r="E49" s="23">
        <f>SUMIFS($L$6:$L$28,$A$6:$A$28,A49,$B$6:$B$28,B49)</f>
        <v/>
      </c>
      <c r="F49" s="60">
        <f>IF(D49&gt;=C49,"✓ couverte","⚠ manque "&amp;(C49-D49))</f>
        <v/>
      </c>
      <c r="G49" s="15">
        <f>IFERROR(0.385*SUMIFS('02_Socle'!$U$4:$U$61,'02_Socle'!$A$4:$A$61,A49,'02_Socle'!$B$4:$B$61,B49)/SUMIFS('02_Socle'!$M$4:$M$61,'02_Socle'!$A$4:$A$61,A49,'02_Socle'!$B$4:$B$61,B49),0)</f>
        <v/>
      </c>
      <c r="H49" s="15">
        <f>IFERROR(0.385*SUMIFS('02_Socle'!$U$4:$U$61,'02_Socle'!$A$4:$A$61,A49,'02_Socle'!$B$4:$B$61,B49)/(SUMIFS('02_Socle'!$M$4:$M$61,'02_Socle'!$A$4:$A$61,A49,'02_Socle'!$B$4:$B$61,B49)-SUMIFS($F$6:$F$28,$A$6:$A$28,A49,$B$6:$B$28,B49)+SUMIFS($L$6:$L$28,$A$6:$A$28,A49,$B$6:$B$28,B49)),0)</f>
        <v/>
      </c>
      <c r="I49" s="14">
        <f>H49-G49</f>
        <v/>
      </c>
      <c r="J49" s="61">
        <f>IF(I49&lt;-1,"↓ plus d'étudiants → fixe/étu baisse (dilution)",IF(I49&gt;1,"↑ moins d'étudiants → fixe/étu monte (ripple)","="))</f>
        <v/>
      </c>
    </row>
    <row r="50">
      <c r="A50" s="17" t="inlineStr">
        <is>
          <t>Ipac Bachelor Factory</t>
        </is>
      </c>
      <c r="B50" s="45" t="inlineStr">
        <is>
          <t>Montpellier</t>
        </is>
      </c>
      <c r="C50" s="23">
        <f>SUMIFS($H$6:$H$28,$A$6:$A$28,A50,$B$6:$B$28,B50)</f>
        <v/>
      </c>
      <c r="D50" s="23">
        <f>SUMIFS($K$6:$K$28,$A$6:$A$28,A50,$B$6:$B$28,B50)</f>
        <v/>
      </c>
      <c r="E50" s="23">
        <f>SUMIFS($L$6:$L$28,$A$6:$A$28,A50,$B$6:$B$28,B50)</f>
        <v/>
      </c>
      <c r="F50" s="60">
        <f>IF(D50&gt;=C50,"✓ couverte","⚠ manque "&amp;(C50-D50))</f>
        <v/>
      </c>
      <c r="G50" s="15">
        <f>IFERROR(0.385*SUMIFS('02_Socle'!$U$4:$U$61,'02_Socle'!$A$4:$A$61,A50,'02_Socle'!$B$4:$B$61,B50)/SUMIFS('02_Socle'!$M$4:$M$61,'02_Socle'!$A$4:$A$61,A50,'02_Socle'!$B$4:$B$61,B50),0)</f>
        <v/>
      </c>
      <c r="H50" s="15">
        <f>IFERROR(0.385*SUMIFS('02_Socle'!$U$4:$U$61,'02_Socle'!$A$4:$A$61,A50,'02_Socle'!$B$4:$B$61,B50)/(SUMIFS('02_Socle'!$M$4:$M$61,'02_Socle'!$A$4:$A$61,A50,'02_Socle'!$B$4:$B$61,B50)-SUMIFS($F$6:$F$28,$A$6:$A$28,A50,$B$6:$B$28,B50)+SUMIFS($L$6:$L$28,$A$6:$A$28,A50,$B$6:$B$28,B50)),0)</f>
        <v/>
      </c>
      <c r="I50" s="14">
        <f>H50-G50</f>
        <v/>
      </c>
      <c r="J50" s="61">
        <f>IF(I50&lt;-1,"↓ plus d'étudiants → fixe/étu baisse (dilution)",IF(I50&gt;1,"↑ moins d'étudiants → fixe/étu monte (ripple)","="))</f>
        <v/>
      </c>
    </row>
    <row r="51">
      <c r="A51" s="17" t="inlineStr">
        <is>
          <t>Pigier</t>
        </is>
      </c>
      <c r="B51" s="45" t="inlineStr">
        <is>
          <t>Lyon</t>
        </is>
      </c>
      <c r="C51" s="23">
        <f>SUMIFS($H$6:$H$28,$A$6:$A$28,A51,$B$6:$B$28,B51)</f>
        <v/>
      </c>
      <c r="D51" s="23">
        <f>SUMIFS($K$6:$K$28,$A$6:$A$28,A51,$B$6:$B$28,B51)</f>
        <v/>
      </c>
      <c r="E51" s="23">
        <f>SUMIFS($L$6:$L$28,$A$6:$A$28,A51,$B$6:$B$28,B51)</f>
        <v/>
      </c>
      <c r="F51" s="60">
        <f>IF(D51&gt;=C51,"✓ couverte","⚠ manque "&amp;(C51-D51))</f>
        <v/>
      </c>
      <c r="G51" s="15">
        <f>IFERROR(0.385*SUMIFS('02_Socle'!$U$4:$U$61,'02_Socle'!$A$4:$A$61,A51,'02_Socle'!$B$4:$B$61,B51)/SUMIFS('02_Socle'!$M$4:$M$61,'02_Socle'!$A$4:$A$61,A51,'02_Socle'!$B$4:$B$61,B51),0)</f>
        <v/>
      </c>
      <c r="H51" s="15">
        <f>IFERROR(0.385*SUMIFS('02_Socle'!$U$4:$U$61,'02_Socle'!$A$4:$A$61,A51,'02_Socle'!$B$4:$B$61,B51)/(SUMIFS('02_Socle'!$M$4:$M$61,'02_Socle'!$A$4:$A$61,A51,'02_Socle'!$B$4:$B$61,B51)-SUMIFS($F$6:$F$28,$A$6:$A$28,A51,$B$6:$B$28,B51)+SUMIFS($L$6:$L$28,$A$6:$A$28,A51,$B$6:$B$28,B51)),0)</f>
        <v/>
      </c>
      <c r="I51" s="14">
        <f>H51-G51</f>
        <v/>
      </c>
      <c r="J51" s="61">
        <f>IF(I51&lt;-1,"↓ plus d'étudiants → fixe/étu baisse (dilution)",IF(I51&gt;1,"↑ moins d'étudiants → fixe/étu monte (ripple)","="))</f>
        <v/>
      </c>
    </row>
    <row r="52">
      <c r="A52" s="17" t="inlineStr">
        <is>
          <t>Pigier</t>
        </is>
      </c>
      <c r="B52" s="45" t="inlineStr">
        <is>
          <t>Bordeaux</t>
        </is>
      </c>
      <c r="C52" s="23">
        <f>SUMIFS($H$6:$H$28,$A$6:$A$28,A52,$B$6:$B$28,B52)</f>
        <v/>
      </c>
      <c r="D52" s="23">
        <f>SUMIFS($K$6:$K$28,$A$6:$A$28,A52,$B$6:$B$28,B52)</f>
        <v/>
      </c>
      <c r="E52" s="23">
        <f>SUMIFS($L$6:$L$28,$A$6:$A$28,A52,$B$6:$B$28,B52)</f>
        <v/>
      </c>
      <c r="F52" s="60">
        <f>IF(D52&gt;=C52,"✓ couverte","⚠ manque "&amp;(C52-D52))</f>
        <v/>
      </c>
      <c r="G52" s="15">
        <f>IFERROR(0.385*SUMIFS('02_Socle'!$U$4:$U$61,'02_Socle'!$A$4:$A$61,A52,'02_Socle'!$B$4:$B$61,B52)/SUMIFS('02_Socle'!$M$4:$M$61,'02_Socle'!$A$4:$A$61,A52,'02_Socle'!$B$4:$B$61,B52),0)</f>
        <v/>
      </c>
      <c r="H52" s="15">
        <f>IFERROR(0.385*SUMIFS('02_Socle'!$U$4:$U$61,'02_Socle'!$A$4:$A$61,A52,'02_Socle'!$B$4:$B$61,B52)/(SUMIFS('02_Socle'!$M$4:$M$61,'02_Socle'!$A$4:$A$61,A52,'02_Socle'!$B$4:$B$61,B52)-SUMIFS($F$6:$F$28,$A$6:$A$28,A52,$B$6:$B$28,B52)+SUMIFS($L$6:$L$28,$A$6:$A$28,A52,$B$6:$B$28,B52)),0)</f>
        <v/>
      </c>
      <c r="I52" s="14">
        <f>H52-G52</f>
        <v/>
      </c>
      <c r="J52" s="61">
        <f>IF(I52&lt;-1,"↓ plus d'étudiants → fixe/étu baisse (dilution)",IF(I52&gt;1,"↑ moins d'étudiants → fixe/étu monte (ripple)","="))</f>
        <v/>
      </c>
    </row>
    <row r="53">
      <c r="A53" s="17" t="inlineStr">
        <is>
          <t>Tunon</t>
        </is>
      </c>
      <c r="B53" s="45" t="inlineStr">
        <is>
          <t>Paris</t>
        </is>
      </c>
      <c r="C53" s="23">
        <f>SUMIFS($H$6:$H$28,$A$6:$A$28,A53,$B$6:$B$28,B53)</f>
        <v/>
      </c>
      <c r="D53" s="23">
        <f>SUMIFS($K$6:$K$28,$A$6:$A$28,A53,$B$6:$B$28,B53)</f>
        <v/>
      </c>
      <c r="E53" s="23">
        <f>SUMIFS($L$6:$L$28,$A$6:$A$28,A53,$B$6:$B$28,B53)</f>
        <v/>
      </c>
      <c r="F53" s="60">
        <f>IF(D53&gt;=C53,"✓ couverte","⚠ manque "&amp;(C53-D53))</f>
        <v/>
      </c>
      <c r="G53" s="15">
        <f>IFERROR(0.385*SUMIFS('02_Socle'!$U$4:$U$61,'02_Socle'!$A$4:$A$61,A53,'02_Socle'!$B$4:$B$61,B53)/SUMIFS('02_Socle'!$M$4:$M$61,'02_Socle'!$A$4:$A$61,A53,'02_Socle'!$B$4:$B$61,B53),0)</f>
        <v/>
      </c>
      <c r="H53" s="15">
        <f>IFERROR(0.385*SUMIFS('02_Socle'!$U$4:$U$61,'02_Socle'!$A$4:$A$61,A53,'02_Socle'!$B$4:$B$61,B53)/(SUMIFS('02_Socle'!$M$4:$M$61,'02_Socle'!$A$4:$A$61,A53,'02_Socle'!$B$4:$B$61,B53)-SUMIFS($F$6:$F$28,$A$6:$A$28,A53,$B$6:$B$28,B53)+SUMIFS($L$6:$L$28,$A$6:$A$28,A53,$B$6:$B$28,B53)),0)</f>
        <v/>
      </c>
      <c r="I53" s="14">
        <f>H53-G53</f>
        <v/>
      </c>
      <c r="J53" s="61">
        <f>IF(I53&lt;-1,"↓ plus d'étudiants → fixe/étu baisse (dilution)",IF(I53&gt;1,"↑ moins d'étudiants → fixe/étu monte (ripple)","="))</f>
        <v/>
      </c>
    </row>
    <row r="54">
      <c r="A54" s="17" t="inlineStr">
        <is>
          <t>Tunon</t>
        </is>
      </c>
      <c r="B54" s="45" t="inlineStr">
        <is>
          <t>Lyon</t>
        </is>
      </c>
      <c r="C54" s="23">
        <f>SUMIFS($H$6:$H$28,$A$6:$A$28,A54,$B$6:$B$28,B54)</f>
        <v/>
      </c>
      <c r="D54" s="23">
        <f>SUMIFS($K$6:$K$28,$A$6:$A$28,A54,$B$6:$B$28,B54)</f>
        <v/>
      </c>
      <c r="E54" s="23">
        <f>SUMIFS($L$6:$L$28,$A$6:$A$28,A54,$B$6:$B$28,B54)</f>
        <v/>
      </c>
      <c r="F54" s="60">
        <f>IF(D54&gt;=C54,"✓ couverte","⚠ manque "&amp;(C54-D54))</f>
        <v/>
      </c>
      <c r="G54" s="15">
        <f>IFERROR(0.385*SUMIFS('02_Socle'!$U$4:$U$61,'02_Socle'!$A$4:$A$61,A54,'02_Socle'!$B$4:$B$61,B54)/SUMIFS('02_Socle'!$M$4:$M$61,'02_Socle'!$A$4:$A$61,A54,'02_Socle'!$B$4:$B$61,B54),0)</f>
        <v/>
      </c>
      <c r="H54" s="15">
        <f>IFERROR(0.385*SUMIFS('02_Socle'!$U$4:$U$61,'02_Socle'!$A$4:$A$61,A54,'02_Socle'!$B$4:$B$61,B54)/(SUMIFS('02_Socle'!$M$4:$M$61,'02_Socle'!$A$4:$A$61,A54,'02_Socle'!$B$4:$B$61,B54)-SUMIFS($F$6:$F$28,$A$6:$A$28,A54,$B$6:$B$28,B54)+SUMIFS($L$6:$L$28,$A$6:$A$28,A54,$B$6:$B$28,B54)),0)</f>
        <v/>
      </c>
      <c r="I54" s="14">
        <f>H54-G54</f>
        <v/>
      </c>
      <c r="J54" s="61">
        <f>IF(I54&lt;-1,"↓ plus d'étudiants → fixe/étu baisse (dilution)",IF(I54&gt;1,"↑ moins d'étudiants → fixe/étu monte (ripple)","="))</f>
        <v/>
      </c>
    </row>
    <row r="55">
      <c r="A55" s="49" t="inlineStr">
        <is>
          <t>TOTAL</t>
        </is>
      </c>
      <c r="B55" s="50" t="inlineStr">
        <is>
          <t> </t>
        </is>
      </c>
      <c r="C55" s="52">
        <f>SUM(C41:C54)</f>
        <v/>
      </c>
      <c r="D55" s="52">
        <f>SUM(D41:D54)</f>
        <v/>
      </c>
      <c r="E55" s="52">
        <f>SUM(E41:E54)</f>
        <v/>
      </c>
    </row>
    <row r="57" ht="20" customHeight="1">
      <c r="A57" s="3" t="inlineStr">
        <is>
          <t>Effet cohorte — pourquoi la décision porte sur l'ENTRÉE (B1/M1), pas sur B2/B3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</row>
    <row r="58" ht="40" customHeight="1">
      <c r="A58" s="7" t="inlineStr">
        <is>
          <t>Fermer ou ouvrir une section d'ENTRÉE ne se voit pas qu'en année 1 : chaque entrant se propage en B2 puis B3 (rétention ~97-98 %). Un entrant Bachelor pèse ≈ 2.92 années-étudiant sur le cycle. B2/B3 ne sont donc pas des décisions indépendantes — ce sont les conséquences des intakes passés. On pilote le robinet (l'entrée) ; le reste suit.</t>
        </is>
      </c>
    </row>
    <row r="59"/>
    <row r="60">
      <c r="A60" s="8" t="inlineStr">
        <is>
          <t>Entrants nets gagnés/perdus (plan − actuel) :</t>
        </is>
      </c>
      <c r="E60" s="82">
        <f>L29-F29</f>
        <v/>
      </c>
      <c r="F60" s="8" t="inlineStr">
        <is>
          <t>× années-étudiant du cycle ≈</t>
        </is>
      </c>
      <c r="I60" s="86" t="n">
        <v>2.92</v>
      </c>
      <c r="J60" s="85">
        <f>(L29-F29)*2.92</f>
        <v/>
      </c>
    </row>
  </sheetData>
  <mergeCells count="15">
    <mergeCell ref="A1:T1"/>
    <mergeCell ref="A33:C33"/>
    <mergeCell ref="A36:T37"/>
    <mergeCell ref="F60:H60"/>
    <mergeCell ref="A31:G31"/>
    <mergeCell ref="A32:C32"/>
    <mergeCell ref="A60:D60"/>
    <mergeCell ref="A39:J39"/>
    <mergeCell ref="K3:T3"/>
    <mergeCell ref="A2:T2"/>
    <mergeCell ref="A57:J57"/>
    <mergeCell ref="A34:C34"/>
    <mergeCell ref="A58:T59"/>
    <mergeCell ref="A3:B3"/>
    <mergeCell ref="H3:I3"/>
  </mergeCells>
  <conditionalFormatting sqref="M6:M28">
    <cfRule type="colorScale" priority="1">
      <colorScale>
        <cfvo type="num" val="0.5"/>
        <cfvo type="num" val="0.85"/>
        <cfvo type="num" val="1"/>
        <color rgb="00F8696B"/>
        <color rgb="00FFEB84"/>
        <color rgb="0063BE7B"/>
      </colorScale>
    </cfRule>
  </conditionalFormatting>
  <conditionalFormatting sqref="S6:S2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41:I54">
    <cfRule type="colorScale" priority="3">
      <colorScale>
        <cfvo type="min"/>
        <cfvo type="num" val="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2026-08-19T02:28:21Z</dcterms:created>
  <dcterms:modified xsi:type="dcterms:W3CDTF">2026-08-19T02:28:22Z</dcterms:modified>
</cp:coreProperties>
</file>