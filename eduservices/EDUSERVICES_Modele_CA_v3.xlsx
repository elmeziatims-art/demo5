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3_Campagnes" sheetId="4" state="visible" r:id="rId4"/>
    <sheet name="04_Moteu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€&quot;;(#,##0)&quot; €&quot;;&quot;-&quot;"/>
    <numFmt numFmtId="165" formatCode="0.0%;(0.0%);&quot;-&quot;"/>
    <numFmt numFmtId="166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2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2" fontId="8" fillId="3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78" customWidth="1" min="3" max="3"/>
  </cols>
  <sheetData>
    <row r="2" ht="30" customHeight="1">
      <c r="B2" s="1" t="inlineStr">
        <is>
          <t>EDUSERVICES — Modèle de CA (v3, budget-driven)</t>
        </is>
      </c>
    </row>
    <row r="3">
      <c r="B3" s="2" t="inlineStr">
        <is>
          <t>Du cadrage top-down au moteur : budget marketing → leads → candidatures → inscrits → CA. Revenu différencié alternance / initial.</t>
        </is>
      </c>
    </row>
    <row r="5" ht="20" customHeight="1">
      <c r="B5" s="3" t="inlineStr">
        <is>
          <t>Les feuilles (périmètre actuel : CA uniquement)</t>
        </is>
      </c>
      <c r="C5" s="4" t="n"/>
    </row>
    <row r="6" ht="42" customHeight="1">
      <c r="B6" s="5" t="inlineStr">
        <is>
          <t>01_Cadrage</t>
        </is>
      </c>
      <c r="C6" s="6" t="inlineStr">
        <is>
          <t>POSTE DE COMMANDE CFO : objectif CA, scénarios, leviers (budget marketing, prix, conversion, passage), coefficients prix par marque×ville.</t>
        </is>
      </c>
    </row>
    <row r="7" ht="42" customHeight="1">
      <c r="B7" s="5" t="inlineStr">
        <is>
          <t>02_Base</t>
        </is>
      </c>
      <c r="C7" s="6" t="inlineStr">
        <is>
          <t>BASE DE RÉFÉRENCE (version unique = dernier atterrissage) : fusion historique + paramètres, à la maille marque×ville×programme×année×modalité. Revenu/étudiant par modalité.</t>
        </is>
      </c>
    </row>
    <row r="8" ht="42" customHeight="1">
      <c r="B8" s="5" t="inlineStr">
        <is>
          <t>03_Campagnes</t>
        </is>
      </c>
      <c r="C8" s="6" t="inlineStr">
        <is>
          <t>MOTEUR D'ACQUISITION (niveau campus) : budget marketing → leads via une courbe de rendement décroissant (^r). Sort le CPL effectif.</t>
        </is>
      </c>
    </row>
    <row r="9" ht="42" customHeight="1">
      <c r="B9" s="5" t="inlineStr">
        <is>
          <t>04_Moteur</t>
        </is>
      </c>
      <c r="C9" s="6" t="inlineStr">
        <is>
          <t>MOTEUR DE CA (niveau cellule) : répartition des leads (mix) → funnel lead→candidature→admis→inscrit → effectif (+cohorte) → CA.</t>
        </is>
      </c>
    </row>
    <row r="11" ht="20" customHeight="1">
      <c r="B11" s="3" t="inlineStr">
        <is>
          <t>Principe d'ancrage</t>
        </is>
      </c>
      <c r="C11" s="4" t="n"/>
    </row>
    <row r="12" ht="44" customHeight="1">
      <c r="B12" s="7" t="inlineStr">
        <is>
          <t>Au budget de référence, tous leviers à 0, le moteur reproduit l'historique. Seul l'écart au budget de référence fait varier les volumes (courbe ^r). Modèle calé sur le réel, pas une boîte noire.</t>
        </is>
      </c>
    </row>
  </sheetData>
  <mergeCells count="5">
    <mergeCell ref="B2:C2"/>
    <mergeCell ref="B11:C11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8" customWidth="1" min="3" max="3"/>
    <col width="13" customWidth="1" min="4" max="4"/>
    <col width="12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1" customWidth="1" min="11" max="11"/>
    <col width="11" customWidth="1" min="12" max="12"/>
    <col width="16" customWidth="1" min="13" max="13"/>
  </cols>
  <sheetData>
    <row r="1" ht="28" customHeight="1">
      <c r="B1" s="1" t="inlineStr">
        <is>
          <t>POSTE DE COMMANDE CFO — Cadrage du chiffre d'affaires</t>
        </is>
      </c>
    </row>
    <row r="3">
      <c r="B3" s="8" t="inlineStr">
        <is>
          <t>Scénario actif :</t>
        </is>
      </c>
      <c r="D3" s="9" t="inlineStr">
        <is>
          <t>Cadrage</t>
        </is>
      </c>
    </row>
    <row r="5" ht="20" customHeight="1">
      <c r="B5" s="3" t="inlineStr">
        <is>
          <t>① Cadrage top-down du CA — référence · budget construit · objectif · écart</t>
        </is>
      </c>
      <c r="C5" s="4" t="n"/>
      <c r="D5" s="4" t="n"/>
      <c r="E5" s="4" t="n"/>
      <c r="F5" s="4" t="n"/>
      <c r="G5" s="4" t="n"/>
      <c r="J5" s="3" t="inlineStr">
        <is>
          <t>Coefficients prix (marque × ville)</t>
        </is>
      </c>
      <c r="K5" s="4" t="n"/>
      <c r="L5" s="4" t="n"/>
      <c r="M5" s="4" t="n"/>
    </row>
    <row r="6">
      <c r="B6" s="10" t="inlineStr">
        <is>
          <t>Indicateur</t>
        </is>
      </c>
      <c r="C6" s="10" t="inlineStr">
        <is>
          <t>Référence</t>
        </is>
      </c>
      <c r="D6" s="10" t="inlineStr">
        <is>
          <t>Budget construit</t>
        </is>
      </c>
      <c r="E6" s="10" t="inlineStr">
        <is>
          <t>🟡 Objectif</t>
        </is>
      </c>
      <c r="F6" s="10" t="inlineStr">
        <is>
          <t>Écart</t>
        </is>
      </c>
      <c r="G6" s="10" t="inlineStr">
        <is>
          <t>Écart %</t>
        </is>
      </c>
      <c r="J6" s="10" t="inlineStr">
        <is>
          <t>Marque</t>
        </is>
      </c>
      <c r="K6" s="10" t="inlineStr">
        <is>
          <t>Ville</t>
        </is>
      </c>
      <c r="L6" s="10" t="inlineStr">
        <is>
          <t>Coeff prix</t>
        </is>
      </c>
      <c r="M6" s="10" t="inlineStr">
        <is>
          <t>clé</t>
        </is>
      </c>
    </row>
    <row r="7">
      <c r="B7" s="11" t="inlineStr">
        <is>
          <t>Chiffre d'affaires</t>
        </is>
      </c>
      <c r="C7" s="12" t="n">
        <v>21936350</v>
      </c>
      <c r="D7" s="13">
        <f>'04_Moteur'!$X$62</f>
        <v/>
      </c>
      <c r="E7" s="14" t="n">
        <v>23252531</v>
      </c>
      <c r="F7" s="15">
        <f>D7-E7</f>
        <v/>
      </c>
      <c r="G7" s="16">
        <f>IFERROR(F7/E7,0)</f>
        <v/>
      </c>
      <c r="J7" s="17" t="inlineStr">
        <is>
          <t>MBway</t>
        </is>
      </c>
      <c r="K7" s="18" t="inlineStr">
        <is>
          <t>Paris</t>
        </is>
      </c>
      <c r="L7" s="19" t="n">
        <v>1.15</v>
      </c>
      <c r="M7" s="20">
        <f>J7&amp;"|"&amp;K7</f>
        <v/>
      </c>
    </row>
    <row r="8">
      <c r="B8" s="11" t="inlineStr">
        <is>
          <t>Effectif total</t>
        </is>
      </c>
      <c r="C8" s="21" t="n">
        <v>2952</v>
      </c>
      <c r="D8" s="22">
        <f>'04_Moteur'!$V$62</f>
        <v/>
      </c>
      <c r="E8" s="23" t="n">
        <v>3070</v>
      </c>
      <c r="F8" s="24">
        <f>D8-E8</f>
        <v/>
      </c>
      <c r="G8" s="16">
        <f>IFERROR(F8/E8,0)</f>
        <v/>
      </c>
      <c r="J8" s="17" t="inlineStr">
        <is>
          <t>MBway</t>
        </is>
      </c>
      <c r="K8" s="18" t="inlineStr">
        <is>
          <t>Lyon</t>
        </is>
      </c>
      <c r="L8" s="19" t="n">
        <v>1.05</v>
      </c>
      <c r="M8" s="20">
        <f>J8&amp;"|"&amp;K8</f>
        <v/>
      </c>
    </row>
    <row r="9">
      <c r="J9" s="17" t="inlineStr">
        <is>
          <t>MBway</t>
        </is>
      </c>
      <c r="K9" s="18" t="inlineStr">
        <is>
          <t>Nantes</t>
        </is>
      </c>
      <c r="L9" s="19" t="n">
        <v>1</v>
      </c>
      <c r="M9" s="20">
        <f>J9&amp;"|"&amp;K9</f>
        <v/>
      </c>
    </row>
    <row r="10">
      <c r="B10" s="8" t="inlineStr">
        <is>
          <t>RESTE À TROUVER (CA vs objectif) :</t>
        </is>
      </c>
      <c r="F10" s="25">
        <f>IF(E7-D7&gt;0,E7-D7,0)</f>
        <v/>
      </c>
      <c r="G10" s="26">
        <f>IF(E7-D7&gt;0,"à combler","atteint")</f>
        <v/>
      </c>
      <c r="J10" s="17" t="inlineStr">
        <is>
          <t>MBway</t>
        </is>
      </c>
      <c r="K10" s="18" t="inlineStr">
        <is>
          <t>Bordeaux</t>
        </is>
      </c>
      <c r="L10" s="19" t="n">
        <v>0.95</v>
      </c>
      <c r="M10" s="20">
        <f>J10&amp;"|"&amp;K10</f>
        <v/>
      </c>
    </row>
    <row r="11">
      <c r="J11" s="17" t="inlineStr">
        <is>
          <t>ISCOM</t>
        </is>
      </c>
      <c r="K11" s="18" t="inlineStr">
        <is>
          <t>Paris</t>
        </is>
      </c>
      <c r="L11" s="19" t="n">
        <v>1.15</v>
      </c>
      <c r="M11" s="20">
        <f>J11&amp;"|"&amp;K11</f>
        <v/>
      </c>
    </row>
    <row r="12" ht="20" customHeight="1">
      <c r="B12" s="3" t="inlineStr">
        <is>
          <t>② Leviers — varient en % · bascule par scénario (colonne ACTIF)</t>
        </is>
      </c>
      <c r="C12" s="4" t="n"/>
      <c r="D12" s="4" t="n"/>
      <c r="E12" s="4" t="n"/>
      <c r="F12" s="4" t="n"/>
      <c r="G12" s="4" t="n"/>
      <c r="H12" s="4" t="n"/>
      <c r="J12" s="17" t="inlineStr">
        <is>
          <t>ISCOM</t>
        </is>
      </c>
      <c r="K12" s="18" t="inlineStr">
        <is>
          <t>Lille</t>
        </is>
      </c>
      <c r="L12" s="19" t="n">
        <v>1</v>
      </c>
      <c r="M12" s="20">
        <f>J12&amp;"|"&amp;K12</f>
        <v/>
      </c>
    </row>
    <row r="13">
      <c r="B13" s="10" t="inlineStr">
        <is>
          <t>Paramètre</t>
        </is>
      </c>
      <c r="C13" s="10" t="inlineStr">
        <is>
          <t>Unité</t>
        </is>
      </c>
      <c r="D13" s="10" t="inlineStr">
        <is>
          <t>Base</t>
        </is>
      </c>
      <c r="E13" s="10" t="inlineStr">
        <is>
          <t>Cadrage</t>
        </is>
      </c>
      <c r="F13" s="10" t="inlineStr">
        <is>
          <t>Optimiste</t>
        </is>
      </c>
      <c r="G13" s="10" t="inlineStr">
        <is>
          <t>Prudent</t>
        </is>
      </c>
      <c r="H13" s="10" t="inlineStr">
        <is>
          <t>ACTIF</t>
        </is>
      </c>
      <c r="J13" s="17" t="inlineStr">
        <is>
          <t>ISCOM</t>
        </is>
      </c>
      <c r="K13" s="18" t="inlineStr">
        <is>
          <t>Toulouse</t>
        </is>
      </c>
      <c r="L13" s="19" t="n">
        <v>0.95</v>
      </c>
      <c r="M13" s="20">
        <f>J13&amp;"|"&amp;K13</f>
        <v/>
      </c>
    </row>
    <row r="14">
      <c r="B14" s="27" t="inlineStr">
        <is>
          <t>Variation du budget marketing (→ leads)</t>
        </is>
      </c>
      <c r="C14" s="28" t="inlineStr">
        <is>
          <t>%</t>
        </is>
      </c>
      <c r="D14" s="29" t="n">
        <v>0</v>
      </c>
      <c r="E14" s="30" t="n">
        <v>0.1</v>
      </c>
      <c r="F14" s="30" t="n">
        <v>0.2</v>
      </c>
      <c r="G14" s="30" t="n">
        <v>-0.05</v>
      </c>
      <c r="H14" s="31">
        <f>INDEX(E14:G14,MATCH($D$3,$E$13:$G$13,0))</f>
        <v/>
      </c>
      <c r="J14" s="17" t="inlineStr">
        <is>
          <t>Ipac Bachelor Factory</t>
        </is>
      </c>
      <c r="K14" s="18" t="inlineStr">
        <is>
          <t>Nantes</t>
        </is>
      </c>
      <c r="L14" s="19" t="n">
        <v>1</v>
      </c>
      <c r="M14" s="20">
        <f>J14&amp;"|"&amp;K14</f>
        <v/>
      </c>
    </row>
    <row r="15">
      <c r="B15" s="27" t="inlineStr">
        <is>
          <t>Hausse tarifaire (prix)</t>
        </is>
      </c>
      <c r="C15" s="28" t="inlineStr">
        <is>
          <t>%</t>
        </is>
      </c>
      <c r="D15" s="29" t="n">
        <v>0</v>
      </c>
      <c r="E15" s="30" t="n">
        <v>0.03</v>
      </c>
      <c r="F15" s="30" t="n">
        <v>0.04</v>
      </c>
      <c r="G15" s="30" t="n">
        <v>0.02</v>
      </c>
      <c r="H15" s="31">
        <f>INDEX(E15:G15,MATCH($D$3,$E$13:$G$13,0))</f>
        <v/>
      </c>
      <c r="J15" s="17" t="inlineStr">
        <is>
          <t>Ipac Bachelor Factory</t>
        </is>
      </c>
      <c r="K15" s="18" t="inlineStr">
        <is>
          <t>Rennes</t>
        </is>
      </c>
      <c r="L15" s="19" t="n">
        <v>0.9</v>
      </c>
      <c r="M15" s="20">
        <f>J15&amp;"|"&amp;K15</f>
        <v/>
      </c>
    </row>
    <row r="16">
      <c r="B16" s="27" t="inlineStr">
        <is>
          <t>Gain taux lead → candidature</t>
        </is>
      </c>
      <c r="C16" s="28" t="inlineStr">
        <is>
          <t>pts</t>
        </is>
      </c>
      <c r="D16" s="29" t="n">
        <v>0</v>
      </c>
      <c r="E16" s="30" t="n">
        <v>0.02</v>
      </c>
      <c r="F16" s="30" t="n">
        <v>0.04</v>
      </c>
      <c r="G16" s="30" t="n">
        <v>0</v>
      </c>
      <c r="H16" s="31">
        <f>INDEX(E16:G16,MATCH($D$3,$E$13:$G$13,0))</f>
        <v/>
      </c>
      <c r="J16" s="17" t="inlineStr">
        <is>
          <t>Ipac Bachelor Factory</t>
        </is>
      </c>
      <c r="K16" s="18" t="inlineStr">
        <is>
          <t>Montpellier</t>
        </is>
      </c>
      <c r="L16" s="19" t="n">
        <v>0.9</v>
      </c>
      <c r="M16" s="20">
        <f>J16&amp;"|"&amp;K16</f>
        <v/>
      </c>
    </row>
    <row r="17">
      <c r="B17" s="27" t="inlineStr">
        <is>
          <t>Gain conversion admis → inscrit</t>
        </is>
      </c>
      <c r="C17" s="28" t="inlineStr">
        <is>
          <t>pts</t>
        </is>
      </c>
      <c r="D17" s="29" t="n">
        <v>0</v>
      </c>
      <c r="E17" s="30" t="n">
        <v>0.015</v>
      </c>
      <c r="F17" s="30" t="n">
        <v>0.03</v>
      </c>
      <c r="G17" s="30" t="n">
        <v>0</v>
      </c>
      <c r="H17" s="31">
        <f>INDEX(E17:G17,MATCH($D$3,$E$13:$G$13,0))</f>
        <v/>
      </c>
      <c r="J17" s="17" t="inlineStr">
        <is>
          <t>Pigier</t>
        </is>
      </c>
      <c r="K17" s="18" t="inlineStr">
        <is>
          <t>Lyon</t>
        </is>
      </c>
      <c r="L17" s="19" t="n">
        <v>1.05</v>
      </c>
      <c r="M17" s="20">
        <f>J17&amp;"|"&amp;K17</f>
        <v/>
      </c>
    </row>
    <row r="18">
      <c r="B18" s="27" t="inlineStr">
        <is>
          <t>Amélioration du taux de passage</t>
        </is>
      </c>
      <c r="C18" s="28" t="inlineStr">
        <is>
          <t>pts</t>
        </is>
      </c>
      <c r="D18" s="29" t="n">
        <v>0</v>
      </c>
      <c r="E18" s="30" t="n">
        <v>0.01</v>
      </c>
      <c r="F18" s="30" t="n">
        <v>0.02</v>
      </c>
      <c r="G18" s="30" t="n">
        <v>-0.01</v>
      </c>
      <c r="H18" s="31">
        <f>INDEX(E18:G18,MATCH($D$3,$E$13:$G$13,0))</f>
        <v/>
      </c>
      <c r="J18" s="17" t="inlineStr">
        <is>
          <t>Pigier</t>
        </is>
      </c>
      <c r="K18" s="18" t="inlineStr">
        <is>
          <t>Bordeaux</t>
        </is>
      </c>
      <c r="L18" s="19" t="n">
        <v>0.95</v>
      </c>
      <c r="M18" s="20">
        <f>J18&amp;"|"&amp;K18</f>
        <v/>
      </c>
    </row>
    <row r="19">
      <c r="J19" s="17" t="inlineStr">
        <is>
          <t>Tunon</t>
        </is>
      </c>
      <c r="K19" s="18" t="inlineStr">
        <is>
          <t>Paris</t>
        </is>
      </c>
      <c r="L19" s="19" t="n">
        <v>1.15</v>
      </c>
      <c r="M19" s="20">
        <f>J19&amp;"|"&amp;K19</f>
        <v/>
      </c>
    </row>
    <row r="20" ht="20" customHeight="1">
      <c r="B20" s="3" t="inlineStr">
        <is>
          <t>③ Constantes de référence (scénarisables)</t>
        </is>
      </c>
      <c r="C20" s="4" t="n"/>
      <c r="D20" s="4" t="n"/>
      <c r="E20" s="4" t="n"/>
      <c r="F20" s="4" t="n"/>
      <c r="G20" s="4" t="n"/>
      <c r="H20" s="4" t="n"/>
      <c r="J20" s="17" t="inlineStr">
        <is>
          <t>Tunon</t>
        </is>
      </c>
      <c r="K20" s="18" t="inlineStr">
        <is>
          <t>Lyon</t>
        </is>
      </c>
      <c r="L20" s="19" t="n">
        <v>1.05</v>
      </c>
      <c r="M20" s="20">
        <f>J20&amp;"|"&amp;K20</f>
        <v/>
      </c>
    </row>
    <row r="21">
      <c r="B21" s="10" t="inlineStr">
        <is>
          <t>Paramètre</t>
        </is>
      </c>
      <c r="C21" s="10" t="inlineStr">
        <is>
          <t>Unité</t>
        </is>
      </c>
      <c r="D21" s="10" t="inlineStr">
        <is>
          <t>Base</t>
        </is>
      </c>
      <c r="E21" s="10" t="inlineStr">
        <is>
          <t>Cadrage</t>
        </is>
      </c>
      <c r="F21" s="10" t="inlineStr">
        <is>
          <t>Optimiste</t>
        </is>
      </c>
      <c r="G21" s="10" t="inlineStr">
        <is>
          <t>Prudent</t>
        </is>
      </c>
      <c r="H21" s="10" t="inlineStr">
        <is>
          <t>ACTIF</t>
        </is>
      </c>
    </row>
    <row r="22">
      <c r="B22" s="27" t="inlineStr">
        <is>
          <t>Rendement d'acquisition (courbe leads)</t>
        </is>
      </c>
      <c r="C22" s="28" t="inlineStr">
        <is>
          <t>x</t>
        </is>
      </c>
      <c r="D22" s="32" t="n">
        <v>0.5</v>
      </c>
      <c r="E22" s="19" t="n">
        <v>0.5</v>
      </c>
      <c r="F22" s="19" t="n">
        <v>0.5</v>
      </c>
      <c r="G22" s="19" t="n">
        <v>0.5</v>
      </c>
      <c r="H22" s="33">
        <f>INDEX(E22:G22,MATCH($D$3,$E$13:$G$13,0))</f>
        <v/>
      </c>
    </row>
    <row r="23">
      <c r="B23" s="27" t="inlineStr">
        <is>
          <t>Taux lead → candidature (base)</t>
        </is>
      </c>
      <c r="C23" s="28" t="inlineStr">
        <is>
          <t>%</t>
        </is>
      </c>
      <c r="D23" s="29" t="n">
        <v>0.3</v>
      </c>
      <c r="E23" s="30" t="n">
        <v>0.3</v>
      </c>
      <c r="F23" s="30" t="n">
        <v>0.3</v>
      </c>
      <c r="G23" s="30" t="n">
        <v>0.3</v>
      </c>
      <c r="H23" s="31">
        <f>INDEX(E23:G23,MATCH($D$3,$E$13:$G$13,0))</f>
        <v/>
      </c>
    </row>
    <row r="24">
      <c r="B24" s="27" t="inlineStr">
        <is>
          <t>Taux candidature → admis (base)</t>
        </is>
      </c>
      <c r="C24" s="28" t="inlineStr">
        <is>
          <t>%</t>
        </is>
      </c>
      <c r="D24" s="29" t="n">
        <v>0.7</v>
      </c>
      <c r="E24" s="30" t="n">
        <v>0.7</v>
      </c>
      <c r="F24" s="30" t="n">
        <v>0.7</v>
      </c>
      <c r="G24" s="30" t="n">
        <v>0.7</v>
      </c>
      <c r="H24" s="31">
        <f>INDEX(E24:G24,MATCH($D$3,$E$13:$G$13,0))</f>
        <v/>
      </c>
    </row>
    <row r="25">
      <c r="B25" s="27" t="inlineStr">
        <is>
          <t>Frais de dossier / nouvel inscrit</t>
        </is>
      </c>
      <c r="C25" s="28" t="inlineStr">
        <is>
          <t>€</t>
        </is>
      </c>
      <c r="D25" s="34" t="n">
        <v>90</v>
      </c>
      <c r="E25" s="35" t="n">
        <v>90</v>
      </c>
      <c r="F25" s="35" t="n">
        <v>90</v>
      </c>
      <c r="G25" s="35" t="n">
        <v>90</v>
      </c>
      <c r="H25" s="36">
        <f>INDEX(E25:G25,MATCH($D$3,$E$13:$G$13,0))</f>
        <v/>
      </c>
    </row>
  </sheetData>
  <mergeCells count="6">
    <mergeCell ref="B1:H1"/>
    <mergeCell ref="B5:G5"/>
    <mergeCell ref="B12:H12"/>
    <mergeCell ref="B10:E10"/>
    <mergeCell ref="J5:M5"/>
    <mergeCell ref="B20:H20"/>
  </mergeCells>
  <dataValidations count="1">
    <dataValidation sqref="D3" showDropDown="0" showInputMessage="0" showErrorMessage="0" allowBlank="0" type="list">
      <formula1>"Cadrage,Optimiste,Prudent"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10" customWidth="1" min="11" max="11"/>
    <col width="11" customWidth="1" min="12" max="12"/>
    <col width="9" customWidth="1" min="13" max="13"/>
    <col width="12" customWidth="1" min="14" max="14"/>
    <col width="10" customWidth="1" min="15" max="15"/>
    <col width="12" customWidth="1" min="16" max="16"/>
  </cols>
  <sheetData>
    <row r="1" ht="22" customHeight="1">
      <c r="A1" s="1" t="inlineStr">
        <is>
          <t>BASE DE RÉFÉRENCE — version unique (dernier atterrissage) · fusion historique + paramètres</t>
        </is>
      </c>
    </row>
    <row r="2" ht="16" customHeight="1">
      <c r="A2" s="7" t="inlineStr">
        <is>
          <t>Une ligne = marque × ville × programme × année × modalité. Le revenu/étudiant est différencié : alternance (OPCO/entreprise) vs initial (étudiant).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Programme</t>
        </is>
      </c>
      <c r="D3" s="10" t="inlineStr">
        <is>
          <t>Cycle</t>
        </is>
      </c>
      <c r="E3" s="10" t="inlineStr">
        <is>
          <t>Année</t>
        </is>
      </c>
      <c r="F3" s="10" t="inlineStr">
        <is>
          <t>Modalité</t>
        </is>
      </c>
      <c r="G3" s="10" t="inlineStr">
        <is>
          <t>Entrée</t>
        </is>
      </c>
      <c r="H3" s="10" t="inlineStr">
        <is>
          <t>Cand hist</t>
        </is>
      </c>
      <c r="I3" s="10" t="inlineStr">
        <is>
          <t>Nouv hist</t>
        </is>
      </c>
      <c r="J3" s="10" t="inlineStr">
        <is>
          <t>Réins hist</t>
        </is>
      </c>
      <c r="K3" s="10" t="inlineStr">
        <is>
          <t>Effectif hist</t>
        </is>
      </c>
      <c r="L3" s="10" t="inlineStr">
        <is>
          <t>Eff. année inf.</t>
        </is>
      </c>
      <c r="M3" s="10" t="inlineStr">
        <is>
          <t>Classes hist</t>
        </is>
      </c>
      <c r="N3" s="10" t="inlineStr">
        <is>
          <t>Revenu/étudiant</t>
        </is>
      </c>
      <c r="O3" s="10" t="inlineStr">
        <is>
          <t>Taux passage</t>
        </is>
      </c>
      <c r="P3" s="10" t="inlineStr">
        <is>
          <t>Yield (admis→inscrit)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37" t="n">
        <v>1</v>
      </c>
      <c r="H4" s="37" t="n">
        <v>203</v>
      </c>
      <c r="I4" s="37" t="n">
        <v>78</v>
      </c>
      <c r="J4" s="37" t="n">
        <v>0</v>
      </c>
      <c r="K4" s="37" t="n">
        <v>78</v>
      </c>
      <c r="L4" s="37" t="n">
        <v>0</v>
      </c>
      <c r="M4" s="37" t="n">
        <v>3</v>
      </c>
      <c r="N4" s="38" t="n">
        <v>8400</v>
      </c>
      <c r="O4" s="39" t="n">
        <v>0</v>
      </c>
      <c r="P4" s="39" t="n">
        <v>0.5489000000000001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37" t="n">
        <v>0</v>
      </c>
      <c r="H5" s="37" t="n">
        <v>0</v>
      </c>
      <c r="I5" s="37" t="n">
        <v>0</v>
      </c>
      <c r="J5" s="37" t="n">
        <v>73</v>
      </c>
      <c r="K5" s="37" t="n">
        <v>73</v>
      </c>
      <c r="L5" s="37" t="n">
        <v>78</v>
      </c>
      <c r="M5" s="37" t="n">
        <v>3</v>
      </c>
      <c r="N5" s="38" t="n">
        <v>7840</v>
      </c>
      <c r="O5" s="39" t="n">
        <v>0.93</v>
      </c>
      <c r="P5" s="39" t="n">
        <v>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37" t="n">
        <v>0</v>
      </c>
      <c r="H6" s="37" t="n">
        <v>0</v>
      </c>
      <c r="I6" s="37" t="n">
        <v>0</v>
      </c>
      <c r="J6" s="37" t="n">
        <v>69</v>
      </c>
      <c r="K6" s="37" t="n">
        <v>69</v>
      </c>
      <c r="L6" s="37" t="n">
        <v>73</v>
      </c>
      <c r="M6" s="37" t="n">
        <v>3</v>
      </c>
      <c r="N6" s="38" t="n">
        <v>7840</v>
      </c>
      <c r="O6" s="39" t="n">
        <v>0.95</v>
      </c>
      <c r="P6" s="39" t="n">
        <v>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37" t="n">
        <v>1</v>
      </c>
      <c r="H7" s="37" t="n">
        <v>203</v>
      </c>
      <c r="I7" s="37" t="n">
        <v>78</v>
      </c>
      <c r="J7" s="37" t="n">
        <v>0</v>
      </c>
      <c r="K7" s="37" t="n">
        <v>78</v>
      </c>
      <c r="L7" s="37" t="n">
        <v>0</v>
      </c>
      <c r="M7" s="37" t="n">
        <v>3</v>
      </c>
      <c r="N7" s="38" t="n">
        <v>8400</v>
      </c>
      <c r="O7" s="39" t="n">
        <v>0</v>
      </c>
      <c r="P7" s="39" t="n">
        <v>0.5489000000000001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37" t="n">
        <v>0</v>
      </c>
      <c r="H8" s="37" t="n">
        <v>0</v>
      </c>
      <c r="I8" s="37" t="n">
        <v>0</v>
      </c>
      <c r="J8" s="37" t="n">
        <v>75</v>
      </c>
      <c r="K8" s="37" t="n">
        <v>75</v>
      </c>
      <c r="L8" s="37" t="n">
        <v>78</v>
      </c>
      <c r="M8" s="37" t="n">
        <v>3</v>
      </c>
      <c r="N8" s="38" t="n">
        <v>8400</v>
      </c>
      <c r="O8" s="39" t="n">
        <v>0.96</v>
      </c>
      <c r="P8" s="39" t="n">
        <v>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37" t="n">
        <v>1</v>
      </c>
      <c r="H9" s="37" t="n">
        <v>171</v>
      </c>
      <c r="I9" s="37" t="n">
        <v>66</v>
      </c>
      <c r="J9" s="37" t="n">
        <v>0</v>
      </c>
      <c r="K9" s="37" t="n">
        <v>66</v>
      </c>
      <c r="L9" s="37" t="n">
        <v>0</v>
      </c>
      <c r="M9" s="37" t="n">
        <v>3</v>
      </c>
      <c r="N9" s="38" t="n">
        <v>7875</v>
      </c>
      <c r="O9" s="39" t="n">
        <v>0</v>
      </c>
      <c r="P9" s="39" t="n">
        <v>0.5514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37" t="n">
        <v>0</v>
      </c>
      <c r="H10" s="37" t="n">
        <v>0</v>
      </c>
      <c r="I10" s="37" t="n">
        <v>0</v>
      </c>
      <c r="J10" s="37" t="n">
        <v>61</v>
      </c>
      <c r="K10" s="37" t="n">
        <v>61</v>
      </c>
      <c r="L10" s="37" t="n">
        <v>66</v>
      </c>
      <c r="M10" s="37" t="n">
        <v>2</v>
      </c>
      <c r="N10" s="38" t="n">
        <v>7350</v>
      </c>
      <c r="O10" s="39" t="n">
        <v>0.93</v>
      </c>
      <c r="P10" s="39" t="n">
        <v>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37" t="n">
        <v>0</v>
      </c>
      <c r="H11" s="37" t="n">
        <v>0</v>
      </c>
      <c r="I11" s="37" t="n">
        <v>0</v>
      </c>
      <c r="J11" s="37" t="n">
        <v>58</v>
      </c>
      <c r="K11" s="37" t="n">
        <v>58</v>
      </c>
      <c r="L11" s="37" t="n">
        <v>61</v>
      </c>
      <c r="M11" s="37" t="n">
        <v>2</v>
      </c>
      <c r="N11" s="38" t="n">
        <v>7350</v>
      </c>
      <c r="O11" s="39" t="n">
        <v>0.95</v>
      </c>
      <c r="P11" s="39" t="n">
        <v>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37" t="n">
        <v>1</v>
      </c>
      <c r="H12" s="37" t="n">
        <v>171</v>
      </c>
      <c r="I12" s="37" t="n">
        <v>66</v>
      </c>
      <c r="J12" s="37" t="n">
        <v>0</v>
      </c>
      <c r="K12" s="37" t="n">
        <v>66</v>
      </c>
      <c r="L12" s="37" t="n">
        <v>0</v>
      </c>
      <c r="M12" s="37" t="n">
        <v>3</v>
      </c>
      <c r="N12" s="38" t="n">
        <v>7875</v>
      </c>
      <c r="O12" s="39" t="n">
        <v>0</v>
      </c>
      <c r="P12" s="39" t="n">
        <v>0.5514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37" t="n">
        <v>0</v>
      </c>
      <c r="H13" s="37" t="n">
        <v>0</v>
      </c>
      <c r="I13" s="37" t="n">
        <v>0</v>
      </c>
      <c r="J13" s="37" t="n">
        <v>63</v>
      </c>
      <c r="K13" s="37" t="n">
        <v>63</v>
      </c>
      <c r="L13" s="37" t="n">
        <v>66</v>
      </c>
      <c r="M13" s="37" t="n">
        <v>3</v>
      </c>
      <c r="N13" s="38" t="n">
        <v>7875</v>
      </c>
      <c r="O13" s="39" t="n">
        <v>0.96</v>
      </c>
      <c r="P13" s="39" t="n">
        <v>0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37" t="n">
        <v>1</v>
      </c>
      <c r="H14" s="37" t="n">
        <v>156</v>
      </c>
      <c r="I14" s="37" t="n">
        <v>60</v>
      </c>
      <c r="J14" s="37" t="n">
        <v>0</v>
      </c>
      <c r="K14" s="37" t="n">
        <v>60</v>
      </c>
      <c r="L14" s="37" t="n">
        <v>0</v>
      </c>
      <c r="M14" s="37" t="n">
        <v>2</v>
      </c>
      <c r="N14" s="38" t="n">
        <v>7500</v>
      </c>
      <c r="O14" s="39" t="n">
        <v>0</v>
      </c>
      <c r="P14" s="39" t="n">
        <v>0.5495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37" t="n">
        <v>0</v>
      </c>
      <c r="H15" s="37" t="n">
        <v>0</v>
      </c>
      <c r="I15" s="37" t="n">
        <v>0</v>
      </c>
      <c r="J15" s="37" t="n">
        <v>56</v>
      </c>
      <c r="K15" s="37" t="n">
        <v>56</v>
      </c>
      <c r="L15" s="37" t="n">
        <v>60</v>
      </c>
      <c r="M15" s="37" t="n">
        <v>2</v>
      </c>
      <c r="N15" s="38" t="n">
        <v>7000</v>
      </c>
      <c r="O15" s="39" t="n">
        <v>0.93</v>
      </c>
      <c r="P15" s="39" t="n">
        <v>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37" t="n">
        <v>0</v>
      </c>
      <c r="H16" s="37" t="n">
        <v>0</v>
      </c>
      <c r="I16" s="37" t="n">
        <v>0</v>
      </c>
      <c r="J16" s="37" t="n">
        <v>53</v>
      </c>
      <c r="K16" s="37" t="n">
        <v>53</v>
      </c>
      <c r="L16" s="37" t="n">
        <v>56</v>
      </c>
      <c r="M16" s="37" t="n">
        <v>2</v>
      </c>
      <c r="N16" s="38" t="n">
        <v>7000</v>
      </c>
      <c r="O16" s="39" t="n">
        <v>0.95</v>
      </c>
      <c r="P16" s="39" t="n">
        <v>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37" t="n">
        <v>1</v>
      </c>
      <c r="H17" s="37" t="n">
        <v>156</v>
      </c>
      <c r="I17" s="37" t="n">
        <v>60</v>
      </c>
      <c r="J17" s="37" t="n">
        <v>0</v>
      </c>
      <c r="K17" s="37" t="n">
        <v>60</v>
      </c>
      <c r="L17" s="37" t="n">
        <v>0</v>
      </c>
      <c r="M17" s="37" t="n">
        <v>3</v>
      </c>
      <c r="N17" s="38" t="n">
        <v>7500</v>
      </c>
      <c r="O17" s="39" t="n">
        <v>0</v>
      </c>
      <c r="P17" s="39" t="n">
        <v>0.5495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37" t="n">
        <v>0</v>
      </c>
      <c r="H18" s="37" t="n">
        <v>0</v>
      </c>
      <c r="I18" s="37" t="n">
        <v>0</v>
      </c>
      <c r="J18" s="37" t="n">
        <v>58</v>
      </c>
      <c r="K18" s="37" t="n">
        <v>58</v>
      </c>
      <c r="L18" s="37" t="n">
        <v>60</v>
      </c>
      <c r="M18" s="37" t="n">
        <v>3</v>
      </c>
      <c r="N18" s="38" t="n">
        <v>7500</v>
      </c>
      <c r="O18" s="39" t="n">
        <v>0.96</v>
      </c>
      <c r="P18" s="39" t="n">
        <v>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37" t="n">
        <v>1</v>
      </c>
      <c r="H19" s="37" t="n">
        <v>132</v>
      </c>
      <c r="I19" s="37" t="n">
        <v>51</v>
      </c>
      <c r="J19" s="37" t="n">
        <v>0</v>
      </c>
      <c r="K19" s="37" t="n">
        <v>51</v>
      </c>
      <c r="L19" s="37" t="n">
        <v>0</v>
      </c>
      <c r="M19" s="37" t="n">
        <v>2</v>
      </c>
      <c r="N19" s="38" t="n">
        <v>7275</v>
      </c>
      <c r="O19" s="39" t="n">
        <v>0</v>
      </c>
      <c r="P19" s="39" t="n">
        <v>0.5518999999999999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37" t="n">
        <v>0</v>
      </c>
      <c r="H20" s="37" t="n">
        <v>0</v>
      </c>
      <c r="I20" s="37" t="n">
        <v>0</v>
      </c>
      <c r="J20" s="37" t="n">
        <v>47</v>
      </c>
      <c r="K20" s="37" t="n">
        <v>47</v>
      </c>
      <c r="L20" s="37" t="n">
        <v>51</v>
      </c>
      <c r="M20" s="37" t="n">
        <v>2</v>
      </c>
      <c r="N20" s="38" t="n">
        <v>6790</v>
      </c>
      <c r="O20" s="39" t="n">
        <v>0.93</v>
      </c>
      <c r="P20" s="39" t="n">
        <v>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37" t="n">
        <v>0</v>
      </c>
      <c r="H21" s="37" t="n">
        <v>0</v>
      </c>
      <c r="I21" s="37" t="n">
        <v>0</v>
      </c>
      <c r="J21" s="37" t="n">
        <v>45</v>
      </c>
      <c r="K21" s="37" t="n">
        <v>45</v>
      </c>
      <c r="L21" s="37" t="n">
        <v>47</v>
      </c>
      <c r="M21" s="37" t="n">
        <v>2</v>
      </c>
      <c r="N21" s="38" t="n">
        <v>6790</v>
      </c>
      <c r="O21" s="39" t="n">
        <v>0.95</v>
      </c>
      <c r="P21" s="39" t="n">
        <v>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37" t="n">
        <v>1</v>
      </c>
      <c r="H22" s="37" t="n">
        <v>132</v>
      </c>
      <c r="I22" s="37" t="n">
        <v>51</v>
      </c>
      <c r="J22" s="37" t="n">
        <v>0</v>
      </c>
      <c r="K22" s="37" t="n">
        <v>51</v>
      </c>
      <c r="L22" s="37" t="n">
        <v>0</v>
      </c>
      <c r="M22" s="37" t="n">
        <v>2</v>
      </c>
      <c r="N22" s="38" t="n">
        <v>7275</v>
      </c>
      <c r="O22" s="39" t="n">
        <v>0</v>
      </c>
      <c r="P22" s="39" t="n">
        <v>0.5518999999999999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37" t="n">
        <v>0</v>
      </c>
      <c r="H23" s="37" t="n">
        <v>0</v>
      </c>
      <c r="I23" s="37" t="n">
        <v>0</v>
      </c>
      <c r="J23" s="37" t="n">
        <v>49</v>
      </c>
      <c r="K23" s="37" t="n">
        <v>49</v>
      </c>
      <c r="L23" s="37" t="n">
        <v>51</v>
      </c>
      <c r="M23" s="37" t="n">
        <v>2</v>
      </c>
      <c r="N23" s="38" t="n">
        <v>7275</v>
      </c>
      <c r="O23" s="39" t="n">
        <v>0.96</v>
      </c>
      <c r="P23" s="39" t="n">
        <v>0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37" t="n">
        <v>1</v>
      </c>
      <c r="H24" s="37" t="n">
        <v>187</v>
      </c>
      <c r="I24" s="37" t="n">
        <v>72</v>
      </c>
      <c r="J24" s="37" t="n">
        <v>0</v>
      </c>
      <c r="K24" s="37" t="n">
        <v>72</v>
      </c>
      <c r="L24" s="37" t="n">
        <v>0</v>
      </c>
      <c r="M24" s="37" t="n">
        <v>3</v>
      </c>
      <c r="N24" s="38" t="n">
        <v>8400</v>
      </c>
      <c r="O24" s="39" t="n">
        <v>0</v>
      </c>
      <c r="P24" s="39" t="n">
        <v>0.55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37" t="n">
        <v>0</v>
      </c>
      <c r="H25" s="37" t="n">
        <v>0</v>
      </c>
      <c r="I25" s="37" t="n">
        <v>0</v>
      </c>
      <c r="J25" s="37" t="n">
        <v>67</v>
      </c>
      <c r="K25" s="37" t="n">
        <v>67</v>
      </c>
      <c r="L25" s="37" t="n">
        <v>72</v>
      </c>
      <c r="M25" s="37" t="n">
        <v>3</v>
      </c>
      <c r="N25" s="38" t="n">
        <v>7840</v>
      </c>
      <c r="O25" s="39" t="n">
        <v>0.93</v>
      </c>
      <c r="P25" s="39" t="n">
        <v>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37" t="n">
        <v>0</v>
      </c>
      <c r="H26" s="37" t="n">
        <v>0</v>
      </c>
      <c r="I26" s="37" t="n">
        <v>0</v>
      </c>
      <c r="J26" s="37" t="n">
        <v>64</v>
      </c>
      <c r="K26" s="37" t="n">
        <v>64</v>
      </c>
      <c r="L26" s="37" t="n">
        <v>67</v>
      </c>
      <c r="M26" s="37" t="n">
        <v>2</v>
      </c>
      <c r="N26" s="38" t="n">
        <v>7840</v>
      </c>
      <c r="O26" s="39" t="n">
        <v>0.95</v>
      </c>
      <c r="P26" s="39" t="n">
        <v>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37" t="n">
        <v>1</v>
      </c>
      <c r="H27" s="37" t="n">
        <v>187</v>
      </c>
      <c r="I27" s="37" t="n">
        <v>72</v>
      </c>
      <c r="J27" s="37" t="n">
        <v>0</v>
      </c>
      <c r="K27" s="37" t="n">
        <v>72</v>
      </c>
      <c r="L27" s="37" t="n">
        <v>0</v>
      </c>
      <c r="M27" s="37" t="n">
        <v>3</v>
      </c>
      <c r="N27" s="38" t="n">
        <v>8400</v>
      </c>
      <c r="O27" s="39" t="n">
        <v>0</v>
      </c>
      <c r="P27" s="39" t="n">
        <v>0.55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37" t="n">
        <v>0</v>
      </c>
      <c r="H28" s="37" t="n">
        <v>0</v>
      </c>
      <c r="I28" s="37" t="n">
        <v>0</v>
      </c>
      <c r="J28" s="37" t="n">
        <v>69</v>
      </c>
      <c r="K28" s="37" t="n">
        <v>69</v>
      </c>
      <c r="L28" s="37" t="n">
        <v>72</v>
      </c>
      <c r="M28" s="37" t="n">
        <v>3</v>
      </c>
      <c r="N28" s="38" t="n">
        <v>8400</v>
      </c>
      <c r="O28" s="39" t="n">
        <v>0.96</v>
      </c>
      <c r="P28" s="39" t="n">
        <v>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37" t="n">
        <v>1</v>
      </c>
      <c r="H29" s="37" t="n">
        <v>130</v>
      </c>
      <c r="I29" s="37" t="n">
        <v>50</v>
      </c>
      <c r="J29" s="37" t="n">
        <v>0</v>
      </c>
      <c r="K29" s="37" t="n">
        <v>50</v>
      </c>
      <c r="L29" s="37" t="n">
        <v>0</v>
      </c>
      <c r="M29" s="37" t="n">
        <v>2</v>
      </c>
      <c r="N29" s="38" t="n">
        <v>7350</v>
      </c>
      <c r="O29" s="39" t="n">
        <v>0</v>
      </c>
      <c r="P29" s="39" t="n">
        <v>0.5495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37" t="n">
        <v>0</v>
      </c>
      <c r="H30" s="37" t="n">
        <v>0</v>
      </c>
      <c r="I30" s="37" t="n">
        <v>0</v>
      </c>
      <c r="J30" s="37" t="n">
        <v>46</v>
      </c>
      <c r="K30" s="37" t="n">
        <v>46</v>
      </c>
      <c r="L30" s="37" t="n">
        <v>50</v>
      </c>
      <c r="M30" s="37" t="n">
        <v>2</v>
      </c>
      <c r="N30" s="38" t="n">
        <v>6860</v>
      </c>
      <c r="O30" s="39" t="n">
        <v>0.93</v>
      </c>
      <c r="P30" s="39" t="n">
        <v>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37" t="n">
        <v>0</v>
      </c>
      <c r="H31" s="37" t="n">
        <v>0</v>
      </c>
      <c r="I31" s="37" t="n">
        <v>0</v>
      </c>
      <c r="J31" s="37" t="n">
        <v>44</v>
      </c>
      <c r="K31" s="37" t="n">
        <v>44</v>
      </c>
      <c r="L31" s="37" t="n">
        <v>46</v>
      </c>
      <c r="M31" s="37" t="n">
        <v>2</v>
      </c>
      <c r="N31" s="38" t="n">
        <v>6860</v>
      </c>
      <c r="O31" s="39" t="n">
        <v>0.95</v>
      </c>
      <c r="P31" s="39" t="n">
        <v>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37" t="n">
        <v>1</v>
      </c>
      <c r="H32" s="37" t="n">
        <v>130</v>
      </c>
      <c r="I32" s="37" t="n">
        <v>50</v>
      </c>
      <c r="J32" s="37" t="n">
        <v>0</v>
      </c>
      <c r="K32" s="37" t="n">
        <v>50</v>
      </c>
      <c r="L32" s="37" t="n">
        <v>0</v>
      </c>
      <c r="M32" s="37" t="n">
        <v>2</v>
      </c>
      <c r="N32" s="38" t="n">
        <v>7350</v>
      </c>
      <c r="O32" s="39" t="n">
        <v>0</v>
      </c>
      <c r="P32" s="39" t="n">
        <v>0.5495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37" t="n">
        <v>0</v>
      </c>
      <c r="H33" s="37" t="n">
        <v>0</v>
      </c>
      <c r="I33" s="37" t="n">
        <v>0</v>
      </c>
      <c r="J33" s="37" t="n">
        <v>48</v>
      </c>
      <c r="K33" s="37" t="n">
        <v>48</v>
      </c>
      <c r="L33" s="37" t="n">
        <v>50</v>
      </c>
      <c r="M33" s="37" t="n">
        <v>2</v>
      </c>
      <c r="N33" s="38" t="n">
        <v>7350</v>
      </c>
      <c r="O33" s="39" t="n">
        <v>0.96</v>
      </c>
      <c r="P33" s="39" t="n">
        <v>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37" t="n">
        <v>1</v>
      </c>
      <c r="H34" s="37" t="n">
        <v>122</v>
      </c>
      <c r="I34" s="37" t="n">
        <v>47</v>
      </c>
      <c r="J34" s="37" t="n">
        <v>0</v>
      </c>
      <c r="K34" s="37" t="n">
        <v>47</v>
      </c>
      <c r="L34" s="37" t="n">
        <v>0</v>
      </c>
      <c r="M34" s="37" t="n">
        <v>2</v>
      </c>
      <c r="N34" s="38" t="n">
        <v>7200</v>
      </c>
      <c r="O34" s="39" t="n">
        <v>0</v>
      </c>
      <c r="P34" s="39" t="n">
        <v>0.5504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37" t="n">
        <v>0</v>
      </c>
      <c r="H35" s="37" t="n">
        <v>0</v>
      </c>
      <c r="I35" s="37" t="n">
        <v>0</v>
      </c>
      <c r="J35" s="37" t="n">
        <v>44</v>
      </c>
      <c r="K35" s="37" t="n">
        <v>44</v>
      </c>
      <c r="L35" s="37" t="n">
        <v>47</v>
      </c>
      <c r="M35" s="37" t="n">
        <v>2</v>
      </c>
      <c r="N35" s="38" t="n">
        <v>6720</v>
      </c>
      <c r="O35" s="39" t="n">
        <v>0.93</v>
      </c>
      <c r="P35" s="39" t="n">
        <v>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37" t="n">
        <v>0</v>
      </c>
      <c r="H36" s="37" t="n">
        <v>0</v>
      </c>
      <c r="I36" s="37" t="n">
        <v>0</v>
      </c>
      <c r="J36" s="37" t="n">
        <v>42</v>
      </c>
      <c r="K36" s="37" t="n">
        <v>42</v>
      </c>
      <c r="L36" s="37" t="n">
        <v>44</v>
      </c>
      <c r="M36" s="37" t="n">
        <v>2</v>
      </c>
      <c r="N36" s="38" t="n">
        <v>6720</v>
      </c>
      <c r="O36" s="39" t="n">
        <v>0.95</v>
      </c>
      <c r="P36" s="39" t="n">
        <v>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37" t="n">
        <v>1</v>
      </c>
      <c r="H37" s="37" t="n">
        <v>122</v>
      </c>
      <c r="I37" s="37" t="n">
        <v>47</v>
      </c>
      <c r="J37" s="37" t="n">
        <v>0</v>
      </c>
      <c r="K37" s="37" t="n">
        <v>47</v>
      </c>
      <c r="L37" s="37" t="n">
        <v>0</v>
      </c>
      <c r="M37" s="37" t="n">
        <v>2</v>
      </c>
      <c r="N37" s="38" t="n">
        <v>7200</v>
      </c>
      <c r="O37" s="39" t="n">
        <v>0</v>
      </c>
      <c r="P37" s="39" t="n">
        <v>0.5504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37" t="n">
        <v>0</v>
      </c>
      <c r="H38" s="37" t="n">
        <v>0</v>
      </c>
      <c r="I38" s="37" t="n">
        <v>0</v>
      </c>
      <c r="J38" s="37" t="n">
        <v>45</v>
      </c>
      <c r="K38" s="37" t="n">
        <v>45</v>
      </c>
      <c r="L38" s="37" t="n">
        <v>47</v>
      </c>
      <c r="M38" s="37" t="n">
        <v>2</v>
      </c>
      <c r="N38" s="38" t="n">
        <v>7200</v>
      </c>
      <c r="O38" s="39" t="n">
        <v>0.96</v>
      </c>
      <c r="P38" s="39" t="n">
        <v>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37" t="n">
        <v>1</v>
      </c>
      <c r="H39" s="37" t="n">
        <v>130</v>
      </c>
      <c r="I39" s="37" t="n">
        <v>50</v>
      </c>
      <c r="J39" s="37" t="n">
        <v>0</v>
      </c>
      <c r="K39" s="37" t="n">
        <v>50</v>
      </c>
      <c r="L39" s="37" t="n">
        <v>0</v>
      </c>
      <c r="M39" s="37" t="n">
        <v>2</v>
      </c>
      <c r="N39" s="38" t="n">
        <v>7000</v>
      </c>
      <c r="O39" s="39" t="n">
        <v>0</v>
      </c>
      <c r="P39" s="39" t="n">
        <v>0.5495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37" t="n">
        <v>0</v>
      </c>
      <c r="H40" s="37" t="n">
        <v>0</v>
      </c>
      <c r="I40" s="37" t="n">
        <v>0</v>
      </c>
      <c r="J40" s="37" t="n">
        <v>46</v>
      </c>
      <c r="K40" s="37" t="n">
        <v>46</v>
      </c>
      <c r="L40" s="37" t="n">
        <v>50</v>
      </c>
      <c r="M40" s="37" t="n">
        <v>2</v>
      </c>
      <c r="N40" s="38" t="n">
        <v>7000</v>
      </c>
      <c r="O40" s="39" t="n">
        <v>0.93</v>
      </c>
      <c r="P40" s="39" t="n">
        <v>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37" t="n">
        <v>0</v>
      </c>
      <c r="H41" s="37" t="n">
        <v>0</v>
      </c>
      <c r="I41" s="37" t="n">
        <v>0</v>
      </c>
      <c r="J41" s="37" t="n">
        <v>44</v>
      </c>
      <c r="K41" s="37" t="n">
        <v>44</v>
      </c>
      <c r="L41" s="37" t="n">
        <v>46</v>
      </c>
      <c r="M41" s="37" t="n">
        <v>2</v>
      </c>
      <c r="N41" s="38" t="n">
        <v>7000</v>
      </c>
      <c r="O41" s="39" t="n">
        <v>0.95</v>
      </c>
      <c r="P41" s="39" t="n">
        <v>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37" t="n">
        <v>1</v>
      </c>
      <c r="H42" s="37" t="n">
        <v>104</v>
      </c>
      <c r="I42" s="37" t="n">
        <v>40</v>
      </c>
      <c r="J42" s="37" t="n">
        <v>0</v>
      </c>
      <c r="K42" s="37" t="n">
        <v>40</v>
      </c>
      <c r="L42" s="37" t="n">
        <v>0</v>
      </c>
      <c r="M42" s="37" t="n">
        <v>2</v>
      </c>
      <c r="N42" s="38" t="n">
        <v>6650</v>
      </c>
      <c r="O42" s="39" t="n">
        <v>0</v>
      </c>
      <c r="P42" s="39" t="n">
        <v>0.5495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37" t="n">
        <v>0</v>
      </c>
      <c r="H43" s="37" t="n">
        <v>0</v>
      </c>
      <c r="I43" s="37" t="n">
        <v>0</v>
      </c>
      <c r="J43" s="37" t="n">
        <v>37</v>
      </c>
      <c r="K43" s="37" t="n">
        <v>37</v>
      </c>
      <c r="L43" s="37" t="n">
        <v>40</v>
      </c>
      <c r="M43" s="37" t="n">
        <v>2</v>
      </c>
      <c r="N43" s="38" t="n">
        <v>6650</v>
      </c>
      <c r="O43" s="39" t="n">
        <v>0.93</v>
      </c>
      <c r="P43" s="39" t="n">
        <v>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37" t="n">
        <v>0</v>
      </c>
      <c r="H44" s="37" t="n">
        <v>0</v>
      </c>
      <c r="I44" s="37" t="n">
        <v>0</v>
      </c>
      <c r="J44" s="37" t="n">
        <v>35</v>
      </c>
      <c r="K44" s="37" t="n">
        <v>35</v>
      </c>
      <c r="L44" s="37" t="n">
        <v>37</v>
      </c>
      <c r="M44" s="37" t="n">
        <v>2</v>
      </c>
      <c r="N44" s="38" t="n">
        <v>6650</v>
      </c>
      <c r="O44" s="39" t="n">
        <v>0.95</v>
      </c>
      <c r="P44" s="39" t="n">
        <v>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37" t="n">
        <v>1</v>
      </c>
      <c r="H45" s="37" t="n">
        <v>104</v>
      </c>
      <c r="I45" s="37" t="n">
        <v>40</v>
      </c>
      <c r="J45" s="37" t="n">
        <v>0</v>
      </c>
      <c r="K45" s="37" t="n">
        <v>40</v>
      </c>
      <c r="L45" s="37" t="n">
        <v>0</v>
      </c>
      <c r="M45" s="37" t="n">
        <v>2</v>
      </c>
      <c r="N45" s="38" t="n">
        <v>6650</v>
      </c>
      <c r="O45" s="39" t="n">
        <v>0</v>
      </c>
      <c r="P45" s="39" t="n">
        <v>0.5495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37" t="n">
        <v>0</v>
      </c>
      <c r="H46" s="37" t="n">
        <v>0</v>
      </c>
      <c r="I46" s="37" t="n">
        <v>0</v>
      </c>
      <c r="J46" s="37" t="n">
        <v>37</v>
      </c>
      <c r="K46" s="37" t="n">
        <v>37</v>
      </c>
      <c r="L46" s="37" t="n">
        <v>40</v>
      </c>
      <c r="M46" s="37" t="n">
        <v>2</v>
      </c>
      <c r="N46" s="38" t="n">
        <v>6650</v>
      </c>
      <c r="O46" s="39" t="n">
        <v>0.93</v>
      </c>
      <c r="P46" s="39" t="n">
        <v>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37" t="n">
        <v>0</v>
      </c>
      <c r="H47" s="37" t="n">
        <v>0</v>
      </c>
      <c r="I47" s="37" t="n">
        <v>0</v>
      </c>
      <c r="J47" s="37" t="n">
        <v>35</v>
      </c>
      <c r="K47" s="37" t="n">
        <v>35</v>
      </c>
      <c r="L47" s="37" t="n">
        <v>37</v>
      </c>
      <c r="M47" s="37" t="n">
        <v>2</v>
      </c>
      <c r="N47" s="38" t="n">
        <v>6650</v>
      </c>
      <c r="O47" s="39" t="n">
        <v>0.95</v>
      </c>
      <c r="P47" s="39" t="n">
        <v>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37" t="n">
        <v>1</v>
      </c>
      <c r="H48" s="37" t="n">
        <v>119</v>
      </c>
      <c r="I48" s="37" t="n">
        <v>46</v>
      </c>
      <c r="J48" s="37" t="n">
        <v>0</v>
      </c>
      <c r="K48" s="37" t="n">
        <v>46</v>
      </c>
      <c r="L48" s="37" t="n">
        <v>0</v>
      </c>
      <c r="M48" s="37" t="n">
        <v>2</v>
      </c>
      <c r="N48" s="38" t="n">
        <v>6300</v>
      </c>
      <c r="O48" s="39" t="n">
        <v>0</v>
      </c>
      <c r="P48" s="39" t="n">
        <v>0.5522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37" t="n">
        <v>0</v>
      </c>
      <c r="H49" s="37" t="n">
        <v>0</v>
      </c>
      <c r="I49" s="37" t="n">
        <v>0</v>
      </c>
      <c r="J49" s="37" t="n">
        <v>43</v>
      </c>
      <c r="K49" s="37" t="n">
        <v>43</v>
      </c>
      <c r="L49" s="37" t="n">
        <v>46</v>
      </c>
      <c r="M49" s="37" t="n">
        <v>2</v>
      </c>
      <c r="N49" s="38" t="n">
        <v>6300</v>
      </c>
      <c r="O49" s="39" t="n">
        <v>0.9399999999999999</v>
      </c>
      <c r="P49" s="39" t="n">
        <v>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37" t="n">
        <v>1</v>
      </c>
      <c r="H50" s="37" t="n">
        <v>119</v>
      </c>
      <c r="I50" s="37" t="n">
        <v>46</v>
      </c>
      <c r="J50" s="37" t="n">
        <v>0</v>
      </c>
      <c r="K50" s="37" t="n">
        <v>46</v>
      </c>
      <c r="L50" s="37" t="n">
        <v>0</v>
      </c>
      <c r="M50" s="37" t="n">
        <v>2</v>
      </c>
      <c r="N50" s="38" t="n">
        <v>7350</v>
      </c>
      <c r="O50" s="39" t="n">
        <v>0</v>
      </c>
      <c r="P50" s="39" t="n">
        <v>0.5522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37" t="n">
        <v>0</v>
      </c>
      <c r="H51" s="37" t="n">
        <v>0</v>
      </c>
      <c r="I51" s="37" t="n">
        <v>0</v>
      </c>
      <c r="J51" s="37" t="n">
        <v>44</v>
      </c>
      <c r="K51" s="37" t="n">
        <v>44</v>
      </c>
      <c r="L51" s="37" t="n">
        <v>46</v>
      </c>
      <c r="M51" s="37" t="n">
        <v>2</v>
      </c>
      <c r="N51" s="38" t="n">
        <v>7350</v>
      </c>
      <c r="O51" s="39" t="n">
        <v>0.95</v>
      </c>
      <c r="P51" s="39" t="n">
        <v>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37" t="n">
        <v>1</v>
      </c>
      <c r="H52" s="37" t="n">
        <v>94</v>
      </c>
      <c r="I52" s="37" t="n">
        <v>36</v>
      </c>
      <c r="J52" s="37" t="n">
        <v>0</v>
      </c>
      <c r="K52" s="37" t="n">
        <v>36</v>
      </c>
      <c r="L52" s="37" t="n">
        <v>0</v>
      </c>
      <c r="M52" s="37" t="n">
        <v>2</v>
      </c>
      <c r="N52" s="38" t="n">
        <v>5820</v>
      </c>
      <c r="O52" s="39" t="n">
        <v>0</v>
      </c>
      <c r="P52" s="39" t="n">
        <v>0.5471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37" t="n">
        <v>0</v>
      </c>
      <c r="H53" s="37" t="n">
        <v>0</v>
      </c>
      <c r="I53" s="37" t="n">
        <v>0</v>
      </c>
      <c r="J53" s="37" t="n">
        <v>34</v>
      </c>
      <c r="K53" s="37" t="n">
        <v>34</v>
      </c>
      <c r="L53" s="37" t="n">
        <v>36</v>
      </c>
      <c r="M53" s="37" t="n">
        <v>2</v>
      </c>
      <c r="N53" s="38" t="n">
        <v>5820</v>
      </c>
      <c r="O53" s="39" t="n">
        <v>0.9399999999999999</v>
      </c>
      <c r="P53" s="39" t="n">
        <v>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37" t="n">
        <v>1</v>
      </c>
      <c r="H54" s="37" t="n">
        <v>94</v>
      </c>
      <c r="I54" s="37" t="n">
        <v>36</v>
      </c>
      <c r="J54" s="37" t="n">
        <v>0</v>
      </c>
      <c r="K54" s="37" t="n">
        <v>36</v>
      </c>
      <c r="L54" s="37" t="n">
        <v>0</v>
      </c>
      <c r="M54" s="37" t="n">
        <v>2</v>
      </c>
      <c r="N54" s="38" t="n">
        <v>6790</v>
      </c>
      <c r="O54" s="39" t="n">
        <v>0</v>
      </c>
      <c r="P54" s="39" t="n">
        <v>0.5471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37" t="n">
        <v>0</v>
      </c>
      <c r="H55" s="37" t="n">
        <v>0</v>
      </c>
      <c r="I55" s="37" t="n">
        <v>0</v>
      </c>
      <c r="J55" s="37" t="n">
        <v>34</v>
      </c>
      <c r="K55" s="37" t="n">
        <v>34</v>
      </c>
      <c r="L55" s="37" t="n">
        <v>36</v>
      </c>
      <c r="M55" s="37" t="n">
        <v>2</v>
      </c>
      <c r="N55" s="38" t="n">
        <v>6790</v>
      </c>
      <c r="O55" s="39" t="n">
        <v>0.95</v>
      </c>
      <c r="P55" s="39" t="n">
        <v>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37" t="n">
        <v>1</v>
      </c>
      <c r="H56" s="37" t="n">
        <v>122</v>
      </c>
      <c r="I56" s="37" t="n">
        <v>47</v>
      </c>
      <c r="J56" s="37" t="n">
        <v>0</v>
      </c>
      <c r="K56" s="37" t="n">
        <v>47</v>
      </c>
      <c r="L56" s="37" t="n">
        <v>0</v>
      </c>
      <c r="M56" s="37" t="n">
        <v>2</v>
      </c>
      <c r="N56" s="38" t="n">
        <v>7840</v>
      </c>
      <c r="O56" s="39" t="n">
        <v>0</v>
      </c>
      <c r="P56" s="39" t="n">
        <v>0.5504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37" t="n">
        <v>0</v>
      </c>
      <c r="H57" s="37" t="n">
        <v>0</v>
      </c>
      <c r="I57" s="37" t="n">
        <v>0</v>
      </c>
      <c r="J57" s="37" t="n">
        <v>44</v>
      </c>
      <c r="K57" s="37" t="n">
        <v>44</v>
      </c>
      <c r="L57" s="37" t="n">
        <v>47</v>
      </c>
      <c r="M57" s="37" t="n">
        <v>2</v>
      </c>
      <c r="N57" s="38" t="n">
        <v>7840</v>
      </c>
      <c r="O57" s="39" t="n">
        <v>0.93</v>
      </c>
      <c r="P57" s="39" t="n">
        <v>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37" t="n">
        <v>0</v>
      </c>
      <c r="H58" s="37" t="n">
        <v>0</v>
      </c>
      <c r="I58" s="37" t="n">
        <v>0</v>
      </c>
      <c r="J58" s="37" t="n">
        <v>42</v>
      </c>
      <c r="K58" s="37" t="n">
        <v>42</v>
      </c>
      <c r="L58" s="37" t="n">
        <v>44</v>
      </c>
      <c r="M58" s="37" t="n">
        <v>2</v>
      </c>
      <c r="N58" s="38" t="n">
        <v>7840</v>
      </c>
      <c r="O58" s="39" t="n">
        <v>0.95</v>
      </c>
      <c r="P58" s="39" t="n">
        <v>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37" t="n">
        <v>1</v>
      </c>
      <c r="H59" s="37" t="n">
        <v>104</v>
      </c>
      <c r="I59" s="37" t="n">
        <v>40</v>
      </c>
      <c r="J59" s="37" t="n">
        <v>0</v>
      </c>
      <c r="K59" s="37" t="n">
        <v>40</v>
      </c>
      <c r="L59" s="37" t="n">
        <v>0</v>
      </c>
      <c r="M59" s="37" t="n">
        <v>2</v>
      </c>
      <c r="N59" s="38" t="n">
        <v>7350</v>
      </c>
      <c r="O59" s="39" t="n">
        <v>0</v>
      </c>
      <c r="P59" s="39" t="n">
        <v>0.5495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37" t="n">
        <v>0</v>
      </c>
      <c r="H60" s="37" t="n">
        <v>0</v>
      </c>
      <c r="I60" s="37" t="n">
        <v>0</v>
      </c>
      <c r="J60" s="37" t="n">
        <v>37</v>
      </c>
      <c r="K60" s="37" t="n">
        <v>37</v>
      </c>
      <c r="L60" s="37" t="n">
        <v>40</v>
      </c>
      <c r="M60" s="37" t="n">
        <v>2</v>
      </c>
      <c r="N60" s="38" t="n">
        <v>7350</v>
      </c>
      <c r="O60" s="39" t="n">
        <v>0.93</v>
      </c>
      <c r="P60" s="39" t="n">
        <v>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37" t="n">
        <v>0</v>
      </c>
      <c r="H61" s="37" t="n">
        <v>0</v>
      </c>
      <c r="I61" s="37" t="n">
        <v>0</v>
      </c>
      <c r="J61" s="37" t="n">
        <v>35</v>
      </c>
      <c r="K61" s="37" t="n">
        <v>35</v>
      </c>
      <c r="L61" s="37" t="n">
        <v>37</v>
      </c>
      <c r="M61" s="37" t="n">
        <v>2</v>
      </c>
      <c r="N61" s="38" t="n">
        <v>7350</v>
      </c>
      <c r="O61" s="39" t="n">
        <v>0.95</v>
      </c>
      <c r="P61" s="39" t="n">
        <v>0</v>
      </c>
    </row>
  </sheetData>
  <mergeCells count="2">
    <mergeCell ref="A1:P1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0" customWidth="1" min="5" max="5"/>
    <col width="9" customWidth="1" min="6" max="6"/>
    <col width="12" customWidth="1" min="7" max="7"/>
    <col width="12" customWidth="1" min="8" max="8"/>
    <col width="10" customWidth="1" min="9" max="9"/>
    <col width="11" customWidth="1" min="10" max="10"/>
  </cols>
  <sheetData>
    <row r="1" ht="22" customHeight="1">
      <c r="A1" s="1" t="inlineStr">
        <is>
          <t>MOTEUR D'ACQUISITION (campus) — le budget marketing génère les leads (rendement décroissant ^r)</t>
        </is>
      </c>
    </row>
    <row r="2" ht="16" customHeight="1">
      <c r="A2" s="7" t="inlineStr">
        <is>
          <t>Leads réf = Σ candidatures ÷ taux(lead→cand). Budget actif = Budget réf × (1+levier). Leads actif = Leads réf × (Budget actif/Budget réf)^rendement.</t>
        </is>
      </c>
    </row>
    <row r="3" ht="28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clé</t>
        </is>
      </c>
      <c r="D3" s="10" t="inlineStr">
        <is>
          <t>Σ Cand hist</t>
        </is>
      </c>
      <c r="E3" s="10" t="inlineStr">
        <is>
          <t>Leads réf</t>
        </is>
      </c>
      <c r="F3" s="10" t="inlineStr">
        <is>
          <t>CPL réf</t>
        </is>
      </c>
      <c r="G3" s="10" t="inlineStr">
        <is>
          <t>Budget réf</t>
        </is>
      </c>
      <c r="H3" s="10" t="inlineStr">
        <is>
          <t>Budget actif</t>
        </is>
      </c>
      <c r="I3" s="10" t="inlineStr">
        <is>
          <t>Leads actif</t>
        </is>
      </c>
      <c r="J3" s="10" t="inlineStr">
        <is>
          <t>CPL effectif</t>
        </is>
      </c>
    </row>
    <row r="5">
      <c r="A5" s="17" t="inlineStr">
        <is>
          <t>MBway</t>
        </is>
      </c>
      <c r="B5" s="18" t="inlineStr">
        <is>
          <t>Paris</t>
        </is>
      </c>
      <c r="C5" s="20">
        <f>A5&amp;"|"&amp;B5</f>
        <v/>
      </c>
      <c r="D5" s="24">
        <f>SUMIFS('02_Base'!$H$4:$H$61,'02_Base'!$A$4:$A$61,"MBway",'02_Base'!$B$4:$B$61,"Paris",'02_Base'!$G$4:$G$61,1)</f>
        <v/>
      </c>
      <c r="E5" s="24">
        <f>D5/'01_Cadrage'!$H$23</f>
        <v/>
      </c>
      <c r="F5" s="40" t="n">
        <v>54</v>
      </c>
      <c r="G5" s="15">
        <f>ROUND(E5*F5,0)</f>
        <v/>
      </c>
      <c r="H5" s="13">
        <f>G5*(1+'01_Cadrage'!$H$14)</f>
        <v/>
      </c>
      <c r="I5" s="22">
        <f>E5*(H5/G5)^'01_Cadrage'!$H$22</f>
        <v/>
      </c>
      <c r="J5" s="15">
        <f>IFERROR(H5/I5,0)</f>
        <v/>
      </c>
    </row>
    <row r="6">
      <c r="A6" s="17" t="inlineStr">
        <is>
          <t>MBway</t>
        </is>
      </c>
      <c r="B6" s="18" t="inlineStr">
        <is>
          <t>Lyon</t>
        </is>
      </c>
      <c r="C6" s="20">
        <f>A6&amp;"|"&amp;B6</f>
        <v/>
      </c>
      <c r="D6" s="24">
        <f>SUMIFS('02_Base'!$H$4:$H$61,'02_Base'!$A$4:$A$61,"MBway",'02_Base'!$B$4:$B$61,"Lyon",'02_Base'!$G$4:$G$61,1)</f>
        <v/>
      </c>
      <c r="E6" s="24">
        <f>D6/'01_Cadrage'!$H$23</f>
        <v/>
      </c>
      <c r="F6" s="40" t="n">
        <v>44</v>
      </c>
      <c r="G6" s="15">
        <f>ROUND(E6*F6,0)</f>
        <v/>
      </c>
      <c r="H6" s="13">
        <f>G6*(1+'01_Cadrage'!$H$14)</f>
        <v/>
      </c>
      <c r="I6" s="22">
        <f>E6*(H6/G6)^'01_Cadrage'!$H$22</f>
        <v/>
      </c>
      <c r="J6" s="15">
        <f>IFERROR(H6/I6,0)</f>
        <v/>
      </c>
    </row>
    <row r="7">
      <c r="A7" s="17" t="inlineStr">
        <is>
          <t>MBway</t>
        </is>
      </c>
      <c r="B7" s="18" t="inlineStr">
        <is>
          <t>Nantes</t>
        </is>
      </c>
      <c r="C7" s="20">
        <f>A7&amp;"|"&amp;B7</f>
        <v/>
      </c>
      <c r="D7" s="24">
        <f>SUMIFS('02_Base'!$H$4:$H$61,'02_Base'!$A$4:$A$61,"MBway",'02_Base'!$B$4:$B$61,"Nantes",'02_Base'!$G$4:$G$61,1)</f>
        <v/>
      </c>
      <c r="E7" s="24">
        <f>D7/'01_Cadrage'!$H$23</f>
        <v/>
      </c>
      <c r="F7" s="40" t="n">
        <v>40</v>
      </c>
      <c r="G7" s="15">
        <f>ROUND(E7*F7,0)</f>
        <v/>
      </c>
      <c r="H7" s="13">
        <f>G7*(1+'01_Cadrage'!$H$14)</f>
        <v/>
      </c>
      <c r="I7" s="22">
        <f>E7*(H7/G7)^'01_Cadrage'!$H$22</f>
        <v/>
      </c>
      <c r="J7" s="15">
        <f>IFERROR(H7/I7,0)</f>
        <v/>
      </c>
    </row>
    <row r="8">
      <c r="A8" s="17" t="inlineStr">
        <is>
          <t>MBway</t>
        </is>
      </c>
      <c r="B8" s="18" t="inlineStr">
        <is>
          <t>Bordeaux</t>
        </is>
      </c>
      <c r="C8" s="20">
        <f>A8&amp;"|"&amp;B8</f>
        <v/>
      </c>
      <c r="D8" s="24">
        <f>SUMIFS('02_Base'!$H$4:$H$61,'02_Base'!$A$4:$A$61,"MBway",'02_Base'!$B$4:$B$61,"Bordeaux",'02_Base'!$G$4:$G$61,1)</f>
        <v/>
      </c>
      <c r="E8" s="24">
        <f>D8/'01_Cadrage'!$H$23</f>
        <v/>
      </c>
      <c r="F8" s="40" t="n">
        <v>38</v>
      </c>
      <c r="G8" s="15">
        <f>ROUND(E8*F8,0)</f>
        <v/>
      </c>
      <c r="H8" s="13">
        <f>G8*(1+'01_Cadrage'!$H$14)</f>
        <v/>
      </c>
      <c r="I8" s="22">
        <f>E8*(H8/G8)^'01_Cadrage'!$H$22</f>
        <v/>
      </c>
      <c r="J8" s="15">
        <f>IFERROR(H8/I8,0)</f>
        <v/>
      </c>
    </row>
    <row r="9">
      <c r="A9" s="17" t="inlineStr">
        <is>
          <t>ISCOM</t>
        </is>
      </c>
      <c r="B9" s="18" t="inlineStr">
        <is>
          <t>Paris</t>
        </is>
      </c>
      <c r="C9" s="20">
        <f>A9&amp;"|"&amp;B9</f>
        <v/>
      </c>
      <c r="D9" s="24">
        <f>SUMIFS('02_Base'!$H$4:$H$61,'02_Base'!$A$4:$A$61,"ISCOM",'02_Base'!$B$4:$B$61,"Paris",'02_Base'!$G$4:$G$61,1)</f>
        <v/>
      </c>
      <c r="E9" s="24">
        <f>D9/'01_Cadrage'!$H$23</f>
        <v/>
      </c>
      <c r="F9" s="40" t="n">
        <v>54</v>
      </c>
      <c r="G9" s="15">
        <f>ROUND(E9*F9,0)</f>
        <v/>
      </c>
      <c r="H9" s="13">
        <f>G9*(1+'01_Cadrage'!$H$14)</f>
        <v/>
      </c>
      <c r="I9" s="22">
        <f>E9*(H9/G9)^'01_Cadrage'!$H$22</f>
        <v/>
      </c>
      <c r="J9" s="15">
        <f>IFERROR(H9/I9,0)</f>
        <v/>
      </c>
    </row>
    <row r="10">
      <c r="A10" s="17" t="inlineStr">
        <is>
          <t>ISCOM</t>
        </is>
      </c>
      <c r="B10" s="18" t="inlineStr">
        <is>
          <t>Lille</t>
        </is>
      </c>
      <c r="C10" s="20">
        <f>A10&amp;"|"&amp;B10</f>
        <v/>
      </c>
      <c r="D10" s="24">
        <f>SUMIFS('02_Base'!$H$4:$H$61,'02_Base'!$A$4:$A$61,"ISCOM",'02_Base'!$B$4:$B$61,"Lille",'02_Base'!$G$4:$G$61,1)</f>
        <v/>
      </c>
      <c r="E10" s="24">
        <f>D10/'01_Cadrage'!$H$23</f>
        <v/>
      </c>
      <c r="F10" s="40" t="n">
        <v>40</v>
      </c>
      <c r="G10" s="15">
        <f>ROUND(E10*F10,0)</f>
        <v/>
      </c>
      <c r="H10" s="13">
        <f>G10*(1+'01_Cadrage'!$H$14)</f>
        <v/>
      </c>
      <c r="I10" s="22">
        <f>E10*(H10/G10)^'01_Cadrage'!$H$22</f>
        <v/>
      </c>
      <c r="J10" s="15">
        <f>IFERROR(H10/I10,0)</f>
        <v/>
      </c>
    </row>
    <row r="11">
      <c r="A11" s="17" t="inlineStr">
        <is>
          <t>ISCOM</t>
        </is>
      </c>
      <c r="B11" s="18" t="inlineStr">
        <is>
          <t>Toulouse</t>
        </is>
      </c>
      <c r="C11" s="20">
        <f>A11&amp;"|"&amp;B11</f>
        <v/>
      </c>
      <c r="D11" s="24">
        <f>SUMIFS('02_Base'!$H$4:$H$61,'02_Base'!$A$4:$A$61,"ISCOM",'02_Base'!$B$4:$B$61,"Toulouse",'02_Base'!$G$4:$G$61,1)</f>
        <v/>
      </c>
      <c r="E11" s="24">
        <f>D11/'01_Cadrage'!$H$23</f>
        <v/>
      </c>
      <c r="F11" s="40" t="n">
        <v>38</v>
      </c>
      <c r="G11" s="15">
        <f>ROUND(E11*F11,0)</f>
        <v/>
      </c>
      <c r="H11" s="13">
        <f>G11*(1+'01_Cadrage'!$H$14)</f>
        <v/>
      </c>
      <c r="I11" s="22">
        <f>E11*(H11/G11)^'01_Cadrage'!$H$22</f>
        <v/>
      </c>
      <c r="J11" s="15">
        <f>IFERROR(H11/I11,0)</f>
        <v/>
      </c>
    </row>
    <row r="12">
      <c r="A12" s="17" t="inlineStr">
        <is>
          <t>Ipac Bachelor Factory</t>
        </is>
      </c>
      <c r="B12" s="18" t="inlineStr">
        <is>
          <t>Nantes</t>
        </is>
      </c>
      <c r="C12" s="20">
        <f>A12&amp;"|"&amp;B12</f>
        <v/>
      </c>
      <c r="D12" s="24">
        <f>SUMIFS('02_Base'!$H$4:$H$61,'02_Base'!$A$4:$A$61,"Ipac Bachelor Factory",'02_Base'!$B$4:$B$61,"Nantes",'02_Base'!$G$4:$G$61,1)</f>
        <v/>
      </c>
      <c r="E12" s="24">
        <f>D12/'01_Cadrage'!$H$23</f>
        <v/>
      </c>
      <c r="F12" s="40" t="n">
        <v>40</v>
      </c>
      <c r="G12" s="15">
        <f>ROUND(E12*F12,0)</f>
        <v/>
      </c>
      <c r="H12" s="13">
        <f>G12*(1+'01_Cadrage'!$H$14)</f>
        <v/>
      </c>
      <c r="I12" s="22">
        <f>E12*(H12/G12)^'01_Cadrage'!$H$22</f>
        <v/>
      </c>
      <c r="J12" s="15">
        <f>IFERROR(H12/I12,0)</f>
        <v/>
      </c>
    </row>
    <row r="13">
      <c r="A13" s="17" t="inlineStr">
        <is>
          <t>Ipac Bachelor Factory</t>
        </is>
      </c>
      <c r="B13" s="18" t="inlineStr">
        <is>
          <t>Rennes</t>
        </is>
      </c>
      <c r="C13" s="20">
        <f>A13&amp;"|"&amp;B13</f>
        <v/>
      </c>
      <c r="D13" s="24">
        <f>SUMIFS('02_Base'!$H$4:$H$61,'02_Base'!$A$4:$A$61,"Ipac Bachelor Factory",'02_Base'!$B$4:$B$61,"Rennes",'02_Base'!$G$4:$G$61,1)</f>
        <v/>
      </c>
      <c r="E13" s="24">
        <f>D13/'01_Cadrage'!$H$23</f>
        <v/>
      </c>
      <c r="F13" s="40" t="n">
        <v>36</v>
      </c>
      <c r="G13" s="15">
        <f>ROUND(E13*F13,0)</f>
        <v/>
      </c>
      <c r="H13" s="13">
        <f>G13*(1+'01_Cadrage'!$H$14)</f>
        <v/>
      </c>
      <c r="I13" s="22">
        <f>E13*(H13/G13)^'01_Cadrage'!$H$22</f>
        <v/>
      </c>
      <c r="J13" s="15">
        <f>IFERROR(H13/I13,0)</f>
        <v/>
      </c>
    </row>
    <row r="14">
      <c r="A14" s="17" t="inlineStr">
        <is>
          <t>Ipac Bachelor Factory</t>
        </is>
      </c>
      <c r="B14" s="18" t="inlineStr">
        <is>
          <t>Montpellier</t>
        </is>
      </c>
      <c r="C14" s="20">
        <f>A14&amp;"|"&amp;B14</f>
        <v/>
      </c>
      <c r="D14" s="24">
        <f>SUMIFS('02_Base'!$H$4:$H$61,'02_Base'!$A$4:$A$61,"Ipac Bachelor Factory",'02_Base'!$B$4:$B$61,"Montpellier",'02_Base'!$G$4:$G$61,1)</f>
        <v/>
      </c>
      <c r="E14" s="24">
        <f>D14/'01_Cadrage'!$H$23</f>
        <v/>
      </c>
      <c r="F14" s="40" t="n">
        <v>36</v>
      </c>
      <c r="G14" s="15">
        <f>ROUND(E14*F14,0)</f>
        <v/>
      </c>
      <c r="H14" s="13">
        <f>G14*(1+'01_Cadrage'!$H$14)</f>
        <v/>
      </c>
      <c r="I14" s="22">
        <f>E14*(H14/G14)^'01_Cadrage'!$H$22</f>
        <v/>
      </c>
      <c r="J14" s="15">
        <f>IFERROR(H14/I14,0)</f>
        <v/>
      </c>
    </row>
    <row r="15">
      <c r="A15" s="17" t="inlineStr">
        <is>
          <t>Pigier</t>
        </is>
      </c>
      <c r="B15" s="18" t="inlineStr">
        <is>
          <t>Lyon</t>
        </is>
      </c>
      <c r="C15" s="20">
        <f>A15&amp;"|"&amp;B15</f>
        <v/>
      </c>
      <c r="D15" s="24">
        <f>SUMIFS('02_Base'!$H$4:$H$61,'02_Base'!$A$4:$A$61,"Pigier",'02_Base'!$B$4:$B$61,"Lyon",'02_Base'!$G$4:$G$61,1)</f>
        <v/>
      </c>
      <c r="E15" s="24">
        <f>D15/'01_Cadrage'!$H$23</f>
        <v/>
      </c>
      <c r="F15" s="40" t="n">
        <v>44</v>
      </c>
      <c r="G15" s="15">
        <f>ROUND(E15*F15,0)</f>
        <v/>
      </c>
      <c r="H15" s="13">
        <f>G15*(1+'01_Cadrage'!$H$14)</f>
        <v/>
      </c>
      <c r="I15" s="22">
        <f>E15*(H15/G15)^'01_Cadrage'!$H$22</f>
        <v/>
      </c>
      <c r="J15" s="15">
        <f>IFERROR(H15/I15,0)</f>
        <v/>
      </c>
    </row>
    <row r="16">
      <c r="A16" s="17" t="inlineStr">
        <is>
          <t>Pigier</t>
        </is>
      </c>
      <c r="B16" s="18" t="inlineStr">
        <is>
          <t>Bordeaux</t>
        </is>
      </c>
      <c r="C16" s="20">
        <f>A16&amp;"|"&amp;B16</f>
        <v/>
      </c>
      <c r="D16" s="24">
        <f>SUMIFS('02_Base'!$H$4:$H$61,'02_Base'!$A$4:$A$61,"Pigier",'02_Base'!$B$4:$B$61,"Bordeaux",'02_Base'!$G$4:$G$61,1)</f>
        <v/>
      </c>
      <c r="E16" s="24">
        <f>D16/'01_Cadrage'!$H$23</f>
        <v/>
      </c>
      <c r="F16" s="40" t="n">
        <v>38</v>
      </c>
      <c r="G16" s="15">
        <f>ROUND(E16*F16,0)</f>
        <v/>
      </c>
      <c r="H16" s="13">
        <f>G16*(1+'01_Cadrage'!$H$14)</f>
        <v/>
      </c>
      <c r="I16" s="22">
        <f>E16*(H16/G16)^'01_Cadrage'!$H$22</f>
        <v/>
      </c>
      <c r="J16" s="15">
        <f>IFERROR(H16/I16,0)</f>
        <v/>
      </c>
    </row>
    <row r="17">
      <c r="A17" s="17" t="inlineStr">
        <is>
          <t>Tunon</t>
        </is>
      </c>
      <c r="B17" s="18" t="inlineStr">
        <is>
          <t>Paris</t>
        </is>
      </c>
      <c r="C17" s="20">
        <f>A17&amp;"|"&amp;B17</f>
        <v/>
      </c>
      <c r="D17" s="24">
        <f>SUMIFS('02_Base'!$H$4:$H$61,'02_Base'!$A$4:$A$61,"Tunon",'02_Base'!$B$4:$B$61,"Paris",'02_Base'!$G$4:$G$61,1)</f>
        <v/>
      </c>
      <c r="E17" s="24">
        <f>D17/'01_Cadrage'!$H$23</f>
        <v/>
      </c>
      <c r="F17" s="40" t="n">
        <v>54</v>
      </c>
      <c r="G17" s="15">
        <f>ROUND(E17*F17,0)</f>
        <v/>
      </c>
      <c r="H17" s="13">
        <f>G17*(1+'01_Cadrage'!$H$14)</f>
        <v/>
      </c>
      <c r="I17" s="22">
        <f>E17*(H17/G17)^'01_Cadrage'!$H$22</f>
        <v/>
      </c>
      <c r="J17" s="15">
        <f>IFERROR(H17/I17,0)</f>
        <v/>
      </c>
    </row>
    <row r="18">
      <c r="A18" s="17" t="inlineStr">
        <is>
          <t>Tunon</t>
        </is>
      </c>
      <c r="B18" s="18" t="inlineStr">
        <is>
          <t>Lyon</t>
        </is>
      </c>
      <c r="C18" s="20">
        <f>A18&amp;"|"&amp;B18</f>
        <v/>
      </c>
      <c r="D18" s="24">
        <f>SUMIFS('02_Base'!$H$4:$H$61,'02_Base'!$A$4:$A$61,"Tunon",'02_Base'!$B$4:$B$61,"Lyon",'02_Base'!$G$4:$G$61,1)</f>
        <v/>
      </c>
      <c r="E18" s="24">
        <f>D18/'01_Cadrage'!$H$23</f>
        <v/>
      </c>
      <c r="F18" s="40" t="n">
        <v>44</v>
      </c>
      <c r="G18" s="15">
        <f>ROUND(E18*F18,0)</f>
        <v/>
      </c>
      <c r="H18" s="13">
        <f>G18*(1+'01_Cadrage'!$H$14)</f>
        <v/>
      </c>
      <c r="I18" s="22">
        <f>E18*(H18/G18)^'01_Cadrage'!$H$22</f>
        <v/>
      </c>
      <c r="J18" s="15">
        <f>IFERROR(H18/I18,0)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70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8" customWidth="1" min="3" max="3"/>
    <col width="6" customWidth="1" min="4" max="4"/>
    <col width="5" customWidth="1" min="5" max="5"/>
    <col width="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</cols>
  <sheetData>
    <row r="1" ht="22" customHeight="1">
      <c r="A1" s="1" t="inlineStr">
        <is>
          <t>MOTEUR DE CA (cellule) — leads → candidatures → admis → inscrits → effectif → CA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Programme</t>
        </is>
      </c>
      <c r="D3" s="10" t="inlineStr">
        <is>
          <t>Année</t>
        </is>
      </c>
      <c r="E3" s="10" t="inlineStr">
        <is>
          <t>Mod.</t>
        </is>
      </c>
      <c r="F3" s="10" t="inlineStr">
        <is>
          <t>Entrée</t>
        </is>
      </c>
      <c r="G3" s="10" t="inlineStr">
        <is>
          <t>Cand hist</t>
        </is>
      </c>
      <c r="H3" s="10" t="inlineStr">
        <is>
          <t>Nouv hist</t>
        </is>
      </c>
      <c r="I3" s="10" t="inlineStr">
        <is>
          <t>Réins hist</t>
        </is>
      </c>
      <c r="J3" s="10" t="inlineStr">
        <is>
          <t>Eff hist</t>
        </is>
      </c>
      <c r="K3" s="10" t="inlineStr">
        <is>
          <t>Eff. inf.</t>
        </is>
      </c>
      <c r="L3" s="10" t="inlineStr">
        <is>
          <t>Revenu/étu</t>
        </is>
      </c>
      <c r="M3" s="10" t="inlineStr">
        <is>
          <t>Passage</t>
        </is>
      </c>
      <c r="N3" s="10" t="inlineStr">
        <is>
          <t>Yield</t>
        </is>
      </c>
      <c r="O3" s="10" t="inlineStr">
        <is>
          <t>Part leads</t>
        </is>
      </c>
      <c r="P3" s="10" t="inlineStr">
        <is>
          <t>Leads campus</t>
        </is>
      </c>
      <c r="Q3" s="10" t="inlineStr">
        <is>
          <t>Leads cellule</t>
        </is>
      </c>
      <c r="R3" s="10" t="inlineStr">
        <is>
          <t>Candidatures</t>
        </is>
      </c>
      <c r="S3" s="10" t="inlineStr">
        <is>
          <t>Admis</t>
        </is>
      </c>
      <c r="T3" s="10" t="inlineStr">
        <is>
          <t>Nouveaux</t>
        </is>
      </c>
      <c r="U3" s="10" t="inlineStr">
        <is>
          <t>Réinscrits</t>
        </is>
      </c>
      <c r="V3" s="10" t="inlineStr">
        <is>
          <t>Effectif</t>
        </is>
      </c>
      <c r="W3" s="10" t="inlineStr">
        <is>
          <t>Revenu actif</t>
        </is>
      </c>
      <c r="X3" s="10" t="inlineStr">
        <is>
          <t>CA</t>
        </is>
      </c>
    </row>
    <row r="4">
      <c r="A4" s="17">
        <f>'02_Base'!A4</f>
        <v/>
      </c>
      <c r="B4" s="18">
        <f>'02_Base'!B4</f>
        <v/>
      </c>
      <c r="C4" s="17">
        <f>'02_Base'!C4</f>
        <v/>
      </c>
      <c r="D4" s="18">
        <f>'02_Base'!E4</f>
        <v/>
      </c>
      <c r="E4" s="18">
        <f>'02_Base'!F4</f>
        <v/>
      </c>
      <c r="F4" s="37">
        <f>'02_Base'!G4</f>
        <v/>
      </c>
      <c r="G4" s="37">
        <f>'02_Base'!H4</f>
        <v/>
      </c>
      <c r="H4" s="37">
        <f>'02_Base'!I4</f>
        <v/>
      </c>
      <c r="I4" s="37">
        <f>'02_Base'!J4</f>
        <v/>
      </c>
      <c r="J4" s="37">
        <f>'02_Base'!K4</f>
        <v/>
      </c>
      <c r="K4" s="37">
        <f>'02_Base'!L4</f>
        <v/>
      </c>
      <c r="L4" s="38">
        <f>'02_Base'!N4</f>
        <v/>
      </c>
      <c r="M4" s="39">
        <f>'02_Base'!O4</f>
        <v/>
      </c>
      <c r="N4" s="39">
        <f>'02_Base'!P4</f>
        <v/>
      </c>
      <c r="O4" s="41">
        <f>IF(F4=1,IFERROR(G4/INDEX('03_Campagnes'!$D$5:$D$18,MATCH(A4&amp;"|"&amp;B4,'03_Campagnes'!$C$5:$C$18,0)),0),0)</f>
        <v/>
      </c>
      <c r="P4" s="24">
        <f>INDEX('03_Campagnes'!$I$5:$I$18,MATCH(A4&amp;"|"&amp;B4,'03_Campagnes'!$C$5:$C$18,0))</f>
        <v/>
      </c>
      <c r="Q4" s="24">
        <f>P4*O4</f>
        <v/>
      </c>
      <c r="R4" s="24">
        <f>IF(F4=1,Q4*('01_Cadrage'!$H$23+'01_Cadrage'!$H$16),0)</f>
        <v/>
      </c>
      <c r="S4" s="24">
        <f>R4*'01_Cadrage'!$H$24</f>
        <v/>
      </c>
      <c r="T4" s="22">
        <f>IF(F4=1,S4*(N4+'01_Cadrage'!$H$17),0)</f>
        <v/>
      </c>
      <c r="U4" s="24">
        <f>IF(F4=1,0,K4*(M4+'01_Cadrage'!$H$18))</f>
        <v/>
      </c>
      <c r="V4" s="22">
        <f>T4+U4</f>
        <v/>
      </c>
      <c r="W4" s="15">
        <f>L4*(1+'01_Cadrage'!$H$15*INDEX('01_Cadrage'!$L$7:$L$20,MATCH(A4&amp;"|"&amp;B4,'01_Cadrage'!$M$7:$M$20,0)))</f>
        <v/>
      </c>
      <c r="X4" s="13">
        <f>V4*W4+T4*'01_Cadrage'!$H$25</f>
        <v/>
      </c>
    </row>
    <row r="5">
      <c r="A5" s="17">
        <f>'02_Base'!A5</f>
        <v/>
      </c>
      <c r="B5" s="18">
        <f>'02_Base'!B5</f>
        <v/>
      </c>
      <c r="C5" s="17">
        <f>'02_Base'!C5</f>
        <v/>
      </c>
      <c r="D5" s="18">
        <f>'02_Base'!E5</f>
        <v/>
      </c>
      <c r="E5" s="18">
        <f>'02_Base'!F5</f>
        <v/>
      </c>
      <c r="F5" s="37">
        <f>'02_Base'!G5</f>
        <v/>
      </c>
      <c r="G5" s="37">
        <f>'02_Base'!H5</f>
        <v/>
      </c>
      <c r="H5" s="37">
        <f>'02_Base'!I5</f>
        <v/>
      </c>
      <c r="I5" s="37">
        <f>'02_Base'!J5</f>
        <v/>
      </c>
      <c r="J5" s="37">
        <f>'02_Base'!K5</f>
        <v/>
      </c>
      <c r="K5" s="37">
        <f>'02_Base'!L5</f>
        <v/>
      </c>
      <c r="L5" s="38">
        <f>'02_Base'!N5</f>
        <v/>
      </c>
      <c r="M5" s="39">
        <f>'02_Base'!O5</f>
        <v/>
      </c>
      <c r="N5" s="39">
        <f>'02_Base'!P5</f>
        <v/>
      </c>
      <c r="O5" s="41">
        <f>IF(F5=1,IFERROR(G5/INDEX('03_Campagnes'!$D$5:$D$18,MATCH(A5&amp;"|"&amp;B5,'03_Campagnes'!$C$5:$C$18,0)),0),0)</f>
        <v/>
      </c>
      <c r="P5" s="24">
        <f>INDEX('03_Campagnes'!$I$5:$I$18,MATCH(A5&amp;"|"&amp;B5,'03_Campagnes'!$C$5:$C$18,0))</f>
        <v/>
      </c>
      <c r="Q5" s="24">
        <f>P5*O5</f>
        <v/>
      </c>
      <c r="R5" s="24">
        <f>IF(F5=1,Q5*('01_Cadrage'!$H$23+'01_Cadrage'!$H$16),0)</f>
        <v/>
      </c>
      <c r="S5" s="24">
        <f>R5*'01_Cadrage'!$H$24</f>
        <v/>
      </c>
      <c r="T5" s="22">
        <f>IF(F5=1,S5*(N5+'01_Cadrage'!$H$17),0)</f>
        <v/>
      </c>
      <c r="U5" s="24">
        <f>IF(F5=1,0,K5*(M5+'01_Cadrage'!$H$18))</f>
        <v/>
      </c>
      <c r="V5" s="22">
        <f>T5+U5</f>
        <v/>
      </c>
      <c r="W5" s="15">
        <f>L5*(1+'01_Cadrage'!$H$15*INDEX('01_Cadrage'!$L$7:$L$20,MATCH(A5&amp;"|"&amp;B5,'01_Cadrage'!$M$7:$M$20,0)))</f>
        <v/>
      </c>
      <c r="X5" s="13">
        <f>V5*W5+T5*'01_Cadrage'!$H$25</f>
        <v/>
      </c>
    </row>
    <row r="6">
      <c r="A6" s="17">
        <f>'02_Base'!A6</f>
        <v/>
      </c>
      <c r="B6" s="18">
        <f>'02_Base'!B6</f>
        <v/>
      </c>
      <c r="C6" s="17">
        <f>'02_Base'!C6</f>
        <v/>
      </c>
      <c r="D6" s="18">
        <f>'02_Base'!E6</f>
        <v/>
      </c>
      <c r="E6" s="18">
        <f>'02_Base'!F6</f>
        <v/>
      </c>
      <c r="F6" s="37">
        <f>'02_Base'!G6</f>
        <v/>
      </c>
      <c r="G6" s="37">
        <f>'02_Base'!H6</f>
        <v/>
      </c>
      <c r="H6" s="37">
        <f>'02_Base'!I6</f>
        <v/>
      </c>
      <c r="I6" s="37">
        <f>'02_Base'!J6</f>
        <v/>
      </c>
      <c r="J6" s="37">
        <f>'02_Base'!K6</f>
        <v/>
      </c>
      <c r="K6" s="37">
        <f>'02_Base'!L6</f>
        <v/>
      </c>
      <c r="L6" s="38">
        <f>'02_Base'!N6</f>
        <v/>
      </c>
      <c r="M6" s="39">
        <f>'02_Base'!O6</f>
        <v/>
      </c>
      <c r="N6" s="39">
        <f>'02_Base'!P6</f>
        <v/>
      </c>
      <c r="O6" s="41">
        <f>IF(F6=1,IFERROR(G6/INDEX('03_Campagnes'!$D$5:$D$18,MATCH(A6&amp;"|"&amp;B6,'03_Campagnes'!$C$5:$C$18,0)),0),0)</f>
        <v/>
      </c>
      <c r="P6" s="24">
        <f>INDEX('03_Campagnes'!$I$5:$I$18,MATCH(A6&amp;"|"&amp;B6,'03_Campagnes'!$C$5:$C$18,0))</f>
        <v/>
      </c>
      <c r="Q6" s="24">
        <f>P6*O6</f>
        <v/>
      </c>
      <c r="R6" s="24">
        <f>IF(F6=1,Q6*('01_Cadrage'!$H$23+'01_Cadrage'!$H$16),0)</f>
        <v/>
      </c>
      <c r="S6" s="24">
        <f>R6*'01_Cadrage'!$H$24</f>
        <v/>
      </c>
      <c r="T6" s="22">
        <f>IF(F6=1,S6*(N6+'01_Cadrage'!$H$17),0)</f>
        <v/>
      </c>
      <c r="U6" s="24">
        <f>IF(F6=1,0,K6*(M6+'01_Cadrage'!$H$18))</f>
        <v/>
      </c>
      <c r="V6" s="22">
        <f>T6+U6</f>
        <v/>
      </c>
      <c r="W6" s="15">
        <f>L6*(1+'01_Cadrage'!$H$15*INDEX('01_Cadrage'!$L$7:$L$20,MATCH(A6&amp;"|"&amp;B6,'01_Cadrage'!$M$7:$M$20,0)))</f>
        <v/>
      </c>
      <c r="X6" s="13">
        <f>V6*W6+T6*'01_Cadrage'!$H$25</f>
        <v/>
      </c>
    </row>
    <row r="7">
      <c r="A7" s="17">
        <f>'02_Base'!A7</f>
        <v/>
      </c>
      <c r="B7" s="18">
        <f>'02_Base'!B7</f>
        <v/>
      </c>
      <c r="C7" s="17">
        <f>'02_Base'!C7</f>
        <v/>
      </c>
      <c r="D7" s="18">
        <f>'02_Base'!E7</f>
        <v/>
      </c>
      <c r="E7" s="18">
        <f>'02_Base'!F7</f>
        <v/>
      </c>
      <c r="F7" s="37">
        <f>'02_Base'!G7</f>
        <v/>
      </c>
      <c r="G7" s="37">
        <f>'02_Base'!H7</f>
        <v/>
      </c>
      <c r="H7" s="37">
        <f>'02_Base'!I7</f>
        <v/>
      </c>
      <c r="I7" s="37">
        <f>'02_Base'!J7</f>
        <v/>
      </c>
      <c r="J7" s="37">
        <f>'02_Base'!K7</f>
        <v/>
      </c>
      <c r="K7" s="37">
        <f>'02_Base'!L7</f>
        <v/>
      </c>
      <c r="L7" s="38">
        <f>'02_Base'!N7</f>
        <v/>
      </c>
      <c r="M7" s="39">
        <f>'02_Base'!O7</f>
        <v/>
      </c>
      <c r="N7" s="39">
        <f>'02_Base'!P7</f>
        <v/>
      </c>
      <c r="O7" s="41">
        <f>IF(F7=1,IFERROR(G7/INDEX('03_Campagnes'!$D$5:$D$18,MATCH(A7&amp;"|"&amp;B7,'03_Campagnes'!$C$5:$C$18,0)),0),0)</f>
        <v/>
      </c>
      <c r="P7" s="24">
        <f>INDEX('03_Campagnes'!$I$5:$I$18,MATCH(A7&amp;"|"&amp;B7,'03_Campagnes'!$C$5:$C$18,0))</f>
        <v/>
      </c>
      <c r="Q7" s="24">
        <f>P7*O7</f>
        <v/>
      </c>
      <c r="R7" s="24">
        <f>IF(F7=1,Q7*('01_Cadrage'!$H$23+'01_Cadrage'!$H$16),0)</f>
        <v/>
      </c>
      <c r="S7" s="24">
        <f>R7*'01_Cadrage'!$H$24</f>
        <v/>
      </c>
      <c r="T7" s="22">
        <f>IF(F7=1,S7*(N7+'01_Cadrage'!$H$17),0)</f>
        <v/>
      </c>
      <c r="U7" s="24">
        <f>IF(F7=1,0,K7*(M7+'01_Cadrage'!$H$18))</f>
        <v/>
      </c>
      <c r="V7" s="22">
        <f>T7+U7</f>
        <v/>
      </c>
      <c r="W7" s="15">
        <f>L7*(1+'01_Cadrage'!$H$15*INDEX('01_Cadrage'!$L$7:$L$20,MATCH(A7&amp;"|"&amp;B7,'01_Cadrage'!$M$7:$M$20,0)))</f>
        <v/>
      </c>
      <c r="X7" s="13">
        <f>V7*W7+T7*'01_Cadrage'!$H$25</f>
        <v/>
      </c>
    </row>
    <row r="8">
      <c r="A8" s="17">
        <f>'02_Base'!A8</f>
        <v/>
      </c>
      <c r="B8" s="18">
        <f>'02_Base'!B8</f>
        <v/>
      </c>
      <c r="C8" s="17">
        <f>'02_Base'!C8</f>
        <v/>
      </c>
      <c r="D8" s="18">
        <f>'02_Base'!E8</f>
        <v/>
      </c>
      <c r="E8" s="18">
        <f>'02_Base'!F8</f>
        <v/>
      </c>
      <c r="F8" s="37">
        <f>'02_Base'!G8</f>
        <v/>
      </c>
      <c r="G8" s="37">
        <f>'02_Base'!H8</f>
        <v/>
      </c>
      <c r="H8" s="37">
        <f>'02_Base'!I8</f>
        <v/>
      </c>
      <c r="I8" s="37">
        <f>'02_Base'!J8</f>
        <v/>
      </c>
      <c r="J8" s="37">
        <f>'02_Base'!K8</f>
        <v/>
      </c>
      <c r="K8" s="37">
        <f>'02_Base'!L8</f>
        <v/>
      </c>
      <c r="L8" s="38">
        <f>'02_Base'!N8</f>
        <v/>
      </c>
      <c r="M8" s="39">
        <f>'02_Base'!O8</f>
        <v/>
      </c>
      <c r="N8" s="39">
        <f>'02_Base'!P8</f>
        <v/>
      </c>
      <c r="O8" s="41">
        <f>IF(F8=1,IFERROR(G8/INDEX('03_Campagnes'!$D$5:$D$18,MATCH(A8&amp;"|"&amp;B8,'03_Campagnes'!$C$5:$C$18,0)),0),0)</f>
        <v/>
      </c>
      <c r="P8" s="24">
        <f>INDEX('03_Campagnes'!$I$5:$I$18,MATCH(A8&amp;"|"&amp;B8,'03_Campagnes'!$C$5:$C$18,0))</f>
        <v/>
      </c>
      <c r="Q8" s="24">
        <f>P8*O8</f>
        <v/>
      </c>
      <c r="R8" s="24">
        <f>IF(F8=1,Q8*('01_Cadrage'!$H$23+'01_Cadrage'!$H$16),0)</f>
        <v/>
      </c>
      <c r="S8" s="24">
        <f>R8*'01_Cadrage'!$H$24</f>
        <v/>
      </c>
      <c r="T8" s="22">
        <f>IF(F8=1,S8*(N8+'01_Cadrage'!$H$17),0)</f>
        <v/>
      </c>
      <c r="U8" s="24">
        <f>IF(F8=1,0,K8*(M8+'01_Cadrage'!$H$18))</f>
        <v/>
      </c>
      <c r="V8" s="22">
        <f>T8+U8</f>
        <v/>
      </c>
      <c r="W8" s="15">
        <f>L8*(1+'01_Cadrage'!$H$15*INDEX('01_Cadrage'!$L$7:$L$20,MATCH(A8&amp;"|"&amp;B8,'01_Cadrage'!$M$7:$M$20,0)))</f>
        <v/>
      </c>
      <c r="X8" s="13">
        <f>V8*W8+T8*'01_Cadrage'!$H$25</f>
        <v/>
      </c>
    </row>
    <row r="9">
      <c r="A9" s="17">
        <f>'02_Base'!A9</f>
        <v/>
      </c>
      <c r="B9" s="18">
        <f>'02_Base'!B9</f>
        <v/>
      </c>
      <c r="C9" s="17">
        <f>'02_Base'!C9</f>
        <v/>
      </c>
      <c r="D9" s="18">
        <f>'02_Base'!E9</f>
        <v/>
      </c>
      <c r="E9" s="18">
        <f>'02_Base'!F9</f>
        <v/>
      </c>
      <c r="F9" s="37">
        <f>'02_Base'!G9</f>
        <v/>
      </c>
      <c r="G9" s="37">
        <f>'02_Base'!H9</f>
        <v/>
      </c>
      <c r="H9" s="37">
        <f>'02_Base'!I9</f>
        <v/>
      </c>
      <c r="I9" s="37">
        <f>'02_Base'!J9</f>
        <v/>
      </c>
      <c r="J9" s="37">
        <f>'02_Base'!K9</f>
        <v/>
      </c>
      <c r="K9" s="37">
        <f>'02_Base'!L9</f>
        <v/>
      </c>
      <c r="L9" s="38">
        <f>'02_Base'!N9</f>
        <v/>
      </c>
      <c r="M9" s="39">
        <f>'02_Base'!O9</f>
        <v/>
      </c>
      <c r="N9" s="39">
        <f>'02_Base'!P9</f>
        <v/>
      </c>
      <c r="O9" s="41">
        <f>IF(F9=1,IFERROR(G9/INDEX('03_Campagnes'!$D$5:$D$18,MATCH(A9&amp;"|"&amp;B9,'03_Campagnes'!$C$5:$C$18,0)),0),0)</f>
        <v/>
      </c>
      <c r="P9" s="24">
        <f>INDEX('03_Campagnes'!$I$5:$I$18,MATCH(A9&amp;"|"&amp;B9,'03_Campagnes'!$C$5:$C$18,0))</f>
        <v/>
      </c>
      <c r="Q9" s="24">
        <f>P9*O9</f>
        <v/>
      </c>
      <c r="R9" s="24">
        <f>IF(F9=1,Q9*('01_Cadrage'!$H$23+'01_Cadrage'!$H$16),0)</f>
        <v/>
      </c>
      <c r="S9" s="24">
        <f>R9*'01_Cadrage'!$H$24</f>
        <v/>
      </c>
      <c r="T9" s="22">
        <f>IF(F9=1,S9*(N9+'01_Cadrage'!$H$17),0)</f>
        <v/>
      </c>
      <c r="U9" s="24">
        <f>IF(F9=1,0,K9*(M9+'01_Cadrage'!$H$18))</f>
        <v/>
      </c>
      <c r="V9" s="22">
        <f>T9+U9</f>
        <v/>
      </c>
      <c r="W9" s="15">
        <f>L9*(1+'01_Cadrage'!$H$15*INDEX('01_Cadrage'!$L$7:$L$20,MATCH(A9&amp;"|"&amp;B9,'01_Cadrage'!$M$7:$M$20,0)))</f>
        <v/>
      </c>
      <c r="X9" s="13">
        <f>V9*W9+T9*'01_Cadrage'!$H$25</f>
        <v/>
      </c>
    </row>
    <row r="10">
      <c r="A10" s="17">
        <f>'02_Base'!A10</f>
        <v/>
      </c>
      <c r="B10" s="18">
        <f>'02_Base'!B10</f>
        <v/>
      </c>
      <c r="C10" s="17">
        <f>'02_Base'!C10</f>
        <v/>
      </c>
      <c r="D10" s="18">
        <f>'02_Base'!E10</f>
        <v/>
      </c>
      <c r="E10" s="18">
        <f>'02_Base'!F10</f>
        <v/>
      </c>
      <c r="F10" s="37">
        <f>'02_Base'!G10</f>
        <v/>
      </c>
      <c r="G10" s="37">
        <f>'02_Base'!H10</f>
        <v/>
      </c>
      <c r="H10" s="37">
        <f>'02_Base'!I10</f>
        <v/>
      </c>
      <c r="I10" s="37">
        <f>'02_Base'!J10</f>
        <v/>
      </c>
      <c r="J10" s="37">
        <f>'02_Base'!K10</f>
        <v/>
      </c>
      <c r="K10" s="37">
        <f>'02_Base'!L10</f>
        <v/>
      </c>
      <c r="L10" s="38">
        <f>'02_Base'!N10</f>
        <v/>
      </c>
      <c r="M10" s="39">
        <f>'02_Base'!O10</f>
        <v/>
      </c>
      <c r="N10" s="39">
        <f>'02_Base'!P10</f>
        <v/>
      </c>
      <c r="O10" s="41">
        <f>IF(F10=1,IFERROR(G10/INDEX('03_Campagnes'!$D$5:$D$18,MATCH(A10&amp;"|"&amp;B10,'03_Campagnes'!$C$5:$C$18,0)),0),0)</f>
        <v/>
      </c>
      <c r="P10" s="24">
        <f>INDEX('03_Campagnes'!$I$5:$I$18,MATCH(A10&amp;"|"&amp;B10,'03_Campagnes'!$C$5:$C$18,0))</f>
        <v/>
      </c>
      <c r="Q10" s="24">
        <f>P10*O10</f>
        <v/>
      </c>
      <c r="R10" s="24">
        <f>IF(F10=1,Q10*('01_Cadrage'!$H$23+'01_Cadrage'!$H$16),0)</f>
        <v/>
      </c>
      <c r="S10" s="24">
        <f>R10*'01_Cadrage'!$H$24</f>
        <v/>
      </c>
      <c r="T10" s="22">
        <f>IF(F10=1,S10*(N10+'01_Cadrage'!$H$17),0)</f>
        <v/>
      </c>
      <c r="U10" s="24">
        <f>IF(F10=1,0,K10*(M10+'01_Cadrage'!$H$18))</f>
        <v/>
      </c>
      <c r="V10" s="22">
        <f>T10+U10</f>
        <v/>
      </c>
      <c r="W10" s="15">
        <f>L10*(1+'01_Cadrage'!$H$15*INDEX('01_Cadrage'!$L$7:$L$20,MATCH(A10&amp;"|"&amp;B10,'01_Cadrage'!$M$7:$M$20,0)))</f>
        <v/>
      </c>
      <c r="X10" s="13">
        <f>V10*W10+T10*'01_Cadrage'!$H$25</f>
        <v/>
      </c>
    </row>
    <row r="11">
      <c r="A11" s="17">
        <f>'02_Base'!A11</f>
        <v/>
      </c>
      <c r="B11" s="18">
        <f>'02_Base'!B11</f>
        <v/>
      </c>
      <c r="C11" s="17">
        <f>'02_Base'!C11</f>
        <v/>
      </c>
      <c r="D11" s="18">
        <f>'02_Base'!E11</f>
        <v/>
      </c>
      <c r="E11" s="18">
        <f>'02_Base'!F11</f>
        <v/>
      </c>
      <c r="F11" s="37">
        <f>'02_Base'!G11</f>
        <v/>
      </c>
      <c r="G11" s="37">
        <f>'02_Base'!H11</f>
        <v/>
      </c>
      <c r="H11" s="37">
        <f>'02_Base'!I11</f>
        <v/>
      </c>
      <c r="I11" s="37">
        <f>'02_Base'!J11</f>
        <v/>
      </c>
      <c r="J11" s="37">
        <f>'02_Base'!K11</f>
        <v/>
      </c>
      <c r="K11" s="37">
        <f>'02_Base'!L11</f>
        <v/>
      </c>
      <c r="L11" s="38">
        <f>'02_Base'!N11</f>
        <v/>
      </c>
      <c r="M11" s="39">
        <f>'02_Base'!O11</f>
        <v/>
      </c>
      <c r="N11" s="39">
        <f>'02_Base'!P11</f>
        <v/>
      </c>
      <c r="O11" s="41">
        <f>IF(F11=1,IFERROR(G11/INDEX('03_Campagnes'!$D$5:$D$18,MATCH(A11&amp;"|"&amp;B11,'03_Campagnes'!$C$5:$C$18,0)),0),0)</f>
        <v/>
      </c>
      <c r="P11" s="24">
        <f>INDEX('03_Campagnes'!$I$5:$I$18,MATCH(A11&amp;"|"&amp;B11,'03_Campagnes'!$C$5:$C$18,0))</f>
        <v/>
      </c>
      <c r="Q11" s="24">
        <f>P11*O11</f>
        <v/>
      </c>
      <c r="R11" s="24">
        <f>IF(F11=1,Q11*('01_Cadrage'!$H$23+'01_Cadrage'!$H$16),0)</f>
        <v/>
      </c>
      <c r="S11" s="24">
        <f>R11*'01_Cadrage'!$H$24</f>
        <v/>
      </c>
      <c r="T11" s="22">
        <f>IF(F11=1,S11*(N11+'01_Cadrage'!$H$17),0)</f>
        <v/>
      </c>
      <c r="U11" s="24">
        <f>IF(F11=1,0,K11*(M11+'01_Cadrage'!$H$18))</f>
        <v/>
      </c>
      <c r="V11" s="22">
        <f>T11+U11</f>
        <v/>
      </c>
      <c r="W11" s="15">
        <f>L11*(1+'01_Cadrage'!$H$15*INDEX('01_Cadrage'!$L$7:$L$20,MATCH(A11&amp;"|"&amp;B11,'01_Cadrage'!$M$7:$M$20,0)))</f>
        <v/>
      </c>
      <c r="X11" s="13">
        <f>V11*W11+T11*'01_Cadrage'!$H$25</f>
        <v/>
      </c>
    </row>
    <row r="12">
      <c r="A12" s="17">
        <f>'02_Base'!A12</f>
        <v/>
      </c>
      <c r="B12" s="18">
        <f>'02_Base'!B12</f>
        <v/>
      </c>
      <c r="C12" s="17">
        <f>'02_Base'!C12</f>
        <v/>
      </c>
      <c r="D12" s="18">
        <f>'02_Base'!E12</f>
        <v/>
      </c>
      <c r="E12" s="18">
        <f>'02_Base'!F12</f>
        <v/>
      </c>
      <c r="F12" s="37">
        <f>'02_Base'!G12</f>
        <v/>
      </c>
      <c r="G12" s="37">
        <f>'02_Base'!H12</f>
        <v/>
      </c>
      <c r="H12" s="37">
        <f>'02_Base'!I12</f>
        <v/>
      </c>
      <c r="I12" s="37">
        <f>'02_Base'!J12</f>
        <v/>
      </c>
      <c r="J12" s="37">
        <f>'02_Base'!K12</f>
        <v/>
      </c>
      <c r="K12" s="37">
        <f>'02_Base'!L12</f>
        <v/>
      </c>
      <c r="L12" s="38">
        <f>'02_Base'!N12</f>
        <v/>
      </c>
      <c r="M12" s="39">
        <f>'02_Base'!O12</f>
        <v/>
      </c>
      <c r="N12" s="39">
        <f>'02_Base'!P12</f>
        <v/>
      </c>
      <c r="O12" s="41">
        <f>IF(F12=1,IFERROR(G12/INDEX('03_Campagnes'!$D$5:$D$18,MATCH(A12&amp;"|"&amp;B12,'03_Campagnes'!$C$5:$C$18,0)),0),0)</f>
        <v/>
      </c>
      <c r="P12" s="24">
        <f>INDEX('03_Campagnes'!$I$5:$I$18,MATCH(A12&amp;"|"&amp;B12,'03_Campagnes'!$C$5:$C$18,0))</f>
        <v/>
      </c>
      <c r="Q12" s="24">
        <f>P12*O12</f>
        <v/>
      </c>
      <c r="R12" s="24">
        <f>IF(F12=1,Q12*('01_Cadrage'!$H$23+'01_Cadrage'!$H$16),0)</f>
        <v/>
      </c>
      <c r="S12" s="24">
        <f>R12*'01_Cadrage'!$H$24</f>
        <v/>
      </c>
      <c r="T12" s="22">
        <f>IF(F12=1,S12*(N12+'01_Cadrage'!$H$17),0)</f>
        <v/>
      </c>
      <c r="U12" s="24">
        <f>IF(F12=1,0,K12*(M12+'01_Cadrage'!$H$18))</f>
        <v/>
      </c>
      <c r="V12" s="22">
        <f>T12+U12</f>
        <v/>
      </c>
      <c r="W12" s="15">
        <f>L12*(1+'01_Cadrage'!$H$15*INDEX('01_Cadrage'!$L$7:$L$20,MATCH(A12&amp;"|"&amp;B12,'01_Cadrage'!$M$7:$M$20,0)))</f>
        <v/>
      </c>
      <c r="X12" s="13">
        <f>V12*W12+T12*'01_Cadrage'!$H$25</f>
        <v/>
      </c>
    </row>
    <row r="13">
      <c r="A13" s="17">
        <f>'02_Base'!A13</f>
        <v/>
      </c>
      <c r="B13" s="18">
        <f>'02_Base'!B13</f>
        <v/>
      </c>
      <c r="C13" s="17">
        <f>'02_Base'!C13</f>
        <v/>
      </c>
      <c r="D13" s="18">
        <f>'02_Base'!E13</f>
        <v/>
      </c>
      <c r="E13" s="18">
        <f>'02_Base'!F13</f>
        <v/>
      </c>
      <c r="F13" s="37">
        <f>'02_Base'!G13</f>
        <v/>
      </c>
      <c r="G13" s="37">
        <f>'02_Base'!H13</f>
        <v/>
      </c>
      <c r="H13" s="37">
        <f>'02_Base'!I13</f>
        <v/>
      </c>
      <c r="I13" s="37">
        <f>'02_Base'!J13</f>
        <v/>
      </c>
      <c r="J13" s="37">
        <f>'02_Base'!K13</f>
        <v/>
      </c>
      <c r="K13" s="37">
        <f>'02_Base'!L13</f>
        <v/>
      </c>
      <c r="L13" s="38">
        <f>'02_Base'!N13</f>
        <v/>
      </c>
      <c r="M13" s="39">
        <f>'02_Base'!O13</f>
        <v/>
      </c>
      <c r="N13" s="39">
        <f>'02_Base'!P13</f>
        <v/>
      </c>
      <c r="O13" s="41">
        <f>IF(F13=1,IFERROR(G13/INDEX('03_Campagnes'!$D$5:$D$18,MATCH(A13&amp;"|"&amp;B13,'03_Campagnes'!$C$5:$C$18,0)),0),0)</f>
        <v/>
      </c>
      <c r="P13" s="24">
        <f>INDEX('03_Campagnes'!$I$5:$I$18,MATCH(A13&amp;"|"&amp;B13,'03_Campagnes'!$C$5:$C$18,0))</f>
        <v/>
      </c>
      <c r="Q13" s="24">
        <f>P13*O13</f>
        <v/>
      </c>
      <c r="R13" s="24">
        <f>IF(F13=1,Q13*('01_Cadrage'!$H$23+'01_Cadrage'!$H$16),0)</f>
        <v/>
      </c>
      <c r="S13" s="24">
        <f>R13*'01_Cadrage'!$H$24</f>
        <v/>
      </c>
      <c r="T13" s="22">
        <f>IF(F13=1,S13*(N13+'01_Cadrage'!$H$17),0)</f>
        <v/>
      </c>
      <c r="U13" s="24">
        <f>IF(F13=1,0,K13*(M13+'01_Cadrage'!$H$18))</f>
        <v/>
      </c>
      <c r="V13" s="22">
        <f>T13+U13</f>
        <v/>
      </c>
      <c r="W13" s="15">
        <f>L13*(1+'01_Cadrage'!$H$15*INDEX('01_Cadrage'!$L$7:$L$20,MATCH(A13&amp;"|"&amp;B13,'01_Cadrage'!$M$7:$M$20,0)))</f>
        <v/>
      </c>
      <c r="X13" s="13">
        <f>V13*W13+T13*'01_Cadrage'!$H$25</f>
        <v/>
      </c>
    </row>
    <row r="14">
      <c r="A14" s="17">
        <f>'02_Base'!A14</f>
        <v/>
      </c>
      <c r="B14" s="18">
        <f>'02_Base'!B14</f>
        <v/>
      </c>
      <c r="C14" s="17">
        <f>'02_Base'!C14</f>
        <v/>
      </c>
      <c r="D14" s="18">
        <f>'02_Base'!E14</f>
        <v/>
      </c>
      <c r="E14" s="18">
        <f>'02_Base'!F14</f>
        <v/>
      </c>
      <c r="F14" s="37">
        <f>'02_Base'!G14</f>
        <v/>
      </c>
      <c r="G14" s="37">
        <f>'02_Base'!H14</f>
        <v/>
      </c>
      <c r="H14" s="37">
        <f>'02_Base'!I14</f>
        <v/>
      </c>
      <c r="I14" s="37">
        <f>'02_Base'!J14</f>
        <v/>
      </c>
      <c r="J14" s="37">
        <f>'02_Base'!K14</f>
        <v/>
      </c>
      <c r="K14" s="37">
        <f>'02_Base'!L14</f>
        <v/>
      </c>
      <c r="L14" s="38">
        <f>'02_Base'!N14</f>
        <v/>
      </c>
      <c r="M14" s="39">
        <f>'02_Base'!O14</f>
        <v/>
      </c>
      <c r="N14" s="39">
        <f>'02_Base'!P14</f>
        <v/>
      </c>
      <c r="O14" s="41">
        <f>IF(F14=1,IFERROR(G14/INDEX('03_Campagnes'!$D$5:$D$18,MATCH(A14&amp;"|"&amp;B14,'03_Campagnes'!$C$5:$C$18,0)),0),0)</f>
        <v/>
      </c>
      <c r="P14" s="24">
        <f>INDEX('03_Campagnes'!$I$5:$I$18,MATCH(A14&amp;"|"&amp;B14,'03_Campagnes'!$C$5:$C$18,0))</f>
        <v/>
      </c>
      <c r="Q14" s="24">
        <f>P14*O14</f>
        <v/>
      </c>
      <c r="R14" s="24">
        <f>IF(F14=1,Q14*('01_Cadrage'!$H$23+'01_Cadrage'!$H$16),0)</f>
        <v/>
      </c>
      <c r="S14" s="24">
        <f>R14*'01_Cadrage'!$H$24</f>
        <v/>
      </c>
      <c r="T14" s="22">
        <f>IF(F14=1,S14*(N14+'01_Cadrage'!$H$17),0)</f>
        <v/>
      </c>
      <c r="U14" s="24">
        <f>IF(F14=1,0,K14*(M14+'01_Cadrage'!$H$18))</f>
        <v/>
      </c>
      <c r="V14" s="22">
        <f>T14+U14</f>
        <v/>
      </c>
      <c r="W14" s="15">
        <f>L14*(1+'01_Cadrage'!$H$15*INDEX('01_Cadrage'!$L$7:$L$20,MATCH(A14&amp;"|"&amp;B14,'01_Cadrage'!$M$7:$M$20,0)))</f>
        <v/>
      </c>
      <c r="X14" s="13">
        <f>V14*W14+T14*'01_Cadrage'!$H$25</f>
        <v/>
      </c>
    </row>
    <row r="15">
      <c r="A15" s="17">
        <f>'02_Base'!A15</f>
        <v/>
      </c>
      <c r="B15" s="18">
        <f>'02_Base'!B15</f>
        <v/>
      </c>
      <c r="C15" s="17">
        <f>'02_Base'!C15</f>
        <v/>
      </c>
      <c r="D15" s="18">
        <f>'02_Base'!E15</f>
        <v/>
      </c>
      <c r="E15" s="18">
        <f>'02_Base'!F15</f>
        <v/>
      </c>
      <c r="F15" s="37">
        <f>'02_Base'!G15</f>
        <v/>
      </c>
      <c r="G15" s="37">
        <f>'02_Base'!H15</f>
        <v/>
      </c>
      <c r="H15" s="37">
        <f>'02_Base'!I15</f>
        <v/>
      </c>
      <c r="I15" s="37">
        <f>'02_Base'!J15</f>
        <v/>
      </c>
      <c r="J15" s="37">
        <f>'02_Base'!K15</f>
        <v/>
      </c>
      <c r="K15" s="37">
        <f>'02_Base'!L15</f>
        <v/>
      </c>
      <c r="L15" s="38">
        <f>'02_Base'!N15</f>
        <v/>
      </c>
      <c r="M15" s="39">
        <f>'02_Base'!O15</f>
        <v/>
      </c>
      <c r="N15" s="39">
        <f>'02_Base'!P15</f>
        <v/>
      </c>
      <c r="O15" s="41">
        <f>IF(F15=1,IFERROR(G15/INDEX('03_Campagnes'!$D$5:$D$18,MATCH(A15&amp;"|"&amp;B15,'03_Campagnes'!$C$5:$C$18,0)),0),0)</f>
        <v/>
      </c>
      <c r="P15" s="24">
        <f>INDEX('03_Campagnes'!$I$5:$I$18,MATCH(A15&amp;"|"&amp;B15,'03_Campagnes'!$C$5:$C$18,0))</f>
        <v/>
      </c>
      <c r="Q15" s="24">
        <f>P15*O15</f>
        <v/>
      </c>
      <c r="R15" s="24">
        <f>IF(F15=1,Q15*('01_Cadrage'!$H$23+'01_Cadrage'!$H$16),0)</f>
        <v/>
      </c>
      <c r="S15" s="24">
        <f>R15*'01_Cadrage'!$H$24</f>
        <v/>
      </c>
      <c r="T15" s="22">
        <f>IF(F15=1,S15*(N15+'01_Cadrage'!$H$17),0)</f>
        <v/>
      </c>
      <c r="U15" s="24">
        <f>IF(F15=1,0,K15*(M15+'01_Cadrage'!$H$18))</f>
        <v/>
      </c>
      <c r="V15" s="22">
        <f>T15+U15</f>
        <v/>
      </c>
      <c r="W15" s="15">
        <f>L15*(1+'01_Cadrage'!$H$15*INDEX('01_Cadrage'!$L$7:$L$20,MATCH(A15&amp;"|"&amp;B15,'01_Cadrage'!$M$7:$M$20,0)))</f>
        <v/>
      </c>
      <c r="X15" s="13">
        <f>V15*W15+T15*'01_Cadrage'!$H$25</f>
        <v/>
      </c>
    </row>
    <row r="16">
      <c r="A16" s="17">
        <f>'02_Base'!A16</f>
        <v/>
      </c>
      <c r="B16" s="18">
        <f>'02_Base'!B16</f>
        <v/>
      </c>
      <c r="C16" s="17">
        <f>'02_Base'!C16</f>
        <v/>
      </c>
      <c r="D16" s="18">
        <f>'02_Base'!E16</f>
        <v/>
      </c>
      <c r="E16" s="18">
        <f>'02_Base'!F16</f>
        <v/>
      </c>
      <c r="F16" s="37">
        <f>'02_Base'!G16</f>
        <v/>
      </c>
      <c r="G16" s="37">
        <f>'02_Base'!H16</f>
        <v/>
      </c>
      <c r="H16" s="37">
        <f>'02_Base'!I16</f>
        <v/>
      </c>
      <c r="I16" s="37">
        <f>'02_Base'!J16</f>
        <v/>
      </c>
      <c r="J16" s="37">
        <f>'02_Base'!K16</f>
        <v/>
      </c>
      <c r="K16" s="37">
        <f>'02_Base'!L16</f>
        <v/>
      </c>
      <c r="L16" s="38">
        <f>'02_Base'!N16</f>
        <v/>
      </c>
      <c r="M16" s="39">
        <f>'02_Base'!O16</f>
        <v/>
      </c>
      <c r="N16" s="39">
        <f>'02_Base'!P16</f>
        <v/>
      </c>
      <c r="O16" s="41">
        <f>IF(F16=1,IFERROR(G16/INDEX('03_Campagnes'!$D$5:$D$18,MATCH(A16&amp;"|"&amp;B16,'03_Campagnes'!$C$5:$C$18,0)),0),0)</f>
        <v/>
      </c>
      <c r="P16" s="24">
        <f>INDEX('03_Campagnes'!$I$5:$I$18,MATCH(A16&amp;"|"&amp;B16,'03_Campagnes'!$C$5:$C$18,0))</f>
        <v/>
      </c>
      <c r="Q16" s="24">
        <f>P16*O16</f>
        <v/>
      </c>
      <c r="R16" s="24">
        <f>IF(F16=1,Q16*('01_Cadrage'!$H$23+'01_Cadrage'!$H$16),0)</f>
        <v/>
      </c>
      <c r="S16" s="24">
        <f>R16*'01_Cadrage'!$H$24</f>
        <v/>
      </c>
      <c r="T16" s="22">
        <f>IF(F16=1,S16*(N16+'01_Cadrage'!$H$17),0)</f>
        <v/>
      </c>
      <c r="U16" s="24">
        <f>IF(F16=1,0,K16*(M16+'01_Cadrage'!$H$18))</f>
        <v/>
      </c>
      <c r="V16" s="22">
        <f>T16+U16</f>
        <v/>
      </c>
      <c r="W16" s="15">
        <f>L16*(1+'01_Cadrage'!$H$15*INDEX('01_Cadrage'!$L$7:$L$20,MATCH(A16&amp;"|"&amp;B16,'01_Cadrage'!$M$7:$M$20,0)))</f>
        <v/>
      </c>
      <c r="X16" s="13">
        <f>V16*W16+T16*'01_Cadrage'!$H$25</f>
        <v/>
      </c>
    </row>
    <row r="17">
      <c r="A17" s="17">
        <f>'02_Base'!A17</f>
        <v/>
      </c>
      <c r="B17" s="18">
        <f>'02_Base'!B17</f>
        <v/>
      </c>
      <c r="C17" s="17">
        <f>'02_Base'!C17</f>
        <v/>
      </c>
      <c r="D17" s="18">
        <f>'02_Base'!E17</f>
        <v/>
      </c>
      <c r="E17" s="18">
        <f>'02_Base'!F17</f>
        <v/>
      </c>
      <c r="F17" s="37">
        <f>'02_Base'!G17</f>
        <v/>
      </c>
      <c r="G17" s="37">
        <f>'02_Base'!H17</f>
        <v/>
      </c>
      <c r="H17" s="37">
        <f>'02_Base'!I17</f>
        <v/>
      </c>
      <c r="I17" s="37">
        <f>'02_Base'!J17</f>
        <v/>
      </c>
      <c r="J17" s="37">
        <f>'02_Base'!K17</f>
        <v/>
      </c>
      <c r="K17" s="37">
        <f>'02_Base'!L17</f>
        <v/>
      </c>
      <c r="L17" s="38">
        <f>'02_Base'!N17</f>
        <v/>
      </c>
      <c r="M17" s="39">
        <f>'02_Base'!O17</f>
        <v/>
      </c>
      <c r="N17" s="39">
        <f>'02_Base'!P17</f>
        <v/>
      </c>
      <c r="O17" s="41">
        <f>IF(F17=1,IFERROR(G17/INDEX('03_Campagnes'!$D$5:$D$18,MATCH(A17&amp;"|"&amp;B17,'03_Campagnes'!$C$5:$C$18,0)),0),0)</f>
        <v/>
      </c>
      <c r="P17" s="24">
        <f>INDEX('03_Campagnes'!$I$5:$I$18,MATCH(A17&amp;"|"&amp;B17,'03_Campagnes'!$C$5:$C$18,0))</f>
        <v/>
      </c>
      <c r="Q17" s="24">
        <f>P17*O17</f>
        <v/>
      </c>
      <c r="R17" s="24">
        <f>IF(F17=1,Q17*('01_Cadrage'!$H$23+'01_Cadrage'!$H$16),0)</f>
        <v/>
      </c>
      <c r="S17" s="24">
        <f>R17*'01_Cadrage'!$H$24</f>
        <v/>
      </c>
      <c r="T17" s="22">
        <f>IF(F17=1,S17*(N17+'01_Cadrage'!$H$17),0)</f>
        <v/>
      </c>
      <c r="U17" s="24">
        <f>IF(F17=1,0,K17*(M17+'01_Cadrage'!$H$18))</f>
        <v/>
      </c>
      <c r="V17" s="22">
        <f>T17+U17</f>
        <v/>
      </c>
      <c r="W17" s="15">
        <f>L17*(1+'01_Cadrage'!$H$15*INDEX('01_Cadrage'!$L$7:$L$20,MATCH(A17&amp;"|"&amp;B17,'01_Cadrage'!$M$7:$M$20,0)))</f>
        <v/>
      </c>
      <c r="X17" s="13">
        <f>V17*W17+T17*'01_Cadrage'!$H$25</f>
        <v/>
      </c>
    </row>
    <row r="18">
      <c r="A18" s="17">
        <f>'02_Base'!A18</f>
        <v/>
      </c>
      <c r="B18" s="18">
        <f>'02_Base'!B18</f>
        <v/>
      </c>
      <c r="C18" s="17">
        <f>'02_Base'!C18</f>
        <v/>
      </c>
      <c r="D18" s="18">
        <f>'02_Base'!E18</f>
        <v/>
      </c>
      <c r="E18" s="18">
        <f>'02_Base'!F18</f>
        <v/>
      </c>
      <c r="F18" s="37">
        <f>'02_Base'!G18</f>
        <v/>
      </c>
      <c r="G18" s="37">
        <f>'02_Base'!H18</f>
        <v/>
      </c>
      <c r="H18" s="37">
        <f>'02_Base'!I18</f>
        <v/>
      </c>
      <c r="I18" s="37">
        <f>'02_Base'!J18</f>
        <v/>
      </c>
      <c r="J18" s="37">
        <f>'02_Base'!K18</f>
        <v/>
      </c>
      <c r="K18" s="37">
        <f>'02_Base'!L18</f>
        <v/>
      </c>
      <c r="L18" s="38">
        <f>'02_Base'!N18</f>
        <v/>
      </c>
      <c r="M18" s="39">
        <f>'02_Base'!O18</f>
        <v/>
      </c>
      <c r="N18" s="39">
        <f>'02_Base'!P18</f>
        <v/>
      </c>
      <c r="O18" s="41">
        <f>IF(F18=1,IFERROR(G18/INDEX('03_Campagnes'!$D$5:$D$18,MATCH(A18&amp;"|"&amp;B18,'03_Campagnes'!$C$5:$C$18,0)),0),0)</f>
        <v/>
      </c>
      <c r="P18" s="24">
        <f>INDEX('03_Campagnes'!$I$5:$I$18,MATCH(A18&amp;"|"&amp;B18,'03_Campagnes'!$C$5:$C$18,0))</f>
        <v/>
      </c>
      <c r="Q18" s="24">
        <f>P18*O18</f>
        <v/>
      </c>
      <c r="R18" s="24">
        <f>IF(F18=1,Q18*('01_Cadrage'!$H$23+'01_Cadrage'!$H$16),0)</f>
        <v/>
      </c>
      <c r="S18" s="24">
        <f>R18*'01_Cadrage'!$H$24</f>
        <v/>
      </c>
      <c r="T18" s="22">
        <f>IF(F18=1,S18*(N18+'01_Cadrage'!$H$17),0)</f>
        <v/>
      </c>
      <c r="U18" s="24">
        <f>IF(F18=1,0,K18*(M18+'01_Cadrage'!$H$18))</f>
        <v/>
      </c>
      <c r="V18" s="22">
        <f>T18+U18</f>
        <v/>
      </c>
      <c r="W18" s="15">
        <f>L18*(1+'01_Cadrage'!$H$15*INDEX('01_Cadrage'!$L$7:$L$20,MATCH(A18&amp;"|"&amp;B18,'01_Cadrage'!$M$7:$M$20,0)))</f>
        <v/>
      </c>
      <c r="X18" s="13">
        <f>V18*W18+T18*'01_Cadrage'!$H$25</f>
        <v/>
      </c>
    </row>
    <row r="19">
      <c r="A19" s="17">
        <f>'02_Base'!A19</f>
        <v/>
      </c>
      <c r="B19" s="18">
        <f>'02_Base'!B19</f>
        <v/>
      </c>
      <c r="C19" s="17">
        <f>'02_Base'!C19</f>
        <v/>
      </c>
      <c r="D19" s="18">
        <f>'02_Base'!E19</f>
        <v/>
      </c>
      <c r="E19" s="18">
        <f>'02_Base'!F19</f>
        <v/>
      </c>
      <c r="F19" s="37">
        <f>'02_Base'!G19</f>
        <v/>
      </c>
      <c r="G19" s="37">
        <f>'02_Base'!H19</f>
        <v/>
      </c>
      <c r="H19" s="37">
        <f>'02_Base'!I19</f>
        <v/>
      </c>
      <c r="I19" s="37">
        <f>'02_Base'!J19</f>
        <v/>
      </c>
      <c r="J19" s="37">
        <f>'02_Base'!K19</f>
        <v/>
      </c>
      <c r="K19" s="37">
        <f>'02_Base'!L19</f>
        <v/>
      </c>
      <c r="L19" s="38">
        <f>'02_Base'!N19</f>
        <v/>
      </c>
      <c r="M19" s="39">
        <f>'02_Base'!O19</f>
        <v/>
      </c>
      <c r="N19" s="39">
        <f>'02_Base'!P19</f>
        <v/>
      </c>
      <c r="O19" s="41">
        <f>IF(F19=1,IFERROR(G19/INDEX('03_Campagnes'!$D$5:$D$18,MATCH(A19&amp;"|"&amp;B19,'03_Campagnes'!$C$5:$C$18,0)),0),0)</f>
        <v/>
      </c>
      <c r="P19" s="24">
        <f>INDEX('03_Campagnes'!$I$5:$I$18,MATCH(A19&amp;"|"&amp;B19,'03_Campagnes'!$C$5:$C$18,0))</f>
        <v/>
      </c>
      <c r="Q19" s="24">
        <f>P19*O19</f>
        <v/>
      </c>
      <c r="R19" s="24">
        <f>IF(F19=1,Q19*('01_Cadrage'!$H$23+'01_Cadrage'!$H$16),0)</f>
        <v/>
      </c>
      <c r="S19" s="24">
        <f>R19*'01_Cadrage'!$H$24</f>
        <v/>
      </c>
      <c r="T19" s="22">
        <f>IF(F19=1,S19*(N19+'01_Cadrage'!$H$17),0)</f>
        <v/>
      </c>
      <c r="U19" s="24">
        <f>IF(F19=1,0,K19*(M19+'01_Cadrage'!$H$18))</f>
        <v/>
      </c>
      <c r="V19" s="22">
        <f>T19+U19</f>
        <v/>
      </c>
      <c r="W19" s="15">
        <f>L19*(1+'01_Cadrage'!$H$15*INDEX('01_Cadrage'!$L$7:$L$20,MATCH(A19&amp;"|"&amp;B19,'01_Cadrage'!$M$7:$M$20,0)))</f>
        <v/>
      </c>
      <c r="X19" s="13">
        <f>V19*W19+T19*'01_Cadrage'!$H$25</f>
        <v/>
      </c>
    </row>
    <row r="20">
      <c r="A20" s="17">
        <f>'02_Base'!A20</f>
        <v/>
      </c>
      <c r="B20" s="18">
        <f>'02_Base'!B20</f>
        <v/>
      </c>
      <c r="C20" s="17">
        <f>'02_Base'!C20</f>
        <v/>
      </c>
      <c r="D20" s="18">
        <f>'02_Base'!E20</f>
        <v/>
      </c>
      <c r="E20" s="18">
        <f>'02_Base'!F20</f>
        <v/>
      </c>
      <c r="F20" s="37">
        <f>'02_Base'!G20</f>
        <v/>
      </c>
      <c r="G20" s="37">
        <f>'02_Base'!H20</f>
        <v/>
      </c>
      <c r="H20" s="37">
        <f>'02_Base'!I20</f>
        <v/>
      </c>
      <c r="I20" s="37">
        <f>'02_Base'!J20</f>
        <v/>
      </c>
      <c r="J20" s="37">
        <f>'02_Base'!K20</f>
        <v/>
      </c>
      <c r="K20" s="37">
        <f>'02_Base'!L20</f>
        <v/>
      </c>
      <c r="L20" s="38">
        <f>'02_Base'!N20</f>
        <v/>
      </c>
      <c r="M20" s="39">
        <f>'02_Base'!O20</f>
        <v/>
      </c>
      <c r="N20" s="39">
        <f>'02_Base'!P20</f>
        <v/>
      </c>
      <c r="O20" s="41">
        <f>IF(F20=1,IFERROR(G20/INDEX('03_Campagnes'!$D$5:$D$18,MATCH(A20&amp;"|"&amp;B20,'03_Campagnes'!$C$5:$C$18,0)),0),0)</f>
        <v/>
      </c>
      <c r="P20" s="24">
        <f>INDEX('03_Campagnes'!$I$5:$I$18,MATCH(A20&amp;"|"&amp;B20,'03_Campagnes'!$C$5:$C$18,0))</f>
        <v/>
      </c>
      <c r="Q20" s="24">
        <f>P20*O20</f>
        <v/>
      </c>
      <c r="R20" s="24">
        <f>IF(F20=1,Q20*('01_Cadrage'!$H$23+'01_Cadrage'!$H$16),0)</f>
        <v/>
      </c>
      <c r="S20" s="24">
        <f>R20*'01_Cadrage'!$H$24</f>
        <v/>
      </c>
      <c r="T20" s="22">
        <f>IF(F20=1,S20*(N20+'01_Cadrage'!$H$17),0)</f>
        <v/>
      </c>
      <c r="U20" s="24">
        <f>IF(F20=1,0,K20*(M20+'01_Cadrage'!$H$18))</f>
        <v/>
      </c>
      <c r="V20" s="22">
        <f>T20+U20</f>
        <v/>
      </c>
      <c r="W20" s="15">
        <f>L20*(1+'01_Cadrage'!$H$15*INDEX('01_Cadrage'!$L$7:$L$20,MATCH(A20&amp;"|"&amp;B20,'01_Cadrage'!$M$7:$M$20,0)))</f>
        <v/>
      </c>
      <c r="X20" s="13">
        <f>V20*W20+T20*'01_Cadrage'!$H$25</f>
        <v/>
      </c>
    </row>
    <row r="21">
      <c r="A21" s="17">
        <f>'02_Base'!A21</f>
        <v/>
      </c>
      <c r="B21" s="18">
        <f>'02_Base'!B21</f>
        <v/>
      </c>
      <c r="C21" s="17">
        <f>'02_Base'!C21</f>
        <v/>
      </c>
      <c r="D21" s="18">
        <f>'02_Base'!E21</f>
        <v/>
      </c>
      <c r="E21" s="18">
        <f>'02_Base'!F21</f>
        <v/>
      </c>
      <c r="F21" s="37">
        <f>'02_Base'!G21</f>
        <v/>
      </c>
      <c r="G21" s="37">
        <f>'02_Base'!H21</f>
        <v/>
      </c>
      <c r="H21" s="37">
        <f>'02_Base'!I21</f>
        <v/>
      </c>
      <c r="I21" s="37">
        <f>'02_Base'!J21</f>
        <v/>
      </c>
      <c r="J21" s="37">
        <f>'02_Base'!K21</f>
        <v/>
      </c>
      <c r="K21" s="37">
        <f>'02_Base'!L21</f>
        <v/>
      </c>
      <c r="L21" s="38">
        <f>'02_Base'!N21</f>
        <v/>
      </c>
      <c r="M21" s="39">
        <f>'02_Base'!O21</f>
        <v/>
      </c>
      <c r="N21" s="39">
        <f>'02_Base'!P21</f>
        <v/>
      </c>
      <c r="O21" s="41">
        <f>IF(F21=1,IFERROR(G21/INDEX('03_Campagnes'!$D$5:$D$18,MATCH(A21&amp;"|"&amp;B21,'03_Campagnes'!$C$5:$C$18,0)),0),0)</f>
        <v/>
      </c>
      <c r="P21" s="24">
        <f>INDEX('03_Campagnes'!$I$5:$I$18,MATCH(A21&amp;"|"&amp;B21,'03_Campagnes'!$C$5:$C$18,0))</f>
        <v/>
      </c>
      <c r="Q21" s="24">
        <f>P21*O21</f>
        <v/>
      </c>
      <c r="R21" s="24">
        <f>IF(F21=1,Q21*('01_Cadrage'!$H$23+'01_Cadrage'!$H$16),0)</f>
        <v/>
      </c>
      <c r="S21" s="24">
        <f>R21*'01_Cadrage'!$H$24</f>
        <v/>
      </c>
      <c r="T21" s="22">
        <f>IF(F21=1,S21*(N21+'01_Cadrage'!$H$17),0)</f>
        <v/>
      </c>
      <c r="U21" s="24">
        <f>IF(F21=1,0,K21*(M21+'01_Cadrage'!$H$18))</f>
        <v/>
      </c>
      <c r="V21" s="22">
        <f>T21+U21</f>
        <v/>
      </c>
      <c r="W21" s="15">
        <f>L21*(1+'01_Cadrage'!$H$15*INDEX('01_Cadrage'!$L$7:$L$20,MATCH(A21&amp;"|"&amp;B21,'01_Cadrage'!$M$7:$M$20,0)))</f>
        <v/>
      </c>
      <c r="X21" s="13">
        <f>V21*W21+T21*'01_Cadrage'!$H$25</f>
        <v/>
      </c>
    </row>
    <row r="22">
      <c r="A22" s="17">
        <f>'02_Base'!A22</f>
        <v/>
      </c>
      <c r="B22" s="18">
        <f>'02_Base'!B22</f>
        <v/>
      </c>
      <c r="C22" s="17">
        <f>'02_Base'!C22</f>
        <v/>
      </c>
      <c r="D22" s="18">
        <f>'02_Base'!E22</f>
        <v/>
      </c>
      <c r="E22" s="18">
        <f>'02_Base'!F22</f>
        <v/>
      </c>
      <c r="F22" s="37">
        <f>'02_Base'!G22</f>
        <v/>
      </c>
      <c r="G22" s="37">
        <f>'02_Base'!H22</f>
        <v/>
      </c>
      <c r="H22" s="37">
        <f>'02_Base'!I22</f>
        <v/>
      </c>
      <c r="I22" s="37">
        <f>'02_Base'!J22</f>
        <v/>
      </c>
      <c r="J22" s="37">
        <f>'02_Base'!K22</f>
        <v/>
      </c>
      <c r="K22" s="37">
        <f>'02_Base'!L22</f>
        <v/>
      </c>
      <c r="L22" s="38">
        <f>'02_Base'!N22</f>
        <v/>
      </c>
      <c r="M22" s="39">
        <f>'02_Base'!O22</f>
        <v/>
      </c>
      <c r="N22" s="39">
        <f>'02_Base'!P22</f>
        <v/>
      </c>
      <c r="O22" s="41">
        <f>IF(F22=1,IFERROR(G22/INDEX('03_Campagnes'!$D$5:$D$18,MATCH(A22&amp;"|"&amp;B22,'03_Campagnes'!$C$5:$C$18,0)),0),0)</f>
        <v/>
      </c>
      <c r="P22" s="24">
        <f>INDEX('03_Campagnes'!$I$5:$I$18,MATCH(A22&amp;"|"&amp;B22,'03_Campagnes'!$C$5:$C$18,0))</f>
        <v/>
      </c>
      <c r="Q22" s="24">
        <f>P22*O22</f>
        <v/>
      </c>
      <c r="R22" s="24">
        <f>IF(F22=1,Q22*('01_Cadrage'!$H$23+'01_Cadrage'!$H$16),0)</f>
        <v/>
      </c>
      <c r="S22" s="24">
        <f>R22*'01_Cadrage'!$H$24</f>
        <v/>
      </c>
      <c r="T22" s="22">
        <f>IF(F22=1,S22*(N22+'01_Cadrage'!$H$17),0)</f>
        <v/>
      </c>
      <c r="U22" s="24">
        <f>IF(F22=1,0,K22*(M22+'01_Cadrage'!$H$18))</f>
        <v/>
      </c>
      <c r="V22" s="22">
        <f>T22+U22</f>
        <v/>
      </c>
      <c r="W22" s="15">
        <f>L22*(1+'01_Cadrage'!$H$15*INDEX('01_Cadrage'!$L$7:$L$20,MATCH(A22&amp;"|"&amp;B22,'01_Cadrage'!$M$7:$M$20,0)))</f>
        <v/>
      </c>
      <c r="X22" s="13">
        <f>V22*W22+T22*'01_Cadrage'!$H$25</f>
        <v/>
      </c>
    </row>
    <row r="23">
      <c r="A23" s="17">
        <f>'02_Base'!A23</f>
        <v/>
      </c>
      <c r="B23" s="18">
        <f>'02_Base'!B23</f>
        <v/>
      </c>
      <c r="C23" s="17">
        <f>'02_Base'!C23</f>
        <v/>
      </c>
      <c r="D23" s="18">
        <f>'02_Base'!E23</f>
        <v/>
      </c>
      <c r="E23" s="18">
        <f>'02_Base'!F23</f>
        <v/>
      </c>
      <c r="F23" s="37">
        <f>'02_Base'!G23</f>
        <v/>
      </c>
      <c r="G23" s="37">
        <f>'02_Base'!H23</f>
        <v/>
      </c>
      <c r="H23" s="37">
        <f>'02_Base'!I23</f>
        <v/>
      </c>
      <c r="I23" s="37">
        <f>'02_Base'!J23</f>
        <v/>
      </c>
      <c r="J23" s="37">
        <f>'02_Base'!K23</f>
        <v/>
      </c>
      <c r="K23" s="37">
        <f>'02_Base'!L23</f>
        <v/>
      </c>
      <c r="L23" s="38">
        <f>'02_Base'!N23</f>
        <v/>
      </c>
      <c r="M23" s="39">
        <f>'02_Base'!O23</f>
        <v/>
      </c>
      <c r="N23" s="39">
        <f>'02_Base'!P23</f>
        <v/>
      </c>
      <c r="O23" s="41">
        <f>IF(F23=1,IFERROR(G23/INDEX('03_Campagnes'!$D$5:$D$18,MATCH(A23&amp;"|"&amp;B23,'03_Campagnes'!$C$5:$C$18,0)),0),0)</f>
        <v/>
      </c>
      <c r="P23" s="24">
        <f>INDEX('03_Campagnes'!$I$5:$I$18,MATCH(A23&amp;"|"&amp;B23,'03_Campagnes'!$C$5:$C$18,0))</f>
        <v/>
      </c>
      <c r="Q23" s="24">
        <f>P23*O23</f>
        <v/>
      </c>
      <c r="R23" s="24">
        <f>IF(F23=1,Q23*('01_Cadrage'!$H$23+'01_Cadrage'!$H$16),0)</f>
        <v/>
      </c>
      <c r="S23" s="24">
        <f>R23*'01_Cadrage'!$H$24</f>
        <v/>
      </c>
      <c r="T23" s="22">
        <f>IF(F23=1,S23*(N23+'01_Cadrage'!$H$17),0)</f>
        <v/>
      </c>
      <c r="U23" s="24">
        <f>IF(F23=1,0,K23*(M23+'01_Cadrage'!$H$18))</f>
        <v/>
      </c>
      <c r="V23" s="22">
        <f>T23+U23</f>
        <v/>
      </c>
      <c r="W23" s="15">
        <f>L23*(1+'01_Cadrage'!$H$15*INDEX('01_Cadrage'!$L$7:$L$20,MATCH(A23&amp;"|"&amp;B23,'01_Cadrage'!$M$7:$M$20,0)))</f>
        <v/>
      </c>
      <c r="X23" s="13">
        <f>V23*W23+T23*'01_Cadrage'!$H$25</f>
        <v/>
      </c>
    </row>
    <row r="24">
      <c r="A24" s="17">
        <f>'02_Base'!A24</f>
        <v/>
      </c>
      <c r="B24" s="18">
        <f>'02_Base'!B24</f>
        <v/>
      </c>
      <c r="C24" s="17">
        <f>'02_Base'!C24</f>
        <v/>
      </c>
      <c r="D24" s="18">
        <f>'02_Base'!E24</f>
        <v/>
      </c>
      <c r="E24" s="18">
        <f>'02_Base'!F24</f>
        <v/>
      </c>
      <c r="F24" s="37">
        <f>'02_Base'!G24</f>
        <v/>
      </c>
      <c r="G24" s="37">
        <f>'02_Base'!H24</f>
        <v/>
      </c>
      <c r="H24" s="37">
        <f>'02_Base'!I24</f>
        <v/>
      </c>
      <c r="I24" s="37">
        <f>'02_Base'!J24</f>
        <v/>
      </c>
      <c r="J24" s="37">
        <f>'02_Base'!K24</f>
        <v/>
      </c>
      <c r="K24" s="37">
        <f>'02_Base'!L24</f>
        <v/>
      </c>
      <c r="L24" s="38">
        <f>'02_Base'!N24</f>
        <v/>
      </c>
      <c r="M24" s="39">
        <f>'02_Base'!O24</f>
        <v/>
      </c>
      <c r="N24" s="39">
        <f>'02_Base'!P24</f>
        <v/>
      </c>
      <c r="O24" s="41">
        <f>IF(F24=1,IFERROR(G24/INDEX('03_Campagnes'!$D$5:$D$18,MATCH(A24&amp;"|"&amp;B24,'03_Campagnes'!$C$5:$C$18,0)),0),0)</f>
        <v/>
      </c>
      <c r="P24" s="24">
        <f>INDEX('03_Campagnes'!$I$5:$I$18,MATCH(A24&amp;"|"&amp;B24,'03_Campagnes'!$C$5:$C$18,0))</f>
        <v/>
      </c>
      <c r="Q24" s="24">
        <f>P24*O24</f>
        <v/>
      </c>
      <c r="R24" s="24">
        <f>IF(F24=1,Q24*('01_Cadrage'!$H$23+'01_Cadrage'!$H$16),0)</f>
        <v/>
      </c>
      <c r="S24" s="24">
        <f>R24*'01_Cadrage'!$H$24</f>
        <v/>
      </c>
      <c r="T24" s="22">
        <f>IF(F24=1,S24*(N24+'01_Cadrage'!$H$17),0)</f>
        <v/>
      </c>
      <c r="U24" s="24">
        <f>IF(F24=1,0,K24*(M24+'01_Cadrage'!$H$18))</f>
        <v/>
      </c>
      <c r="V24" s="22">
        <f>T24+U24</f>
        <v/>
      </c>
      <c r="W24" s="15">
        <f>L24*(1+'01_Cadrage'!$H$15*INDEX('01_Cadrage'!$L$7:$L$20,MATCH(A24&amp;"|"&amp;B24,'01_Cadrage'!$M$7:$M$20,0)))</f>
        <v/>
      </c>
      <c r="X24" s="13">
        <f>V24*W24+T24*'01_Cadrage'!$H$25</f>
        <v/>
      </c>
    </row>
    <row r="25">
      <c r="A25" s="17">
        <f>'02_Base'!A25</f>
        <v/>
      </c>
      <c r="B25" s="18">
        <f>'02_Base'!B25</f>
        <v/>
      </c>
      <c r="C25" s="17">
        <f>'02_Base'!C25</f>
        <v/>
      </c>
      <c r="D25" s="18">
        <f>'02_Base'!E25</f>
        <v/>
      </c>
      <c r="E25" s="18">
        <f>'02_Base'!F25</f>
        <v/>
      </c>
      <c r="F25" s="37">
        <f>'02_Base'!G25</f>
        <v/>
      </c>
      <c r="G25" s="37">
        <f>'02_Base'!H25</f>
        <v/>
      </c>
      <c r="H25" s="37">
        <f>'02_Base'!I25</f>
        <v/>
      </c>
      <c r="I25" s="37">
        <f>'02_Base'!J25</f>
        <v/>
      </c>
      <c r="J25" s="37">
        <f>'02_Base'!K25</f>
        <v/>
      </c>
      <c r="K25" s="37">
        <f>'02_Base'!L25</f>
        <v/>
      </c>
      <c r="L25" s="38">
        <f>'02_Base'!N25</f>
        <v/>
      </c>
      <c r="M25" s="39">
        <f>'02_Base'!O25</f>
        <v/>
      </c>
      <c r="N25" s="39">
        <f>'02_Base'!P25</f>
        <v/>
      </c>
      <c r="O25" s="41">
        <f>IF(F25=1,IFERROR(G25/INDEX('03_Campagnes'!$D$5:$D$18,MATCH(A25&amp;"|"&amp;B25,'03_Campagnes'!$C$5:$C$18,0)),0),0)</f>
        <v/>
      </c>
      <c r="P25" s="24">
        <f>INDEX('03_Campagnes'!$I$5:$I$18,MATCH(A25&amp;"|"&amp;B25,'03_Campagnes'!$C$5:$C$18,0))</f>
        <v/>
      </c>
      <c r="Q25" s="24">
        <f>P25*O25</f>
        <v/>
      </c>
      <c r="R25" s="24">
        <f>IF(F25=1,Q25*('01_Cadrage'!$H$23+'01_Cadrage'!$H$16),0)</f>
        <v/>
      </c>
      <c r="S25" s="24">
        <f>R25*'01_Cadrage'!$H$24</f>
        <v/>
      </c>
      <c r="T25" s="22">
        <f>IF(F25=1,S25*(N25+'01_Cadrage'!$H$17),0)</f>
        <v/>
      </c>
      <c r="U25" s="24">
        <f>IF(F25=1,0,K25*(M25+'01_Cadrage'!$H$18))</f>
        <v/>
      </c>
      <c r="V25" s="22">
        <f>T25+U25</f>
        <v/>
      </c>
      <c r="W25" s="15">
        <f>L25*(1+'01_Cadrage'!$H$15*INDEX('01_Cadrage'!$L$7:$L$20,MATCH(A25&amp;"|"&amp;B25,'01_Cadrage'!$M$7:$M$20,0)))</f>
        <v/>
      </c>
      <c r="X25" s="13">
        <f>V25*W25+T25*'01_Cadrage'!$H$25</f>
        <v/>
      </c>
    </row>
    <row r="26">
      <c r="A26" s="17">
        <f>'02_Base'!A26</f>
        <v/>
      </c>
      <c r="B26" s="18">
        <f>'02_Base'!B26</f>
        <v/>
      </c>
      <c r="C26" s="17">
        <f>'02_Base'!C26</f>
        <v/>
      </c>
      <c r="D26" s="18">
        <f>'02_Base'!E26</f>
        <v/>
      </c>
      <c r="E26" s="18">
        <f>'02_Base'!F26</f>
        <v/>
      </c>
      <c r="F26" s="37">
        <f>'02_Base'!G26</f>
        <v/>
      </c>
      <c r="G26" s="37">
        <f>'02_Base'!H26</f>
        <v/>
      </c>
      <c r="H26" s="37">
        <f>'02_Base'!I26</f>
        <v/>
      </c>
      <c r="I26" s="37">
        <f>'02_Base'!J26</f>
        <v/>
      </c>
      <c r="J26" s="37">
        <f>'02_Base'!K26</f>
        <v/>
      </c>
      <c r="K26" s="37">
        <f>'02_Base'!L26</f>
        <v/>
      </c>
      <c r="L26" s="38">
        <f>'02_Base'!N26</f>
        <v/>
      </c>
      <c r="M26" s="39">
        <f>'02_Base'!O26</f>
        <v/>
      </c>
      <c r="N26" s="39">
        <f>'02_Base'!P26</f>
        <v/>
      </c>
      <c r="O26" s="41">
        <f>IF(F26=1,IFERROR(G26/INDEX('03_Campagnes'!$D$5:$D$18,MATCH(A26&amp;"|"&amp;B26,'03_Campagnes'!$C$5:$C$18,0)),0),0)</f>
        <v/>
      </c>
      <c r="P26" s="24">
        <f>INDEX('03_Campagnes'!$I$5:$I$18,MATCH(A26&amp;"|"&amp;B26,'03_Campagnes'!$C$5:$C$18,0))</f>
        <v/>
      </c>
      <c r="Q26" s="24">
        <f>P26*O26</f>
        <v/>
      </c>
      <c r="R26" s="24">
        <f>IF(F26=1,Q26*('01_Cadrage'!$H$23+'01_Cadrage'!$H$16),0)</f>
        <v/>
      </c>
      <c r="S26" s="24">
        <f>R26*'01_Cadrage'!$H$24</f>
        <v/>
      </c>
      <c r="T26" s="22">
        <f>IF(F26=1,S26*(N26+'01_Cadrage'!$H$17),0)</f>
        <v/>
      </c>
      <c r="U26" s="24">
        <f>IF(F26=1,0,K26*(M26+'01_Cadrage'!$H$18))</f>
        <v/>
      </c>
      <c r="V26" s="22">
        <f>T26+U26</f>
        <v/>
      </c>
      <c r="W26" s="15">
        <f>L26*(1+'01_Cadrage'!$H$15*INDEX('01_Cadrage'!$L$7:$L$20,MATCH(A26&amp;"|"&amp;B26,'01_Cadrage'!$M$7:$M$20,0)))</f>
        <v/>
      </c>
      <c r="X26" s="13">
        <f>V26*W26+T26*'01_Cadrage'!$H$25</f>
        <v/>
      </c>
    </row>
    <row r="27">
      <c r="A27" s="17">
        <f>'02_Base'!A27</f>
        <v/>
      </c>
      <c r="B27" s="18">
        <f>'02_Base'!B27</f>
        <v/>
      </c>
      <c r="C27" s="17">
        <f>'02_Base'!C27</f>
        <v/>
      </c>
      <c r="D27" s="18">
        <f>'02_Base'!E27</f>
        <v/>
      </c>
      <c r="E27" s="18">
        <f>'02_Base'!F27</f>
        <v/>
      </c>
      <c r="F27" s="37">
        <f>'02_Base'!G27</f>
        <v/>
      </c>
      <c r="G27" s="37">
        <f>'02_Base'!H27</f>
        <v/>
      </c>
      <c r="H27" s="37">
        <f>'02_Base'!I27</f>
        <v/>
      </c>
      <c r="I27" s="37">
        <f>'02_Base'!J27</f>
        <v/>
      </c>
      <c r="J27" s="37">
        <f>'02_Base'!K27</f>
        <v/>
      </c>
      <c r="K27" s="37">
        <f>'02_Base'!L27</f>
        <v/>
      </c>
      <c r="L27" s="38">
        <f>'02_Base'!N27</f>
        <v/>
      </c>
      <c r="M27" s="39">
        <f>'02_Base'!O27</f>
        <v/>
      </c>
      <c r="N27" s="39">
        <f>'02_Base'!P27</f>
        <v/>
      </c>
      <c r="O27" s="41">
        <f>IF(F27=1,IFERROR(G27/INDEX('03_Campagnes'!$D$5:$D$18,MATCH(A27&amp;"|"&amp;B27,'03_Campagnes'!$C$5:$C$18,0)),0),0)</f>
        <v/>
      </c>
      <c r="P27" s="24">
        <f>INDEX('03_Campagnes'!$I$5:$I$18,MATCH(A27&amp;"|"&amp;B27,'03_Campagnes'!$C$5:$C$18,0))</f>
        <v/>
      </c>
      <c r="Q27" s="24">
        <f>P27*O27</f>
        <v/>
      </c>
      <c r="R27" s="24">
        <f>IF(F27=1,Q27*('01_Cadrage'!$H$23+'01_Cadrage'!$H$16),0)</f>
        <v/>
      </c>
      <c r="S27" s="24">
        <f>R27*'01_Cadrage'!$H$24</f>
        <v/>
      </c>
      <c r="T27" s="22">
        <f>IF(F27=1,S27*(N27+'01_Cadrage'!$H$17),0)</f>
        <v/>
      </c>
      <c r="U27" s="24">
        <f>IF(F27=1,0,K27*(M27+'01_Cadrage'!$H$18))</f>
        <v/>
      </c>
      <c r="V27" s="22">
        <f>T27+U27</f>
        <v/>
      </c>
      <c r="W27" s="15">
        <f>L27*(1+'01_Cadrage'!$H$15*INDEX('01_Cadrage'!$L$7:$L$20,MATCH(A27&amp;"|"&amp;B27,'01_Cadrage'!$M$7:$M$20,0)))</f>
        <v/>
      </c>
      <c r="X27" s="13">
        <f>V27*W27+T27*'01_Cadrage'!$H$25</f>
        <v/>
      </c>
    </row>
    <row r="28">
      <c r="A28" s="17">
        <f>'02_Base'!A28</f>
        <v/>
      </c>
      <c r="B28" s="18">
        <f>'02_Base'!B28</f>
        <v/>
      </c>
      <c r="C28" s="17">
        <f>'02_Base'!C28</f>
        <v/>
      </c>
      <c r="D28" s="18">
        <f>'02_Base'!E28</f>
        <v/>
      </c>
      <c r="E28" s="18">
        <f>'02_Base'!F28</f>
        <v/>
      </c>
      <c r="F28" s="37">
        <f>'02_Base'!G28</f>
        <v/>
      </c>
      <c r="G28" s="37">
        <f>'02_Base'!H28</f>
        <v/>
      </c>
      <c r="H28" s="37">
        <f>'02_Base'!I28</f>
        <v/>
      </c>
      <c r="I28" s="37">
        <f>'02_Base'!J28</f>
        <v/>
      </c>
      <c r="J28" s="37">
        <f>'02_Base'!K28</f>
        <v/>
      </c>
      <c r="K28" s="37">
        <f>'02_Base'!L28</f>
        <v/>
      </c>
      <c r="L28" s="38">
        <f>'02_Base'!N28</f>
        <v/>
      </c>
      <c r="M28" s="39">
        <f>'02_Base'!O28</f>
        <v/>
      </c>
      <c r="N28" s="39">
        <f>'02_Base'!P28</f>
        <v/>
      </c>
      <c r="O28" s="41">
        <f>IF(F28=1,IFERROR(G28/INDEX('03_Campagnes'!$D$5:$D$18,MATCH(A28&amp;"|"&amp;B28,'03_Campagnes'!$C$5:$C$18,0)),0),0)</f>
        <v/>
      </c>
      <c r="P28" s="24">
        <f>INDEX('03_Campagnes'!$I$5:$I$18,MATCH(A28&amp;"|"&amp;B28,'03_Campagnes'!$C$5:$C$18,0))</f>
        <v/>
      </c>
      <c r="Q28" s="24">
        <f>P28*O28</f>
        <v/>
      </c>
      <c r="R28" s="24">
        <f>IF(F28=1,Q28*('01_Cadrage'!$H$23+'01_Cadrage'!$H$16),0)</f>
        <v/>
      </c>
      <c r="S28" s="24">
        <f>R28*'01_Cadrage'!$H$24</f>
        <v/>
      </c>
      <c r="T28" s="22">
        <f>IF(F28=1,S28*(N28+'01_Cadrage'!$H$17),0)</f>
        <v/>
      </c>
      <c r="U28" s="24">
        <f>IF(F28=1,0,K28*(M28+'01_Cadrage'!$H$18))</f>
        <v/>
      </c>
      <c r="V28" s="22">
        <f>T28+U28</f>
        <v/>
      </c>
      <c r="W28" s="15">
        <f>L28*(1+'01_Cadrage'!$H$15*INDEX('01_Cadrage'!$L$7:$L$20,MATCH(A28&amp;"|"&amp;B28,'01_Cadrage'!$M$7:$M$20,0)))</f>
        <v/>
      </c>
      <c r="X28" s="13">
        <f>V28*W28+T28*'01_Cadrage'!$H$25</f>
        <v/>
      </c>
    </row>
    <row r="29">
      <c r="A29" s="17">
        <f>'02_Base'!A29</f>
        <v/>
      </c>
      <c r="B29" s="18">
        <f>'02_Base'!B29</f>
        <v/>
      </c>
      <c r="C29" s="17">
        <f>'02_Base'!C29</f>
        <v/>
      </c>
      <c r="D29" s="18">
        <f>'02_Base'!E29</f>
        <v/>
      </c>
      <c r="E29" s="18">
        <f>'02_Base'!F29</f>
        <v/>
      </c>
      <c r="F29" s="37">
        <f>'02_Base'!G29</f>
        <v/>
      </c>
      <c r="G29" s="37">
        <f>'02_Base'!H29</f>
        <v/>
      </c>
      <c r="H29" s="37">
        <f>'02_Base'!I29</f>
        <v/>
      </c>
      <c r="I29" s="37">
        <f>'02_Base'!J29</f>
        <v/>
      </c>
      <c r="J29" s="37">
        <f>'02_Base'!K29</f>
        <v/>
      </c>
      <c r="K29" s="37">
        <f>'02_Base'!L29</f>
        <v/>
      </c>
      <c r="L29" s="38">
        <f>'02_Base'!N29</f>
        <v/>
      </c>
      <c r="M29" s="39">
        <f>'02_Base'!O29</f>
        <v/>
      </c>
      <c r="N29" s="39">
        <f>'02_Base'!P29</f>
        <v/>
      </c>
      <c r="O29" s="41">
        <f>IF(F29=1,IFERROR(G29/INDEX('03_Campagnes'!$D$5:$D$18,MATCH(A29&amp;"|"&amp;B29,'03_Campagnes'!$C$5:$C$18,0)),0),0)</f>
        <v/>
      </c>
      <c r="P29" s="24">
        <f>INDEX('03_Campagnes'!$I$5:$I$18,MATCH(A29&amp;"|"&amp;B29,'03_Campagnes'!$C$5:$C$18,0))</f>
        <v/>
      </c>
      <c r="Q29" s="24">
        <f>P29*O29</f>
        <v/>
      </c>
      <c r="R29" s="24">
        <f>IF(F29=1,Q29*('01_Cadrage'!$H$23+'01_Cadrage'!$H$16),0)</f>
        <v/>
      </c>
      <c r="S29" s="24">
        <f>R29*'01_Cadrage'!$H$24</f>
        <v/>
      </c>
      <c r="T29" s="22">
        <f>IF(F29=1,S29*(N29+'01_Cadrage'!$H$17),0)</f>
        <v/>
      </c>
      <c r="U29" s="24">
        <f>IF(F29=1,0,K29*(M29+'01_Cadrage'!$H$18))</f>
        <v/>
      </c>
      <c r="V29" s="22">
        <f>T29+U29</f>
        <v/>
      </c>
      <c r="W29" s="15">
        <f>L29*(1+'01_Cadrage'!$H$15*INDEX('01_Cadrage'!$L$7:$L$20,MATCH(A29&amp;"|"&amp;B29,'01_Cadrage'!$M$7:$M$20,0)))</f>
        <v/>
      </c>
      <c r="X29" s="13">
        <f>V29*W29+T29*'01_Cadrage'!$H$25</f>
        <v/>
      </c>
    </row>
    <row r="30">
      <c r="A30" s="17">
        <f>'02_Base'!A30</f>
        <v/>
      </c>
      <c r="B30" s="18">
        <f>'02_Base'!B30</f>
        <v/>
      </c>
      <c r="C30" s="17">
        <f>'02_Base'!C30</f>
        <v/>
      </c>
      <c r="D30" s="18">
        <f>'02_Base'!E30</f>
        <v/>
      </c>
      <c r="E30" s="18">
        <f>'02_Base'!F30</f>
        <v/>
      </c>
      <c r="F30" s="37">
        <f>'02_Base'!G30</f>
        <v/>
      </c>
      <c r="G30" s="37">
        <f>'02_Base'!H30</f>
        <v/>
      </c>
      <c r="H30" s="37">
        <f>'02_Base'!I30</f>
        <v/>
      </c>
      <c r="I30" s="37">
        <f>'02_Base'!J30</f>
        <v/>
      </c>
      <c r="J30" s="37">
        <f>'02_Base'!K30</f>
        <v/>
      </c>
      <c r="K30" s="37">
        <f>'02_Base'!L30</f>
        <v/>
      </c>
      <c r="L30" s="38">
        <f>'02_Base'!N30</f>
        <v/>
      </c>
      <c r="M30" s="39">
        <f>'02_Base'!O30</f>
        <v/>
      </c>
      <c r="N30" s="39">
        <f>'02_Base'!P30</f>
        <v/>
      </c>
      <c r="O30" s="41">
        <f>IF(F30=1,IFERROR(G30/INDEX('03_Campagnes'!$D$5:$D$18,MATCH(A30&amp;"|"&amp;B30,'03_Campagnes'!$C$5:$C$18,0)),0),0)</f>
        <v/>
      </c>
      <c r="P30" s="24">
        <f>INDEX('03_Campagnes'!$I$5:$I$18,MATCH(A30&amp;"|"&amp;B30,'03_Campagnes'!$C$5:$C$18,0))</f>
        <v/>
      </c>
      <c r="Q30" s="24">
        <f>P30*O30</f>
        <v/>
      </c>
      <c r="R30" s="24">
        <f>IF(F30=1,Q30*('01_Cadrage'!$H$23+'01_Cadrage'!$H$16),0)</f>
        <v/>
      </c>
      <c r="S30" s="24">
        <f>R30*'01_Cadrage'!$H$24</f>
        <v/>
      </c>
      <c r="T30" s="22">
        <f>IF(F30=1,S30*(N30+'01_Cadrage'!$H$17),0)</f>
        <v/>
      </c>
      <c r="U30" s="24">
        <f>IF(F30=1,0,K30*(M30+'01_Cadrage'!$H$18))</f>
        <v/>
      </c>
      <c r="V30" s="22">
        <f>T30+U30</f>
        <v/>
      </c>
      <c r="W30" s="15">
        <f>L30*(1+'01_Cadrage'!$H$15*INDEX('01_Cadrage'!$L$7:$L$20,MATCH(A30&amp;"|"&amp;B30,'01_Cadrage'!$M$7:$M$20,0)))</f>
        <v/>
      </c>
      <c r="X30" s="13">
        <f>V30*W30+T30*'01_Cadrage'!$H$25</f>
        <v/>
      </c>
    </row>
    <row r="31">
      <c r="A31" s="17">
        <f>'02_Base'!A31</f>
        <v/>
      </c>
      <c r="B31" s="18">
        <f>'02_Base'!B31</f>
        <v/>
      </c>
      <c r="C31" s="17">
        <f>'02_Base'!C31</f>
        <v/>
      </c>
      <c r="D31" s="18">
        <f>'02_Base'!E31</f>
        <v/>
      </c>
      <c r="E31" s="18">
        <f>'02_Base'!F31</f>
        <v/>
      </c>
      <c r="F31" s="37">
        <f>'02_Base'!G31</f>
        <v/>
      </c>
      <c r="G31" s="37">
        <f>'02_Base'!H31</f>
        <v/>
      </c>
      <c r="H31" s="37">
        <f>'02_Base'!I31</f>
        <v/>
      </c>
      <c r="I31" s="37">
        <f>'02_Base'!J31</f>
        <v/>
      </c>
      <c r="J31" s="37">
        <f>'02_Base'!K31</f>
        <v/>
      </c>
      <c r="K31" s="37">
        <f>'02_Base'!L31</f>
        <v/>
      </c>
      <c r="L31" s="38">
        <f>'02_Base'!N31</f>
        <v/>
      </c>
      <c r="M31" s="39">
        <f>'02_Base'!O31</f>
        <v/>
      </c>
      <c r="N31" s="39">
        <f>'02_Base'!P31</f>
        <v/>
      </c>
      <c r="O31" s="41">
        <f>IF(F31=1,IFERROR(G31/INDEX('03_Campagnes'!$D$5:$D$18,MATCH(A31&amp;"|"&amp;B31,'03_Campagnes'!$C$5:$C$18,0)),0),0)</f>
        <v/>
      </c>
      <c r="P31" s="24">
        <f>INDEX('03_Campagnes'!$I$5:$I$18,MATCH(A31&amp;"|"&amp;B31,'03_Campagnes'!$C$5:$C$18,0))</f>
        <v/>
      </c>
      <c r="Q31" s="24">
        <f>P31*O31</f>
        <v/>
      </c>
      <c r="R31" s="24">
        <f>IF(F31=1,Q31*('01_Cadrage'!$H$23+'01_Cadrage'!$H$16),0)</f>
        <v/>
      </c>
      <c r="S31" s="24">
        <f>R31*'01_Cadrage'!$H$24</f>
        <v/>
      </c>
      <c r="T31" s="22">
        <f>IF(F31=1,S31*(N31+'01_Cadrage'!$H$17),0)</f>
        <v/>
      </c>
      <c r="U31" s="24">
        <f>IF(F31=1,0,K31*(M31+'01_Cadrage'!$H$18))</f>
        <v/>
      </c>
      <c r="V31" s="22">
        <f>T31+U31</f>
        <v/>
      </c>
      <c r="W31" s="15">
        <f>L31*(1+'01_Cadrage'!$H$15*INDEX('01_Cadrage'!$L$7:$L$20,MATCH(A31&amp;"|"&amp;B31,'01_Cadrage'!$M$7:$M$20,0)))</f>
        <v/>
      </c>
      <c r="X31" s="13">
        <f>V31*W31+T31*'01_Cadrage'!$H$25</f>
        <v/>
      </c>
    </row>
    <row r="32">
      <c r="A32" s="17">
        <f>'02_Base'!A32</f>
        <v/>
      </c>
      <c r="B32" s="18">
        <f>'02_Base'!B32</f>
        <v/>
      </c>
      <c r="C32" s="17">
        <f>'02_Base'!C32</f>
        <v/>
      </c>
      <c r="D32" s="18">
        <f>'02_Base'!E32</f>
        <v/>
      </c>
      <c r="E32" s="18">
        <f>'02_Base'!F32</f>
        <v/>
      </c>
      <c r="F32" s="37">
        <f>'02_Base'!G32</f>
        <v/>
      </c>
      <c r="G32" s="37">
        <f>'02_Base'!H32</f>
        <v/>
      </c>
      <c r="H32" s="37">
        <f>'02_Base'!I32</f>
        <v/>
      </c>
      <c r="I32" s="37">
        <f>'02_Base'!J32</f>
        <v/>
      </c>
      <c r="J32" s="37">
        <f>'02_Base'!K32</f>
        <v/>
      </c>
      <c r="K32" s="37">
        <f>'02_Base'!L32</f>
        <v/>
      </c>
      <c r="L32" s="38">
        <f>'02_Base'!N32</f>
        <v/>
      </c>
      <c r="M32" s="39">
        <f>'02_Base'!O32</f>
        <v/>
      </c>
      <c r="N32" s="39">
        <f>'02_Base'!P32</f>
        <v/>
      </c>
      <c r="O32" s="41">
        <f>IF(F32=1,IFERROR(G32/INDEX('03_Campagnes'!$D$5:$D$18,MATCH(A32&amp;"|"&amp;B32,'03_Campagnes'!$C$5:$C$18,0)),0),0)</f>
        <v/>
      </c>
      <c r="P32" s="24">
        <f>INDEX('03_Campagnes'!$I$5:$I$18,MATCH(A32&amp;"|"&amp;B32,'03_Campagnes'!$C$5:$C$18,0))</f>
        <v/>
      </c>
      <c r="Q32" s="24">
        <f>P32*O32</f>
        <v/>
      </c>
      <c r="R32" s="24">
        <f>IF(F32=1,Q32*('01_Cadrage'!$H$23+'01_Cadrage'!$H$16),0)</f>
        <v/>
      </c>
      <c r="S32" s="24">
        <f>R32*'01_Cadrage'!$H$24</f>
        <v/>
      </c>
      <c r="T32" s="22">
        <f>IF(F32=1,S32*(N32+'01_Cadrage'!$H$17),0)</f>
        <v/>
      </c>
      <c r="U32" s="24">
        <f>IF(F32=1,0,K32*(M32+'01_Cadrage'!$H$18))</f>
        <v/>
      </c>
      <c r="V32" s="22">
        <f>T32+U32</f>
        <v/>
      </c>
      <c r="W32" s="15">
        <f>L32*(1+'01_Cadrage'!$H$15*INDEX('01_Cadrage'!$L$7:$L$20,MATCH(A32&amp;"|"&amp;B32,'01_Cadrage'!$M$7:$M$20,0)))</f>
        <v/>
      </c>
      <c r="X32" s="13">
        <f>V32*W32+T32*'01_Cadrage'!$H$25</f>
        <v/>
      </c>
    </row>
    <row r="33">
      <c r="A33" s="17">
        <f>'02_Base'!A33</f>
        <v/>
      </c>
      <c r="B33" s="18">
        <f>'02_Base'!B33</f>
        <v/>
      </c>
      <c r="C33" s="17">
        <f>'02_Base'!C33</f>
        <v/>
      </c>
      <c r="D33" s="18">
        <f>'02_Base'!E33</f>
        <v/>
      </c>
      <c r="E33" s="18">
        <f>'02_Base'!F33</f>
        <v/>
      </c>
      <c r="F33" s="37">
        <f>'02_Base'!G33</f>
        <v/>
      </c>
      <c r="G33" s="37">
        <f>'02_Base'!H33</f>
        <v/>
      </c>
      <c r="H33" s="37">
        <f>'02_Base'!I33</f>
        <v/>
      </c>
      <c r="I33" s="37">
        <f>'02_Base'!J33</f>
        <v/>
      </c>
      <c r="J33" s="37">
        <f>'02_Base'!K33</f>
        <v/>
      </c>
      <c r="K33" s="37">
        <f>'02_Base'!L33</f>
        <v/>
      </c>
      <c r="L33" s="38">
        <f>'02_Base'!N33</f>
        <v/>
      </c>
      <c r="M33" s="39">
        <f>'02_Base'!O33</f>
        <v/>
      </c>
      <c r="N33" s="39">
        <f>'02_Base'!P33</f>
        <v/>
      </c>
      <c r="O33" s="41">
        <f>IF(F33=1,IFERROR(G33/INDEX('03_Campagnes'!$D$5:$D$18,MATCH(A33&amp;"|"&amp;B33,'03_Campagnes'!$C$5:$C$18,0)),0),0)</f>
        <v/>
      </c>
      <c r="P33" s="24">
        <f>INDEX('03_Campagnes'!$I$5:$I$18,MATCH(A33&amp;"|"&amp;B33,'03_Campagnes'!$C$5:$C$18,0))</f>
        <v/>
      </c>
      <c r="Q33" s="24">
        <f>P33*O33</f>
        <v/>
      </c>
      <c r="R33" s="24">
        <f>IF(F33=1,Q33*('01_Cadrage'!$H$23+'01_Cadrage'!$H$16),0)</f>
        <v/>
      </c>
      <c r="S33" s="24">
        <f>R33*'01_Cadrage'!$H$24</f>
        <v/>
      </c>
      <c r="T33" s="22">
        <f>IF(F33=1,S33*(N33+'01_Cadrage'!$H$17),0)</f>
        <v/>
      </c>
      <c r="U33" s="24">
        <f>IF(F33=1,0,K33*(M33+'01_Cadrage'!$H$18))</f>
        <v/>
      </c>
      <c r="V33" s="22">
        <f>T33+U33</f>
        <v/>
      </c>
      <c r="W33" s="15">
        <f>L33*(1+'01_Cadrage'!$H$15*INDEX('01_Cadrage'!$L$7:$L$20,MATCH(A33&amp;"|"&amp;B33,'01_Cadrage'!$M$7:$M$20,0)))</f>
        <v/>
      </c>
      <c r="X33" s="13">
        <f>V33*W33+T33*'01_Cadrage'!$H$25</f>
        <v/>
      </c>
    </row>
    <row r="34">
      <c r="A34" s="17">
        <f>'02_Base'!A34</f>
        <v/>
      </c>
      <c r="B34" s="18">
        <f>'02_Base'!B34</f>
        <v/>
      </c>
      <c r="C34" s="17">
        <f>'02_Base'!C34</f>
        <v/>
      </c>
      <c r="D34" s="18">
        <f>'02_Base'!E34</f>
        <v/>
      </c>
      <c r="E34" s="18">
        <f>'02_Base'!F34</f>
        <v/>
      </c>
      <c r="F34" s="37">
        <f>'02_Base'!G34</f>
        <v/>
      </c>
      <c r="G34" s="37">
        <f>'02_Base'!H34</f>
        <v/>
      </c>
      <c r="H34" s="37">
        <f>'02_Base'!I34</f>
        <v/>
      </c>
      <c r="I34" s="37">
        <f>'02_Base'!J34</f>
        <v/>
      </c>
      <c r="J34" s="37">
        <f>'02_Base'!K34</f>
        <v/>
      </c>
      <c r="K34" s="37">
        <f>'02_Base'!L34</f>
        <v/>
      </c>
      <c r="L34" s="38">
        <f>'02_Base'!N34</f>
        <v/>
      </c>
      <c r="M34" s="39">
        <f>'02_Base'!O34</f>
        <v/>
      </c>
      <c r="N34" s="39">
        <f>'02_Base'!P34</f>
        <v/>
      </c>
      <c r="O34" s="41">
        <f>IF(F34=1,IFERROR(G34/INDEX('03_Campagnes'!$D$5:$D$18,MATCH(A34&amp;"|"&amp;B34,'03_Campagnes'!$C$5:$C$18,0)),0),0)</f>
        <v/>
      </c>
      <c r="P34" s="24">
        <f>INDEX('03_Campagnes'!$I$5:$I$18,MATCH(A34&amp;"|"&amp;B34,'03_Campagnes'!$C$5:$C$18,0))</f>
        <v/>
      </c>
      <c r="Q34" s="24">
        <f>P34*O34</f>
        <v/>
      </c>
      <c r="R34" s="24">
        <f>IF(F34=1,Q34*('01_Cadrage'!$H$23+'01_Cadrage'!$H$16),0)</f>
        <v/>
      </c>
      <c r="S34" s="24">
        <f>R34*'01_Cadrage'!$H$24</f>
        <v/>
      </c>
      <c r="T34" s="22">
        <f>IF(F34=1,S34*(N34+'01_Cadrage'!$H$17),0)</f>
        <v/>
      </c>
      <c r="U34" s="24">
        <f>IF(F34=1,0,K34*(M34+'01_Cadrage'!$H$18))</f>
        <v/>
      </c>
      <c r="V34" s="22">
        <f>T34+U34</f>
        <v/>
      </c>
      <c r="W34" s="15">
        <f>L34*(1+'01_Cadrage'!$H$15*INDEX('01_Cadrage'!$L$7:$L$20,MATCH(A34&amp;"|"&amp;B34,'01_Cadrage'!$M$7:$M$20,0)))</f>
        <v/>
      </c>
      <c r="X34" s="13">
        <f>V34*W34+T34*'01_Cadrage'!$H$25</f>
        <v/>
      </c>
    </row>
    <row r="35">
      <c r="A35" s="17">
        <f>'02_Base'!A35</f>
        <v/>
      </c>
      <c r="B35" s="18">
        <f>'02_Base'!B35</f>
        <v/>
      </c>
      <c r="C35" s="17">
        <f>'02_Base'!C35</f>
        <v/>
      </c>
      <c r="D35" s="18">
        <f>'02_Base'!E35</f>
        <v/>
      </c>
      <c r="E35" s="18">
        <f>'02_Base'!F35</f>
        <v/>
      </c>
      <c r="F35" s="37">
        <f>'02_Base'!G35</f>
        <v/>
      </c>
      <c r="G35" s="37">
        <f>'02_Base'!H35</f>
        <v/>
      </c>
      <c r="H35" s="37">
        <f>'02_Base'!I35</f>
        <v/>
      </c>
      <c r="I35" s="37">
        <f>'02_Base'!J35</f>
        <v/>
      </c>
      <c r="J35" s="37">
        <f>'02_Base'!K35</f>
        <v/>
      </c>
      <c r="K35" s="37">
        <f>'02_Base'!L35</f>
        <v/>
      </c>
      <c r="L35" s="38">
        <f>'02_Base'!N35</f>
        <v/>
      </c>
      <c r="M35" s="39">
        <f>'02_Base'!O35</f>
        <v/>
      </c>
      <c r="N35" s="39">
        <f>'02_Base'!P35</f>
        <v/>
      </c>
      <c r="O35" s="41">
        <f>IF(F35=1,IFERROR(G35/INDEX('03_Campagnes'!$D$5:$D$18,MATCH(A35&amp;"|"&amp;B35,'03_Campagnes'!$C$5:$C$18,0)),0),0)</f>
        <v/>
      </c>
      <c r="P35" s="24">
        <f>INDEX('03_Campagnes'!$I$5:$I$18,MATCH(A35&amp;"|"&amp;B35,'03_Campagnes'!$C$5:$C$18,0))</f>
        <v/>
      </c>
      <c r="Q35" s="24">
        <f>P35*O35</f>
        <v/>
      </c>
      <c r="R35" s="24">
        <f>IF(F35=1,Q35*('01_Cadrage'!$H$23+'01_Cadrage'!$H$16),0)</f>
        <v/>
      </c>
      <c r="S35" s="24">
        <f>R35*'01_Cadrage'!$H$24</f>
        <v/>
      </c>
      <c r="T35" s="22">
        <f>IF(F35=1,S35*(N35+'01_Cadrage'!$H$17),0)</f>
        <v/>
      </c>
      <c r="U35" s="24">
        <f>IF(F35=1,0,K35*(M35+'01_Cadrage'!$H$18))</f>
        <v/>
      </c>
      <c r="V35" s="22">
        <f>T35+U35</f>
        <v/>
      </c>
      <c r="W35" s="15">
        <f>L35*(1+'01_Cadrage'!$H$15*INDEX('01_Cadrage'!$L$7:$L$20,MATCH(A35&amp;"|"&amp;B35,'01_Cadrage'!$M$7:$M$20,0)))</f>
        <v/>
      </c>
      <c r="X35" s="13">
        <f>V35*W35+T35*'01_Cadrage'!$H$25</f>
        <v/>
      </c>
    </row>
    <row r="36">
      <c r="A36" s="17">
        <f>'02_Base'!A36</f>
        <v/>
      </c>
      <c r="B36" s="18">
        <f>'02_Base'!B36</f>
        <v/>
      </c>
      <c r="C36" s="17">
        <f>'02_Base'!C36</f>
        <v/>
      </c>
      <c r="D36" s="18">
        <f>'02_Base'!E36</f>
        <v/>
      </c>
      <c r="E36" s="18">
        <f>'02_Base'!F36</f>
        <v/>
      </c>
      <c r="F36" s="37">
        <f>'02_Base'!G36</f>
        <v/>
      </c>
      <c r="G36" s="37">
        <f>'02_Base'!H36</f>
        <v/>
      </c>
      <c r="H36" s="37">
        <f>'02_Base'!I36</f>
        <v/>
      </c>
      <c r="I36" s="37">
        <f>'02_Base'!J36</f>
        <v/>
      </c>
      <c r="J36" s="37">
        <f>'02_Base'!K36</f>
        <v/>
      </c>
      <c r="K36" s="37">
        <f>'02_Base'!L36</f>
        <v/>
      </c>
      <c r="L36" s="38">
        <f>'02_Base'!N36</f>
        <v/>
      </c>
      <c r="M36" s="39">
        <f>'02_Base'!O36</f>
        <v/>
      </c>
      <c r="N36" s="39">
        <f>'02_Base'!P36</f>
        <v/>
      </c>
      <c r="O36" s="41">
        <f>IF(F36=1,IFERROR(G36/INDEX('03_Campagnes'!$D$5:$D$18,MATCH(A36&amp;"|"&amp;B36,'03_Campagnes'!$C$5:$C$18,0)),0),0)</f>
        <v/>
      </c>
      <c r="P36" s="24">
        <f>INDEX('03_Campagnes'!$I$5:$I$18,MATCH(A36&amp;"|"&amp;B36,'03_Campagnes'!$C$5:$C$18,0))</f>
        <v/>
      </c>
      <c r="Q36" s="24">
        <f>P36*O36</f>
        <v/>
      </c>
      <c r="R36" s="24">
        <f>IF(F36=1,Q36*('01_Cadrage'!$H$23+'01_Cadrage'!$H$16),0)</f>
        <v/>
      </c>
      <c r="S36" s="24">
        <f>R36*'01_Cadrage'!$H$24</f>
        <v/>
      </c>
      <c r="T36" s="22">
        <f>IF(F36=1,S36*(N36+'01_Cadrage'!$H$17),0)</f>
        <v/>
      </c>
      <c r="U36" s="24">
        <f>IF(F36=1,0,K36*(M36+'01_Cadrage'!$H$18))</f>
        <v/>
      </c>
      <c r="V36" s="22">
        <f>T36+U36</f>
        <v/>
      </c>
      <c r="W36" s="15">
        <f>L36*(1+'01_Cadrage'!$H$15*INDEX('01_Cadrage'!$L$7:$L$20,MATCH(A36&amp;"|"&amp;B36,'01_Cadrage'!$M$7:$M$20,0)))</f>
        <v/>
      </c>
      <c r="X36" s="13">
        <f>V36*W36+T36*'01_Cadrage'!$H$25</f>
        <v/>
      </c>
    </row>
    <row r="37">
      <c r="A37" s="17">
        <f>'02_Base'!A37</f>
        <v/>
      </c>
      <c r="B37" s="18">
        <f>'02_Base'!B37</f>
        <v/>
      </c>
      <c r="C37" s="17">
        <f>'02_Base'!C37</f>
        <v/>
      </c>
      <c r="D37" s="18">
        <f>'02_Base'!E37</f>
        <v/>
      </c>
      <c r="E37" s="18">
        <f>'02_Base'!F37</f>
        <v/>
      </c>
      <c r="F37" s="37">
        <f>'02_Base'!G37</f>
        <v/>
      </c>
      <c r="G37" s="37">
        <f>'02_Base'!H37</f>
        <v/>
      </c>
      <c r="H37" s="37">
        <f>'02_Base'!I37</f>
        <v/>
      </c>
      <c r="I37" s="37">
        <f>'02_Base'!J37</f>
        <v/>
      </c>
      <c r="J37" s="37">
        <f>'02_Base'!K37</f>
        <v/>
      </c>
      <c r="K37" s="37">
        <f>'02_Base'!L37</f>
        <v/>
      </c>
      <c r="L37" s="38">
        <f>'02_Base'!N37</f>
        <v/>
      </c>
      <c r="M37" s="39">
        <f>'02_Base'!O37</f>
        <v/>
      </c>
      <c r="N37" s="39">
        <f>'02_Base'!P37</f>
        <v/>
      </c>
      <c r="O37" s="41">
        <f>IF(F37=1,IFERROR(G37/INDEX('03_Campagnes'!$D$5:$D$18,MATCH(A37&amp;"|"&amp;B37,'03_Campagnes'!$C$5:$C$18,0)),0),0)</f>
        <v/>
      </c>
      <c r="P37" s="24">
        <f>INDEX('03_Campagnes'!$I$5:$I$18,MATCH(A37&amp;"|"&amp;B37,'03_Campagnes'!$C$5:$C$18,0))</f>
        <v/>
      </c>
      <c r="Q37" s="24">
        <f>P37*O37</f>
        <v/>
      </c>
      <c r="R37" s="24">
        <f>IF(F37=1,Q37*('01_Cadrage'!$H$23+'01_Cadrage'!$H$16),0)</f>
        <v/>
      </c>
      <c r="S37" s="24">
        <f>R37*'01_Cadrage'!$H$24</f>
        <v/>
      </c>
      <c r="T37" s="22">
        <f>IF(F37=1,S37*(N37+'01_Cadrage'!$H$17),0)</f>
        <v/>
      </c>
      <c r="U37" s="24">
        <f>IF(F37=1,0,K37*(M37+'01_Cadrage'!$H$18))</f>
        <v/>
      </c>
      <c r="V37" s="22">
        <f>T37+U37</f>
        <v/>
      </c>
      <c r="W37" s="15">
        <f>L37*(1+'01_Cadrage'!$H$15*INDEX('01_Cadrage'!$L$7:$L$20,MATCH(A37&amp;"|"&amp;B37,'01_Cadrage'!$M$7:$M$20,0)))</f>
        <v/>
      </c>
      <c r="X37" s="13">
        <f>V37*W37+T37*'01_Cadrage'!$H$25</f>
        <v/>
      </c>
    </row>
    <row r="38">
      <c r="A38" s="17">
        <f>'02_Base'!A38</f>
        <v/>
      </c>
      <c r="B38" s="18">
        <f>'02_Base'!B38</f>
        <v/>
      </c>
      <c r="C38" s="17">
        <f>'02_Base'!C38</f>
        <v/>
      </c>
      <c r="D38" s="18">
        <f>'02_Base'!E38</f>
        <v/>
      </c>
      <c r="E38" s="18">
        <f>'02_Base'!F38</f>
        <v/>
      </c>
      <c r="F38" s="37">
        <f>'02_Base'!G38</f>
        <v/>
      </c>
      <c r="G38" s="37">
        <f>'02_Base'!H38</f>
        <v/>
      </c>
      <c r="H38" s="37">
        <f>'02_Base'!I38</f>
        <v/>
      </c>
      <c r="I38" s="37">
        <f>'02_Base'!J38</f>
        <v/>
      </c>
      <c r="J38" s="37">
        <f>'02_Base'!K38</f>
        <v/>
      </c>
      <c r="K38" s="37">
        <f>'02_Base'!L38</f>
        <v/>
      </c>
      <c r="L38" s="38">
        <f>'02_Base'!N38</f>
        <v/>
      </c>
      <c r="M38" s="39">
        <f>'02_Base'!O38</f>
        <v/>
      </c>
      <c r="N38" s="39">
        <f>'02_Base'!P38</f>
        <v/>
      </c>
      <c r="O38" s="41">
        <f>IF(F38=1,IFERROR(G38/INDEX('03_Campagnes'!$D$5:$D$18,MATCH(A38&amp;"|"&amp;B38,'03_Campagnes'!$C$5:$C$18,0)),0),0)</f>
        <v/>
      </c>
      <c r="P38" s="24">
        <f>INDEX('03_Campagnes'!$I$5:$I$18,MATCH(A38&amp;"|"&amp;B38,'03_Campagnes'!$C$5:$C$18,0))</f>
        <v/>
      </c>
      <c r="Q38" s="24">
        <f>P38*O38</f>
        <v/>
      </c>
      <c r="R38" s="24">
        <f>IF(F38=1,Q38*('01_Cadrage'!$H$23+'01_Cadrage'!$H$16),0)</f>
        <v/>
      </c>
      <c r="S38" s="24">
        <f>R38*'01_Cadrage'!$H$24</f>
        <v/>
      </c>
      <c r="T38" s="22">
        <f>IF(F38=1,S38*(N38+'01_Cadrage'!$H$17),0)</f>
        <v/>
      </c>
      <c r="U38" s="24">
        <f>IF(F38=1,0,K38*(M38+'01_Cadrage'!$H$18))</f>
        <v/>
      </c>
      <c r="V38" s="22">
        <f>T38+U38</f>
        <v/>
      </c>
      <c r="W38" s="15">
        <f>L38*(1+'01_Cadrage'!$H$15*INDEX('01_Cadrage'!$L$7:$L$20,MATCH(A38&amp;"|"&amp;B38,'01_Cadrage'!$M$7:$M$20,0)))</f>
        <v/>
      </c>
      <c r="X38" s="13">
        <f>V38*W38+T38*'01_Cadrage'!$H$25</f>
        <v/>
      </c>
    </row>
    <row r="39">
      <c r="A39" s="17">
        <f>'02_Base'!A39</f>
        <v/>
      </c>
      <c r="B39" s="18">
        <f>'02_Base'!B39</f>
        <v/>
      </c>
      <c r="C39" s="17">
        <f>'02_Base'!C39</f>
        <v/>
      </c>
      <c r="D39" s="18">
        <f>'02_Base'!E39</f>
        <v/>
      </c>
      <c r="E39" s="18">
        <f>'02_Base'!F39</f>
        <v/>
      </c>
      <c r="F39" s="37">
        <f>'02_Base'!G39</f>
        <v/>
      </c>
      <c r="G39" s="37">
        <f>'02_Base'!H39</f>
        <v/>
      </c>
      <c r="H39" s="37">
        <f>'02_Base'!I39</f>
        <v/>
      </c>
      <c r="I39" s="37">
        <f>'02_Base'!J39</f>
        <v/>
      </c>
      <c r="J39" s="37">
        <f>'02_Base'!K39</f>
        <v/>
      </c>
      <c r="K39" s="37">
        <f>'02_Base'!L39</f>
        <v/>
      </c>
      <c r="L39" s="38">
        <f>'02_Base'!N39</f>
        <v/>
      </c>
      <c r="M39" s="39">
        <f>'02_Base'!O39</f>
        <v/>
      </c>
      <c r="N39" s="39">
        <f>'02_Base'!P39</f>
        <v/>
      </c>
      <c r="O39" s="41">
        <f>IF(F39=1,IFERROR(G39/INDEX('03_Campagnes'!$D$5:$D$18,MATCH(A39&amp;"|"&amp;B39,'03_Campagnes'!$C$5:$C$18,0)),0),0)</f>
        <v/>
      </c>
      <c r="P39" s="24">
        <f>INDEX('03_Campagnes'!$I$5:$I$18,MATCH(A39&amp;"|"&amp;B39,'03_Campagnes'!$C$5:$C$18,0))</f>
        <v/>
      </c>
      <c r="Q39" s="24">
        <f>P39*O39</f>
        <v/>
      </c>
      <c r="R39" s="24">
        <f>IF(F39=1,Q39*('01_Cadrage'!$H$23+'01_Cadrage'!$H$16),0)</f>
        <v/>
      </c>
      <c r="S39" s="24">
        <f>R39*'01_Cadrage'!$H$24</f>
        <v/>
      </c>
      <c r="T39" s="22">
        <f>IF(F39=1,S39*(N39+'01_Cadrage'!$H$17),0)</f>
        <v/>
      </c>
      <c r="U39" s="24">
        <f>IF(F39=1,0,K39*(M39+'01_Cadrage'!$H$18))</f>
        <v/>
      </c>
      <c r="V39" s="22">
        <f>T39+U39</f>
        <v/>
      </c>
      <c r="W39" s="15">
        <f>L39*(1+'01_Cadrage'!$H$15*INDEX('01_Cadrage'!$L$7:$L$20,MATCH(A39&amp;"|"&amp;B39,'01_Cadrage'!$M$7:$M$20,0)))</f>
        <v/>
      </c>
      <c r="X39" s="13">
        <f>V39*W39+T39*'01_Cadrage'!$H$25</f>
        <v/>
      </c>
    </row>
    <row r="40">
      <c r="A40" s="17">
        <f>'02_Base'!A40</f>
        <v/>
      </c>
      <c r="B40" s="18">
        <f>'02_Base'!B40</f>
        <v/>
      </c>
      <c r="C40" s="17">
        <f>'02_Base'!C40</f>
        <v/>
      </c>
      <c r="D40" s="18">
        <f>'02_Base'!E40</f>
        <v/>
      </c>
      <c r="E40" s="18">
        <f>'02_Base'!F40</f>
        <v/>
      </c>
      <c r="F40" s="37">
        <f>'02_Base'!G40</f>
        <v/>
      </c>
      <c r="G40" s="37">
        <f>'02_Base'!H40</f>
        <v/>
      </c>
      <c r="H40" s="37">
        <f>'02_Base'!I40</f>
        <v/>
      </c>
      <c r="I40" s="37">
        <f>'02_Base'!J40</f>
        <v/>
      </c>
      <c r="J40" s="37">
        <f>'02_Base'!K40</f>
        <v/>
      </c>
      <c r="K40" s="37">
        <f>'02_Base'!L40</f>
        <v/>
      </c>
      <c r="L40" s="38">
        <f>'02_Base'!N40</f>
        <v/>
      </c>
      <c r="M40" s="39">
        <f>'02_Base'!O40</f>
        <v/>
      </c>
      <c r="N40" s="39">
        <f>'02_Base'!P40</f>
        <v/>
      </c>
      <c r="O40" s="41">
        <f>IF(F40=1,IFERROR(G40/INDEX('03_Campagnes'!$D$5:$D$18,MATCH(A40&amp;"|"&amp;B40,'03_Campagnes'!$C$5:$C$18,0)),0),0)</f>
        <v/>
      </c>
      <c r="P40" s="24">
        <f>INDEX('03_Campagnes'!$I$5:$I$18,MATCH(A40&amp;"|"&amp;B40,'03_Campagnes'!$C$5:$C$18,0))</f>
        <v/>
      </c>
      <c r="Q40" s="24">
        <f>P40*O40</f>
        <v/>
      </c>
      <c r="R40" s="24">
        <f>IF(F40=1,Q40*('01_Cadrage'!$H$23+'01_Cadrage'!$H$16),0)</f>
        <v/>
      </c>
      <c r="S40" s="24">
        <f>R40*'01_Cadrage'!$H$24</f>
        <v/>
      </c>
      <c r="T40" s="22">
        <f>IF(F40=1,S40*(N40+'01_Cadrage'!$H$17),0)</f>
        <v/>
      </c>
      <c r="U40" s="24">
        <f>IF(F40=1,0,K40*(M40+'01_Cadrage'!$H$18))</f>
        <v/>
      </c>
      <c r="V40" s="22">
        <f>T40+U40</f>
        <v/>
      </c>
      <c r="W40" s="15">
        <f>L40*(1+'01_Cadrage'!$H$15*INDEX('01_Cadrage'!$L$7:$L$20,MATCH(A40&amp;"|"&amp;B40,'01_Cadrage'!$M$7:$M$20,0)))</f>
        <v/>
      </c>
      <c r="X40" s="13">
        <f>V40*W40+T40*'01_Cadrage'!$H$25</f>
        <v/>
      </c>
    </row>
    <row r="41">
      <c r="A41" s="17">
        <f>'02_Base'!A41</f>
        <v/>
      </c>
      <c r="B41" s="18">
        <f>'02_Base'!B41</f>
        <v/>
      </c>
      <c r="C41" s="17">
        <f>'02_Base'!C41</f>
        <v/>
      </c>
      <c r="D41" s="18">
        <f>'02_Base'!E41</f>
        <v/>
      </c>
      <c r="E41" s="18">
        <f>'02_Base'!F41</f>
        <v/>
      </c>
      <c r="F41" s="37">
        <f>'02_Base'!G41</f>
        <v/>
      </c>
      <c r="G41" s="37">
        <f>'02_Base'!H41</f>
        <v/>
      </c>
      <c r="H41" s="37">
        <f>'02_Base'!I41</f>
        <v/>
      </c>
      <c r="I41" s="37">
        <f>'02_Base'!J41</f>
        <v/>
      </c>
      <c r="J41" s="37">
        <f>'02_Base'!K41</f>
        <v/>
      </c>
      <c r="K41" s="37">
        <f>'02_Base'!L41</f>
        <v/>
      </c>
      <c r="L41" s="38">
        <f>'02_Base'!N41</f>
        <v/>
      </c>
      <c r="M41" s="39">
        <f>'02_Base'!O41</f>
        <v/>
      </c>
      <c r="N41" s="39">
        <f>'02_Base'!P41</f>
        <v/>
      </c>
      <c r="O41" s="41">
        <f>IF(F41=1,IFERROR(G41/INDEX('03_Campagnes'!$D$5:$D$18,MATCH(A41&amp;"|"&amp;B41,'03_Campagnes'!$C$5:$C$18,0)),0),0)</f>
        <v/>
      </c>
      <c r="P41" s="24">
        <f>INDEX('03_Campagnes'!$I$5:$I$18,MATCH(A41&amp;"|"&amp;B41,'03_Campagnes'!$C$5:$C$18,0))</f>
        <v/>
      </c>
      <c r="Q41" s="24">
        <f>P41*O41</f>
        <v/>
      </c>
      <c r="R41" s="24">
        <f>IF(F41=1,Q41*('01_Cadrage'!$H$23+'01_Cadrage'!$H$16),0)</f>
        <v/>
      </c>
      <c r="S41" s="24">
        <f>R41*'01_Cadrage'!$H$24</f>
        <v/>
      </c>
      <c r="T41" s="22">
        <f>IF(F41=1,S41*(N41+'01_Cadrage'!$H$17),0)</f>
        <v/>
      </c>
      <c r="U41" s="24">
        <f>IF(F41=1,0,K41*(M41+'01_Cadrage'!$H$18))</f>
        <v/>
      </c>
      <c r="V41" s="22">
        <f>T41+U41</f>
        <v/>
      </c>
      <c r="W41" s="15">
        <f>L41*(1+'01_Cadrage'!$H$15*INDEX('01_Cadrage'!$L$7:$L$20,MATCH(A41&amp;"|"&amp;B41,'01_Cadrage'!$M$7:$M$20,0)))</f>
        <v/>
      </c>
      <c r="X41" s="13">
        <f>V41*W41+T41*'01_Cadrage'!$H$25</f>
        <v/>
      </c>
    </row>
    <row r="42">
      <c r="A42" s="17">
        <f>'02_Base'!A42</f>
        <v/>
      </c>
      <c r="B42" s="18">
        <f>'02_Base'!B42</f>
        <v/>
      </c>
      <c r="C42" s="17">
        <f>'02_Base'!C42</f>
        <v/>
      </c>
      <c r="D42" s="18">
        <f>'02_Base'!E42</f>
        <v/>
      </c>
      <c r="E42" s="18">
        <f>'02_Base'!F42</f>
        <v/>
      </c>
      <c r="F42" s="37">
        <f>'02_Base'!G42</f>
        <v/>
      </c>
      <c r="G42" s="37">
        <f>'02_Base'!H42</f>
        <v/>
      </c>
      <c r="H42" s="37">
        <f>'02_Base'!I42</f>
        <v/>
      </c>
      <c r="I42" s="37">
        <f>'02_Base'!J42</f>
        <v/>
      </c>
      <c r="J42" s="37">
        <f>'02_Base'!K42</f>
        <v/>
      </c>
      <c r="K42" s="37">
        <f>'02_Base'!L42</f>
        <v/>
      </c>
      <c r="L42" s="38">
        <f>'02_Base'!N42</f>
        <v/>
      </c>
      <c r="M42" s="39">
        <f>'02_Base'!O42</f>
        <v/>
      </c>
      <c r="N42" s="39">
        <f>'02_Base'!P42</f>
        <v/>
      </c>
      <c r="O42" s="41">
        <f>IF(F42=1,IFERROR(G42/INDEX('03_Campagnes'!$D$5:$D$18,MATCH(A42&amp;"|"&amp;B42,'03_Campagnes'!$C$5:$C$18,0)),0),0)</f>
        <v/>
      </c>
      <c r="P42" s="24">
        <f>INDEX('03_Campagnes'!$I$5:$I$18,MATCH(A42&amp;"|"&amp;B42,'03_Campagnes'!$C$5:$C$18,0))</f>
        <v/>
      </c>
      <c r="Q42" s="24">
        <f>P42*O42</f>
        <v/>
      </c>
      <c r="R42" s="24">
        <f>IF(F42=1,Q42*('01_Cadrage'!$H$23+'01_Cadrage'!$H$16),0)</f>
        <v/>
      </c>
      <c r="S42" s="24">
        <f>R42*'01_Cadrage'!$H$24</f>
        <v/>
      </c>
      <c r="T42" s="22">
        <f>IF(F42=1,S42*(N42+'01_Cadrage'!$H$17),0)</f>
        <v/>
      </c>
      <c r="U42" s="24">
        <f>IF(F42=1,0,K42*(M42+'01_Cadrage'!$H$18))</f>
        <v/>
      </c>
      <c r="V42" s="22">
        <f>T42+U42</f>
        <v/>
      </c>
      <c r="W42" s="15">
        <f>L42*(1+'01_Cadrage'!$H$15*INDEX('01_Cadrage'!$L$7:$L$20,MATCH(A42&amp;"|"&amp;B42,'01_Cadrage'!$M$7:$M$20,0)))</f>
        <v/>
      </c>
      <c r="X42" s="13">
        <f>V42*W42+T42*'01_Cadrage'!$H$25</f>
        <v/>
      </c>
    </row>
    <row r="43">
      <c r="A43" s="17">
        <f>'02_Base'!A43</f>
        <v/>
      </c>
      <c r="B43" s="18">
        <f>'02_Base'!B43</f>
        <v/>
      </c>
      <c r="C43" s="17">
        <f>'02_Base'!C43</f>
        <v/>
      </c>
      <c r="D43" s="18">
        <f>'02_Base'!E43</f>
        <v/>
      </c>
      <c r="E43" s="18">
        <f>'02_Base'!F43</f>
        <v/>
      </c>
      <c r="F43" s="37">
        <f>'02_Base'!G43</f>
        <v/>
      </c>
      <c r="G43" s="37">
        <f>'02_Base'!H43</f>
        <v/>
      </c>
      <c r="H43" s="37">
        <f>'02_Base'!I43</f>
        <v/>
      </c>
      <c r="I43" s="37">
        <f>'02_Base'!J43</f>
        <v/>
      </c>
      <c r="J43" s="37">
        <f>'02_Base'!K43</f>
        <v/>
      </c>
      <c r="K43" s="37">
        <f>'02_Base'!L43</f>
        <v/>
      </c>
      <c r="L43" s="38">
        <f>'02_Base'!N43</f>
        <v/>
      </c>
      <c r="M43" s="39">
        <f>'02_Base'!O43</f>
        <v/>
      </c>
      <c r="N43" s="39">
        <f>'02_Base'!P43</f>
        <v/>
      </c>
      <c r="O43" s="41">
        <f>IF(F43=1,IFERROR(G43/INDEX('03_Campagnes'!$D$5:$D$18,MATCH(A43&amp;"|"&amp;B43,'03_Campagnes'!$C$5:$C$18,0)),0),0)</f>
        <v/>
      </c>
      <c r="P43" s="24">
        <f>INDEX('03_Campagnes'!$I$5:$I$18,MATCH(A43&amp;"|"&amp;B43,'03_Campagnes'!$C$5:$C$18,0))</f>
        <v/>
      </c>
      <c r="Q43" s="24">
        <f>P43*O43</f>
        <v/>
      </c>
      <c r="R43" s="24">
        <f>IF(F43=1,Q43*('01_Cadrage'!$H$23+'01_Cadrage'!$H$16),0)</f>
        <v/>
      </c>
      <c r="S43" s="24">
        <f>R43*'01_Cadrage'!$H$24</f>
        <v/>
      </c>
      <c r="T43" s="22">
        <f>IF(F43=1,S43*(N43+'01_Cadrage'!$H$17),0)</f>
        <v/>
      </c>
      <c r="U43" s="24">
        <f>IF(F43=1,0,K43*(M43+'01_Cadrage'!$H$18))</f>
        <v/>
      </c>
      <c r="V43" s="22">
        <f>T43+U43</f>
        <v/>
      </c>
      <c r="W43" s="15">
        <f>L43*(1+'01_Cadrage'!$H$15*INDEX('01_Cadrage'!$L$7:$L$20,MATCH(A43&amp;"|"&amp;B43,'01_Cadrage'!$M$7:$M$20,0)))</f>
        <v/>
      </c>
      <c r="X43" s="13">
        <f>V43*W43+T43*'01_Cadrage'!$H$25</f>
        <v/>
      </c>
    </row>
    <row r="44">
      <c r="A44" s="17">
        <f>'02_Base'!A44</f>
        <v/>
      </c>
      <c r="B44" s="18">
        <f>'02_Base'!B44</f>
        <v/>
      </c>
      <c r="C44" s="17">
        <f>'02_Base'!C44</f>
        <v/>
      </c>
      <c r="D44" s="18">
        <f>'02_Base'!E44</f>
        <v/>
      </c>
      <c r="E44" s="18">
        <f>'02_Base'!F44</f>
        <v/>
      </c>
      <c r="F44" s="37">
        <f>'02_Base'!G44</f>
        <v/>
      </c>
      <c r="G44" s="37">
        <f>'02_Base'!H44</f>
        <v/>
      </c>
      <c r="H44" s="37">
        <f>'02_Base'!I44</f>
        <v/>
      </c>
      <c r="I44" s="37">
        <f>'02_Base'!J44</f>
        <v/>
      </c>
      <c r="J44" s="37">
        <f>'02_Base'!K44</f>
        <v/>
      </c>
      <c r="K44" s="37">
        <f>'02_Base'!L44</f>
        <v/>
      </c>
      <c r="L44" s="38">
        <f>'02_Base'!N44</f>
        <v/>
      </c>
      <c r="M44" s="39">
        <f>'02_Base'!O44</f>
        <v/>
      </c>
      <c r="N44" s="39">
        <f>'02_Base'!P44</f>
        <v/>
      </c>
      <c r="O44" s="41">
        <f>IF(F44=1,IFERROR(G44/INDEX('03_Campagnes'!$D$5:$D$18,MATCH(A44&amp;"|"&amp;B44,'03_Campagnes'!$C$5:$C$18,0)),0),0)</f>
        <v/>
      </c>
      <c r="P44" s="24">
        <f>INDEX('03_Campagnes'!$I$5:$I$18,MATCH(A44&amp;"|"&amp;B44,'03_Campagnes'!$C$5:$C$18,0))</f>
        <v/>
      </c>
      <c r="Q44" s="24">
        <f>P44*O44</f>
        <v/>
      </c>
      <c r="R44" s="24">
        <f>IF(F44=1,Q44*('01_Cadrage'!$H$23+'01_Cadrage'!$H$16),0)</f>
        <v/>
      </c>
      <c r="S44" s="24">
        <f>R44*'01_Cadrage'!$H$24</f>
        <v/>
      </c>
      <c r="T44" s="22">
        <f>IF(F44=1,S44*(N44+'01_Cadrage'!$H$17),0)</f>
        <v/>
      </c>
      <c r="U44" s="24">
        <f>IF(F44=1,0,K44*(M44+'01_Cadrage'!$H$18))</f>
        <v/>
      </c>
      <c r="V44" s="22">
        <f>T44+U44</f>
        <v/>
      </c>
      <c r="W44" s="15">
        <f>L44*(1+'01_Cadrage'!$H$15*INDEX('01_Cadrage'!$L$7:$L$20,MATCH(A44&amp;"|"&amp;B44,'01_Cadrage'!$M$7:$M$20,0)))</f>
        <v/>
      </c>
      <c r="X44" s="13">
        <f>V44*W44+T44*'01_Cadrage'!$H$25</f>
        <v/>
      </c>
    </row>
    <row r="45">
      <c r="A45" s="17">
        <f>'02_Base'!A45</f>
        <v/>
      </c>
      <c r="B45" s="18">
        <f>'02_Base'!B45</f>
        <v/>
      </c>
      <c r="C45" s="17">
        <f>'02_Base'!C45</f>
        <v/>
      </c>
      <c r="D45" s="18">
        <f>'02_Base'!E45</f>
        <v/>
      </c>
      <c r="E45" s="18">
        <f>'02_Base'!F45</f>
        <v/>
      </c>
      <c r="F45" s="37">
        <f>'02_Base'!G45</f>
        <v/>
      </c>
      <c r="G45" s="37">
        <f>'02_Base'!H45</f>
        <v/>
      </c>
      <c r="H45" s="37">
        <f>'02_Base'!I45</f>
        <v/>
      </c>
      <c r="I45" s="37">
        <f>'02_Base'!J45</f>
        <v/>
      </c>
      <c r="J45" s="37">
        <f>'02_Base'!K45</f>
        <v/>
      </c>
      <c r="K45" s="37">
        <f>'02_Base'!L45</f>
        <v/>
      </c>
      <c r="L45" s="38">
        <f>'02_Base'!N45</f>
        <v/>
      </c>
      <c r="M45" s="39">
        <f>'02_Base'!O45</f>
        <v/>
      </c>
      <c r="N45" s="39">
        <f>'02_Base'!P45</f>
        <v/>
      </c>
      <c r="O45" s="41">
        <f>IF(F45=1,IFERROR(G45/INDEX('03_Campagnes'!$D$5:$D$18,MATCH(A45&amp;"|"&amp;B45,'03_Campagnes'!$C$5:$C$18,0)),0),0)</f>
        <v/>
      </c>
      <c r="P45" s="24">
        <f>INDEX('03_Campagnes'!$I$5:$I$18,MATCH(A45&amp;"|"&amp;B45,'03_Campagnes'!$C$5:$C$18,0))</f>
        <v/>
      </c>
      <c r="Q45" s="24">
        <f>P45*O45</f>
        <v/>
      </c>
      <c r="R45" s="24">
        <f>IF(F45=1,Q45*('01_Cadrage'!$H$23+'01_Cadrage'!$H$16),0)</f>
        <v/>
      </c>
      <c r="S45" s="24">
        <f>R45*'01_Cadrage'!$H$24</f>
        <v/>
      </c>
      <c r="T45" s="22">
        <f>IF(F45=1,S45*(N45+'01_Cadrage'!$H$17),0)</f>
        <v/>
      </c>
      <c r="U45" s="24">
        <f>IF(F45=1,0,K45*(M45+'01_Cadrage'!$H$18))</f>
        <v/>
      </c>
      <c r="V45" s="22">
        <f>T45+U45</f>
        <v/>
      </c>
      <c r="W45" s="15">
        <f>L45*(1+'01_Cadrage'!$H$15*INDEX('01_Cadrage'!$L$7:$L$20,MATCH(A45&amp;"|"&amp;B45,'01_Cadrage'!$M$7:$M$20,0)))</f>
        <v/>
      </c>
      <c r="X45" s="13">
        <f>V45*W45+T45*'01_Cadrage'!$H$25</f>
        <v/>
      </c>
    </row>
    <row r="46">
      <c r="A46" s="17">
        <f>'02_Base'!A46</f>
        <v/>
      </c>
      <c r="B46" s="18">
        <f>'02_Base'!B46</f>
        <v/>
      </c>
      <c r="C46" s="17">
        <f>'02_Base'!C46</f>
        <v/>
      </c>
      <c r="D46" s="18">
        <f>'02_Base'!E46</f>
        <v/>
      </c>
      <c r="E46" s="18">
        <f>'02_Base'!F46</f>
        <v/>
      </c>
      <c r="F46" s="37">
        <f>'02_Base'!G46</f>
        <v/>
      </c>
      <c r="G46" s="37">
        <f>'02_Base'!H46</f>
        <v/>
      </c>
      <c r="H46" s="37">
        <f>'02_Base'!I46</f>
        <v/>
      </c>
      <c r="I46" s="37">
        <f>'02_Base'!J46</f>
        <v/>
      </c>
      <c r="J46" s="37">
        <f>'02_Base'!K46</f>
        <v/>
      </c>
      <c r="K46" s="37">
        <f>'02_Base'!L46</f>
        <v/>
      </c>
      <c r="L46" s="38">
        <f>'02_Base'!N46</f>
        <v/>
      </c>
      <c r="M46" s="39">
        <f>'02_Base'!O46</f>
        <v/>
      </c>
      <c r="N46" s="39">
        <f>'02_Base'!P46</f>
        <v/>
      </c>
      <c r="O46" s="41">
        <f>IF(F46=1,IFERROR(G46/INDEX('03_Campagnes'!$D$5:$D$18,MATCH(A46&amp;"|"&amp;B46,'03_Campagnes'!$C$5:$C$18,0)),0),0)</f>
        <v/>
      </c>
      <c r="P46" s="24">
        <f>INDEX('03_Campagnes'!$I$5:$I$18,MATCH(A46&amp;"|"&amp;B46,'03_Campagnes'!$C$5:$C$18,0))</f>
        <v/>
      </c>
      <c r="Q46" s="24">
        <f>P46*O46</f>
        <v/>
      </c>
      <c r="R46" s="24">
        <f>IF(F46=1,Q46*('01_Cadrage'!$H$23+'01_Cadrage'!$H$16),0)</f>
        <v/>
      </c>
      <c r="S46" s="24">
        <f>R46*'01_Cadrage'!$H$24</f>
        <v/>
      </c>
      <c r="T46" s="22">
        <f>IF(F46=1,S46*(N46+'01_Cadrage'!$H$17),0)</f>
        <v/>
      </c>
      <c r="U46" s="24">
        <f>IF(F46=1,0,K46*(M46+'01_Cadrage'!$H$18))</f>
        <v/>
      </c>
      <c r="V46" s="22">
        <f>T46+U46</f>
        <v/>
      </c>
      <c r="W46" s="15">
        <f>L46*(1+'01_Cadrage'!$H$15*INDEX('01_Cadrage'!$L$7:$L$20,MATCH(A46&amp;"|"&amp;B46,'01_Cadrage'!$M$7:$M$20,0)))</f>
        <v/>
      </c>
      <c r="X46" s="13">
        <f>V46*W46+T46*'01_Cadrage'!$H$25</f>
        <v/>
      </c>
    </row>
    <row r="47">
      <c r="A47" s="17">
        <f>'02_Base'!A47</f>
        <v/>
      </c>
      <c r="B47" s="18">
        <f>'02_Base'!B47</f>
        <v/>
      </c>
      <c r="C47" s="17">
        <f>'02_Base'!C47</f>
        <v/>
      </c>
      <c r="D47" s="18">
        <f>'02_Base'!E47</f>
        <v/>
      </c>
      <c r="E47" s="18">
        <f>'02_Base'!F47</f>
        <v/>
      </c>
      <c r="F47" s="37">
        <f>'02_Base'!G47</f>
        <v/>
      </c>
      <c r="G47" s="37">
        <f>'02_Base'!H47</f>
        <v/>
      </c>
      <c r="H47" s="37">
        <f>'02_Base'!I47</f>
        <v/>
      </c>
      <c r="I47" s="37">
        <f>'02_Base'!J47</f>
        <v/>
      </c>
      <c r="J47" s="37">
        <f>'02_Base'!K47</f>
        <v/>
      </c>
      <c r="K47" s="37">
        <f>'02_Base'!L47</f>
        <v/>
      </c>
      <c r="L47" s="38">
        <f>'02_Base'!N47</f>
        <v/>
      </c>
      <c r="M47" s="39">
        <f>'02_Base'!O47</f>
        <v/>
      </c>
      <c r="N47" s="39">
        <f>'02_Base'!P47</f>
        <v/>
      </c>
      <c r="O47" s="41">
        <f>IF(F47=1,IFERROR(G47/INDEX('03_Campagnes'!$D$5:$D$18,MATCH(A47&amp;"|"&amp;B47,'03_Campagnes'!$C$5:$C$18,0)),0),0)</f>
        <v/>
      </c>
      <c r="P47" s="24">
        <f>INDEX('03_Campagnes'!$I$5:$I$18,MATCH(A47&amp;"|"&amp;B47,'03_Campagnes'!$C$5:$C$18,0))</f>
        <v/>
      </c>
      <c r="Q47" s="24">
        <f>P47*O47</f>
        <v/>
      </c>
      <c r="R47" s="24">
        <f>IF(F47=1,Q47*('01_Cadrage'!$H$23+'01_Cadrage'!$H$16),0)</f>
        <v/>
      </c>
      <c r="S47" s="24">
        <f>R47*'01_Cadrage'!$H$24</f>
        <v/>
      </c>
      <c r="T47" s="22">
        <f>IF(F47=1,S47*(N47+'01_Cadrage'!$H$17),0)</f>
        <v/>
      </c>
      <c r="U47" s="24">
        <f>IF(F47=1,0,K47*(M47+'01_Cadrage'!$H$18))</f>
        <v/>
      </c>
      <c r="V47" s="22">
        <f>T47+U47</f>
        <v/>
      </c>
      <c r="W47" s="15">
        <f>L47*(1+'01_Cadrage'!$H$15*INDEX('01_Cadrage'!$L$7:$L$20,MATCH(A47&amp;"|"&amp;B47,'01_Cadrage'!$M$7:$M$20,0)))</f>
        <v/>
      </c>
      <c r="X47" s="13">
        <f>V47*W47+T47*'01_Cadrage'!$H$25</f>
        <v/>
      </c>
    </row>
    <row r="48">
      <c r="A48" s="17">
        <f>'02_Base'!A48</f>
        <v/>
      </c>
      <c r="B48" s="18">
        <f>'02_Base'!B48</f>
        <v/>
      </c>
      <c r="C48" s="17">
        <f>'02_Base'!C48</f>
        <v/>
      </c>
      <c r="D48" s="18">
        <f>'02_Base'!E48</f>
        <v/>
      </c>
      <c r="E48" s="18">
        <f>'02_Base'!F48</f>
        <v/>
      </c>
      <c r="F48" s="37">
        <f>'02_Base'!G48</f>
        <v/>
      </c>
      <c r="G48" s="37">
        <f>'02_Base'!H48</f>
        <v/>
      </c>
      <c r="H48" s="37">
        <f>'02_Base'!I48</f>
        <v/>
      </c>
      <c r="I48" s="37">
        <f>'02_Base'!J48</f>
        <v/>
      </c>
      <c r="J48" s="37">
        <f>'02_Base'!K48</f>
        <v/>
      </c>
      <c r="K48" s="37">
        <f>'02_Base'!L48</f>
        <v/>
      </c>
      <c r="L48" s="38">
        <f>'02_Base'!N48</f>
        <v/>
      </c>
      <c r="M48" s="39">
        <f>'02_Base'!O48</f>
        <v/>
      </c>
      <c r="N48" s="39">
        <f>'02_Base'!P48</f>
        <v/>
      </c>
      <c r="O48" s="41">
        <f>IF(F48=1,IFERROR(G48/INDEX('03_Campagnes'!$D$5:$D$18,MATCH(A48&amp;"|"&amp;B48,'03_Campagnes'!$C$5:$C$18,0)),0),0)</f>
        <v/>
      </c>
      <c r="P48" s="24">
        <f>INDEX('03_Campagnes'!$I$5:$I$18,MATCH(A48&amp;"|"&amp;B48,'03_Campagnes'!$C$5:$C$18,0))</f>
        <v/>
      </c>
      <c r="Q48" s="24">
        <f>P48*O48</f>
        <v/>
      </c>
      <c r="R48" s="24">
        <f>IF(F48=1,Q48*('01_Cadrage'!$H$23+'01_Cadrage'!$H$16),0)</f>
        <v/>
      </c>
      <c r="S48" s="24">
        <f>R48*'01_Cadrage'!$H$24</f>
        <v/>
      </c>
      <c r="T48" s="22">
        <f>IF(F48=1,S48*(N48+'01_Cadrage'!$H$17),0)</f>
        <v/>
      </c>
      <c r="U48" s="24">
        <f>IF(F48=1,0,K48*(M48+'01_Cadrage'!$H$18))</f>
        <v/>
      </c>
      <c r="V48" s="22">
        <f>T48+U48</f>
        <v/>
      </c>
      <c r="W48" s="15">
        <f>L48*(1+'01_Cadrage'!$H$15*INDEX('01_Cadrage'!$L$7:$L$20,MATCH(A48&amp;"|"&amp;B48,'01_Cadrage'!$M$7:$M$20,0)))</f>
        <v/>
      </c>
      <c r="X48" s="13">
        <f>V48*W48+T48*'01_Cadrage'!$H$25</f>
        <v/>
      </c>
    </row>
    <row r="49">
      <c r="A49" s="17">
        <f>'02_Base'!A49</f>
        <v/>
      </c>
      <c r="B49" s="18">
        <f>'02_Base'!B49</f>
        <v/>
      </c>
      <c r="C49" s="17">
        <f>'02_Base'!C49</f>
        <v/>
      </c>
      <c r="D49" s="18">
        <f>'02_Base'!E49</f>
        <v/>
      </c>
      <c r="E49" s="18">
        <f>'02_Base'!F49</f>
        <v/>
      </c>
      <c r="F49" s="37">
        <f>'02_Base'!G49</f>
        <v/>
      </c>
      <c r="G49" s="37">
        <f>'02_Base'!H49</f>
        <v/>
      </c>
      <c r="H49" s="37">
        <f>'02_Base'!I49</f>
        <v/>
      </c>
      <c r="I49" s="37">
        <f>'02_Base'!J49</f>
        <v/>
      </c>
      <c r="J49" s="37">
        <f>'02_Base'!K49</f>
        <v/>
      </c>
      <c r="K49" s="37">
        <f>'02_Base'!L49</f>
        <v/>
      </c>
      <c r="L49" s="38">
        <f>'02_Base'!N49</f>
        <v/>
      </c>
      <c r="M49" s="39">
        <f>'02_Base'!O49</f>
        <v/>
      </c>
      <c r="N49" s="39">
        <f>'02_Base'!P49</f>
        <v/>
      </c>
      <c r="O49" s="41">
        <f>IF(F49=1,IFERROR(G49/INDEX('03_Campagnes'!$D$5:$D$18,MATCH(A49&amp;"|"&amp;B49,'03_Campagnes'!$C$5:$C$18,0)),0),0)</f>
        <v/>
      </c>
      <c r="P49" s="24">
        <f>INDEX('03_Campagnes'!$I$5:$I$18,MATCH(A49&amp;"|"&amp;B49,'03_Campagnes'!$C$5:$C$18,0))</f>
        <v/>
      </c>
      <c r="Q49" s="24">
        <f>P49*O49</f>
        <v/>
      </c>
      <c r="R49" s="24">
        <f>IF(F49=1,Q49*('01_Cadrage'!$H$23+'01_Cadrage'!$H$16),0)</f>
        <v/>
      </c>
      <c r="S49" s="24">
        <f>R49*'01_Cadrage'!$H$24</f>
        <v/>
      </c>
      <c r="T49" s="22">
        <f>IF(F49=1,S49*(N49+'01_Cadrage'!$H$17),0)</f>
        <v/>
      </c>
      <c r="U49" s="24">
        <f>IF(F49=1,0,K49*(M49+'01_Cadrage'!$H$18))</f>
        <v/>
      </c>
      <c r="V49" s="22">
        <f>T49+U49</f>
        <v/>
      </c>
      <c r="W49" s="15">
        <f>L49*(1+'01_Cadrage'!$H$15*INDEX('01_Cadrage'!$L$7:$L$20,MATCH(A49&amp;"|"&amp;B49,'01_Cadrage'!$M$7:$M$20,0)))</f>
        <v/>
      </c>
      <c r="X49" s="13">
        <f>V49*W49+T49*'01_Cadrage'!$H$25</f>
        <v/>
      </c>
    </row>
    <row r="50">
      <c r="A50" s="17">
        <f>'02_Base'!A50</f>
        <v/>
      </c>
      <c r="B50" s="18">
        <f>'02_Base'!B50</f>
        <v/>
      </c>
      <c r="C50" s="17">
        <f>'02_Base'!C50</f>
        <v/>
      </c>
      <c r="D50" s="18">
        <f>'02_Base'!E50</f>
        <v/>
      </c>
      <c r="E50" s="18">
        <f>'02_Base'!F50</f>
        <v/>
      </c>
      <c r="F50" s="37">
        <f>'02_Base'!G50</f>
        <v/>
      </c>
      <c r="G50" s="37">
        <f>'02_Base'!H50</f>
        <v/>
      </c>
      <c r="H50" s="37">
        <f>'02_Base'!I50</f>
        <v/>
      </c>
      <c r="I50" s="37">
        <f>'02_Base'!J50</f>
        <v/>
      </c>
      <c r="J50" s="37">
        <f>'02_Base'!K50</f>
        <v/>
      </c>
      <c r="K50" s="37">
        <f>'02_Base'!L50</f>
        <v/>
      </c>
      <c r="L50" s="38">
        <f>'02_Base'!N50</f>
        <v/>
      </c>
      <c r="M50" s="39">
        <f>'02_Base'!O50</f>
        <v/>
      </c>
      <c r="N50" s="39">
        <f>'02_Base'!P50</f>
        <v/>
      </c>
      <c r="O50" s="41">
        <f>IF(F50=1,IFERROR(G50/INDEX('03_Campagnes'!$D$5:$D$18,MATCH(A50&amp;"|"&amp;B50,'03_Campagnes'!$C$5:$C$18,0)),0),0)</f>
        <v/>
      </c>
      <c r="P50" s="24">
        <f>INDEX('03_Campagnes'!$I$5:$I$18,MATCH(A50&amp;"|"&amp;B50,'03_Campagnes'!$C$5:$C$18,0))</f>
        <v/>
      </c>
      <c r="Q50" s="24">
        <f>P50*O50</f>
        <v/>
      </c>
      <c r="R50" s="24">
        <f>IF(F50=1,Q50*('01_Cadrage'!$H$23+'01_Cadrage'!$H$16),0)</f>
        <v/>
      </c>
      <c r="S50" s="24">
        <f>R50*'01_Cadrage'!$H$24</f>
        <v/>
      </c>
      <c r="T50" s="22">
        <f>IF(F50=1,S50*(N50+'01_Cadrage'!$H$17),0)</f>
        <v/>
      </c>
      <c r="U50" s="24">
        <f>IF(F50=1,0,K50*(M50+'01_Cadrage'!$H$18))</f>
        <v/>
      </c>
      <c r="V50" s="22">
        <f>T50+U50</f>
        <v/>
      </c>
      <c r="W50" s="15">
        <f>L50*(1+'01_Cadrage'!$H$15*INDEX('01_Cadrage'!$L$7:$L$20,MATCH(A50&amp;"|"&amp;B50,'01_Cadrage'!$M$7:$M$20,0)))</f>
        <v/>
      </c>
      <c r="X50" s="13">
        <f>V50*W50+T50*'01_Cadrage'!$H$25</f>
        <v/>
      </c>
    </row>
    <row r="51">
      <c r="A51" s="17">
        <f>'02_Base'!A51</f>
        <v/>
      </c>
      <c r="B51" s="18">
        <f>'02_Base'!B51</f>
        <v/>
      </c>
      <c r="C51" s="17">
        <f>'02_Base'!C51</f>
        <v/>
      </c>
      <c r="D51" s="18">
        <f>'02_Base'!E51</f>
        <v/>
      </c>
      <c r="E51" s="18">
        <f>'02_Base'!F51</f>
        <v/>
      </c>
      <c r="F51" s="37">
        <f>'02_Base'!G51</f>
        <v/>
      </c>
      <c r="G51" s="37">
        <f>'02_Base'!H51</f>
        <v/>
      </c>
      <c r="H51" s="37">
        <f>'02_Base'!I51</f>
        <v/>
      </c>
      <c r="I51" s="37">
        <f>'02_Base'!J51</f>
        <v/>
      </c>
      <c r="J51" s="37">
        <f>'02_Base'!K51</f>
        <v/>
      </c>
      <c r="K51" s="37">
        <f>'02_Base'!L51</f>
        <v/>
      </c>
      <c r="L51" s="38">
        <f>'02_Base'!N51</f>
        <v/>
      </c>
      <c r="M51" s="39">
        <f>'02_Base'!O51</f>
        <v/>
      </c>
      <c r="N51" s="39">
        <f>'02_Base'!P51</f>
        <v/>
      </c>
      <c r="O51" s="41">
        <f>IF(F51=1,IFERROR(G51/INDEX('03_Campagnes'!$D$5:$D$18,MATCH(A51&amp;"|"&amp;B51,'03_Campagnes'!$C$5:$C$18,0)),0),0)</f>
        <v/>
      </c>
      <c r="P51" s="24">
        <f>INDEX('03_Campagnes'!$I$5:$I$18,MATCH(A51&amp;"|"&amp;B51,'03_Campagnes'!$C$5:$C$18,0))</f>
        <v/>
      </c>
      <c r="Q51" s="24">
        <f>P51*O51</f>
        <v/>
      </c>
      <c r="R51" s="24">
        <f>IF(F51=1,Q51*('01_Cadrage'!$H$23+'01_Cadrage'!$H$16),0)</f>
        <v/>
      </c>
      <c r="S51" s="24">
        <f>R51*'01_Cadrage'!$H$24</f>
        <v/>
      </c>
      <c r="T51" s="22">
        <f>IF(F51=1,S51*(N51+'01_Cadrage'!$H$17),0)</f>
        <v/>
      </c>
      <c r="U51" s="24">
        <f>IF(F51=1,0,K51*(M51+'01_Cadrage'!$H$18))</f>
        <v/>
      </c>
      <c r="V51" s="22">
        <f>T51+U51</f>
        <v/>
      </c>
      <c r="W51" s="15">
        <f>L51*(1+'01_Cadrage'!$H$15*INDEX('01_Cadrage'!$L$7:$L$20,MATCH(A51&amp;"|"&amp;B51,'01_Cadrage'!$M$7:$M$20,0)))</f>
        <v/>
      </c>
      <c r="X51" s="13">
        <f>V51*W51+T51*'01_Cadrage'!$H$25</f>
        <v/>
      </c>
    </row>
    <row r="52">
      <c r="A52" s="17">
        <f>'02_Base'!A52</f>
        <v/>
      </c>
      <c r="B52" s="18">
        <f>'02_Base'!B52</f>
        <v/>
      </c>
      <c r="C52" s="17">
        <f>'02_Base'!C52</f>
        <v/>
      </c>
      <c r="D52" s="18">
        <f>'02_Base'!E52</f>
        <v/>
      </c>
      <c r="E52" s="18">
        <f>'02_Base'!F52</f>
        <v/>
      </c>
      <c r="F52" s="37">
        <f>'02_Base'!G52</f>
        <v/>
      </c>
      <c r="G52" s="37">
        <f>'02_Base'!H52</f>
        <v/>
      </c>
      <c r="H52" s="37">
        <f>'02_Base'!I52</f>
        <v/>
      </c>
      <c r="I52" s="37">
        <f>'02_Base'!J52</f>
        <v/>
      </c>
      <c r="J52" s="37">
        <f>'02_Base'!K52</f>
        <v/>
      </c>
      <c r="K52" s="37">
        <f>'02_Base'!L52</f>
        <v/>
      </c>
      <c r="L52" s="38">
        <f>'02_Base'!N52</f>
        <v/>
      </c>
      <c r="M52" s="39">
        <f>'02_Base'!O52</f>
        <v/>
      </c>
      <c r="N52" s="39">
        <f>'02_Base'!P52</f>
        <v/>
      </c>
      <c r="O52" s="41">
        <f>IF(F52=1,IFERROR(G52/INDEX('03_Campagnes'!$D$5:$D$18,MATCH(A52&amp;"|"&amp;B52,'03_Campagnes'!$C$5:$C$18,0)),0),0)</f>
        <v/>
      </c>
      <c r="P52" s="24">
        <f>INDEX('03_Campagnes'!$I$5:$I$18,MATCH(A52&amp;"|"&amp;B52,'03_Campagnes'!$C$5:$C$18,0))</f>
        <v/>
      </c>
      <c r="Q52" s="24">
        <f>P52*O52</f>
        <v/>
      </c>
      <c r="R52" s="24">
        <f>IF(F52=1,Q52*('01_Cadrage'!$H$23+'01_Cadrage'!$H$16),0)</f>
        <v/>
      </c>
      <c r="S52" s="24">
        <f>R52*'01_Cadrage'!$H$24</f>
        <v/>
      </c>
      <c r="T52" s="22">
        <f>IF(F52=1,S52*(N52+'01_Cadrage'!$H$17),0)</f>
        <v/>
      </c>
      <c r="U52" s="24">
        <f>IF(F52=1,0,K52*(M52+'01_Cadrage'!$H$18))</f>
        <v/>
      </c>
      <c r="V52" s="22">
        <f>T52+U52</f>
        <v/>
      </c>
      <c r="W52" s="15">
        <f>L52*(1+'01_Cadrage'!$H$15*INDEX('01_Cadrage'!$L$7:$L$20,MATCH(A52&amp;"|"&amp;B52,'01_Cadrage'!$M$7:$M$20,0)))</f>
        <v/>
      </c>
      <c r="X52" s="13">
        <f>V52*W52+T52*'01_Cadrage'!$H$25</f>
        <v/>
      </c>
    </row>
    <row r="53">
      <c r="A53" s="17">
        <f>'02_Base'!A53</f>
        <v/>
      </c>
      <c r="B53" s="18">
        <f>'02_Base'!B53</f>
        <v/>
      </c>
      <c r="C53" s="17">
        <f>'02_Base'!C53</f>
        <v/>
      </c>
      <c r="D53" s="18">
        <f>'02_Base'!E53</f>
        <v/>
      </c>
      <c r="E53" s="18">
        <f>'02_Base'!F53</f>
        <v/>
      </c>
      <c r="F53" s="37">
        <f>'02_Base'!G53</f>
        <v/>
      </c>
      <c r="G53" s="37">
        <f>'02_Base'!H53</f>
        <v/>
      </c>
      <c r="H53" s="37">
        <f>'02_Base'!I53</f>
        <v/>
      </c>
      <c r="I53" s="37">
        <f>'02_Base'!J53</f>
        <v/>
      </c>
      <c r="J53" s="37">
        <f>'02_Base'!K53</f>
        <v/>
      </c>
      <c r="K53" s="37">
        <f>'02_Base'!L53</f>
        <v/>
      </c>
      <c r="L53" s="38">
        <f>'02_Base'!N53</f>
        <v/>
      </c>
      <c r="M53" s="39">
        <f>'02_Base'!O53</f>
        <v/>
      </c>
      <c r="N53" s="39">
        <f>'02_Base'!P53</f>
        <v/>
      </c>
      <c r="O53" s="41">
        <f>IF(F53=1,IFERROR(G53/INDEX('03_Campagnes'!$D$5:$D$18,MATCH(A53&amp;"|"&amp;B53,'03_Campagnes'!$C$5:$C$18,0)),0),0)</f>
        <v/>
      </c>
      <c r="P53" s="24">
        <f>INDEX('03_Campagnes'!$I$5:$I$18,MATCH(A53&amp;"|"&amp;B53,'03_Campagnes'!$C$5:$C$18,0))</f>
        <v/>
      </c>
      <c r="Q53" s="24">
        <f>P53*O53</f>
        <v/>
      </c>
      <c r="R53" s="24">
        <f>IF(F53=1,Q53*('01_Cadrage'!$H$23+'01_Cadrage'!$H$16),0)</f>
        <v/>
      </c>
      <c r="S53" s="24">
        <f>R53*'01_Cadrage'!$H$24</f>
        <v/>
      </c>
      <c r="T53" s="22">
        <f>IF(F53=1,S53*(N53+'01_Cadrage'!$H$17),0)</f>
        <v/>
      </c>
      <c r="U53" s="24">
        <f>IF(F53=1,0,K53*(M53+'01_Cadrage'!$H$18))</f>
        <v/>
      </c>
      <c r="V53" s="22">
        <f>T53+U53</f>
        <v/>
      </c>
      <c r="W53" s="15">
        <f>L53*(1+'01_Cadrage'!$H$15*INDEX('01_Cadrage'!$L$7:$L$20,MATCH(A53&amp;"|"&amp;B53,'01_Cadrage'!$M$7:$M$20,0)))</f>
        <v/>
      </c>
      <c r="X53" s="13">
        <f>V53*W53+T53*'01_Cadrage'!$H$25</f>
        <v/>
      </c>
    </row>
    <row r="54">
      <c r="A54" s="17">
        <f>'02_Base'!A54</f>
        <v/>
      </c>
      <c r="B54" s="18">
        <f>'02_Base'!B54</f>
        <v/>
      </c>
      <c r="C54" s="17">
        <f>'02_Base'!C54</f>
        <v/>
      </c>
      <c r="D54" s="18">
        <f>'02_Base'!E54</f>
        <v/>
      </c>
      <c r="E54" s="18">
        <f>'02_Base'!F54</f>
        <v/>
      </c>
      <c r="F54" s="37">
        <f>'02_Base'!G54</f>
        <v/>
      </c>
      <c r="G54" s="37">
        <f>'02_Base'!H54</f>
        <v/>
      </c>
      <c r="H54" s="37">
        <f>'02_Base'!I54</f>
        <v/>
      </c>
      <c r="I54" s="37">
        <f>'02_Base'!J54</f>
        <v/>
      </c>
      <c r="J54" s="37">
        <f>'02_Base'!K54</f>
        <v/>
      </c>
      <c r="K54" s="37">
        <f>'02_Base'!L54</f>
        <v/>
      </c>
      <c r="L54" s="38">
        <f>'02_Base'!N54</f>
        <v/>
      </c>
      <c r="M54" s="39">
        <f>'02_Base'!O54</f>
        <v/>
      </c>
      <c r="N54" s="39">
        <f>'02_Base'!P54</f>
        <v/>
      </c>
      <c r="O54" s="41">
        <f>IF(F54=1,IFERROR(G54/INDEX('03_Campagnes'!$D$5:$D$18,MATCH(A54&amp;"|"&amp;B54,'03_Campagnes'!$C$5:$C$18,0)),0),0)</f>
        <v/>
      </c>
      <c r="P54" s="24">
        <f>INDEX('03_Campagnes'!$I$5:$I$18,MATCH(A54&amp;"|"&amp;B54,'03_Campagnes'!$C$5:$C$18,0))</f>
        <v/>
      </c>
      <c r="Q54" s="24">
        <f>P54*O54</f>
        <v/>
      </c>
      <c r="R54" s="24">
        <f>IF(F54=1,Q54*('01_Cadrage'!$H$23+'01_Cadrage'!$H$16),0)</f>
        <v/>
      </c>
      <c r="S54" s="24">
        <f>R54*'01_Cadrage'!$H$24</f>
        <v/>
      </c>
      <c r="T54" s="22">
        <f>IF(F54=1,S54*(N54+'01_Cadrage'!$H$17),0)</f>
        <v/>
      </c>
      <c r="U54" s="24">
        <f>IF(F54=1,0,K54*(M54+'01_Cadrage'!$H$18))</f>
        <v/>
      </c>
      <c r="V54" s="22">
        <f>T54+U54</f>
        <v/>
      </c>
      <c r="W54" s="15">
        <f>L54*(1+'01_Cadrage'!$H$15*INDEX('01_Cadrage'!$L$7:$L$20,MATCH(A54&amp;"|"&amp;B54,'01_Cadrage'!$M$7:$M$20,0)))</f>
        <v/>
      </c>
      <c r="X54" s="13">
        <f>V54*W54+T54*'01_Cadrage'!$H$25</f>
        <v/>
      </c>
    </row>
    <row r="55">
      <c r="A55" s="17">
        <f>'02_Base'!A55</f>
        <v/>
      </c>
      <c r="B55" s="18">
        <f>'02_Base'!B55</f>
        <v/>
      </c>
      <c r="C55" s="17">
        <f>'02_Base'!C55</f>
        <v/>
      </c>
      <c r="D55" s="18">
        <f>'02_Base'!E55</f>
        <v/>
      </c>
      <c r="E55" s="18">
        <f>'02_Base'!F55</f>
        <v/>
      </c>
      <c r="F55" s="37">
        <f>'02_Base'!G55</f>
        <v/>
      </c>
      <c r="G55" s="37">
        <f>'02_Base'!H55</f>
        <v/>
      </c>
      <c r="H55" s="37">
        <f>'02_Base'!I55</f>
        <v/>
      </c>
      <c r="I55" s="37">
        <f>'02_Base'!J55</f>
        <v/>
      </c>
      <c r="J55" s="37">
        <f>'02_Base'!K55</f>
        <v/>
      </c>
      <c r="K55" s="37">
        <f>'02_Base'!L55</f>
        <v/>
      </c>
      <c r="L55" s="38">
        <f>'02_Base'!N55</f>
        <v/>
      </c>
      <c r="M55" s="39">
        <f>'02_Base'!O55</f>
        <v/>
      </c>
      <c r="N55" s="39">
        <f>'02_Base'!P55</f>
        <v/>
      </c>
      <c r="O55" s="41">
        <f>IF(F55=1,IFERROR(G55/INDEX('03_Campagnes'!$D$5:$D$18,MATCH(A55&amp;"|"&amp;B55,'03_Campagnes'!$C$5:$C$18,0)),0),0)</f>
        <v/>
      </c>
      <c r="P55" s="24">
        <f>INDEX('03_Campagnes'!$I$5:$I$18,MATCH(A55&amp;"|"&amp;B55,'03_Campagnes'!$C$5:$C$18,0))</f>
        <v/>
      </c>
      <c r="Q55" s="24">
        <f>P55*O55</f>
        <v/>
      </c>
      <c r="R55" s="24">
        <f>IF(F55=1,Q55*('01_Cadrage'!$H$23+'01_Cadrage'!$H$16),0)</f>
        <v/>
      </c>
      <c r="S55" s="24">
        <f>R55*'01_Cadrage'!$H$24</f>
        <v/>
      </c>
      <c r="T55" s="22">
        <f>IF(F55=1,S55*(N55+'01_Cadrage'!$H$17),0)</f>
        <v/>
      </c>
      <c r="U55" s="24">
        <f>IF(F55=1,0,K55*(M55+'01_Cadrage'!$H$18))</f>
        <v/>
      </c>
      <c r="V55" s="22">
        <f>T55+U55</f>
        <v/>
      </c>
      <c r="W55" s="15">
        <f>L55*(1+'01_Cadrage'!$H$15*INDEX('01_Cadrage'!$L$7:$L$20,MATCH(A55&amp;"|"&amp;B55,'01_Cadrage'!$M$7:$M$20,0)))</f>
        <v/>
      </c>
      <c r="X55" s="13">
        <f>V55*W55+T55*'01_Cadrage'!$H$25</f>
        <v/>
      </c>
    </row>
    <row r="56">
      <c r="A56" s="17">
        <f>'02_Base'!A56</f>
        <v/>
      </c>
      <c r="B56" s="18">
        <f>'02_Base'!B56</f>
        <v/>
      </c>
      <c r="C56" s="17">
        <f>'02_Base'!C56</f>
        <v/>
      </c>
      <c r="D56" s="18">
        <f>'02_Base'!E56</f>
        <v/>
      </c>
      <c r="E56" s="18">
        <f>'02_Base'!F56</f>
        <v/>
      </c>
      <c r="F56" s="37">
        <f>'02_Base'!G56</f>
        <v/>
      </c>
      <c r="G56" s="37">
        <f>'02_Base'!H56</f>
        <v/>
      </c>
      <c r="H56" s="37">
        <f>'02_Base'!I56</f>
        <v/>
      </c>
      <c r="I56" s="37">
        <f>'02_Base'!J56</f>
        <v/>
      </c>
      <c r="J56" s="37">
        <f>'02_Base'!K56</f>
        <v/>
      </c>
      <c r="K56" s="37">
        <f>'02_Base'!L56</f>
        <v/>
      </c>
      <c r="L56" s="38">
        <f>'02_Base'!N56</f>
        <v/>
      </c>
      <c r="M56" s="39">
        <f>'02_Base'!O56</f>
        <v/>
      </c>
      <c r="N56" s="39">
        <f>'02_Base'!P56</f>
        <v/>
      </c>
      <c r="O56" s="41">
        <f>IF(F56=1,IFERROR(G56/INDEX('03_Campagnes'!$D$5:$D$18,MATCH(A56&amp;"|"&amp;B56,'03_Campagnes'!$C$5:$C$18,0)),0),0)</f>
        <v/>
      </c>
      <c r="P56" s="24">
        <f>INDEX('03_Campagnes'!$I$5:$I$18,MATCH(A56&amp;"|"&amp;B56,'03_Campagnes'!$C$5:$C$18,0))</f>
        <v/>
      </c>
      <c r="Q56" s="24">
        <f>P56*O56</f>
        <v/>
      </c>
      <c r="R56" s="24">
        <f>IF(F56=1,Q56*('01_Cadrage'!$H$23+'01_Cadrage'!$H$16),0)</f>
        <v/>
      </c>
      <c r="S56" s="24">
        <f>R56*'01_Cadrage'!$H$24</f>
        <v/>
      </c>
      <c r="T56" s="22">
        <f>IF(F56=1,S56*(N56+'01_Cadrage'!$H$17),0)</f>
        <v/>
      </c>
      <c r="U56" s="24">
        <f>IF(F56=1,0,K56*(M56+'01_Cadrage'!$H$18))</f>
        <v/>
      </c>
      <c r="V56" s="22">
        <f>T56+U56</f>
        <v/>
      </c>
      <c r="W56" s="15">
        <f>L56*(1+'01_Cadrage'!$H$15*INDEX('01_Cadrage'!$L$7:$L$20,MATCH(A56&amp;"|"&amp;B56,'01_Cadrage'!$M$7:$M$20,0)))</f>
        <v/>
      </c>
      <c r="X56" s="13">
        <f>V56*W56+T56*'01_Cadrage'!$H$25</f>
        <v/>
      </c>
    </row>
    <row r="57">
      <c r="A57" s="17">
        <f>'02_Base'!A57</f>
        <v/>
      </c>
      <c r="B57" s="18">
        <f>'02_Base'!B57</f>
        <v/>
      </c>
      <c r="C57" s="17">
        <f>'02_Base'!C57</f>
        <v/>
      </c>
      <c r="D57" s="18">
        <f>'02_Base'!E57</f>
        <v/>
      </c>
      <c r="E57" s="18">
        <f>'02_Base'!F57</f>
        <v/>
      </c>
      <c r="F57" s="37">
        <f>'02_Base'!G57</f>
        <v/>
      </c>
      <c r="G57" s="37">
        <f>'02_Base'!H57</f>
        <v/>
      </c>
      <c r="H57" s="37">
        <f>'02_Base'!I57</f>
        <v/>
      </c>
      <c r="I57" s="37">
        <f>'02_Base'!J57</f>
        <v/>
      </c>
      <c r="J57" s="37">
        <f>'02_Base'!K57</f>
        <v/>
      </c>
      <c r="K57" s="37">
        <f>'02_Base'!L57</f>
        <v/>
      </c>
      <c r="L57" s="38">
        <f>'02_Base'!N57</f>
        <v/>
      </c>
      <c r="M57" s="39">
        <f>'02_Base'!O57</f>
        <v/>
      </c>
      <c r="N57" s="39">
        <f>'02_Base'!P57</f>
        <v/>
      </c>
      <c r="O57" s="41">
        <f>IF(F57=1,IFERROR(G57/INDEX('03_Campagnes'!$D$5:$D$18,MATCH(A57&amp;"|"&amp;B57,'03_Campagnes'!$C$5:$C$18,0)),0),0)</f>
        <v/>
      </c>
      <c r="P57" s="24">
        <f>INDEX('03_Campagnes'!$I$5:$I$18,MATCH(A57&amp;"|"&amp;B57,'03_Campagnes'!$C$5:$C$18,0))</f>
        <v/>
      </c>
      <c r="Q57" s="24">
        <f>P57*O57</f>
        <v/>
      </c>
      <c r="R57" s="24">
        <f>IF(F57=1,Q57*('01_Cadrage'!$H$23+'01_Cadrage'!$H$16),0)</f>
        <v/>
      </c>
      <c r="S57" s="24">
        <f>R57*'01_Cadrage'!$H$24</f>
        <v/>
      </c>
      <c r="T57" s="22">
        <f>IF(F57=1,S57*(N57+'01_Cadrage'!$H$17),0)</f>
        <v/>
      </c>
      <c r="U57" s="24">
        <f>IF(F57=1,0,K57*(M57+'01_Cadrage'!$H$18))</f>
        <v/>
      </c>
      <c r="V57" s="22">
        <f>T57+U57</f>
        <v/>
      </c>
      <c r="W57" s="15">
        <f>L57*(1+'01_Cadrage'!$H$15*INDEX('01_Cadrage'!$L$7:$L$20,MATCH(A57&amp;"|"&amp;B57,'01_Cadrage'!$M$7:$M$20,0)))</f>
        <v/>
      </c>
      <c r="X57" s="13">
        <f>V57*W57+T57*'01_Cadrage'!$H$25</f>
        <v/>
      </c>
    </row>
    <row r="58">
      <c r="A58" s="17">
        <f>'02_Base'!A58</f>
        <v/>
      </c>
      <c r="B58" s="18">
        <f>'02_Base'!B58</f>
        <v/>
      </c>
      <c r="C58" s="17">
        <f>'02_Base'!C58</f>
        <v/>
      </c>
      <c r="D58" s="18">
        <f>'02_Base'!E58</f>
        <v/>
      </c>
      <c r="E58" s="18">
        <f>'02_Base'!F58</f>
        <v/>
      </c>
      <c r="F58" s="37">
        <f>'02_Base'!G58</f>
        <v/>
      </c>
      <c r="G58" s="37">
        <f>'02_Base'!H58</f>
        <v/>
      </c>
      <c r="H58" s="37">
        <f>'02_Base'!I58</f>
        <v/>
      </c>
      <c r="I58" s="37">
        <f>'02_Base'!J58</f>
        <v/>
      </c>
      <c r="J58" s="37">
        <f>'02_Base'!K58</f>
        <v/>
      </c>
      <c r="K58" s="37">
        <f>'02_Base'!L58</f>
        <v/>
      </c>
      <c r="L58" s="38">
        <f>'02_Base'!N58</f>
        <v/>
      </c>
      <c r="M58" s="39">
        <f>'02_Base'!O58</f>
        <v/>
      </c>
      <c r="N58" s="39">
        <f>'02_Base'!P58</f>
        <v/>
      </c>
      <c r="O58" s="41">
        <f>IF(F58=1,IFERROR(G58/INDEX('03_Campagnes'!$D$5:$D$18,MATCH(A58&amp;"|"&amp;B58,'03_Campagnes'!$C$5:$C$18,0)),0),0)</f>
        <v/>
      </c>
      <c r="P58" s="24">
        <f>INDEX('03_Campagnes'!$I$5:$I$18,MATCH(A58&amp;"|"&amp;B58,'03_Campagnes'!$C$5:$C$18,0))</f>
        <v/>
      </c>
      <c r="Q58" s="24">
        <f>P58*O58</f>
        <v/>
      </c>
      <c r="R58" s="24">
        <f>IF(F58=1,Q58*('01_Cadrage'!$H$23+'01_Cadrage'!$H$16),0)</f>
        <v/>
      </c>
      <c r="S58" s="24">
        <f>R58*'01_Cadrage'!$H$24</f>
        <v/>
      </c>
      <c r="T58" s="22">
        <f>IF(F58=1,S58*(N58+'01_Cadrage'!$H$17),0)</f>
        <v/>
      </c>
      <c r="U58" s="24">
        <f>IF(F58=1,0,K58*(M58+'01_Cadrage'!$H$18))</f>
        <v/>
      </c>
      <c r="V58" s="22">
        <f>T58+U58</f>
        <v/>
      </c>
      <c r="W58" s="15">
        <f>L58*(1+'01_Cadrage'!$H$15*INDEX('01_Cadrage'!$L$7:$L$20,MATCH(A58&amp;"|"&amp;B58,'01_Cadrage'!$M$7:$M$20,0)))</f>
        <v/>
      </c>
      <c r="X58" s="13">
        <f>V58*W58+T58*'01_Cadrage'!$H$25</f>
        <v/>
      </c>
    </row>
    <row r="59">
      <c r="A59" s="17">
        <f>'02_Base'!A59</f>
        <v/>
      </c>
      <c r="B59" s="18">
        <f>'02_Base'!B59</f>
        <v/>
      </c>
      <c r="C59" s="17">
        <f>'02_Base'!C59</f>
        <v/>
      </c>
      <c r="D59" s="18">
        <f>'02_Base'!E59</f>
        <v/>
      </c>
      <c r="E59" s="18">
        <f>'02_Base'!F59</f>
        <v/>
      </c>
      <c r="F59" s="37">
        <f>'02_Base'!G59</f>
        <v/>
      </c>
      <c r="G59" s="37">
        <f>'02_Base'!H59</f>
        <v/>
      </c>
      <c r="H59" s="37">
        <f>'02_Base'!I59</f>
        <v/>
      </c>
      <c r="I59" s="37">
        <f>'02_Base'!J59</f>
        <v/>
      </c>
      <c r="J59" s="37">
        <f>'02_Base'!K59</f>
        <v/>
      </c>
      <c r="K59" s="37">
        <f>'02_Base'!L59</f>
        <v/>
      </c>
      <c r="L59" s="38">
        <f>'02_Base'!N59</f>
        <v/>
      </c>
      <c r="M59" s="39">
        <f>'02_Base'!O59</f>
        <v/>
      </c>
      <c r="N59" s="39">
        <f>'02_Base'!P59</f>
        <v/>
      </c>
      <c r="O59" s="41">
        <f>IF(F59=1,IFERROR(G59/INDEX('03_Campagnes'!$D$5:$D$18,MATCH(A59&amp;"|"&amp;B59,'03_Campagnes'!$C$5:$C$18,0)),0),0)</f>
        <v/>
      </c>
      <c r="P59" s="24">
        <f>INDEX('03_Campagnes'!$I$5:$I$18,MATCH(A59&amp;"|"&amp;B59,'03_Campagnes'!$C$5:$C$18,0))</f>
        <v/>
      </c>
      <c r="Q59" s="24">
        <f>P59*O59</f>
        <v/>
      </c>
      <c r="R59" s="24">
        <f>IF(F59=1,Q59*('01_Cadrage'!$H$23+'01_Cadrage'!$H$16),0)</f>
        <v/>
      </c>
      <c r="S59" s="24">
        <f>R59*'01_Cadrage'!$H$24</f>
        <v/>
      </c>
      <c r="T59" s="22">
        <f>IF(F59=1,S59*(N59+'01_Cadrage'!$H$17),0)</f>
        <v/>
      </c>
      <c r="U59" s="24">
        <f>IF(F59=1,0,K59*(M59+'01_Cadrage'!$H$18))</f>
        <v/>
      </c>
      <c r="V59" s="22">
        <f>T59+U59</f>
        <v/>
      </c>
      <c r="W59" s="15">
        <f>L59*(1+'01_Cadrage'!$H$15*INDEX('01_Cadrage'!$L$7:$L$20,MATCH(A59&amp;"|"&amp;B59,'01_Cadrage'!$M$7:$M$20,0)))</f>
        <v/>
      </c>
      <c r="X59" s="13">
        <f>V59*W59+T59*'01_Cadrage'!$H$25</f>
        <v/>
      </c>
    </row>
    <row r="60">
      <c r="A60" s="17">
        <f>'02_Base'!A60</f>
        <v/>
      </c>
      <c r="B60" s="18">
        <f>'02_Base'!B60</f>
        <v/>
      </c>
      <c r="C60" s="17">
        <f>'02_Base'!C60</f>
        <v/>
      </c>
      <c r="D60" s="18">
        <f>'02_Base'!E60</f>
        <v/>
      </c>
      <c r="E60" s="18">
        <f>'02_Base'!F60</f>
        <v/>
      </c>
      <c r="F60" s="37">
        <f>'02_Base'!G60</f>
        <v/>
      </c>
      <c r="G60" s="37">
        <f>'02_Base'!H60</f>
        <v/>
      </c>
      <c r="H60" s="37">
        <f>'02_Base'!I60</f>
        <v/>
      </c>
      <c r="I60" s="37">
        <f>'02_Base'!J60</f>
        <v/>
      </c>
      <c r="J60" s="37">
        <f>'02_Base'!K60</f>
        <v/>
      </c>
      <c r="K60" s="37">
        <f>'02_Base'!L60</f>
        <v/>
      </c>
      <c r="L60" s="38">
        <f>'02_Base'!N60</f>
        <v/>
      </c>
      <c r="M60" s="39">
        <f>'02_Base'!O60</f>
        <v/>
      </c>
      <c r="N60" s="39">
        <f>'02_Base'!P60</f>
        <v/>
      </c>
      <c r="O60" s="41">
        <f>IF(F60=1,IFERROR(G60/INDEX('03_Campagnes'!$D$5:$D$18,MATCH(A60&amp;"|"&amp;B60,'03_Campagnes'!$C$5:$C$18,0)),0),0)</f>
        <v/>
      </c>
      <c r="P60" s="24">
        <f>INDEX('03_Campagnes'!$I$5:$I$18,MATCH(A60&amp;"|"&amp;B60,'03_Campagnes'!$C$5:$C$18,0))</f>
        <v/>
      </c>
      <c r="Q60" s="24">
        <f>P60*O60</f>
        <v/>
      </c>
      <c r="R60" s="24">
        <f>IF(F60=1,Q60*('01_Cadrage'!$H$23+'01_Cadrage'!$H$16),0)</f>
        <v/>
      </c>
      <c r="S60" s="24">
        <f>R60*'01_Cadrage'!$H$24</f>
        <v/>
      </c>
      <c r="T60" s="22">
        <f>IF(F60=1,S60*(N60+'01_Cadrage'!$H$17),0)</f>
        <v/>
      </c>
      <c r="U60" s="24">
        <f>IF(F60=1,0,K60*(M60+'01_Cadrage'!$H$18))</f>
        <v/>
      </c>
      <c r="V60" s="22">
        <f>T60+U60</f>
        <v/>
      </c>
      <c r="W60" s="15">
        <f>L60*(1+'01_Cadrage'!$H$15*INDEX('01_Cadrage'!$L$7:$L$20,MATCH(A60&amp;"|"&amp;B60,'01_Cadrage'!$M$7:$M$20,0)))</f>
        <v/>
      </c>
      <c r="X60" s="13">
        <f>V60*W60+T60*'01_Cadrage'!$H$25</f>
        <v/>
      </c>
    </row>
    <row r="61">
      <c r="A61" s="17">
        <f>'02_Base'!A61</f>
        <v/>
      </c>
      <c r="B61" s="18">
        <f>'02_Base'!B61</f>
        <v/>
      </c>
      <c r="C61" s="17">
        <f>'02_Base'!C61</f>
        <v/>
      </c>
      <c r="D61" s="18">
        <f>'02_Base'!E61</f>
        <v/>
      </c>
      <c r="E61" s="18">
        <f>'02_Base'!F61</f>
        <v/>
      </c>
      <c r="F61" s="37">
        <f>'02_Base'!G61</f>
        <v/>
      </c>
      <c r="G61" s="37">
        <f>'02_Base'!H61</f>
        <v/>
      </c>
      <c r="H61" s="37">
        <f>'02_Base'!I61</f>
        <v/>
      </c>
      <c r="I61" s="37">
        <f>'02_Base'!J61</f>
        <v/>
      </c>
      <c r="J61" s="37">
        <f>'02_Base'!K61</f>
        <v/>
      </c>
      <c r="K61" s="37">
        <f>'02_Base'!L61</f>
        <v/>
      </c>
      <c r="L61" s="38">
        <f>'02_Base'!N61</f>
        <v/>
      </c>
      <c r="M61" s="39">
        <f>'02_Base'!O61</f>
        <v/>
      </c>
      <c r="N61" s="39">
        <f>'02_Base'!P61</f>
        <v/>
      </c>
      <c r="O61" s="41">
        <f>IF(F61=1,IFERROR(G61/INDEX('03_Campagnes'!$D$5:$D$18,MATCH(A61&amp;"|"&amp;B61,'03_Campagnes'!$C$5:$C$18,0)),0),0)</f>
        <v/>
      </c>
      <c r="P61" s="24">
        <f>INDEX('03_Campagnes'!$I$5:$I$18,MATCH(A61&amp;"|"&amp;B61,'03_Campagnes'!$C$5:$C$18,0))</f>
        <v/>
      </c>
      <c r="Q61" s="24">
        <f>P61*O61</f>
        <v/>
      </c>
      <c r="R61" s="24">
        <f>IF(F61=1,Q61*('01_Cadrage'!$H$23+'01_Cadrage'!$H$16),0)</f>
        <v/>
      </c>
      <c r="S61" s="24">
        <f>R61*'01_Cadrage'!$H$24</f>
        <v/>
      </c>
      <c r="T61" s="22">
        <f>IF(F61=1,S61*(N61+'01_Cadrage'!$H$17),0)</f>
        <v/>
      </c>
      <c r="U61" s="24">
        <f>IF(F61=1,0,K61*(M61+'01_Cadrage'!$H$18))</f>
        <v/>
      </c>
      <c r="V61" s="22">
        <f>T61+U61</f>
        <v/>
      </c>
      <c r="W61" s="15">
        <f>L61*(1+'01_Cadrage'!$H$15*INDEX('01_Cadrage'!$L$7:$L$20,MATCH(A61&amp;"|"&amp;B61,'01_Cadrage'!$M$7:$M$20,0)))</f>
        <v/>
      </c>
      <c r="X61" s="13">
        <f>V61*W61+T61*'01_Cadrage'!$H$25</f>
        <v/>
      </c>
    </row>
    <row r="62">
      <c r="A62" s="42" t="inlineStr">
        <is>
          <t>TOTAL</t>
        </is>
      </c>
      <c r="B62" s="43" t="inlineStr">
        <is>
          <t> </t>
        </is>
      </c>
      <c r="C62" s="43" t="inlineStr">
        <is>
          <t> </t>
        </is>
      </c>
      <c r="D62" s="43" t="inlineStr">
        <is>
          <t> </t>
        </is>
      </c>
      <c r="E62" s="43" t="inlineStr">
        <is>
          <t> </t>
        </is>
      </c>
      <c r="F62" s="44">
        <f>SUM(F4:F61)</f>
        <v/>
      </c>
      <c r="G62" s="44">
        <f>SUM(G4:G61)</f>
        <v/>
      </c>
      <c r="H62" s="44">
        <f>SUM(H4:H61)</f>
        <v/>
      </c>
      <c r="I62" s="44">
        <f>SUM(I4:I61)</f>
        <v/>
      </c>
      <c r="R62" s="44">
        <f>SUM(R4:R61)</f>
        <v/>
      </c>
      <c r="S62" s="44">
        <f>SUM(S4:S61)</f>
        <v/>
      </c>
      <c r="T62" s="44">
        <f>SUM(T4:T61)</f>
        <v/>
      </c>
      <c r="U62" s="44">
        <f>SUM(U4:U61)</f>
        <v/>
      </c>
      <c r="V62" s="44">
        <f>SUM(V4:V61)</f>
        <v/>
      </c>
      <c r="X62" s="45">
        <f>SUM(X4:X61)</f>
        <v/>
      </c>
    </row>
    <row r="64" ht="20" customHeight="1">
      <c r="A64" s="3" t="inlineStr">
        <is>
          <t>Guide de lecture — de gauche à droite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46" t="inlineStr">
        <is>
          <t>A–F</t>
        </is>
      </c>
      <c r="B65" s="6" t="inlineStr">
        <is>
          <t>Identité : marque, ville, programme, année, modalité, entrée (1=on recrute)</t>
        </is>
      </c>
    </row>
    <row r="66">
      <c r="A66" s="46" t="inlineStr">
        <is>
          <t>G–N</t>
        </is>
      </c>
      <c r="B66" s="6" t="inlineStr">
        <is>
          <t>Reprise base + paramètres : historique, revenu/étudiant, passage, yield calibré</t>
        </is>
      </c>
    </row>
    <row r="67">
      <c r="A67" s="46" t="inlineStr">
        <is>
          <t>O–Q</t>
        </is>
      </c>
      <c r="B67" s="6" t="inlineStr">
        <is>
          <t>Acquisition : part de leads (mix) × leads campus = leads de la cellule</t>
        </is>
      </c>
    </row>
    <row r="68">
      <c r="A68" s="46" t="inlineStr">
        <is>
          <t>R–T</t>
        </is>
      </c>
      <c r="B68" s="6" t="inlineStr">
        <is>
          <t>Funnel : candidatures → admis → NOUVEAUX inscrits</t>
        </is>
      </c>
    </row>
    <row r="69">
      <c r="A69" s="46" t="inlineStr">
        <is>
          <t>U–V</t>
        </is>
      </c>
      <c r="B69" s="6" t="inlineStr">
        <is>
          <t>Cohorte : réinscrits (eff. inférieur × passage) → EFFECTIF</t>
        </is>
      </c>
    </row>
    <row r="70">
      <c r="A70" s="46" t="inlineStr">
        <is>
          <t>W–X</t>
        </is>
      </c>
      <c r="B70" s="6" t="inlineStr">
        <is>
          <t>Prix &amp; CA : revenu actif (hausse×coeff) → CHIFFRE D'AFFAIRES</t>
        </is>
      </c>
    </row>
  </sheetData>
  <mergeCells count="8">
    <mergeCell ref="B66:H66"/>
    <mergeCell ref="B65:H65"/>
    <mergeCell ref="B68:H68"/>
    <mergeCell ref="A64:H64"/>
    <mergeCell ref="B69:H69"/>
    <mergeCell ref="B70:H70"/>
    <mergeCell ref="A1:X1"/>
    <mergeCell ref="B67:H6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2026-08-18T00:15:04Z</dcterms:created>
  <dcterms:modified xsi:type="dcterms:W3CDTF">2026-08-18T00:15:04Z</dcterms:modified>
</cp:coreProperties>
</file>