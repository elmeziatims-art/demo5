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  <sheet name="12_Simulateur" sheetId="14" state="visible" r:id="rId14"/>
    <sheet name="13_Objectifs" sheetId="15" state="visible" r:id="rId15"/>
    <sheet name="14_Sensibilit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Pont EBITDA (€)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'13_Objectifs'!C13</f>
            </strRef>
          </tx>
          <spPr>
            <a:noFill/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'13_Objectifs'!$C$14:$C$21</f>
            </numRef>
          </val>
        </ser>
        <ser>
          <idx val="1"/>
          <order val="1"/>
          <tx>
            <strRef>
              <f>'13_Objectifs'!D13</f>
            </strRef>
          </tx>
          <spPr>
            <a:solidFill>
              <a:srgbClr val="1F9E8F"/>
            </a:solidFill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'13_Objectifs'!$D$14:$D$21</f>
            </numRef>
          </val>
        </ser>
        <ser>
          <idx val="2"/>
          <order val="2"/>
          <tx>
            <strRef>
              <f>'13_Objectifs'!E13</f>
            </strRef>
          </tx>
          <spPr>
            <a:solidFill>
              <a:srgbClr val="C64B6E"/>
            </a:solidFill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'13_Objectifs'!$E$14:$E$21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Chiffre d'affaires (€)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'13_Objectifs'!C25</f>
            </strRef>
          </tx>
          <spPr>
            <a:solidFill>
              <a:srgbClr val="2D6CDF"/>
            </a:solidFill>
            <a:ln>
              <a:prstDash val="solid"/>
            </a:ln>
          </spPr>
          <cat>
            <numRef>
              <f>'13_Objectifs'!$B$26:$B$29</f>
            </numRef>
          </cat>
          <val>
            <numRef>
              <f>'13_Objectifs'!$C$26:$C$29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 EBITDA (%)</a:t>
            </a:r>
          </a:p>
        </rich>
      </tx>
    </title>
    <plotArea>
      <lineChart>
        <grouping val="standard"/>
        <ser>
          <idx val="0"/>
          <order val="0"/>
          <tx>
            <strRef>
              <f>'13_Objectifs'!D25</f>
            </strRef>
          </tx>
          <spPr>
            <a:ln w="28000">
              <a:solidFill>
                <a:srgbClr val="1F9E8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'13_Objectifs'!$B$26:$B$29</f>
            </numRef>
          </cat>
          <val>
            <numRef>
              <f>'13_Objectifs'!$D$26:$D$29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Impact EBITDA (€)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'14_Sensibilite'!C5</f>
            </strRef>
          </tx>
          <spPr>
            <a:solidFill>
              <a:srgbClr val="C64B6E"/>
            </a:solidFill>
            <a:ln>
              <a:prstDash val="solid"/>
            </a:ln>
          </spPr>
          <cat>
            <numRef>
              <f>'14_Sensibilite'!$B$6:$B$11</f>
            </numRef>
          </cat>
          <val>
            <numRef>
              <f>'14_Sensibilite'!$C$6:$C$11</f>
            </numRef>
          </val>
        </ser>
        <ser>
          <idx val="1"/>
          <order val="1"/>
          <tx>
            <strRef>
              <f>'14_Sensibilite'!D5</f>
            </strRef>
          </tx>
          <spPr>
            <a:solidFill>
              <a:srgbClr val="1F9E8F"/>
            </a:solidFill>
            <a:ln>
              <a:prstDash val="solid"/>
            </a:ln>
          </spPr>
          <cat>
            <numRef>
              <f>'14_Sensibilite'!$B$6:$B$11</f>
            </numRef>
          </cat>
          <val>
            <numRef>
              <f>'14_Sensibilite'!$D$6:$D$11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Croissance CA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'14_Sensibilite'!C22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'14_Sensibilite'!$B$23:$B$25</f>
            </numRef>
          </cat>
          <val>
            <numRef>
              <f>'14_Sensibilite'!$C$23:$C$25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  <col width="13" customWidth="1" min="11" max="11"/>
    <col width="14" customWidth="1" min="12" max="12"/>
    <col width="11" customWidth="1" min="13" max="13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 · rejeu du budget d'acquisition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  <c r="K14" s="11" t="inlineStr">
        <is>
          <t>Budget acq. réf</t>
        </is>
      </c>
      <c r="L14" s="11" t="inlineStr">
        <is>
          <t>Budget acq. rejoué</t>
        </is>
      </c>
      <c r="M14" s="11" t="inlineStr">
        <is>
          <t>Δ budget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  <c r="K15" s="15">
        <f>IFERROR(INDEX('03_Campagnes'!$G$4:$G$17,MATCH(C15,'03_Campagnes'!$C$4:$C$17,0)),0)</f>
        <v/>
      </c>
      <c r="L15" s="14">
        <f>IFERROR(K15*J15*SUM($K$15:$K$28)/SUMPRODUCT($K$15:$K$28,$J$15:$J$28),0)</f>
        <v/>
      </c>
      <c r="M15" s="15">
        <f>L15-K15</f>
        <v/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  <c r="K16" s="15">
        <f>IFERROR(INDEX('03_Campagnes'!$G$4:$G$17,MATCH(C16,'03_Campagnes'!$C$4:$C$17,0)),0)</f>
        <v/>
      </c>
      <c r="L16" s="14">
        <f>IFERROR(K16*J16*SUM($K$15:$K$28)/SUMPRODUCT($K$15:$K$28,$J$15:$J$28),0)</f>
        <v/>
      </c>
      <c r="M16" s="15">
        <f>L16-K16</f>
        <v/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  <c r="K17" s="15">
        <f>IFERROR(INDEX('03_Campagnes'!$G$4:$G$17,MATCH(C17,'03_Campagnes'!$C$4:$C$17,0)),0)</f>
        <v/>
      </c>
      <c r="L17" s="14">
        <f>IFERROR(K17*J17*SUM($K$15:$K$28)/SUMPRODUCT($K$15:$K$28,$J$15:$J$28),0)</f>
        <v/>
      </c>
      <c r="M17" s="15">
        <f>L17-K17</f>
        <v/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  <c r="K18" s="15">
        <f>IFERROR(INDEX('03_Campagnes'!$G$4:$G$17,MATCH(C18,'03_Campagnes'!$C$4:$C$17,0)),0)</f>
        <v/>
      </c>
      <c r="L18" s="14">
        <f>IFERROR(K18*J18*SUM($K$15:$K$28)/SUMPRODUCT($K$15:$K$28,$J$15:$J$28),0)</f>
        <v/>
      </c>
      <c r="M18" s="15">
        <f>L18-K18</f>
        <v/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  <c r="K19" s="15">
        <f>IFERROR(INDEX('03_Campagnes'!$G$4:$G$17,MATCH(C19,'03_Campagnes'!$C$4:$C$17,0)),0)</f>
        <v/>
      </c>
      <c r="L19" s="14">
        <f>IFERROR(K19*J19*SUM($K$15:$K$28)/SUMPRODUCT($K$15:$K$28,$J$15:$J$28),0)</f>
        <v/>
      </c>
      <c r="M19" s="15">
        <f>L19-K19</f>
        <v/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  <c r="K20" s="15">
        <f>IFERROR(INDEX('03_Campagnes'!$G$4:$G$17,MATCH(C20,'03_Campagnes'!$C$4:$C$17,0)),0)</f>
        <v/>
      </c>
      <c r="L20" s="14">
        <f>IFERROR(K20*J20*SUM($K$15:$K$28)/SUMPRODUCT($K$15:$K$28,$J$15:$J$28),0)</f>
        <v/>
      </c>
      <c r="M20" s="15">
        <f>L20-K20</f>
        <v/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  <c r="K21" s="15">
        <f>IFERROR(INDEX('03_Campagnes'!$G$4:$G$17,MATCH(C21,'03_Campagnes'!$C$4:$C$17,0)),0)</f>
        <v/>
      </c>
      <c r="L21" s="14">
        <f>IFERROR(K21*J21*SUM($K$15:$K$28)/SUMPRODUCT($K$15:$K$28,$J$15:$J$28),0)</f>
        <v/>
      </c>
      <c r="M21" s="15">
        <f>L21-K21</f>
        <v/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  <c r="K22" s="15">
        <f>IFERROR(INDEX('03_Campagnes'!$G$4:$G$17,MATCH(C22,'03_Campagnes'!$C$4:$C$17,0)),0)</f>
        <v/>
      </c>
      <c r="L22" s="14">
        <f>IFERROR(K22*J22*SUM($K$15:$K$28)/SUMPRODUCT($K$15:$K$28,$J$15:$J$28),0)</f>
        <v/>
      </c>
      <c r="M22" s="15">
        <f>L22-K22</f>
        <v/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  <c r="K23" s="15">
        <f>IFERROR(INDEX('03_Campagnes'!$G$4:$G$17,MATCH(C23,'03_Campagnes'!$C$4:$C$17,0)),0)</f>
        <v/>
      </c>
      <c r="L23" s="14">
        <f>IFERROR(K23*J23*SUM($K$15:$K$28)/SUMPRODUCT($K$15:$K$28,$J$15:$J$28),0)</f>
        <v/>
      </c>
      <c r="M23" s="15">
        <f>L23-K23</f>
        <v/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  <c r="K24" s="15">
        <f>IFERROR(INDEX('03_Campagnes'!$G$4:$G$17,MATCH(C24,'03_Campagnes'!$C$4:$C$17,0)),0)</f>
        <v/>
      </c>
      <c r="L24" s="14">
        <f>IFERROR(K24*J24*SUM($K$15:$K$28)/SUMPRODUCT($K$15:$K$28,$J$15:$J$28),0)</f>
        <v/>
      </c>
      <c r="M24" s="15">
        <f>L24-K24</f>
        <v/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  <c r="K25" s="15">
        <f>IFERROR(INDEX('03_Campagnes'!$G$4:$G$17,MATCH(C25,'03_Campagnes'!$C$4:$C$17,0)),0)</f>
        <v/>
      </c>
      <c r="L25" s="14">
        <f>IFERROR(K25*J25*SUM($K$15:$K$28)/SUMPRODUCT($K$15:$K$28,$J$15:$J$28),0)</f>
        <v/>
      </c>
      <c r="M25" s="15">
        <f>L25-K25</f>
        <v/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  <c r="K26" s="15">
        <f>IFERROR(INDEX('03_Campagnes'!$G$4:$G$17,MATCH(C26,'03_Campagnes'!$C$4:$C$17,0)),0)</f>
        <v/>
      </c>
      <c r="L26" s="14">
        <f>IFERROR(K26*J26*SUM($K$15:$K$28)/SUMPRODUCT($K$15:$K$28,$J$15:$J$28),0)</f>
        <v/>
      </c>
      <c r="M26" s="15">
        <f>L26-K26</f>
        <v/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  <c r="K27" s="15">
        <f>IFERROR(INDEX('03_Campagnes'!$G$4:$G$17,MATCH(C27,'03_Campagnes'!$C$4:$C$17,0)),0)</f>
        <v/>
      </c>
      <c r="L27" s="14">
        <f>IFERROR(K27*J27*SUM($K$15:$K$28)/SUMPRODUCT($K$15:$K$28,$J$15:$J$28),0)</f>
        <v/>
      </c>
      <c r="M27" s="15">
        <f>L27-K27</f>
        <v/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  <c r="K28" s="15">
        <f>IFERROR(INDEX('03_Campagnes'!$G$4:$G$17,MATCH(C28,'03_Campagnes'!$C$4:$C$17,0)),0)</f>
        <v/>
      </c>
      <c r="L28" s="14">
        <f>IFERROR(K28*J28*SUM($K$15:$K$28)/SUMPRODUCT($K$15:$K$28,$J$15:$J$28),0)</f>
        <v/>
      </c>
      <c r="M28" s="15">
        <f>L28-K28</f>
        <v/>
      </c>
    </row>
    <row r="29">
      <c r="J29" s="49" t="inlineStr">
        <is>
          <t>Total →</t>
        </is>
      </c>
      <c r="K29" s="50">
        <f>SUM($K$15:$K$28)</f>
        <v/>
      </c>
      <c r="L29" s="50">
        <f>SUM(L15:L28)</f>
        <v/>
      </c>
      <c r="M29" s="50">
        <f>SUM(M15:M28)</f>
        <v/>
      </c>
    </row>
    <row r="30" ht="44" customHeight="1">
      <c r="A30" s="7" t="inlineStr">
        <is>
          <t>🟢 Caps proposés = mesurés : Cap éff. ∝ 1/CAC · Cap mom. ∝ croissance leads · Cap pot. ∝ 1/intensité, normalisés à moyenne 1. 🔵 Cap retenu = choix CFO. Budget acq. REJOUÉ = budget réf × cap × [Σréf ÷ Σ(réf×cap)] : monter un cap concentre le budget d'acquisition sur ce campus en le retirant aux autres — enveloppe groupe CONSTANTE (Σ rejoué = Σ réf, Δ total = 0). Cap = 1 partout → aucune redistribution.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51" t="inlineStr">
        <is>
          <t>TOTAL GROUPE</t>
        </is>
      </c>
      <c r="B49" s="52" t="inlineStr">
        <is>
          <t> </t>
        </is>
      </c>
      <c r="C49" s="50">
        <f>SUM(C35:C48)</f>
        <v/>
      </c>
      <c r="D49" s="50">
        <f>SUM(D35:D48)</f>
        <v/>
      </c>
      <c r="E49" s="50">
        <f>SUM(E35:E48)</f>
        <v/>
      </c>
      <c r="F49" s="50">
        <f>SUM(F35:F48)</f>
        <v/>
      </c>
      <c r="G49" s="53">
        <f>SUM(G35:G48)</f>
        <v/>
      </c>
      <c r="H49" s="50">
        <f>SUM(H35:H48)</f>
        <v/>
      </c>
      <c r="I49" s="54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M31"/>
    <mergeCell ref="B59:I59"/>
    <mergeCell ref="A3:C3"/>
    <mergeCell ref="B56:I56"/>
    <mergeCell ref="B58:I58"/>
    <mergeCell ref="A13:M13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M15:M28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E35:E48">
    <cfRule type="dataBar" priority="3">
      <dataBar>
        <cfvo type="min"/>
        <cfvo type="max"/>
        <color rgb="005B9BD5"/>
      </dataBar>
    </cfRule>
  </conditionalFormatting>
  <conditionalFormatting sqref="H35:H48">
    <cfRule type="dataBar" priority="4">
      <dataBar>
        <cfvo type="min"/>
        <cfvo type="max"/>
        <color rgb="0070AD47"/>
      </dataBar>
    </cfRule>
  </conditionalFormatting>
  <conditionalFormatting sqref="I35:I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5" t="n">
        <v>1</v>
      </c>
      <c r="H4" s="55" t="n">
        <v>646</v>
      </c>
      <c r="I4" s="55" t="n">
        <v>181</v>
      </c>
      <c r="J4" s="55" t="n">
        <v>130</v>
      </c>
      <c r="K4" s="55" t="n">
        <v>78</v>
      </c>
      <c r="L4" s="55" t="n">
        <v>0</v>
      </c>
      <c r="M4" s="55" t="n">
        <v>78</v>
      </c>
      <c r="N4" s="55" t="n">
        <v>0</v>
      </c>
      <c r="O4" s="55" t="n">
        <v>3</v>
      </c>
      <c r="P4" s="56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7">
        <f>M4*P4+K4*V4</f>
        <v/>
      </c>
      <c r="V4" s="56" t="n">
        <v>90</v>
      </c>
      <c r="W4" s="55" t="n">
        <v>232</v>
      </c>
      <c r="X4" s="55" t="n">
        <v>414</v>
      </c>
      <c r="Y4" s="58">
        <f>W4+X4</f>
        <v/>
      </c>
      <c r="Z4" s="56" t="n">
        <v>22326</v>
      </c>
      <c r="AA4" s="56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5" t="n">
        <v>0</v>
      </c>
      <c r="H5" s="55" t="n">
        <v>0</v>
      </c>
      <c r="I5" s="55" t="n">
        <v>0</v>
      </c>
      <c r="J5" s="55" t="n">
        <v>0</v>
      </c>
      <c r="K5" s="55" t="n">
        <v>0</v>
      </c>
      <c r="L5" s="55" t="n">
        <v>76</v>
      </c>
      <c r="M5" s="55" t="n">
        <v>76</v>
      </c>
      <c r="N5" s="55" t="n">
        <v>78</v>
      </c>
      <c r="O5" s="55" t="n">
        <v>3</v>
      </c>
      <c r="P5" s="56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7">
        <f>M5*P5+K5*V5</f>
        <v/>
      </c>
      <c r="V5" s="56" t="n">
        <v>90</v>
      </c>
      <c r="W5" s="55" t="n">
        <v>0</v>
      </c>
      <c r="X5" s="55" t="n">
        <v>0</v>
      </c>
      <c r="Y5" s="58">
        <f>W5+X5</f>
        <v/>
      </c>
      <c r="Z5" s="56" t="n">
        <v>0</v>
      </c>
      <c r="AA5" s="56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5" t="n">
        <v>0</v>
      </c>
      <c r="H6" s="55" t="n">
        <v>0</v>
      </c>
      <c r="I6" s="55" t="n">
        <v>0</v>
      </c>
      <c r="J6" s="55" t="n">
        <v>0</v>
      </c>
      <c r="K6" s="55" t="n">
        <v>0</v>
      </c>
      <c r="L6" s="55" t="n">
        <v>74</v>
      </c>
      <c r="M6" s="55" t="n">
        <v>74</v>
      </c>
      <c r="N6" s="55" t="n">
        <v>76</v>
      </c>
      <c r="O6" s="55" t="n">
        <v>3</v>
      </c>
      <c r="P6" s="56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7">
        <f>M6*P6+K6*V6</f>
        <v/>
      </c>
      <c r="V6" s="56" t="n">
        <v>90</v>
      </c>
      <c r="W6" s="55" t="n">
        <v>0</v>
      </c>
      <c r="X6" s="55" t="n">
        <v>0</v>
      </c>
      <c r="Y6" s="58">
        <f>W6+X6</f>
        <v/>
      </c>
      <c r="Z6" s="56" t="n">
        <v>0</v>
      </c>
      <c r="AA6" s="56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5" t="n">
        <v>1</v>
      </c>
      <c r="H7" s="55" t="n">
        <v>1330</v>
      </c>
      <c r="I7" s="55" t="n">
        <v>266</v>
      </c>
      <c r="J7" s="55" t="n">
        <v>186</v>
      </c>
      <c r="K7" s="55" t="n">
        <v>78</v>
      </c>
      <c r="L7" s="55" t="n">
        <v>0</v>
      </c>
      <c r="M7" s="55" t="n">
        <v>78</v>
      </c>
      <c r="N7" s="55" t="n">
        <v>0</v>
      </c>
      <c r="O7" s="55" t="n">
        <v>3</v>
      </c>
      <c r="P7" s="56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7">
        <f>M7*P7+K7*V7</f>
        <v/>
      </c>
      <c r="V7" s="56" t="n">
        <v>90</v>
      </c>
      <c r="W7" s="55" t="n">
        <v>479</v>
      </c>
      <c r="X7" s="55" t="n">
        <v>851</v>
      </c>
      <c r="Y7" s="58">
        <f>W7+X7</f>
        <v/>
      </c>
      <c r="Z7" s="56" t="n">
        <v>45965</v>
      </c>
      <c r="AA7" s="56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5" t="n">
        <v>0</v>
      </c>
      <c r="H8" s="55" t="n">
        <v>0</v>
      </c>
      <c r="I8" s="55" t="n">
        <v>0</v>
      </c>
      <c r="J8" s="55" t="n">
        <v>0</v>
      </c>
      <c r="K8" s="55" t="n">
        <v>0</v>
      </c>
      <c r="L8" s="55" t="n">
        <v>76</v>
      </c>
      <c r="M8" s="55" t="n">
        <v>76</v>
      </c>
      <c r="N8" s="55" t="n">
        <v>78</v>
      </c>
      <c r="O8" s="55" t="n">
        <v>3</v>
      </c>
      <c r="P8" s="56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7">
        <f>M8*P8+K8*V8</f>
        <v/>
      </c>
      <c r="V8" s="56" t="n">
        <v>90</v>
      </c>
      <c r="W8" s="55" t="n">
        <v>0</v>
      </c>
      <c r="X8" s="55" t="n">
        <v>0</v>
      </c>
      <c r="Y8" s="58">
        <f>W8+X8</f>
        <v/>
      </c>
      <c r="Z8" s="56" t="n">
        <v>0</v>
      </c>
      <c r="AA8" s="56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5" t="n">
        <v>1</v>
      </c>
      <c r="H9" s="55" t="n">
        <v>546</v>
      </c>
      <c r="I9" s="55" t="n">
        <v>153</v>
      </c>
      <c r="J9" s="55" t="n">
        <v>110</v>
      </c>
      <c r="K9" s="55" t="n">
        <v>66</v>
      </c>
      <c r="L9" s="55" t="n">
        <v>0</v>
      </c>
      <c r="M9" s="55" t="n">
        <v>66</v>
      </c>
      <c r="N9" s="55" t="n">
        <v>0</v>
      </c>
      <c r="O9" s="55" t="n">
        <v>3</v>
      </c>
      <c r="P9" s="56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7">
        <f>M9*P9+K9*V9</f>
        <v/>
      </c>
      <c r="V9" s="56" t="n">
        <v>90</v>
      </c>
      <c r="W9" s="55" t="n">
        <v>235</v>
      </c>
      <c r="X9" s="55" t="n">
        <v>311</v>
      </c>
      <c r="Y9" s="58">
        <f>W9+X9</f>
        <v/>
      </c>
      <c r="Z9" s="56" t="n">
        <v>13694</v>
      </c>
      <c r="AA9" s="56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 t="n">
        <v>64</v>
      </c>
      <c r="M10" s="55" t="n">
        <v>64</v>
      </c>
      <c r="N10" s="55" t="n">
        <v>66</v>
      </c>
      <c r="O10" s="55" t="n">
        <v>2</v>
      </c>
      <c r="P10" s="56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7">
        <f>M10*P10+K10*V10</f>
        <v/>
      </c>
      <c r="V10" s="56" t="n">
        <v>90</v>
      </c>
      <c r="W10" s="55" t="n">
        <v>0</v>
      </c>
      <c r="X10" s="55" t="n">
        <v>0</v>
      </c>
      <c r="Y10" s="58">
        <f>W10+X10</f>
        <v/>
      </c>
      <c r="Z10" s="56" t="n">
        <v>0</v>
      </c>
      <c r="AA10" s="56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5" t="n">
        <v>0</v>
      </c>
      <c r="H11" s="55" t="n">
        <v>0</v>
      </c>
      <c r="I11" s="55" t="n">
        <v>0</v>
      </c>
      <c r="J11" s="55" t="n">
        <v>0</v>
      </c>
      <c r="K11" s="55" t="n">
        <v>0</v>
      </c>
      <c r="L11" s="55" t="n">
        <v>63</v>
      </c>
      <c r="M11" s="55" t="n">
        <v>63</v>
      </c>
      <c r="N11" s="55" t="n">
        <v>64</v>
      </c>
      <c r="O11" s="55" t="n">
        <v>2</v>
      </c>
      <c r="P11" s="56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7">
        <f>M11*P11+K11*V11</f>
        <v/>
      </c>
      <c r="V11" s="56" t="n">
        <v>90</v>
      </c>
      <c r="W11" s="55" t="n">
        <v>0</v>
      </c>
      <c r="X11" s="55" t="n">
        <v>0</v>
      </c>
      <c r="Y11" s="58">
        <f>W11+X11</f>
        <v/>
      </c>
      <c r="Z11" s="56" t="n">
        <v>0</v>
      </c>
      <c r="AA11" s="56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5" t="n">
        <v>1</v>
      </c>
      <c r="H12" s="55" t="n">
        <v>1120</v>
      </c>
      <c r="I12" s="55" t="n">
        <v>224</v>
      </c>
      <c r="J12" s="55" t="n">
        <v>157</v>
      </c>
      <c r="K12" s="55" t="n">
        <v>66</v>
      </c>
      <c r="L12" s="55" t="n">
        <v>0</v>
      </c>
      <c r="M12" s="55" t="n">
        <v>66</v>
      </c>
      <c r="N12" s="55" t="n">
        <v>0</v>
      </c>
      <c r="O12" s="55" t="n">
        <v>3</v>
      </c>
      <c r="P12" s="56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7">
        <f>M12*P12+K12*V12</f>
        <v/>
      </c>
      <c r="V12" s="56" t="n">
        <v>90</v>
      </c>
      <c r="W12" s="55" t="n">
        <v>481</v>
      </c>
      <c r="X12" s="55" t="n">
        <v>639</v>
      </c>
      <c r="Y12" s="58">
        <f>W12+X12</f>
        <v/>
      </c>
      <c r="Z12" s="56" t="n">
        <v>28089</v>
      </c>
      <c r="AA12" s="56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5" t="n">
        <v>0</v>
      </c>
      <c r="H13" s="55" t="n">
        <v>0</v>
      </c>
      <c r="I13" s="55" t="n">
        <v>0</v>
      </c>
      <c r="J13" s="55" t="n">
        <v>0</v>
      </c>
      <c r="K13" s="55" t="n">
        <v>0</v>
      </c>
      <c r="L13" s="55" t="n">
        <v>65</v>
      </c>
      <c r="M13" s="55" t="n">
        <v>65</v>
      </c>
      <c r="N13" s="55" t="n">
        <v>66</v>
      </c>
      <c r="O13" s="55" t="n">
        <v>3</v>
      </c>
      <c r="P13" s="56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7">
        <f>M13*P13+K13*V13</f>
        <v/>
      </c>
      <c r="V13" s="56" t="n">
        <v>90</v>
      </c>
      <c r="W13" s="55" t="n">
        <v>0</v>
      </c>
      <c r="X13" s="55" t="n">
        <v>0</v>
      </c>
      <c r="Y13" s="58">
        <f>W13+X13</f>
        <v/>
      </c>
      <c r="Z13" s="56" t="n">
        <v>0</v>
      </c>
      <c r="AA13" s="56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5" t="n">
        <v>1</v>
      </c>
      <c r="H14" s="55" t="n">
        <v>496</v>
      </c>
      <c r="I14" s="55" t="n">
        <v>139</v>
      </c>
      <c r="J14" s="55" t="n">
        <v>100</v>
      </c>
      <c r="K14" s="55" t="n">
        <v>60</v>
      </c>
      <c r="L14" s="55" t="n">
        <v>0</v>
      </c>
      <c r="M14" s="55" t="n">
        <v>60</v>
      </c>
      <c r="N14" s="55" t="n">
        <v>0</v>
      </c>
      <c r="O14" s="55" t="n">
        <v>2</v>
      </c>
      <c r="P14" s="56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7">
        <f>M14*P14+K14*V14</f>
        <v/>
      </c>
      <c r="V14" s="56" t="n">
        <v>90</v>
      </c>
      <c r="W14" s="55" t="n">
        <v>238</v>
      </c>
      <c r="X14" s="55" t="n">
        <v>258</v>
      </c>
      <c r="Y14" s="58">
        <f>W14+X14</f>
        <v/>
      </c>
      <c r="Z14" s="56" t="n">
        <v>10317</v>
      </c>
      <c r="AA14" s="56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5" t="n">
        <v>0</v>
      </c>
      <c r="H15" s="55" t="n">
        <v>0</v>
      </c>
      <c r="I15" s="55" t="n">
        <v>0</v>
      </c>
      <c r="J15" s="55" t="n">
        <v>0</v>
      </c>
      <c r="K15" s="55" t="n">
        <v>0</v>
      </c>
      <c r="L15" s="55" t="n">
        <v>58</v>
      </c>
      <c r="M15" s="55" t="n">
        <v>58</v>
      </c>
      <c r="N15" s="55" t="n">
        <v>60</v>
      </c>
      <c r="O15" s="55" t="n">
        <v>2</v>
      </c>
      <c r="P15" s="56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7">
        <f>M15*P15+K15*V15</f>
        <v/>
      </c>
      <c r="V15" s="56" t="n">
        <v>90</v>
      </c>
      <c r="W15" s="55" t="n">
        <v>0</v>
      </c>
      <c r="X15" s="55" t="n">
        <v>0</v>
      </c>
      <c r="Y15" s="58">
        <f>W15+X15</f>
        <v/>
      </c>
      <c r="Z15" s="56" t="n">
        <v>0</v>
      </c>
      <c r="AA15" s="56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5" t="n">
        <v>0</v>
      </c>
      <c r="H16" s="55" t="n">
        <v>0</v>
      </c>
      <c r="I16" s="55" t="n">
        <v>0</v>
      </c>
      <c r="J16" s="55" t="n">
        <v>0</v>
      </c>
      <c r="K16" s="55" t="n">
        <v>0</v>
      </c>
      <c r="L16" s="55" t="n">
        <v>57</v>
      </c>
      <c r="M16" s="55" t="n">
        <v>57</v>
      </c>
      <c r="N16" s="55" t="n">
        <v>58</v>
      </c>
      <c r="O16" s="55" t="n">
        <v>2</v>
      </c>
      <c r="P16" s="56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7">
        <f>M16*P16+K16*V16</f>
        <v/>
      </c>
      <c r="V16" s="56" t="n">
        <v>90</v>
      </c>
      <c r="W16" s="55" t="n">
        <v>0</v>
      </c>
      <c r="X16" s="55" t="n">
        <v>0</v>
      </c>
      <c r="Y16" s="58">
        <f>W16+X16</f>
        <v/>
      </c>
      <c r="Z16" s="56" t="n">
        <v>0</v>
      </c>
      <c r="AA16" s="56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5" t="n">
        <v>1</v>
      </c>
      <c r="H17" s="55" t="n">
        <v>1020</v>
      </c>
      <c r="I17" s="55" t="n">
        <v>204</v>
      </c>
      <c r="J17" s="55" t="n">
        <v>143</v>
      </c>
      <c r="K17" s="55" t="n">
        <v>60</v>
      </c>
      <c r="L17" s="55" t="n">
        <v>0</v>
      </c>
      <c r="M17" s="55" t="n">
        <v>60</v>
      </c>
      <c r="N17" s="55" t="n">
        <v>0</v>
      </c>
      <c r="O17" s="55" t="n">
        <v>3</v>
      </c>
      <c r="P17" s="56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7">
        <f>M17*P17+K17*V17</f>
        <v/>
      </c>
      <c r="V17" s="56" t="n">
        <v>90</v>
      </c>
      <c r="W17" s="55" t="n">
        <v>490</v>
      </c>
      <c r="X17" s="55" t="n">
        <v>530</v>
      </c>
      <c r="Y17" s="58">
        <f>W17+X17</f>
        <v/>
      </c>
      <c r="Z17" s="56" t="n">
        <v>21216</v>
      </c>
      <c r="AA17" s="56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55" t="n">
        <v>59</v>
      </c>
      <c r="M18" s="55" t="n">
        <v>59</v>
      </c>
      <c r="N18" s="55" t="n">
        <v>60</v>
      </c>
      <c r="O18" s="55" t="n">
        <v>3</v>
      </c>
      <c r="P18" s="56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7">
        <f>M18*P18+K18*V18</f>
        <v/>
      </c>
      <c r="V18" s="56" t="n">
        <v>90</v>
      </c>
      <c r="W18" s="55" t="n">
        <v>0</v>
      </c>
      <c r="X18" s="55" t="n">
        <v>0</v>
      </c>
      <c r="Y18" s="58">
        <f>W18+X18</f>
        <v/>
      </c>
      <c r="Z18" s="56" t="n">
        <v>0</v>
      </c>
      <c r="AA18" s="56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5" t="n">
        <v>1</v>
      </c>
      <c r="H19" s="55" t="n">
        <v>421</v>
      </c>
      <c r="I19" s="55" t="n">
        <v>118</v>
      </c>
      <c r="J19" s="55" t="n">
        <v>85</v>
      </c>
      <c r="K19" s="55" t="n">
        <v>51</v>
      </c>
      <c r="L19" s="55" t="n">
        <v>0</v>
      </c>
      <c r="M19" s="55" t="n">
        <v>51</v>
      </c>
      <c r="N19" s="55" t="n">
        <v>0</v>
      </c>
      <c r="O19" s="55" t="n">
        <v>2</v>
      </c>
      <c r="P19" s="56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7">
        <f>M19*P19+K19*V19</f>
        <v/>
      </c>
      <c r="V19" s="56" t="n">
        <v>90</v>
      </c>
      <c r="W19" s="55" t="n">
        <v>206</v>
      </c>
      <c r="X19" s="55" t="n">
        <v>215</v>
      </c>
      <c r="Y19" s="58">
        <f>W19+X19</f>
        <v/>
      </c>
      <c r="Z19" s="56" t="n">
        <v>8159</v>
      </c>
      <c r="AA19" s="56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5" t="n">
        <v>0</v>
      </c>
      <c r="H20" s="55" t="n">
        <v>0</v>
      </c>
      <c r="I20" s="55" t="n">
        <v>0</v>
      </c>
      <c r="J20" s="55" t="n">
        <v>0</v>
      </c>
      <c r="K20" s="55" t="n">
        <v>0</v>
      </c>
      <c r="L20" s="55" t="n">
        <v>49</v>
      </c>
      <c r="M20" s="55" t="n">
        <v>49</v>
      </c>
      <c r="N20" s="55" t="n">
        <v>51</v>
      </c>
      <c r="O20" s="55" t="n">
        <v>2</v>
      </c>
      <c r="P20" s="56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7">
        <f>M20*P20+K20*V20</f>
        <v/>
      </c>
      <c r="V20" s="56" t="n">
        <v>90</v>
      </c>
      <c r="W20" s="55" t="n">
        <v>0</v>
      </c>
      <c r="X20" s="55" t="n">
        <v>0</v>
      </c>
      <c r="Y20" s="58">
        <f>W20+X20</f>
        <v/>
      </c>
      <c r="Z20" s="56" t="n">
        <v>0</v>
      </c>
      <c r="AA20" s="56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5" t="n">
        <v>0</v>
      </c>
      <c r="H21" s="55" t="n">
        <v>0</v>
      </c>
      <c r="I21" s="55" t="n">
        <v>0</v>
      </c>
      <c r="J21" s="55" t="n">
        <v>0</v>
      </c>
      <c r="K21" s="55" t="n">
        <v>0</v>
      </c>
      <c r="L21" s="55" t="n">
        <v>48</v>
      </c>
      <c r="M21" s="55" t="n">
        <v>48</v>
      </c>
      <c r="N21" s="55" t="n">
        <v>49</v>
      </c>
      <c r="O21" s="55" t="n">
        <v>2</v>
      </c>
      <c r="P21" s="56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7">
        <f>M21*P21+K21*V21</f>
        <v/>
      </c>
      <c r="V21" s="56" t="n">
        <v>90</v>
      </c>
      <c r="W21" s="55" t="n">
        <v>0</v>
      </c>
      <c r="X21" s="55" t="n">
        <v>0</v>
      </c>
      <c r="Y21" s="58">
        <f>W21+X21</f>
        <v/>
      </c>
      <c r="Z21" s="56" t="n">
        <v>0</v>
      </c>
      <c r="AA21" s="56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5" t="n">
        <v>1</v>
      </c>
      <c r="H22" s="55" t="n">
        <v>865</v>
      </c>
      <c r="I22" s="55" t="n">
        <v>173</v>
      </c>
      <c r="J22" s="55" t="n">
        <v>121</v>
      </c>
      <c r="K22" s="55" t="n">
        <v>51</v>
      </c>
      <c r="L22" s="55" t="n">
        <v>0</v>
      </c>
      <c r="M22" s="55" t="n">
        <v>51</v>
      </c>
      <c r="N22" s="55" t="n">
        <v>0</v>
      </c>
      <c r="O22" s="55" t="n">
        <v>2</v>
      </c>
      <c r="P22" s="56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7">
        <f>M22*P22+K22*V22</f>
        <v/>
      </c>
      <c r="V22" s="56" t="n">
        <v>90</v>
      </c>
      <c r="W22" s="55" t="n">
        <v>424</v>
      </c>
      <c r="X22" s="55" t="n">
        <v>441</v>
      </c>
      <c r="Y22" s="58">
        <f>W22+X22</f>
        <v/>
      </c>
      <c r="Z22" s="56" t="n">
        <v>16764</v>
      </c>
      <c r="AA22" s="56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50</v>
      </c>
      <c r="M23" s="55" t="n">
        <v>50</v>
      </c>
      <c r="N23" s="55" t="n">
        <v>51</v>
      </c>
      <c r="O23" s="55" t="n">
        <v>2</v>
      </c>
      <c r="P23" s="56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7">
        <f>M23*P23+K23*V23</f>
        <v/>
      </c>
      <c r="V23" s="56" t="n">
        <v>90</v>
      </c>
      <c r="W23" s="55" t="n">
        <v>0</v>
      </c>
      <c r="X23" s="55" t="n">
        <v>0</v>
      </c>
      <c r="Y23" s="58">
        <f>W23+X23</f>
        <v/>
      </c>
      <c r="Z23" s="56" t="n">
        <v>0</v>
      </c>
      <c r="AA23" s="56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5" t="n">
        <v>1</v>
      </c>
      <c r="H24" s="55" t="n">
        <v>596</v>
      </c>
      <c r="I24" s="55" t="n">
        <v>167</v>
      </c>
      <c r="J24" s="55" t="n">
        <v>120</v>
      </c>
      <c r="K24" s="55" t="n">
        <v>72</v>
      </c>
      <c r="L24" s="55" t="n">
        <v>0</v>
      </c>
      <c r="M24" s="55" t="n">
        <v>72</v>
      </c>
      <c r="N24" s="55" t="n">
        <v>0</v>
      </c>
      <c r="O24" s="55" t="n">
        <v>3</v>
      </c>
      <c r="P24" s="56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7">
        <f>M24*P24+K24*V24</f>
        <v/>
      </c>
      <c r="V24" s="56" t="n">
        <v>90</v>
      </c>
      <c r="W24" s="55" t="n">
        <v>226</v>
      </c>
      <c r="X24" s="55" t="n">
        <v>370</v>
      </c>
      <c r="Y24" s="58">
        <f>W24+X24</f>
        <v/>
      </c>
      <c r="Z24" s="56" t="n">
        <v>19954</v>
      </c>
      <c r="AA24" s="56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5" t="n">
        <v>0</v>
      </c>
      <c r="H25" s="55" t="n">
        <v>0</v>
      </c>
      <c r="I25" s="55" t="n">
        <v>0</v>
      </c>
      <c r="J25" s="55" t="n">
        <v>0</v>
      </c>
      <c r="K25" s="55" t="n">
        <v>0</v>
      </c>
      <c r="L25" s="55" t="n">
        <v>70</v>
      </c>
      <c r="M25" s="55" t="n">
        <v>70</v>
      </c>
      <c r="N25" s="55" t="n">
        <v>72</v>
      </c>
      <c r="O25" s="55" t="n">
        <v>3</v>
      </c>
      <c r="P25" s="56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7">
        <f>M25*P25+K25*V25</f>
        <v/>
      </c>
      <c r="V25" s="56" t="n">
        <v>90</v>
      </c>
      <c r="W25" s="55" t="n">
        <v>0</v>
      </c>
      <c r="X25" s="55" t="n">
        <v>0</v>
      </c>
      <c r="Y25" s="58">
        <f>W25+X25</f>
        <v/>
      </c>
      <c r="Z25" s="56" t="n">
        <v>0</v>
      </c>
      <c r="AA25" s="56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5" t="n">
        <v>0</v>
      </c>
      <c r="H26" s="55" t="n">
        <v>0</v>
      </c>
      <c r="I26" s="55" t="n">
        <v>0</v>
      </c>
      <c r="J26" s="55" t="n">
        <v>0</v>
      </c>
      <c r="K26" s="55" t="n">
        <v>0</v>
      </c>
      <c r="L26" s="55" t="n">
        <v>69</v>
      </c>
      <c r="M26" s="55" t="n">
        <v>69</v>
      </c>
      <c r="N26" s="55" t="n">
        <v>70</v>
      </c>
      <c r="O26" s="55" t="n">
        <v>3</v>
      </c>
      <c r="P26" s="56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7">
        <f>M26*P26+K26*V26</f>
        <v/>
      </c>
      <c r="V26" s="56" t="n">
        <v>90</v>
      </c>
      <c r="W26" s="55" t="n">
        <v>0</v>
      </c>
      <c r="X26" s="55" t="n">
        <v>0</v>
      </c>
      <c r="Y26" s="58">
        <f>W26+X26</f>
        <v/>
      </c>
      <c r="Z26" s="56" t="n">
        <v>0</v>
      </c>
      <c r="AA26" s="56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5" t="n">
        <v>1</v>
      </c>
      <c r="H27" s="55" t="n">
        <v>1220</v>
      </c>
      <c r="I27" s="55" t="n">
        <v>244</v>
      </c>
      <c r="J27" s="55" t="n">
        <v>171</v>
      </c>
      <c r="K27" s="55" t="n">
        <v>72</v>
      </c>
      <c r="L27" s="55" t="n">
        <v>0</v>
      </c>
      <c r="M27" s="55" t="n">
        <v>72</v>
      </c>
      <c r="N27" s="55" t="n">
        <v>0</v>
      </c>
      <c r="O27" s="55" t="n">
        <v>3</v>
      </c>
      <c r="P27" s="56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7">
        <f>M27*P27+K27*V27</f>
        <v/>
      </c>
      <c r="V27" s="56" t="n">
        <v>90</v>
      </c>
      <c r="W27" s="55" t="n">
        <v>464</v>
      </c>
      <c r="X27" s="55" t="n">
        <v>756</v>
      </c>
      <c r="Y27" s="58">
        <f>W27+X27</f>
        <v/>
      </c>
      <c r="Z27" s="56" t="n">
        <v>40846</v>
      </c>
      <c r="AA27" s="56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5" t="n">
        <v>0</v>
      </c>
      <c r="H28" s="55" t="n">
        <v>0</v>
      </c>
      <c r="I28" s="55" t="n">
        <v>0</v>
      </c>
      <c r="J28" s="55" t="n">
        <v>0</v>
      </c>
      <c r="K28" s="55" t="n">
        <v>0</v>
      </c>
      <c r="L28" s="55" t="n">
        <v>71</v>
      </c>
      <c r="M28" s="55" t="n">
        <v>71</v>
      </c>
      <c r="N28" s="55" t="n">
        <v>72</v>
      </c>
      <c r="O28" s="55" t="n">
        <v>3</v>
      </c>
      <c r="P28" s="56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7">
        <f>M28*P28+K28*V28</f>
        <v/>
      </c>
      <c r="V28" s="56" t="n">
        <v>90</v>
      </c>
      <c r="W28" s="55" t="n">
        <v>0</v>
      </c>
      <c r="X28" s="55" t="n">
        <v>0</v>
      </c>
      <c r="Y28" s="58">
        <f>W28+X28</f>
        <v/>
      </c>
      <c r="Z28" s="56" t="n">
        <v>0</v>
      </c>
      <c r="AA28" s="56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5" t="n">
        <v>1</v>
      </c>
      <c r="H29" s="55" t="n">
        <v>411</v>
      </c>
      <c r="I29" s="55" t="n">
        <v>115</v>
      </c>
      <c r="J29" s="55" t="n">
        <v>83</v>
      </c>
      <c r="K29" s="55" t="n">
        <v>50</v>
      </c>
      <c r="L29" s="55" t="n">
        <v>0</v>
      </c>
      <c r="M29" s="55" t="n">
        <v>50</v>
      </c>
      <c r="N29" s="55" t="n">
        <v>0</v>
      </c>
      <c r="O29" s="55" t="n">
        <v>2</v>
      </c>
      <c r="P29" s="56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7">
        <f>M29*P29+K29*V29</f>
        <v/>
      </c>
      <c r="V29" s="56" t="n">
        <v>90</v>
      </c>
      <c r="W29" s="55" t="n">
        <v>205</v>
      </c>
      <c r="X29" s="55" t="n">
        <v>205</v>
      </c>
      <c r="Y29" s="58">
        <f>W29+X29</f>
        <v/>
      </c>
      <c r="Z29" s="56" t="n">
        <v>8220</v>
      </c>
      <c r="AA29" s="56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5" t="n">
        <v>0</v>
      </c>
      <c r="H30" s="55" t="n">
        <v>0</v>
      </c>
      <c r="I30" s="55" t="n">
        <v>0</v>
      </c>
      <c r="J30" s="55" t="n">
        <v>0</v>
      </c>
      <c r="K30" s="55" t="n">
        <v>0</v>
      </c>
      <c r="L30" s="55" t="n">
        <v>48</v>
      </c>
      <c r="M30" s="55" t="n">
        <v>48</v>
      </c>
      <c r="N30" s="55" t="n">
        <v>50</v>
      </c>
      <c r="O30" s="55" t="n">
        <v>2</v>
      </c>
      <c r="P30" s="56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7">
        <f>M30*P30+K30*V30</f>
        <v/>
      </c>
      <c r="V30" s="56" t="n">
        <v>90</v>
      </c>
      <c r="W30" s="55" t="n">
        <v>0</v>
      </c>
      <c r="X30" s="55" t="n">
        <v>0</v>
      </c>
      <c r="Y30" s="58">
        <f>W30+X30</f>
        <v/>
      </c>
      <c r="Z30" s="56" t="n">
        <v>0</v>
      </c>
      <c r="AA30" s="56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5" t="n">
        <v>0</v>
      </c>
      <c r="H31" s="55" t="n">
        <v>0</v>
      </c>
      <c r="I31" s="55" t="n">
        <v>0</v>
      </c>
      <c r="J31" s="55" t="n">
        <v>0</v>
      </c>
      <c r="K31" s="55" t="n">
        <v>0</v>
      </c>
      <c r="L31" s="55" t="n">
        <v>47</v>
      </c>
      <c r="M31" s="55" t="n">
        <v>47</v>
      </c>
      <c r="N31" s="55" t="n">
        <v>48</v>
      </c>
      <c r="O31" s="55" t="n">
        <v>2</v>
      </c>
      <c r="P31" s="56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7">
        <f>M31*P31+K31*V31</f>
        <v/>
      </c>
      <c r="V31" s="56" t="n">
        <v>90</v>
      </c>
      <c r="W31" s="55" t="n">
        <v>0</v>
      </c>
      <c r="X31" s="55" t="n">
        <v>0</v>
      </c>
      <c r="Y31" s="58">
        <f>W31+X31</f>
        <v/>
      </c>
      <c r="Z31" s="56" t="n">
        <v>0</v>
      </c>
      <c r="AA31" s="56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5" t="n">
        <v>1</v>
      </c>
      <c r="H32" s="55" t="n">
        <v>850</v>
      </c>
      <c r="I32" s="55" t="n">
        <v>170</v>
      </c>
      <c r="J32" s="55" t="n">
        <v>119</v>
      </c>
      <c r="K32" s="55" t="n">
        <v>50</v>
      </c>
      <c r="L32" s="55" t="n">
        <v>0</v>
      </c>
      <c r="M32" s="55" t="n">
        <v>50</v>
      </c>
      <c r="N32" s="55" t="n">
        <v>0</v>
      </c>
      <c r="O32" s="55" t="n">
        <v>2</v>
      </c>
      <c r="P32" s="56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7">
        <f>M32*P32+K32*V32</f>
        <v/>
      </c>
      <c r="V32" s="56" t="n">
        <v>90</v>
      </c>
      <c r="W32" s="55" t="n">
        <v>425</v>
      </c>
      <c r="X32" s="55" t="n">
        <v>425</v>
      </c>
      <c r="Y32" s="58">
        <f>W32+X32</f>
        <v/>
      </c>
      <c r="Z32" s="56" t="n">
        <v>17000</v>
      </c>
      <c r="AA32" s="56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5" t="n">
        <v>0</v>
      </c>
      <c r="H33" s="55" t="n">
        <v>0</v>
      </c>
      <c r="I33" s="55" t="n">
        <v>0</v>
      </c>
      <c r="J33" s="55" t="n">
        <v>0</v>
      </c>
      <c r="K33" s="55" t="n">
        <v>0</v>
      </c>
      <c r="L33" s="55" t="n">
        <v>49</v>
      </c>
      <c r="M33" s="55" t="n">
        <v>49</v>
      </c>
      <c r="N33" s="55" t="n">
        <v>50</v>
      </c>
      <c r="O33" s="55" t="n">
        <v>2</v>
      </c>
      <c r="P33" s="56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7">
        <f>M33*P33+K33*V33</f>
        <v/>
      </c>
      <c r="V33" s="56" t="n">
        <v>90</v>
      </c>
      <c r="W33" s="55" t="n">
        <v>0</v>
      </c>
      <c r="X33" s="55" t="n">
        <v>0</v>
      </c>
      <c r="Y33" s="58">
        <f>W33+X33</f>
        <v/>
      </c>
      <c r="Z33" s="56" t="n">
        <v>0</v>
      </c>
      <c r="AA33" s="56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5" t="n">
        <v>1</v>
      </c>
      <c r="H34" s="55" t="n">
        <v>386</v>
      </c>
      <c r="I34" s="55" t="n">
        <v>108</v>
      </c>
      <c r="J34" s="55" t="n">
        <v>78</v>
      </c>
      <c r="K34" s="55" t="n">
        <v>47</v>
      </c>
      <c r="L34" s="55" t="n">
        <v>0</v>
      </c>
      <c r="M34" s="55" t="n">
        <v>47</v>
      </c>
      <c r="N34" s="55" t="n">
        <v>0</v>
      </c>
      <c r="O34" s="55" t="n">
        <v>2</v>
      </c>
      <c r="P34" s="56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7">
        <f>M34*P34+K34*V34</f>
        <v/>
      </c>
      <c r="V34" s="56" t="n">
        <v>90</v>
      </c>
      <c r="W34" s="55" t="n">
        <v>197</v>
      </c>
      <c r="X34" s="55" t="n">
        <v>189</v>
      </c>
      <c r="Y34" s="58">
        <f>W34+X34</f>
        <v/>
      </c>
      <c r="Z34" s="56" t="n">
        <v>7187</v>
      </c>
      <c r="AA34" s="56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5" t="n">
        <v>0</v>
      </c>
      <c r="H35" s="55" t="n">
        <v>0</v>
      </c>
      <c r="I35" s="55" t="n">
        <v>0</v>
      </c>
      <c r="J35" s="55" t="n">
        <v>0</v>
      </c>
      <c r="K35" s="55" t="n">
        <v>0</v>
      </c>
      <c r="L35" s="55" t="n">
        <v>46</v>
      </c>
      <c r="M35" s="55" t="n">
        <v>46</v>
      </c>
      <c r="N35" s="55" t="n">
        <v>47</v>
      </c>
      <c r="O35" s="55" t="n">
        <v>2</v>
      </c>
      <c r="P35" s="56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7">
        <f>M35*P35+K35*V35</f>
        <v/>
      </c>
      <c r="V35" s="56" t="n">
        <v>90</v>
      </c>
      <c r="W35" s="55" t="n">
        <v>0</v>
      </c>
      <c r="X35" s="55" t="n">
        <v>0</v>
      </c>
      <c r="Y35" s="58">
        <f>W35+X35</f>
        <v/>
      </c>
      <c r="Z35" s="56" t="n">
        <v>0</v>
      </c>
      <c r="AA35" s="56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5" t="n">
        <v>0</v>
      </c>
      <c r="H36" s="55" t="n">
        <v>0</v>
      </c>
      <c r="I36" s="55" t="n">
        <v>0</v>
      </c>
      <c r="J36" s="55" t="n">
        <v>0</v>
      </c>
      <c r="K36" s="55" t="n">
        <v>0</v>
      </c>
      <c r="L36" s="55" t="n">
        <v>45</v>
      </c>
      <c r="M36" s="55" t="n">
        <v>45</v>
      </c>
      <c r="N36" s="55" t="n">
        <v>46</v>
      </c>
      <c r="O36" s="55" t="n">
        <v>2</v>
      </c>
      <c r="P36" s="56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7">
        <f>M36*P36+K36*V36</f>
        <v/>
      </c>
      <c r="V36" s="56" t="n">
        <v>90</v>
      </c>
      <c r="W36" s="55" t="n">
        <v>0</v>
      </c>
      <c r="X36" s="55" t="n">
        <v>0</v>
      </c>
      <c r="Y36" s="58">
        <f>W36+X36</f>
        <v/>
      </c>
      <c r="Z36" s="56" t="n">
        <v>0</v>
      </c>
      <c r="AA36" s="56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5" t="n">
        <v>1</v>
      </c>
      <c r="H37" s="55" t="n">
        <v>800</v>
      </c>
      <c r="I37" s="55" t="n">
        <v>160</v>
      </c>
      <c r="J37" s="55" t="n">
        <v>112</v>
      </c>
      <c r="K37" s="55" t="n">
        <v>47</v>
      </c>
      <c r="L37" s="55" t="n">
        <v>0</v>
      </c>
      <c r="M37" s="55" t="n">
        <v>47</v>
      </c>
      <c r="N37" s="55" t="n">
        <v>0</v>
      </c>
      <c r="O37" s="55" t="n">
        <v>2</v>
      </c>
      <c r="P37" s="56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7">
        <f>M37*P37+K37*V37</f>
        <v/>
      </c>
      <c r="V37" s="56" t="n">
        <v>90</v>
      </c>
      <c r="W37" s="55" t="n">
        <v>408</v>
      </c>
      <c r="X37" s="55" t="n">
        <v>392</v>
      </c>
      <c r="Y37" s="58">
        <f>W37+X37</f>
        <v/>
      </c>
      <c r="Z37" s="56" t="n">
        <v>14896</v>
      </c>
      <c r="AA37" s="56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5" t="n">
        <v>0</v>
      </c>
      <c r="H38" s="55" t="n">
        <v>0</v>
      </c>
      <c r="I38" s="55" t="n">
        <v>0</v>
      </c>
      <c r="J38" s="55" t="n">
        <v>0</v>
      </c>
      <c r="K38" s="55" t="n">
        <v>0</v>
      </c>
      <c r="L38" s="55" t="n">
        <v>46</v>
      </c>
      <c r="M38" s="55" t="n">
        <v>46</v>
      </c>
      <c r="N38" s="55" t="n">
        <v>47</v>
      </c>
      <c r="O38" s="55" t="n">
        <v>2</v>
      </c>
      <c r="P38" s="56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7">
        <f>M38*P38+K38*V38</f>
        <v/>
      </c>
      <c r="V38" s="56" t="n">
        <v>90</v>
      </c>
      <c r="W38" s="55" t="n">
        <v>0</v>
      </c>
      <c r="X38" s="55" t="n">
        <v>0</v>
      </c>
      <c r="Y38" s="58">
        <f>W38+X38</f>
        <v/>
      </c>
      <c r="Z38" s="56" t="n">
        <v>0</v>
      </c>
      <c r="AA38" s="56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5" t="n">
        <v>1</v>
      </c>
      <c r="H39" s="55" t="n">
        <v>850</v>
      </c>
      <c r="I39" s="55" t="n">
        <v>170</v>
      </c>
      <c r="J39" s="55" t="n">
        <v>119</v>
      </c>
      <c r="K39" s="55" t="n">
        <v>50</v>
      </c>
      <c r="L39" s="55" t="n">
        <v>0</v>
      </c>
      <c r="M39" s="55" t="n">
        <v>50</v>
      </c>
      <c r="N39" s="55" t="n">
        <v>0</v>
      </c>
      <c r="O39" s="55" t="n">
        <v>2</v>
      </c>
      <c r="P39" s="56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7">
        <f>M39*P39+K39*V39</f>
        <v/>
      </c>
      <c r="V39" s="56" t="n">
        <v>90</v>
      </c>
      <c r="W39" s="55" t="n">
        <v>306</v>
      </c>
      <c r="X39" s="55" t="n">
        <v>544</v>
      </c>
      <c r="Y39" s="58">
        <f>W39+X39</f>
        <v/>
      </c>
      <c r="Z39" s="56" t="n">
        <v>21760</v>
      </c>
      <c r="AA39" s="56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5" t="n">
        <v>0</v>
      </c>
      <c r="H40" s="55" t="n">
        <v>0</v>
      </c>
      <c r="I40" s="55" t="n">
        <v>0</v>
      </c>
      <c r="J40" s="55" t="n">
        <v>0</v>
      </c>
      <c r="K40" s="55" t="n">
        <v>0</v>
      </c>
      <c r="L40" s="55" t="n">
        <v>48</v>
      </c>
      <c r="M40" s="55" t="n">
        <v>48</v>
      </c>
      <c r="N40" s="55" t="n">
        <v>50</v>
      </c>
      <c r="O40" s="55" t="n">
        <v>2</v>
      </c>
      <c r="P40" s="56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7">
        <f>M40*P40+K40*V40</f>
        <v/>
      </c>
      <c r="V40" s="56" t="n">
        <v>90</v>
      </c>
      <c r="W40" s="55" t="n">
        <v>0</v>
      </c>
      <c r="X40" s="55" t="n">
        <v>0</v>
      </c>
      <c r="Y40" s="58">
        <f>W40+X40</f>
        <v/>
      </c>
      <c r="Z40" s="56" t="n">
        <v>0</v>
      </c>
      <c r="AA40" s="56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5" t="n">
        <v>0</v>
      </c>
      <c r="H41" s="55" t="n">
        <v>0</v>
      </c>
      <c r="I41" s="55" t="n">
        <v>0</v>
      </c>
      <c r="J41" s="55" t="n">
        <v>0</v>
      </c>
      <c r="K41" s="55" t="n">
        <v>0</v>
      </c>
      <c r="L41" s="55" t="n">
        <v>47</v>
      </c>
      <c r="M41" s="55" t="n">
        <v>47</v>
      </c>
      <c r="N41" s="55" t="n">
        <v>48</v>
      </c>
      <c r="O41" s="55" t="n">
        <v>2</v>
      </c>
      <c r="P41" s="56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7">
        <f>M41*P41+K41*V41</f>
        <v/>
      </c>
      <c r="V41" s="56" t="n">
        <v>90</v>
      </c>
      <c r="W41" s="55" t="n">
        <v>0</v>
      </c>
      <c r="X41" s="55" t="n">
        <v>0</v>
      </c>
      <c r="Y41" s="58">
        <f>W41+X41</f>
        <v/>
      </c>
      <c r="Z41" s="56" t="n">
        <v>0</v>
      </c>
      <c r="AA41" s="56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5" t="n">
        <v>1</v>
      </c>
      <c r="H42" s="55" t="n">
        <v>680</v>
      </c>
      <c r="I42" s="55" t="n">
        <v>136</v>
      </c>
      <c r="J42" s="55" t="n">
        <v>95</v>
      </c>
      <c r="K42" s="55" t="n">
        <v>40</v>
      </c>
      <c r="L42" s="55" t="n">
        <v>0</v>
      </c>
      <c r="M42" s="55" t="n">
        <v>40</v>
      </c>
      <c r="N42" s="55" t="n">
        <v>0</v>
      </c>
      <c r="O42" s="55" t="n">
        <v>2</v>
      </c>
      <c r="P42" s="56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7">
        <f>M42*P42+K42*V42</f>
        <v/>
      </c>
      <c r="V42" s="56" t="n">
        <v>90</v>
      </c>
      <c r="W42" s="55" t="n">
        <v>265</v>
      </c>
      <c r="X42" s="55" t="n">
        <v>415</v>
      </c>
      <c r="Y42" s="58">
        <f>W42+X42</f>
        <v/>
      </c>
      <c r="Z42" s="56" t="n">
        <v>14933</v>
      </c>
      <c r="AA42" s="56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5" t="n">
        <v>0</v>
      </c>
      <c r="H43" s="55" t="n">
        <v>0</v>
      </c>
      <c r="I43" s="55" t="n">
        <v>0</v>
      </c>
      <c r="J43" s="55" t="n">
        <v>0</v>
      </c>
      <c r="K43" s="55" t="n">
        <v>0</v>
      </c>
      <c r="L43" s="55" t="n">
        <v>39</v>
      </c>
      <c r="M43" s="55" t="n">
        <v>39</v>
      </c>
      <c r="N43" s="55" t="n">
        <v>40</v>
      </c>
      <c r="O43" s="55" t="n">
        <v>2</v>
      </c>
      <c r="P43" s="56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7">
        <f>M43*P43+K43*V43</f>
        <v/>
      </c>
      <c r="V43" s="56" t="n">
        <v>90</v>
      </c>
      <c r="W43" s="55" t="n">
        <v>0</v>
      </c>
      <c r="X43" s="55" t="n">
        <v>0</v>
      </c>
      <c r="Y43" s="58">
        <f>W43+X43</f>
        <v/>
      </c>
      <c r="Z43" s="56" t="n">
        <v>0</v>
      </c>
      <c r="AA43" s="56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5" t="n">
        <v>0</v>
      </c>
      <c r="H44" s="55" t="n">
        <v>0</v>
      </c>
      <c r="I44" s="55" t="n">
        <v>0</v>
      </c>
      <c r="J44" s="55" t="n">
        <v>0</v>
      </c>
      <c r="K44" s="55" t="n">
        <v>0</v>
      </c>
      <c r="L44" s="55" t="n">
        <v>38</v>
      </c>
      <c r="M44" s="55" t="n">
        <v>38</v>
      </c>
      <c r="N44" s="55" t="n">
        <v>39</v>
      </c>
      <c r="O44" s="55" t="n">
        <v>2</v>
      </c>
      <c r="P44" s="56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7">
        <f>M44*P44+K44*V44</f>
        <v/>
      </c>
      <c r="V44" s="56" t="n">
        <v>90</v>
      </c>
      <c r="W44" s="55" t="n">
        <v>0</v>
      </c>
      <c r="X44" s="55" t="n">
        <v>0</v>
      </c>
      <c r="Y44" s="58">
        <f>W44+X44</f>
        <v/>
      </c>
      <c r="Z44" s="56" t="n">
        <v>0</v>
      </c>
      <c r="AA44" s="56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5" t="n">
        <v>1</v>
      </c>
      <c r="H45" s="55" t="n">
        <v>680</v>
      </c>
      <c r="I45" s="55" t="n">
        <v>136</v>
      </c>
      <c r="J45" s="55" t="n">
        <v>95</v>
      </c>
      <c r="K45" s="55" t="n">
        <v>40</v>
      </c>
      <c r="L45" s="55" t="n">
        <v>0</v>
      </c>
      <c r="M45" s="55" t="n">
        <v>40</v>
      </c>
      <c r="N45" s="55" t="n">
        <v>0</v>
      </c>
      <c r="O45" s="55" t="n">
        <v>2</v>
      </c>
      <c r="P45" s="56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7">
        <f>M45*P45+K45*V45</f>
        <v/>
      </c>
      <c r="V45" s="56" t="n">
        <v>90</v>
      </c>
      <c r="W45" s="55" t="n">
        <v>258</v>
      </c>
      <c r="X45" s="55" t="n">
        <v>422</v>
      </c>
      <c r="Y45" s="58">
        <f>W45+X45</f>
        <v/>
      </c>
      <c r="Z45" s="56" t="n">
        <v>15178</v>
      </c>
      <c r="AA45" s="56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5" t="n">
        <v>0</v>
      </c>
      <c r="H46" s="55" t="n">
        <v>0</v>
      </c>
      <c r="I46" s="55" t="n">
        <v>0</v>
      </c>
      <c r="J46" s="55" t="n">
        <v>0</v>
      </c>
      <c r="K46" s="55" t="n">
        <v>0</v>
      </c>
      <c r="L46" s="55" t="n">
        <v>39</v>
      </c>
      <c r="M46" s="55" t="n">
        <v>39</v>
      </c>
      <c r="N46" s="55" t="n">
        <v>40</v>
      </c>
      <c r="O46" s="55" t="n">
        <v>2</v>
      </c>
      <c r="P46" s="56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7">
        <f>M46*P46+K46*V46</f>
        <v/>
      </c>
      <c r="V46" s="56" t="n">
        <v>90</v>
      </c>
      <c r="W46" s="55" t="n">
        <v>0</v>
      </c>
      <c r="X46" s="55" t="n">
        <v>0</v>
      </c>
      <c r="Y46" s="58">
        <f>W46+X46</f>
        <v/>
      </c>
      <c r="Z46" s="56" t="n">
        <v>0</v>
      </c>
      <c r="AA46" s="56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5" t="n">
        <v>0</v>
      </c>
      <c r="H47" s="55" t="n">
        <v>0</v>
      </c>
      <c r="I47" s="55" t="n">
        <v>0</v>
      </c>
      <c r="J47" s="55" t="n">
        <v>0</v>
      </c>
      <c r="K47" s="55" t="n">
        <v>0</v>
      </c>
      <c r="L47" s="55" t="n">
        <v>38</v>
      </c>
      <c r="M47" s="55" t="n">
        <v>38</v>
      </c>
      <c r="N47" s="55" t="n">
        <v>39</v>
      </c>
      <c r="O47" s="55" t="n">
        <v>2</v>
      </c>
      <c r="P47" s="56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7">
        <f>M47*P47+K47*V47</f>
        <v/>
      </c>
      <c r="V47" s="56" t="n">
        <v>90</v>
      </c>
      <c r="W47" s="55" t="n">
        <v>0</v>
      </c>
      <c r="X47" s="55" t="n">
        <v>0</v>
      </c>
      <c r="Y47" s="58">
        <f>W47+X47</f>
        <v/>
      </c>
      <c r="Z47" s="56" t="n">
        <v>0</v>
      </c>
      <c r="AA47" s="56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5" t="n">
        <v>1</v>
      </c>
      <c r="H48" s="55" t="n">
        <v>785</v>
      </c>
      <c r="I48" s="55" t="n">
        <v>157</v>
      </c>
      <c r="J48" s="55" t="n">
        <v>110</v>
      </c>
      <c r="K48" s="55" t="n">
        <v>46</v>
      </c>
      <c r="L48" s="55" t="n">
        <v>0</v>
      </c>
      <c r="M48" s="55" t="n">
        <v>46</v>
      </c>
      <c r="N48" s="55" t="n">
        <v>0</v>
      </c>
      <c r="O48" s="55" t="n">
        <v>2</v>
      </c>
      <c r="P48" s="56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7">
        <f>M48*P48+K48*V48</f>
        <v/>
      </c>
      <c r="V48" s="56" t="n">
        <v>90</v>
      </c>
      <c r="W48" s="55" t="n">
        <v>369</v>
      </c>
      <c r="X48" s="55" t="n">
        <v>416</v>
      </c>
      <c r="Y48" s="58">
        <f>W48+X48</f>
        <v/>
      </c>
      <c r="Z48" s="56" t="n">
        <v>18306</v>
      </c>
      <c r="AA48" s="56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5" t="n">
        <v>0</v>
      </c>
      <c r="H49" s="55" t="n">
        <v>0</v>
      </c>
      <c r="I49" s="55" t="n">
        <v>0</v>
      </c>
      <c r="J49" s="55" t="n">
        <v>0</v>
      </c>
      <c r="K49" s="55" t="n">
        <v>0</v>
      </c>
      <c r="L49" s="55" t="n">
        <v>45</v>
      </c>
      <c r="M49" s="55" t="n">
        <v>45</v>
      </c>
      <c r="N49" s="55" t="n">
        <v>46</v>
      </c>
      <c r="O49" s="55" t="n">
        <v>2</v>
      </c>
      <c r="P49" s="56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7">
        <f>M49*P49+K49*V49</f>
        <v/>
      </c>
      <c r="V49" s="56" t="n">
        <v>90</v>
      </c>
      <c r="W49" s="55" t="n">
        <v>0</v>
      </c>
      <c r="X49" s="55" t="n">
        <v>0</v>
      </c>
      <c r="Y49" s="58">
        <f>W49+X49</f>
        <v/>
      </c>
      <c r="Z49" s="56" t="n">
        <v>0</v>
      </c>
      <c r="AA49" s="56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5" t="n">
        <v>1</v>
      </c>
      <c r="H50" s="55" t="n">
        <v>785</v>
      </c>
      <c r="I50" s="55" t="n">
        <v>157</v>
      </c>
      <c r="J50" s="55" t="n">
        <v>110</v>
      </c>
      <c r="K50" s="55" t="n">
        <v>46</v>
      </c>
      <c r="L50" s="55" t="n">
        <v>0</v>
      </c>
      <c r="M50" s="55" t="n">
        <v>46</v>
      </c>
      <c r="N50" s="55" t="n">
        <v>0</v>
      </c>
      <c r="O50" s="55" t="n">
        <v>2</v>
      </c>
      <c r="P50" s="56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7">
        <f>M50*P50+K50*V50</f>
        <v/>
      </c>
      <c r="V50" s="56" t="n">
        <v>90</v>
      </c>
      <c r="W50" s="55" t="n">
        <v>369</v>
      </c>
      <c r="X50" s="55" t="n">
        <v>416</v>
      </c>
      <c r="Y50" s="58">
        <f>W50+X50</f>
        <v/>
      </c>
      <c r="Z50" s="56" t="n">
        <v>18306</v>
      </c>
      <c r="AA50" s="56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5" t="n">
        <v>0</v>
      </c>
      <c r="H51" s="55" t="n">
        <v>0</v>
      </c>
      <c r="I51" s="55" t="n">
        <v>0</v>
      </c>
      <c r="J51" s="55" t="n">
        <v>0</v>
      </c>
      <c r="K51" s="55" t="n">
        <v>0</v>
      </c>
      <c r="L51" s="55" t="n">
        <v>45</v>
      </c>
      <c r="M51" s="55" t="n">
        <v>45</v>
      </c>
      <c r="N51" s="55" t="n">
        <v>46</v>
      </c>
      <c r="O51" s="55" t="n">
        <v>2</v>
      </c>
      <c r="P51" s="56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7">
        <f>M51*P51+K51*V51</f>
        <v/>
      </c>
      <c r="V51" s="56" t="n">
        <v>90</v>
      </c>
      <c r="W51" s="55" t="n">
        <v>0</v>
      </c>
      <c r="X51" s="55" t="n">
        <v>0</v>
      </c>
      <c r="Y51" s="58">
        <f>W51+X51</f>
        <v/>
      </c>
      <c r="Z51" s="56" t="n">
        <v>0</v>
      </c>
      <c r="AA51" s="56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5" t="n">
        <v>1</v>
      </c>
      <c r="H52" s="55" t="n">
        <v>615</v>
      </c>
      <c r="I52" s="55" t="n">
        <v>123</v>
      </c>
      <c r="J52" s="55" t="n">
        <v>86</v>
      </c>
      <c r="K52" s="55" t="n">
        <v>36</v>
      </c>
      <c r="L52" s="55" t="n">
        <v>0</v>
      </c>
      <c r="M52" s="55" t="n">
        <v>36</v>
      </c>
      <c r="N52" s="55" t="n">
        <v>0</v>
      </c>
      <c r="O52" s="55" t="n">
        <v>2</v>
      </c>
      <c r="P52" s="56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7">
        <f>M52*P52+K52*V52</f>
        <v/>
      </c>
      <c r="V52" s="56" t="n">
        <v>90</v>
      </c>
      <c r="W52" s="55" t="n">
        <v>326</v>
      </c>
      <c r="X52" s="55" t="n">
        <v>289</v>
      </c>
      <c r="Y52" s="58">
        <f>W52+X52</f>
        <v/>
      </c>
      <c r="Z52" s="56" t="n">
        <v>10984</v>
      </c>
      <c r="AA52" s="56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5" t="n">
        <v>0</v>
      </c>
      <c r="H53" s="55" t="n">
        <v>0</v>
      </c>
      <c r="I53" s="55" t="n">
        <v>0</v>
      </c>
      <c r="J53" s="55" t="n">
        <v>0</v>
      </c>
      <c r="K53" s="55" t="n">
        <v>0</v>
      </c>
      <c r="L53" s="55" t="n">
        <v>35</v>
      </c>
      <c r="M53" s="55" t="n">
        <v>35</v>
      </c>
      <c r="N53" s="55" t="n">
        <v>36</v>
      </c>
      <c r="O53" s="55" t="n">
        <v>2</v>
      </c>
      <c r="P53" s="56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7">
        <f>M53*P53+K53*V53</f>
        <v/>
      </c>
      <c r="V53" s="56" t="n">
        <v>90</v>
      </c>
      <c r="W53" s="55" t="n">
        <v>0</v>
      </c>
      <c r="X53" s="55" t="n">
        <v>0</v>
      </c>
      <c r="Y53" s="58">
        <f>W53+X53</f>
        <v/>
      </c>
      <c r="Z53" s="56" t="n">
        <v>0</v>
      </c>
      <c r="AA53" s="56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5" t="n">
        <v>1</v>
      </c>
      <c r="H54" s="55" t="n">
        <v>615</v>
      </c>
      <c r="I54" s="55" t="n">
        <v>123</v>
      </c>
      <c r="J54" s="55" t="n">
        <v>86</v>
      </c>
      <c r="K54" s="55" t="n">
        <v>36</v>
      </c>
      <c r="L54" s="55" t="n">
        <v>0</v>
      </c>
      <c r="M54" s="55" t="n">
        <v>36</v>
      </c>
      <c r="N54" s="55" t="n">
        <v>0</v>
      </c>
      <c r="O54" s="55" t="n">
        <v>2</v>
      </c>
      <c r="P54" s="56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7">
        <f>M54*P54+K54*V54</f>
        <v/>
      </c>
      <c r="V54" s="56" t="n">
        <v>90</v>
      </c>
      <c r="W54" s="55" t="n">
        <v>326</v>
      </c>
      <c r="X54" s="55" t="n">
        <v>289</v>
      </c>
      <c r="Y54" s="58">
        <f>W54+X54</f>
        <v/>
      </c>
      <c r="Z54" s="56" t="n">
        <v>10984</v>
      </c>
      <c r="AA54" s="56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5" t="n">
        <v>0</v>
      </c>
      <c r="H55" s="55" t="n">
        <v>0</v>
      </c>
      <c r="I55" s="55" t="n">
        <v>0</v>
      </c>
      <c r="J55" s="55" t="n">
        <v>0</v>
      </c>
      <c r="K55" s="55" t="n">
        <v>0</v>
      </c>
      <c r="L55" s="55" t="n">
        <v>35</v>
      </c>
      <c r="M55" s="55" t="n">
        <v>35</v>
      </c>
      <c r="N55" s="55" t="n">
        <v>36</v>
      </c>
      <c r="O55" s="55" t="n">
        <v>2</v>
      </c>
      <c r="P55" s="56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7">
        <f>M55*P55+K55*V55</f>
        <v/>
      </c>
      <c r="V55" s="56" t="n">
        <v>90</v>
      </c>
      <c r="W55" s="55" t="n">
        <v>0</v>
      </c>
      <c r="X55" s="55" t="n">
        <v>0</v>
      </c>
      <c r="Y55" s="58">
        <f>W55+X55</f>
        <v/>
      </c>
      <c r="Z55" s="56" t="n">
        <v>0</v>
      </c>
      <c r="AA55" s="56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5" t="n">
        <v>1</v>
      </c>
      <c r="H56" s="55" t="n">
        <v>800</v>
      </c>
      <c r="I56" s="55" t="n">
        <v>160</v>
      </c>
      <c r="J56" s="55" t="n">
        <v>112</v>
      </c>
      <c r="K56" s="55" t="n">
        <v>47</v>
      </c>
      <c r="L56" s="55" t="n">
        <v>0</v>
      </c>
      <c r="M56" s="55" t="n">
        <v>47</v>
      </c>
      <c r="N56" s="55" t="n">
        <v>0</v>
      </c>
      <c r="O56" s="55" t="n">
        <v>2</v>
      </c>
      <c r="P56" s="56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7">
        <f>M56*P56+K56*V56</f>
        <v/>
      </c>
      <c r="V56" s="56" t="n">
        <v>90</v>
      </c>
      <c r="W56" s="55" t="n">
        <v>240</v>
      </c>
      <c r="X56" s="55" t="n">
        <v>560</v>
      </c>
      <c r="Y56" s="58">
        <f>W56+X56</f>
        <v/>
      </c>
      <c r="Z56" s="56" t="n">
        <v>30240</v>
      </c>
      <c r="AA56" s="56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5" t="n">
        <v>0</v>
      </c>
      <c r="H57" s="55" t="n">
        <v>0</v>
      </c>
      <c r="I57" s="55" t="n">
        <v>0</v>
      </c>
      <c r="J57" s="55" t="n">
        <v>0</v>
      </c>
      <c r="K57" s="55" t="n">
        <v>0</v>
      </c>
      <c r="L57" s="55" t="n">
        <v>46</v>
      </c>
      <c r="M57" s="55" t="n">
        <v>46</v>
      </c>
      <c r="N57" s="55" t="n">
        <v>47</v>
      </c>
      <c r="O57" s="55" t="n">
        <v>2</v>
      </c>
      <c r="P57" s="56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7">
        <f>M57*P57+K57*V57</f>
        <v/>
      </c>
      <c r="V57" s="56" t="n">
        <v>90</v>
      </c>
      <c r="W57" s="55" t="n">
        <v>0</v>
      </c>
      <c r="X57" s="55" t="n">
        <v>0</v>
      </c>
      <c r="Y57" s="58">
        <f>W57+X57</f>
        <v/>
      </c>
      <c r="Z57" s="56" t="n">
        <v>0</v>
      </c>
      <c r="AA57" s="56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5" t="n">
        <v>0</v>
      </c>
      <c r="H58" s="55" t="n">
        <v>0</v>
      </c>
      <c r="I58" s="55" t="n">
        <v>0</v>
      </c>
      <c r="J58" s="55" t="n">
        <v>0</v>
      </c>
      <c r="K58" s="55" t="n">
        <v>0</v>
      </c>
      <c r="L58" s="55" t="n">
        <v>45</v>
      </c>
      <c r="M58" s="55" t="n">
        <v>45</v>
      </c>
      <c r="N58" s="55" t="n">
        <v>46</v>
      </c>
      <c r="O58" s="55" t="n">
        <v>2</v>
      </c>
      <c r="P58" s="56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7">
        <f>M58*P58+K58*V58</f>
        <v/>
      </c>
      <c r="V58" s="56" t="n">
        <v>90</v>
      </c>
      <c r="W58" s="55" t="n">
        <v>0</v>
      </c>
      <c r="X58" s="55" t="n">
        <v>0</v>
      </c>
      <c r="Y58" s="58">
        <f>W58+X58</f>
        <v/>
      </c>
      <c r="Z58" s="56" t="n">
        <v>0</v>
      </c>
      <c r="AA58" s="56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5" t="n">
        <v>1</v>
      </c>
      <c r="H59" s="55" t="n">
        <v>680</v>
      </c>
      <c r="I59" s="55" t="n">
        <v>136</v>
      </c>
      <c r="J59" s="55" t="n">
        <v>95</v>
      </c>
      <c r="K59" s="55" t="n">
        <v>40</v>
      </c>
      <c r="L59" s="55" t="n">
        <v>0</v>
      </c>
      <c r="M59" s="55" t="n">
        <v>40</v>
      </c>
      <c r="N59" s="55" t="n">
        <v>0</v>
      </c>
      <c r="O59" s="55" t="n">
        <v>2</v>
      </c>
      <c r="P59" s="56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7">
        <f>M59*P59+K59*V59</f>
        <v/>
      </c>
      <c r="V59" s="56" t="n">
        <v>90</v>
      </c>
      <c r="W59" s="55" t="n">
        <v>252</v>
      </c>
      <c r="X59" s="55" t="n">
        <v>428</v>
      </c>
      <c r="Y59" s="58">
        <f>W59+X59</f>
        <v/>
      </c>
      <c r="Z59" s="56" t="n">
        <v>18850</v>
      </c>
      <c r="AA59" s="56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5" t="n">
        <v>0</v>
      </c>
      <c r="H60" s="55" t="n">
        <v>0</v>
      </c>
      <c r="I60" s="55" t="n">
        <v>0</v>
      </c>
      <c r="J60" s="55" t="n">
        <v>0</v>
      </c>
      <c r="K60" s="55" t="n">
        <v>0</v>
      </c>
      <c r="L60" s="55" t="n">
        <v>39</v>
      </c>
      <c r="M60" s="55" t="n">
        <v>39</v>
      </c>
      <c r="N60" s="55" t="n">
        <v>40</v>
      </c>
      <c r="O60" s="55" t="n">
        <v>2</v>
      </c>
      <c r="P60" s="56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7">
        <f>M60*P60+K60*V60</f>
        <v/>
      </c>
      <c r="V60" s="56" t="n">
        <v>90</v>
      </c>
      <c r="W60" s="55" t="n">
        <v>0</v>
      </c>
      <c r="X60" s="55" t="n">
        <v>0</v>
      </c>
      <c r="Y60" s="58">
        <f>W60+X60</f>
        <v/>
      </c>
      <c r="Z60" s="56" t="n">
        <v>0</v>
      </c>
      <c r="AA60" s="56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5" t="n">
        <v>0</v>
      </c>
      <c r="H61" s="55" t="n">
        <v>0</v>
      </c>
      <c r="I61" s="55" t="n">
        <v>0</v>
      </c>
      <c r="J61" s="55" t="n">
        <v>0</v>
      </c>
      <c r="K61" s="55" t="n">
        <v>0</v>
      </c>
      <c r="L61" s="55" t="n">
        <v>38</v>
      </c>
      <c r="M61" s="55" t="n">
        <v>38</v>
      </c>
      <c r="N61" s="55" t="n">
        <v>39</v>
      </c>
      <c r="O61" s="55" t="n">
        <v>2</v>
      </c>
      <c r="P61" s="56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7">
        <f>M61*P61+K61*V61</f>
        <v/>
      </c>
      <c r="V61" s="56" t="n">
        <v>90</v>
      </c>
      <c r="W61" s="55" t="n">
        <v>0</v>
      </c>
      <c r="X61" s="55" t="n">
        <v>0</v>
      </c>
      <c r="Y61" s="58">
        <f>W61+X61</f>
        <v/>
      </c>
      <c r="Z61" s="56" t="n">
        <v>0</v>
      </c>
      <c r="AA61" s="56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5" t="n">
        <v>1</v>
      </c>
      <c r="H62" s="55" t="n">
        <v>609</v>
      </c>
      <c r="I62" s="55" t="n">
        <v>171</v>
      </c>
      <c r="J62" s="55" t="n">
        <v>123</v>
      </c>
      <c r="K62" s="55" t="n">
        <v>74</v>
      </c>
      <c r="L62" s="55" t="n">
        <v>0</v>
      </c>
      <c r="M62" s="55" t="n">
        <v>74</v>
      </c>
      <c r="N62" s="55" t="n">
        <v>0</v>
      </c>
      <c r="O62" s="55" t="n">
        <v>3</v>
      </c>
      <c r="P62" s="56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7">
        <f>M62*P62+K62*V62</f>
        <v/>
      </c>
      <c r="V62" s="56" t="n">
        <v>90</v>
      </c>
      <c r="W62" s="55" t="n">
        <v>217</v>
      </c>
      <c r="X62" s="55" t="n">
        <v>396</v>
      </c>
      <c r="Y62" s="58">
        <f>W62+X62</f>
        <v/>
      </c>
      <c r="Z62" s="56" t="n">
        <v>20296</v>
      </c>
      <c r="AA62" s="56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5" t="n">
        <v>0</v>
      </c>
      <c r="H63" s="55" t="n">
        <v>0</v>
      </c>
      <c r="I63" s="55" t="n">
        <v>0</v>
      </c>
      <c r="J63" s="55" t="n">
        <v>0</v>
      </c>
      <c r="K63" s="55" t="n">
        <v>0</v>
      </c>
      <c r="L63" s="55" t="n">
        <v>72</v>
      </c>
      <c r="M63" s="55" t="n">
        <v>72</v>
      </c>
      <c r="N63" s="55" t="n">
        <v>74</v>
      </c>
      <c r="O63" s="55" t="n">
        <v>3</v>
      </c>
      <c r="P63" s="56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7">
        <f>M63*P63+K63*V63</f>
        <v/>
      </c>
      <c r="V63" s="56" t="n">
        <v>90</v>
      </c>
      <c r="W63" s="55" t="n">
        <v>0</v>
      </c>
      <c r="X63" s="55" t="n">
        <v>0</v>
      </c>
      <c r="Y63" s="58">
        <f>W63+X63</f>
        <v/>
      </c>
      <c r="Z63" s="56" t="n">
        <v>0</v>
      </c>
      <c r="AA63" s="56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5" t="n">
        <v>0</v>
      </c>
      <c r="H64" s="55" t="n">
        <v>0</v>
      </c>
      <c r="I64" s="55" t="n">
        <v>0</v>
      </c>
      <c r="J64" s="55" t="n">
        <v>0</v>
      </c>
      <c r="K64" s="55" t="n">
        <v>0</v>
      </c>
      <c r="L64" s="55" t="n">
        <v>70</v>
      </c>
      <c r="M64" s="55" t="n">
        <v>70</v>
      </c>
      <c r="N64" s="55" t="n">
        <v>72</v>
      </c>
      <c r="O64" s="55" t="n">
        <v>3</v>
      </c>
      <c r="P64" s="56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7">
        <f>M64*P64+K64*V64</f>
        <v/>
      </c>
      <c r="V64" s="56" t="n">
        <v>90</v>
      </c>
      <c r="W64" s="55" t="n">
        <v>0</v>
      </c>
      <c r="X64" s="55" t="n">
        <v>0</v>
      </c>
      <c r="Y64" s="58">
        <f>W64+X64</f>
        <v/>
      </c>
      <c r="Z64" s="56" t="n">
        <v>0</v>
      </c>
      <c r="AA64" s="56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5" t="n">
        <v>1</v>
      </c>
      <c r="H65" s="55" t="n">
        <v>1255</v>
      </c>
      <c r="I65" s="55" t="n">
        <v>251</v>
      </c>
      <c r="J65" s="55" t="n">
        <v>175</v>
      </c>
      <c r="K65" s="55" t="n">
        <v>74</v>
      </c>
      <c r="L65" s="55" t="n">
        <v>0</v>
      </c>
      <c r="M65" s="55" t="n">
        <v>74</v>
      </c>
      <c r="N65" s="55" t="n">
        <v>0</v>
      </c>
      <c r="O65" s="55" t="n">
        <v>3</v>
      </c>
      <c r="P65" s="56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7">
        <f>M65*P65+K65*V65</f>
        <v/>
      </c>
      <c r="V65" s="56" t="n">
        <v>90</v>
      </c>
      <c r="W65" s="55" t="n">
        <v>448</v>
      </c>
      <c r="X65" s="55" t="n">
        <v>814</v>
      </c>
      <c r="Y65" s="58">
        <f>W65+X65</f>
        <v/>
      </c>
      <c r="Z65" s="56" t="n">
        <v>41786</v>
      </c>
      <c r="AA65" s="56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5" t="n">
        <v>0</v>
      </c>
      <c r="H66" s="55" t="n">
        <v>0</v>
      </c>
      <c r="I66" s="55" t="n">
        <v>0</v>
      </c>
      <c r="J66" s="55" t="n">
        <v>0</v>
      </c>
      <c r="K66" s="55" t="n">
        <v>0</v>
      </c>
      <c r="L66" s="55" t="n">
        <v>72</v>
      </c>
      <c r="M66" s="55" t="n">
        <v>72</v>
      </c>
      <c r="N66" s="55" t="n">
        <v>74</v>
      </c>
      <c r="O66" s="55" t="n">
        <v>3</v>
      </c>
      <c r="P66" s="56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7">
        <f>M66*P66+K66*V66</f>
        <v/>
      </c>
      <c r="V66" s="56" t="n">
        <v>90</v>
      </c>
      <c r="W66" s="55" t="n">
        <v>0</v>
      </c>
      <c r="X66" s="55" t="n">
        <v>0</v>
      </c>
      <c r="Y66" s="58">
        <f>W66+X66</f>
        <v/>
      </c>
      <c r="Z66" s="56" t="n">
        <v>0</v>
      </c>
      <c r="AA66" s="56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5" t="n">
        <v>1</v>
      </c>
      <c r="H67" s="55" t="n">
        <v>515</v>
      </c>
      <c r="I67" s="55" t="n">
        <v>144</v>
      </c>
      <c r="J67" s="55" t="n">
        <v>104</v>
      </c>
      <c r="K67" s="55" t="n">
        <v>62</v>
      </c>
      <c r="L67" s="55" t="n">
        <v>0</v>
      </c>
      <c r="M67" s="55" t="n">
        <v>62</v>
      </c>
      <c r="N67" s="55" t="n">
        <v>0</v>
      </c>
      <c r="O67" s="55" t="n">
        <v>3</v>
      </c>
      <c r="P67" s="56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7">
        <f>M67*P67+K67*V67</f>
        <v/>
      </c>
      <c r="V67" s="56" t="n">
        <v>90</v>
      </c>
      <c r="W67" s="55" t="n">
        <v>220</v>
      </c>
      <c r="X67" s="55" t="n">
        <v>297</v>
      </c>
      <c r="Y67" s="58">
        <f>W67+X67</f>
        <v/>
      </c>
      <c r="Z67" s="56" t="n">
        <v>12449</v>
      </c>
      <c r="AA67" s="56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5" t="n">
        <v>0</v>
      </c>
      <c r="H68" s="55" t="n">
        <v>0</v>
      </c>
      <c r="I68" s="55" t="n">
        <v>0</v>
      </c>
      <c r="J68" s="55" t="n">
        <v>0</v>
      </c>
      <c r="K68" s="55" t="n">
        <v>0</v>
      </c>
      <c r="L68" s="55" t="n">
        <v>60</v>
      </c>
      <c r="M68" s="55" t="n">
        <v>60</v>
      </c>
      <c r="N68" s="55" t="n">
        <v>62</v>
      </c>
      <c r="O68" s="55" t="n">
        <v>2</v>
      </c>
      <c r="P68" s="56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7">
        <f>M68*P68+K68*V68</f>
        <v/>
      </c>
      <c r="V68" s="56" t="n">
        <v>90</v>
      </c>
      <c r="W68" s="55" t="n">
        <v>0</v>
      </c>
      <c r="X68" s="55" t="n">
        <v>0</v>
      </c>
      <c r="Y68" s="58">
        <f>W68+X68</f>
        <v/>
      </c>
      <c r="Z68" s="56" t="n">
        <v>0</v>
      </c>
      <c r="AA68" s="56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5" t="n">
        <v>0</v>
      </c>
      <c r="H69" s="55" t="n">
        <v>0</v>
      </c>
      <c r="I69" s="55" t="n">
        <v>0</v>
      </c>
      <c r="J69" s="55" t="n">
        <v>0</v>
      </c>
      <c r="K69" s="55" t="n">
        <v>0</v>
      </c>
      <c r="L69" s="55" t="n">
        <v>59</v>
      </c>
      <c r="M69" s="55" t="n">
        <v>59</v>
      </c>
      <c r="N69" s="55" t="n">
        <v>60</v>
      </c>
      <c r="O69" s="55" t="n">
        <v>2</v>
      </c>
      <c r="P69" s="56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7">
        <f>M69*P69+K69*V69</f>
        <v/>
      </c>
      <c r="V69" s="56" t="n">
        <v>90</v>
      </c>
      <c r="W69" s="55" t="n">
        <v>0</v>
      </c>
      <c r="X69" s="55" t="n">
        <v>0</v>
      </c>
      <c r="Y69" s="58">
        <f>W69+X69</f>
        <v/>
      </c>
      <c r="Z69" s="56" t="n">
        <v>0</v>
      </c>
      <c r="AA69" s="56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5" t="n">
        <v>1</v>
      </c>
      <c r="H70" s="55" t="n">
        <v>1057</v>
      </c>
      <c r="I70" s="55" t="n">
        <v>211</v>
      </c>
      <c r="J70" s="55" t="n">
        <v>148</v>
      </c>
      <c r="K70" s="55" t="n">
        <v>62</v>
      </c>
      <c r="L70" s="55" t="n">
        <v>0</v>
      </c>
      <c r="M70" s="55" t="n">
        <v>62</v>
      </c>
      <c r="N70" s="55" t="n">
        <v>0</v>
      </c>
      <c r="O70" s="55" t="n">
        <v>3</v>
      </c>
      <c r="P70" s="56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7">
        <f>M70*P70+K70*V70</f>
        <v/>
      </c>
      <c r="V70" s="56" t="n">
        <v>90</v>
      </c>
      <c r="W70" s="55" t="n">
        <v>450</v>
      </c>
      <c r="X70" s="55" t="n">
        <v>608</v>
      </c>
      <c r="Y70" s="58">
        <f>W70+X70</f>
        <v/>
      </c>
      <c r="Z70" s="56" t="n">
        <v>25536</v>
      </c>
      <c r="AA70" s="56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5" t="n">
        <v>0</v>
      </c>
      <c r="H71" s="55" t="n">
        <v>0</v>
      </c>
      <c r="I71" s="55" t="n">
        <v>0</v>
      </c>
      <c r="J71" s="55" t="n">
        <v>0</v>
      </c>
      <c r="K71" s="55" t="n">
        <v>0</v>
      </c>
      <c r="L71" s="55" t="n">
        <v>61</v>
      </c>
      <c r="M71" s="55" t="n">
        <v>61</v>
      </c>
      <c r="N71" s="55" t="n">
        <v>62</v>
      </c>
      <c r="O71" s="55" t="n">
        <v>3</v>
      </c>
      <c r="P71" s="56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7">
        <f>M71*P71+K71*V71</f>
        <v/>
      </c>
      <c r="V71" s="56" t="n">
        <v>90</v>
      </c>
      <c r="W71" s="55" t="n">
        <v>0</v>
      </c>
      <c r="X71" s="55" t="n">
        <v>0</v>
      </c>
      <c r="Y71" s="58">
        <f>W71+X71</f>
        <v/>
      </c>
      <c r="Z71" s="56" t="n">
        <v>0</v>
      </c>
      <c r="AA71" s="56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5" t="n">
        <v>1</v>
      </c>
      <c r="H72" s="55" t="n">
        <v>468</v>
      </c>
      <c r="I72" s="55" t="n">
        <v>131</v>
      </c>
      <c r="J72" s="55" t="n">
        <v>94</v>
      </c>
      <c r="K72" s="55" t="n">
        <v>57</v>
      </c>
      <c r="L72" s="55" t="n">
        <v>0</v>
      </c>
      <c r="M72" s="55" t="n">
        <v>57</v>
      </c>
      <c r="N72" s="55" t="n">
        <v>0</v>
      </c>
      <c r="O72" s="55" t="n">
        <v>2</v>
      </c>
      <c r="P72" s="56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7">
        <f>M72*P72+K72*V72</f>
        <v/>
      </c>
      <c r="V72" s="56" t="n">
        <v>90</v>
      </c>
      <c r="W72" s="55" t="n">
        <v>222</v>
      </c>
      <c r="X72" s="55" t="n">
        <v>245</v>
      </c>
      <c r="Y72" s="58">
        <f>W72+X72</f>
        <v/>
      </c>
      <c r="Z72" s="56" t="n">
        <v>9379</v>
      </c>
      <c r="AA72" s="56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5" t="n">
        <v>0</v>
      </c>
      <c r="H73" s="55" t="n">
        <v>0</v>
      </c>
      <c r="I73" s="55" t="n">
        <v>0</v>
      </c>
      <c r="J73" s="55" t="n">
        <v>0</v>
      </c>
      <c r="K73" s="55" t="n">
        <v>0</v>
      </c>
      <c r="L73" s="55" t="n">
        <v>55</v>
      </c>
      <c r="M73" s="55" t="n">
        <v>55</v>
      </c>
      <c r="N73" s="55" t="n">
        <v>57</v>
      </c>
      <c r="O73" s="55" t="n">
        <v>2</v>
      </c>
      <c r="P73" s="56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7">
        <f>M73*P73+K73*V73</f>
        <v/>
      </c>
      <c r="V73" s="56" t="n">
        <v>90</v>
      </c>
      <c r="W73" s="55" t="n">
        <v>0</v>
      </c>
      <c r="X73" s="55" t="n">
        <v>0</v>
      </c>
      <c r="Y73" s="58">
        <f>W73+X73</f>
        <v/>
      </c>
      <c r="Z73" s="56" t="n">
        <v>0</v>
      </c>
      <c r="AA73" s="56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5" t="n">
        <v>0</v>
      </c>
      <c r="H74" s="55" t="n">
        <v>0</v>
      </c>
      <c r="I74" s="55" t="n">
        <v>0</v>
      </c>
      <c r="J74" s="55" t="n">
        <v>0</v>
      </c>
      <c r="K74" s="55" t="n">
        <v>0</v>
      </c>
      <c r="L74" s="55" t="n">
        <v>54</v>
      </c>
      <c r="M74" s="55" t="n">
        <v>54</v>
      </c>
      <c r="N74" s="55" t="n">
        <v>55</v>
      </c>
      <c r="O74" s="55" t="n">
        <v>2</v>
      </c>
      <c r="P74" s="56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7">
        <f>M74*P74+K74*V74</f>
        <v/>
      </c>
      <c r="V74" s="56" t="n">
        <v>90</v>
      </c>
      <c r="W74" s="55" t="n">
        <v>0</v>
      </c>
      <c r="X74" s="55" t="n">
        <v>0</v>
      </c>
      <c r="Y74" s="58">
        <f>W74+X74</f>
        <v/>
      </c>
      <c r="Z74" s="56" t="n">
        <v>0</v>
      </c>
      <c r="AA74" s="56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5" t="n">
        <v>1</v>
      </c>
      <c r="H75" s="55" t="n">
        <v>962</v>
      </c>
      <c r="I75" s="55" t="n">
        <v>192</v>
      </c>
      <c r="J75" s="55" t="n">
        <v>135</v>
      </c>
      <c r="K75" s="55" t="n">
        <v>57</v>
      </c>
      <c r="L75" s="55" t="n">
        <v>0</v>
      </c>
      <c r="M75" s="55" t="n">
        <v>57</v>
      </c>
      <c r="N75" s="55" t="n">
        <v>0</v>
      </c>
      <c r="O75" s="55" t="n">
        <v>3</v>
      </c>
      <c r="P75" s="56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7">
        <f>M75*P75+K75*V75</f>
        <v/>
      </c>
      <c r="V75" s="56" t="n">
        <v>90</v>
      </c>
      <c r="W75" s="55" t="n">
        <v>458</v>
      </c>
      <c r="X75" s="55" t="n">
        <v>504</v>
      </c>
      <c r="Y75" s="58">
        <f>W75+X75</f>
        <v/>
      </c>
      <c r="Z75" s="56" t="n">
        <v>19287</v>
      </c>
      <c r="AA75" s="56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5" t="n">
        <v>0</v>
      </c>
      <c r="H76" s="55" t="n">
        <v>0</v>
      </c>
      <c r="I76" s="55" t="n">
        <v>0</v>
      </c>
      <c r="J76" s="55" t="n">
        <v>0</v>
      </c>
      <c r="K76" s="55" t="n">
        <v>0</v>
      </c>
      <c r="L76" s="55" t="n">
        <v>56</v>
      </c>
      <c r="M76" s="55" t="n">
        <v>56</v>
      </c>
      <c r="N76" s="55" t="n">
        <v>57</v>
      </c>
      <c r="O76" s="55" t="n">
        <v>3</v>
      </c>
      <c r="P76" s="56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7">
        <f>M76*P76+K76*V76</f>
        <v/>
      </c>
      <c r="V76" s="56" t="n">
        <v>90</v>
      </c>
      <c r="W76" s="55" t="n">
        <v>0</v>
      </c>
      <c r="X76" s="55" t="n">
        <v>0</v>
      </c>
      <c r="Y76" s="58">
        <f>W76+X76</f>
        <v/>
      </c>
      <c r="Z76" s="56" t="n">
        <v>0</v>
      </c>
      <c r="AA76" s="56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5" t="n">
        <v>1</v>
      </c>
      <c r="H77" s="55" t="n">
        <v>397</v>
      </c>
      <c r="I77" s="55" t="n">
        <v>111</v>
      </c>
      <c r="J77" s="55" t="n">
        <v>80</v>
      </c>
      <c r="K77" s="55" t="n">
        <v>48</v>
      </c>
      <c r="L77" s="55" t="n">
        <v>0</v>
      </c>
      <c r="M77" s="55" t="n">
        <v>48</v>
      </c>
      <c r="N77" s="55" t="n">
        <v>0</v>
      </c>
      <c r="O77" s="55" t="n">
        <v>2</v>
      </c>
      <c r="P77" s="56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7">
        <f>M77*P77+K77*V77</f>
        <v/>
      </c>
      <c r="V77" s="56" t="n">
        <v>90</v>
      </c>
      <c r="W77" s="55" t="n">
        <v>193</v>
      </c>
      <c r="X77" s="55" t="n">
        <v>204</v>
      </c>
      <c r="Y77" s="58">
        <f>W77+X77</f>
        <v/>
      </c>
      <c r="Z77" s="56" t="n">
        <v>7417</v>
      </c>
      <c r="AA77" s="56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5" t="n">
        <v>0</v>
      </c>
      <c r="H78" s="55" t="n">
        <v>0</v>
      </c>
      <c r="I78" s="55" t="n">
        <v>0</v>
      </c>
      <c r="J78" s="55" t="n">
        <v>0</v>
      </c>
      <c r="K78" s="55" t="n">
        <v>0</v>
      </c>
      <c r="L78" s="55" t="n">
        <v>46</v>
      </c>
      <c r="M78" s="55" t="n">
        <v>46</v>
      </c>
      <c r="N78" s="55" t="n">
        <v>48</v>
      </c>
      <c r="O78" s="55" t="n">
        <v>2</v>
      </c>
      <c r="P78" s="56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7">
        <f>M78*P78+K78*V78</f>
        <v/>
      </c>
      <c r="V78" s="56" t="n">
        <v>90</v>
      </c>
      <c r="W78" s="55" t="n">
        <v>0</v>
      </c>
      <c r="X78" s="55" t="n">
        <v>0</v>
      </c>
      <c r="Y78" s="58">
        <f>W78+X78</f>
        <v/>
      </c>
      <c r="Z78" s="56" t="n">
        <v>0</v>
      </c>
      <c r="AA78" s="56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5" t="n">
        <v>0</v>
      </c>
      <c r="H79" s="55" t="n">
        <v>0</v>
      </c>
      <c r="I79" s="55" t="n">
        <v>0</v>
      </c>
      <c r="J79" s="55" t="n">
        <v>0</v>
      </c>
      <c r="K79" s="55" t="n">
        <v>0</v>
      </c>
      <c r="L79" s="55" t="n">
        <v>45</v>
      </c>
      <c r="M79" s="55" t="n">
        <v>45</v>
      </c>
      <c r="N79" s="55" t="n">
        <v>46</v>
      </c>
      <c r="O79" s="55" t="n">
        <v>2</v>
      </c>
      <c r="P79" s="56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7">
        <f>M79*P79+K79*V79</f>
        <v/>
      </c>
      <c r="V79" s="56" t="n">
        <v>90</v>
      </c>
      <c r="W79" s="55" t="n">
        <v>0</v>
      </c>
      <c r="X79" s="55" t="n">
        <v>0</v>
      </c>
      <c r="Y79" s="58">
        <f>W79+X79</f>
        <v/>
      </c>
      <c r="Z79" s="56" t="n">
        <v>0</v>
      </c>
      <c r="AA79" s="56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5" t="n">
        <v>1</v>
      </c>
      <c r="H80" s="55" t="n">
        <v>816</v>
      </c>
      <c r="I80" s="55" t="n">
        <v>163</v>
      </c>
      <c r="J80" s="55" t="n">
        <v>114</v>
      </c>
      <c r="K80" s="55" t="n">
        <v>48</v>
      </c>
      <c r="L80" s="55" t="n">
        <v>0</v>
      </c>
      <c r="M80" s="55" t="n">
        <v>48</v>
      </c>
      <c r="N80" s="55" t="n">
        <v>0</v>
      </c>
      <c r="O80" s="55" t="n">
        <v>2</v>
      </c>
      <c r="P80" s="56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7">
        <f>M80*P80+K80*V80</f>
        <v/>
      </c>
      <c r="V80" s="56" t="n">
        <v>90</v>
      </c>
      <c r="W80" s="55" t="n">
        <v>396</v>
      </c>
      <c r="X80" s="55" t="n">
        <v>419</v>
      </c>
      <c r="Y80" s="58">
        <f>W80+X80</f>
        <v/>
      </c>
      <c r="Z80" s="56" t="n">
        <v>15240</v>
      </c>
      <c r="AA80" s="56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5" t="n">
        <v>0</v>
      </c>
      <c r="H81" s="55" t="n">
        <v>0</v>
      </c>
      <c r="I81" s="55" t="n">
        <v>0</v>
      </c>
      <c r="J81" s="55" t="n">
        <v>0</v>
      </c>
      <c r="K81" s="55" t="n">
        <v>0</v>
      </c>
      <c r="L81" s="55" t="n">
        <v>47</v>
      </c>
      <c r="M81" s="55" t="n">
        <v>47</v>
      </c>
      <c r="N81" s="55" t="n">
        <v>48</v>
      </c>
      <c r="O81" s="55" t="n">
        <v>2</v>
      </c>
      <c r="P81" s="56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7">
        <f>M81*P81+K81*V81</f>
        <v/>
      </c>
      <c r="V81" s="56" t="n">
        <v>90</v>
      </c>
      <c r="W81" s="55" t="n">
        <v>0</v>
      </c>
      <c r="X81" s="55" t="n">
        <v>0</v>
      </c>
      <c r="Y81" s="58">
        <f>W81+X81</f>
        <v/>
      </c>
      <c r="Z81" s="56" t="n">
        <v>0</v>
      </c>
      <c r="AA81" s="56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5" t="n">
        <v>1</v>
      </c>
      <c r="H82" s="55" t="n">
        <v>562</v>
      </c>
      <c r="I82" s="55" t="n">
        <v>158</v>
      </c>
      <c r="J82" s="55" t="n">
        <v>113</v>
      </c>
      <c r="K82" s="55" t="n">
        <v>68</v>
      </c>
      <c r="L82" s="55" t="n">
        <v>0</v>
      </c>
      <c r="M82" s="55" t="n">
        <v>68</v>
      </c>
      <c r="N82" s="55" t="n">
        <v>0</v>
      </c>
      <c r="O82" s="55" t="n">
        <v>3</v>
      </c>
      <c r="P82" s="56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7">
        <f>M82*P82+K82*V82</f>
        <v/>
      </c>
      <c r="V82" s="56" t="n">
        <v>90</v>
      </c>
      <c r="W82" s="55" t="n">
        <v>220</v>
      </c>
      <c r="X82" s="55" t="n">
        <v>354</v>
      </c>
      <c r="Y82" s="58">
        <f>W82+X82</f>
        <v/>
      </c>
      <c r="Z82" s="56" t="n">
        <v>18140</v>
      </c>
      <c r="AA82" s="56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5" t="n">
        <v>0</v>
      </c>
      <c r="H83" s="55" t="n">
        <v>0</v>
      </c>
      <c r="I83" s="55" t="n">
        <v>0</v>
      </c>
      <c r="J83" s="55" t="n">
        <v>0</v>
      </c>
      <c r="K83" s="55" t="n">
        <v>0</v>
      </c>
      <c r="L83" s="55" t="n">
        <v>66</v>
      </c>
      <c r="M83" s="55" t="n">
        <v>66</v>
      </c>
      <c r="N83" s="55" t="n">
        <v>68</v>
      </c>
      <c r="O83" s="55" t="n">
        <v>3</v>
      </c>
      <c r="P83" s="56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7">
        <f>M83*P83+K83*V83</f>
        <v/>
      </c>
      <c r="V83" s="56" t="n">
        <v>90</v>
      </c>
      <c r="W83" s="55" t="n">
        <v>0</v>
      </c>
      <c r="X83" s="55" t="n">
        <v>0</v>
      </c>
      <c r="Y83" s="58">
        <f>W83+X83</f>
        <v/>
      </c>
      <c r="Z83" s="56" t="n">
        <v>0</v>
      </c>
      <c r="AA83" s="56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5" t="n">
        <v>0</v>
      </c>
      <c r="H84" s="55" t="n">
        <v>0</v>
      </c>
      <c r="I84" s="55" t="n">
        <v>0</v>
      </c>
      <c r="J84" s="55" t="n">
        <v>0</v>
      </c>
      <c r="K84" s="55" t="n">
        <v>0</v>
      </c>
      <c r="L84" s="55" t="n">
        <v>65</v>
      </c>
      <c r="M84" s="55" t="n">
        <v>65</v>
      </c>
      <c r="N84" s="55" t="n">
        <v>66</v>
      </c>
      <c r="O84" s="55" t="n">
        <v>3</v>
      </c>
      <c r="P84" s="56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7">
        <f>M84*P84+K84*V84</f>
        <v/>
      </c>
      <c r="V84" s="56" t="n">
        <v>90</v>
      </c>
      <c r="W84" s="55" t="n">
        <v>0</v>
      </c>
      <c r="X84" s="55" t="n">
        <v>0</v>
      </c>
      <c r="Y84" s="58">
        <f>W84+X84</f>
        <v/>
      </c>
      <c r="Z84" s="56" t="n">
        <v>0</v>
      </c>
      <c r="AA84" s="56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5" t="n">
        <v>1</v>
      </c>
      <c r="H85" s="55" t="n">
        <v>1151</v>
      </c>
      <c r="I85" s="55" t="n">
        <v>230</v>
      </c>
      <c r="J85" s="55" t="n">
        <v>161</v>
      </c>
      <c r="K85" s="55" t="n">
        <v>68</v>
      </c>
      <c r="L85" s="55" t="n">
        <v>0</v>
      </c>
      <c r="M85" s="55" t="n">
        <v>68</v>
      </c>
      <c r="N85" s="55" t="n">
        <v>0</v>
      </c>
      <c r="O85" s="55" t="n">
        <v>3</v>
      </c>
      <c r="P85" s="56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7">
        <f>M85*P85+K85*V85</f>
        <v/>
      </c>
      <c r="V85" s="56" t="n">
        <v>90</v>
      </c>
      <c r="W85" s="55" t="n">
        <v>450</v>
      </c>
      <c r="X85" s="55" t="n">
        <v>726</v>
      </c>
      <c r="Y85" s="58">
        <f>W85+X85</f>
        <v/>
      </c>
      <c r="Z85" s="56" t="n">
        <v>37132</v>
      </c>
      <c r="AA85" s="56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5" t="n">
        <v>0</v>
      </c>
      <c r="H86" s="55" t="n">
        <v>0</v>
      </c>
      <c r="I86" s="55" t="n">
        <v>0</v>
      </c>
      <c r="J86" s="55" t="n">
        <v>0</v>
      </c>
      <c r="K86" s="55" t="n">
        <v>0</v>
      </c>
      <c r="L86" s="55" t="n">
        <v>67</v>
      </c>
      <c r="M86" s="55" t="n">
        <v>67</v>
      </c>
      <c r="N86" s="55" t="n">
        <v>68</v>
      </c>
      <c r="O86" s="55" t="n">
        <v>3</v>
      </c>
      <c r="P86" s="56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7">
        <f>M86*P86+K86*V86</f>
        <v/>
      </c>
      <c r="V86" s="56" t="n">
        <v>90</v>
      </c>
      <c r="W86" s="55" t="n">
        <v>0</v>
      </c>
      <c r="X86" s="55" t="n">
        <v>0</v>
      </c>
      <c r="Y86" s="58">
        <f>W86+X86</f>
        <v/>
      </c>
      <c r="Z86" s="56" t="n">
        <v>0</v>
      </c>
      <c r="AA86" s="56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5" t="n">
        <v>1</v>
      </c>
      <c r="H87" s="55" t="n">
        <v>388</v>
      </c>
      <c r="I87" s="55" t="n">
        <v>108</v>
      </c>
      <c r="J87" s="55" t="n">
        <v>78</v>
      </c>
      <c r="K87" s="55" t="n">
        <v>47</v>
      </c>
      <c r="L87" s="55" t="n">
        <v>0</v>
      </c>
      <c r="M87" s="55" t="n">
        <v>47</v>
      </c>
      <c r="N87" s="55" t="n">
        <v>0</v>
      </c>
      <c r="O87" s="55" t="n">
        <v>2</v>
      </c>
      <c r="P87" s="56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7">
        <f>M87*P87+K87*V87</f>
        <v/>
      </c>
      <c r="V87" s="56" t="n">
        <v>90</v>
      </c>
      <c r="W87" s="55" t="n">
        <v>199</v>
      </c>
      <c r="X87" s="55" t="n">
        <v>196</v>
      </c>
      <c r="Y87" s="58">
        <f>W87+X87</f>
        <v/>
      </c>
      <c r="Z87" s="56" t="n">
        <v>7473</v>
      </c>
      <c r="AA87" s="56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5" t="n">
        <v>0</v>
      </c>
      <c r="H88" s="55" t="n">
        <v>0</v>
      </c>
      <c r="I88" s="55" t="n">
        <v>0</v>
      </c>
      <c r="J88" s="55" t="n">
        <v>0</v>
      </c>
      <c r="K88" s="55" t="n">
        <v>0</v>
      </c>
      <c r="L88" s="55" t="n">
        <v>45</v>
      </c>
      <c r="M88" s="55" t="n">
        <v>45</v>
      </c>
      <c r="N88" s="55" t="n">
        <v>47</v>
      </c>
      <c r="O88" s="55" t="n">
        <v>2</v>
      </c>
      <c r="P88" s="56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7">
        <f>M88*P88+K88*V88</f>
        <v/>
      </c>
      <c r="V88" s="56" t="n">
        <v>90</v>
      </c>
      <c r="W88" s="55" t="n">
        <v>0</v>
      </c>
      <c r="X88" s="55" t="n">
        <v>0</v>
      </c>
      <c r="Y88" s="58">
        <f>W88+X88</f>
        <v/>
      </c>
      <c r="Z88" s="56" t="n">
        <v>0</v>
      </c>
      <c r="AA88" s="56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5" t="n">
        <v>0</v>
      </c>
      <c r="H89" s="55" t="n">
        <v>0</v>
      </c>
      <c r="I89" s="55" t="n">
        <v>0</v>
      </c>
      <c r="J89" s="55" t="n">
        <v>0</v>
      </c>
      <c r="K89" s="55" t="n">
        <v>0</v>
      </c>
      <c r="L89" s="55" t="n">
        <v>44</v>
      </c>
      <c r="M89" s="55" t="n">
        <v>44</v>
      </c>
      <c r="N89" s="55" t="n">
        <v>45</v>
      </c>
      <c r="O89" s="55" t="n">
        <v>2</v>
      </c>
      <c r="P89" s="56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7">
        <f>M89*P89+K89*V89</f>
        <v/>
      </c>
      <c r="V89" s="56" t="n">
        <v>90</v>
      </c>
      <c r="W89" s="55" t="n">
        <v>0</v>
      </c>
      <c r="X89" s="55" t="n">
        <v>0</v>
      </c>
      <c r="Y89" s="58">
        <f>W89+X89</f>
        <v/>
      </c>
      <c r="Z89" s="56" t="n">
        <v>0</v>
      </c>
      <c r="AA89" s="56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5" t="n">
        <v>1</v>
      </c>
      <c r="H90" s="55" t="n">
        <v>802</v>
      </c>
      <c r="I90" s="55" t="n">
        <v>160</v>
      </c>
      <c r="J90" s="55" t="n">
        <v>112</v>
      </c>
      <c r="K90" s="55" t="n">
        <v>47</v>
      </c>
      <c r="L90" s="55" t="n">
        <v>0</v>
      </c>
      <c r="M90" s="55" t="n">
        <v>47</v>
      </c>
      <c r="N90" s="55" t="n">
        <v>0</v>
      </c>
      <c r="O90" s="55" t="n">
        <v>2</v>
      </c>
      <c r="P90" s="56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7">
        <f>M90*P90+K90*V90</f>
        <v/>
      </c>
      <c r="V90" s="56" t="n">
        <v>90</v>
      </c>
      <c r="W90" s="55" t="n">
        <v>413</v>
      </c>
      <c r="X90" s="55" t="n">
        <v>404</v>
      </c>
      <c r="Y90" s="58">
        <f>W90+X90</f>
        <v/>
      </c>
      <c r="Z90" s="56" t="n">
        <v>15454</v>
      </c>
      <c r="AA90" s="56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5" t="n">
        <v>0</v>
      </c>
      <c r="H91" s="55" t="n">
        <v>0</v>
      </c>
      <c r="I91" s="55" t="n">
        <v>0</v>
      </c>
      <c r="J91" s="55" t="n">
        <v>0</v>
      </c>
      <c r="K91" s="55" t="n">
        <v>0</v>
      </c>
      <c r="L91" s="55" t="n">
        <v>46</v>
      </c>
      <c r="M91" s="55" t="n">
        <v>46</v>
      </c>
      <c r="N91" s="55" t="n">
        <v>47</v>
      </c>
      <c r="O91" s="55" t="n">
        <v>2</v>
      </c>
      <c r="P91" s="56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7">
        <f>M91*P91+K91*V91</f>
        <v/>
      </c>
      <c r="V91" s="56" t="n">
        <v>90</v>
      </c>
      <c r="W91" s="55" t="n">
        <v>0</v>
      </c>
      <c r="X91" s="55" t="n">
        <v>0</v>
      </c>
      <c r="Y91" s="58">
        <f>W91+X91</f>
        <v/>
      </c>
      <c r="Z91" s="56" t="n">
        <v>0</v>
      </c>
      <c r="AA91" s="56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5" t="n">
        <v>1</v>
      </c>
      <c r="H92" s="55" t="n">
        <v>364</v>
      </c>
      <c r="I92" s="55" t="n">
        <v>102</v>
      </c>
      <c r="J92" s="55" t="n">
        <v>74</v>
      </c>
      <c r="K92" s="55" t="n">
        <v>44</v>
      </c>
      <c r="L92" s="55" t="n">
        <v>0</v>
      </c>
      <c r="M92" s="55" t="n">
        <v>44</v>
      </c>
      <c r="N92" s="55" t="n">
        <v>0</v>
      </c>
      <c r="O92" s="55" t="n">
        <v>2</v>
      </c>
      <c r="P92" s="56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7">
        <f>M92*P92+K92*V92</f>
        <v/>
      </c>
      <c r="V92" s="56" t="n">
        <v>90</v>
      </c>
      <c r="W92" s="55" t="n">
        <v>191</v>
      </c>
      <c r="X92" s="55" t="n">
        <v>180</v>
      </c>
      <c r="Y92" s="58">
        <f>W92+X92</f>
        <v/>
      </c>
      <c r="Z92" s="56" t="n">
        <v>6534</v>
      </c>
      <c r="AA92" s="56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5" t="n">
        <v>0</v>
      </c>
      <c r="H93" s="55" t="n">
        <v>0</v>
      </c>
      <c r="I93" s="55" t="n">
        <v>0</v>
      </c>
      <c r="J93" s="55" t="n">
        <v>0</v>
      </c>
      <c r="K93" s="55" t="n">
        <v>0</v>
      </c>
      <c r="L93" s="55" t="n">
        <v>43</v>
      </c>
      <c r="M93" s="55" t="n">
        <v>43</v>
      </c>
      <c r="N93" s="55" t="n">
        <v>44</v>
      </c>
      <c r="O93" s="55" t="n">
        <v>2</v>
      </c>
      <c r="P93" s="56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7">
        <f>M93*P93+K93*V93</f>
        <v/>
      </c>
      <c r="V93" s="56" t="n">
        <v>90</v>
      </c>
      <c r="W93" s="55" t="n">
        <v>0</v>
      </c>
      <c r="X93" s="55" t="n">
        <v>0</v>
      </c>
      <c r="Y93" s="58">
        <f>W93+X93</f>
        <v/>
      </c>
      <c r="Z93" s="56" t="n">
        <v>0</v>
      </c>
      <c r="AA93" s="56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5" t="n">
        <v>0</v>
      </c>
      <c r="H94" s="55" t="n">
        <v>0</v>
      </c>
      <c r="I94" s="55" t="n">
        <v>0</v>
      </c>
      <c r="J94" s="55" t="n">
        <v>0</v>
      </c>
      <c r="K94" s="55" t="n">
        <v>0</v>
      </c>
      <c r="L94" s="55" t="n">
        <v>42</v>
      </c>
      <c r="M94" s="55" t="n">
        <v>42</v>
      </c>
      <c r="N94" s="55" t="n">
        <v>43</v>
      </c>
      <c r="O94" s="55" t="n">
        <v>2</v>
      </c>
      <c r="P94" s="56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7">
        <f>M94*P94+K94*V94</f>
        <v/>
      </c>
      <c r="V94" s="56" t="n">
        <v>90</v>
      </c>
      <c r="W94" s="55" t="n">
        <v>0</v>
      </c>
      <c r="X94" s="55" t="n">
        <v>0</v>
      </c>
      <c r="Y94" s="58">
        <f>W94+X94</f>
        <v/>
      </c>
      <c r="Z94" s="56" t="n">
        <v>0</v>
      </c>
      <c r="AA94" s="56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5" t="n">
        <v>1</v>
      </c>
      <c r="H95" s="55" t="n">
        <v>755</v>
      </c>
      <c r="I95" s="55" t="n">
        <v>151</v>
      </c>
      <c r="J95" s="55" t="n">
        <v>106</v>
      </c>
      <c r="K95" s="55" t="n">
        <v>44</v>
      </c>
      <c r="L95" s="55" t="n">
        <v>0</v>
      </c>
      <c r="M95" s="55" t="n">
        <v>44</v>
      </c>
      <c r="N95" s="55" t="n">
        <v>0</v>
      </c>
      <c r="O95" s="55" t="n">
        <v>2</v>
      </c>
      <c r="P95" s="56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7">
        <f>M95*P95+K95*V95</f>
        <v/>
      </c>
      <c r="V95" s="56" t="n">
        <v>90</v>
      </c>
      <c r="W95" s="55" t="n">
        <v>396</v>
      </c>
      <c r="X95" s="55" t="n">
        <v>373</v>
      </c>
      <c r="Y95" s="58">
        <f>W95+X95</f>
        <v/>
      </c>
      <c r="Z95" s="56" t="n">
        <v>13542</v>
      </c>
      <c r="AA95" s="56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5" t="n">
        <v>0</v>
      </c>
      <c r="H96" s="55" t="n">
        <v>0</v>
      </c>
      <c r="I96" s="55" t="n">
        <v>0</v>
      </c>
      <c r="J96" s="55" t="n">
        <v>0</v>
      </c>
      <c r="K96" s="55" t="n">
        <v>0</v>
      </c>
      <c r="L96" s="55" t="n">
        <v>43</v>
      </c>
      <c r="M96" s="55" t="n">
        <v>43</v>
      </c>
      <c r="N96" s="55" t="n">
        <v>44</v>
      </c>
      <c r="O96" s="55" t="n">
        <v>2</v>
      </c>
      <c r="P96" s="56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7">
        <f>M96*P96+K96*V96</f>
        <v/>
      </c>
      <c r="V96" s="56" t="n">
        <v>90</v>
      </c>
      <c r="W96" s="55" t="n">
        <v>0</v>
      </c>
      <c r="X96" s="55" t="n">
        <v>0</v>
      </c>
      <c r="Y96" s="58">
        <f>W96+X96</f>
        <v/>
      </c>
      <c r="Z96" s="56" t="n">
        <v>0</v>
      </c>
      <c r="AA96" s="56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5" t="n">
        <v>1</v>
      </c>
      <c r="H97" s="55" t="n">
        <v>802</v>
      </c>
      <c r="I97" s="55" t="n">
        <v>160</v>
      </c>
      <c r="J97" s="55" t="n">
        <v>112</v>
      </c>
      <c r="K97" s="55" t="n">
        <v>47</v>
      </c>
      <c r="L97" s="55" t="n">
        <v>0</v>
      </c>
      <c r="M97" s="55" t="n">
        <v>47</v>
      </c>
      <c r="N97" s="55" t="n">
        <v>0</v>
      </c>
      <c r="O97" s="55" t="n">
        <v>2</v>
      </c>
      <c r="P97" s="56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7">
        <f>M97*P97+K97*V97</f>
        <v/>
      </c>
      <c r="V97" s="56" t="n">
        <v>90</v>
      </c>
      <c r="W97" s="55" t="n">
        <v>281</v>
      </c>
      <c r="X97" s="55" t="n">
        <v>516</v>
      </c>
      <c r="Y97" s="58">
        <f>W97+X97</f>
        <v/>
      </c>
      <c r="Z97" s="56" t="n">
        <v>19782</v>
      </c>
      <c r="AA97" s="56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5" t="n">
        <v>0</v>
      </c>
      <c r="H98" s="55" t="n">
        <v>0</v>
      </c>
      <c r="I98" s="55" t="n">
        <v>0</v>
      </c>
      <c r="J98" s="55" t="n">
        <v>0</v>
      </c>
      <c r="K98" s="55" t="n">
        <v>0</v>
      </c>
      <c r="L98" s="55" t="n">
        <v>45</v>
      </c>
      <c r="M98" s="55" t="n">
        <v>45</v>
      </c>
      <c r="N98" s="55" t="n">
        <v>47</v>
      </c>
      <c r="O98" s="55" t="n">
        <v>2</v>
      </c>
      <c r="P98" s="56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7">
        <f>M98*P98+K98*V98</f>
        <v/>
      </c>
      <c r="V98" s="56" t="n">
        <v>90</v>
      </c>
      <c r="W98" s="55" t="n">
        <v>0</v>
      </c>
      <c r="X98" s="55" t="n">
        <v>0</v>
      </c>
      <c r="Y98" s="58">
        <f>W98+X98</f>
        <v/>
      </c>
      <c r="Z98" s="56" t="n">
        <v>0</v>
      </c>
      <c r="AA98" s="56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5" t="n">
        <v>0</v>
      </c>
      <c r="H99" s="55" t="n">
        <v>0</v>
      </c>
      <c r="I99" s="55" t="n">
        <v>0</v>
      </c>
      <c r="J99" s="55" t="n">
        <v>0</v>
      </c>
      <c r="K99" s="55" t="n">
        <v>0</v>
      </c>
      <c r="L99" s="55" t="n">
        <v>44</v>
      </c>
      <c r="M99" s="55" t="n">
        <v>44</v>
      </c>
      <c r="N99" s="55" t="n">
        <v>45</v>
      </c>
      <c r="O99" s="55" t="n">
        <v>2</v>
      </c>
      <c r="P99" s="56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7">
        <f>M99*P99+K99*V99</f>
        <v/>
      </c>
      <c r="V99" s="56" t="n">
        <v>90</v>
      </c>
      <c r="W99" s="55" t="n">
        <v>0</v>
      </c>
      <c r="X99" s="55" t="n">
        <v>0</v>
      </c>
      <c r="Y99" s="58">
        <f>W99+X99</f>
        <v/>
      </c>
      <c r="Z99" s="56" t="n">
        <v>0</v>
      </c>
      <c r="AA99" s="56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5" t="n">
        <v>1</v>
      </c>
      <c r="H100" s="55" t="n">
        <v>642</v>
      </c>
      <c r="I100" s="55" t="n">
        <v>128</v>
      </c>
      <c r="J100" s="55" t="n">
        <v>90</v>
      </c>
      <c r="K100" s="55" t="n">
        <v>38</v>
      </c>
      <c r="L100" s="55" t="n">
        <v>0</v>
      </c>
      <c r="M100" s="55" t="n">
        <v>38</v>
      </c>
      <c r="N100" s="55" t="n">
        <v>0</v>
      </c>
      <c r="O100" s="55" t="n">
        <v>2</v>
      </c>
      <c r="P100" s="56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7">
        <f>M100*P100+K100*V100</f>
        <v/>
      </c>
      <c r="V100" s="56" t="n">
        <v>90</v>
      </c>
      <c r="W100" s="55" t="n">
        <v>243</v>
      </c>
      <c r="X100" s="55" t="n">
        <v>392</v>
      </c>
      <c r="Y100" s="58">
        <f>W100+X100</f>
        <v/>
      </c>
      <c r="Z100" s="56" t="n">
        <v>13575</v>
      </c>
      <c r="AA100" s="56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5" t="n">
        <v>0</v>
      </c>
      <c r="H101" s="55" t="n">
        <v>0</v>
      </c>
      <c r="I101" s="55" t="n">
        <v>0</v>
      </c>
      <c r="J101" s="55" t="n">
        <v>0</v>
      </c>
      <c r="K101" s="55" t="n">
        <v>0</v>
      </c>
      <c r="L101" s="55" t="n">
        <v>37</v>
      </c>
      <c r="M101" s="55" t="n">
        <v>37</v>
      </c>
      <c r="N101" s="55" t="n">
        <v>38</v>
      </c>
      <c r="O101" s="55" t="n">
        <v>2</v>
      </c>
      <c r="P101" s="56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7">
        <f>M101*P101+K101*V101</f>
        <v/>
      </c>
      <c r="V101" s="56" t="n">
        <v>90</v>
      </c>
      <c r="W101" s="55" t="n">
        <v>0</v>
      </c>
      <c r="X101" s="55" t="n">
        <v>0</v>
      </c>
      <c r="Y101" s="58">
        <f>W101+X101</f>
        <v/>
      </c>
      <c r="Z101" s="56" t="n">
        <v>0</v>
      </c>
      <c r="AA101" s="56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5" t="n">
        <v>0</v>
      </c>
      <c r="H102" s="55" t="n">
        <v>0</v>
      </c>
      <c r="I102" s="55" t="n">
        <v>0</v>
      </c>
      <c r="J102" s="55" t="n">
        <v>0</v>
      </c>
      <c r="K102" s="55" t="n">
        <v>0</v>
      </c>
      <c r="L102" s="55" t="n">
        <v>36</v>
      </c>
      <c r="M102" s="55" t="n">
        <v>36</v>
      </c>
      <c r="N102" s="55" t="n">
        <v>37</v>
      </c>
      <c r="O102" s="55" t="n">
        <v>2</v>
      </c>
      <c r="P102" s="56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7">
        <f>M102*P102+K102*V102</f>
        <v/>
      </c>
      <c r="V102" s="56" t="n">
        <v>90</v>
      </c>
      <c r="W102" s="55" t="n">
        <v>0</v>
      </c>
      <c r="X102" s="55" t="n">
        <v>0</v>
      </c>
      <c r="Y102" s="58">
        <f>W102+X102</f>
        <v/>
      </c>
      <c r="Z102" s="56" t="n">
        <v>0</v>
      </c>
      <c r="AA102" s="56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5" t="n">
        <v>1</v>
      </c>
      <c r="H103" s="55" t="n">
        <v>642</v>
      </c>
      <c r="I103" s="55" t="n">
        <v>128</v>
      </c>
      <c r="J103" s="55" t="n">
        <v>90</v>
      </c>
      <c r="K103" s="55" t="n">
        <v>38</v>
      </c>
      <c r="L103" s="55" t="n">
        <v>0</v>
      </c>
      <c r="M103" s="55" t="n">
        <v>38</v>
      </c>
      <c r="N103" s="55" t="n">
        <v>0</v>
      </c>
      <c r="O103" s="55" t="n">
        <v>2</v>
      </c>
      <c r="P103" s="56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7">
        <f>M103*P103+K103*V103</f>
        <v/>
      </c>
      <c r="V103" s="56" t="n">
        <v>90</v>
      </c>
      <c r="W103" s="55" t="n">
        <v>237</v>
      </c>
      <c r="X103" s="55" t="n">
        <v>399</v>
      </c>
      <c r="Y103" s="58">
        <f>W103+X103</f>
        <v/>
      </c>
      <c r="Z103" s="56" t="n">
        <v>13798</v>
      </c>
      <c r="AA103" s="56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5" t="n">
        <v>0</v>
      </c>
      <c r="H104" s="55" t="n">
        <v>0</v>
      </c>
      <c r="I104" s="55" t="n">
        <v>0</v>
      </c>
      <c r="J104" s="55" t="n">
        <v>0</v>
      </c>
      <c r="K104" s="55" t="n">
        <v>0</v>
      </c>
      <c r="L104" s="55" t="n">
        <v>37</v>
      </c>
      <c r="M104" s="55" t="n">
        <v>37</v>
      </c>
      <c r="N104" s="55" t="n">
        <v>38</v>
      </c>
      <c r="O104" s="55" t="n">
        <v>2</v>
      </c>
      <c r="P104" s="56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7">
        <f>M104*P104+K104*V104</f>
        <v/>
      </c>
      <c r="V104" s="56" t="n">
        <v>90</v>
      </c>
      <c r="W104" s="55" t="n">
        <v>0</v>
      </c>
      <c r="X104" s="55" t="n">
        <v>0</v>
      </c>
      <c r="Y104" s="58">
        <f>W104+X104</f>
        <v/>
      </c>
      <c r="Z104" s="56" t="n">
        <v>0</v>
      </c>
      <c r="AA104" s="56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5" t="n">
        <v>0</v>
      </c>
      <c r="H105" s="55" t="n">
        <v>0</v>
      </c>
      <c r="I105" s="55" t="n">
        <v>0</v>
      </c>
      <c r="J105" s="55" t="n">
        <v>0</v>
      </c>
      <c r="K105" s="55" t="n">
        <v>0</v>
      </c>
      <c r="L105" s="55" t="n">
        <v>36</v>
      </c>
      <c r="M105" s="55" t="n">
        <v>36</v>
      </c>
      <c r="N105" s="55" t="n">
        <v>37</v>
      </c>
      <c r="O105" s="55" t="n">
        <v>2</v>
      </c>
      <c r="P105" s="56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7">
        <f>M105*P105+K105*V105</f>
        <v/>
      </c>
      <c r="V105" s="56" t="n">
        <v>90</v>
      </c>
      <c r="W105" s="55" t="n">
        <v>0</v>
      </c>
      <c r="X105" s="55" t="n">
        <v>0</v>
      </c>
      <c r="Y105" s="58">
        <f>W105+X105</f>
        <v/>
      </c>
      <c r="Z105" s="56" t="n">
        <v>0</v>
      </c>
      <c r="AA105" s="56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5" t="n">
        <v>1</v>
      </c>
      <c r="H106" s="55" t="n">
        <v>741</v>
      </c>
      <c r="I106" s="55" t="n">
        <v>148</v>
      </c>
      <c r="J106" s="55" t="n">
        <v>104</v>
      </c>
      <c r="K106" s="55" t="n">
        <v>43</v>
      </c>
      <c r="L106" s="55" t="n">
        <v>0</v>
      </c>
      <c r="M106" s="55" t="n">
        <v>43</v>
      </c>
      <c r="N106" s="55" t="n">
        <v>0</v>
      </c>
      <c r="O106" s="55" t="n">
        <v>2</v>
      </c>
      <c r="P106" s="56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7">
        <f>M106*P106+K106*V106</f>
        <v/>
      </c>
      <c r="V106" s="56" t="n">
        <v>90</v>
      </c>
      <c r="W106" s="55" t="n">
        <v>355</v>
      </c>
      <c r="X106" s="55" t="n">
        <v>399</v>
      </c>
      <c r="Y106" s="58">
        <f>W106+X106</f>
        <v/>
      </c>
      <c r="Z106" s="56" t="n">
        <v>16642</v>
      </c>
      <c r="AA106" s="56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5" t="n">
        <v>0</v>
      </c>
      <c r="H107" s="55" t="n">
        <v>0</v>
      </c>
      <c r="I107" s="55" t="n">
        <v>0</v>
      </c>
      <c r="J107" s="55" t="n">
        <v>0</v>
      </c>
      <c r="K107" s="55" t="n">
        <v>0</v>
      </c>
      <c r="L107" s="55" t="n">
        <v>42</v>
      </c>
      <c r="M107" s="55" t="n">
        <v>42</v>
      </c>
      <c r="N107" s="55" t="n">
        <v>43</v>
      </c>
      <c r="O107" s="55" t="n">
        <v>2</v>
      </c>
      <c r="P107" s="56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7">
        <f>M107*P107+K107*V107</f>
        <v/>
      </c>
      <c r="V107" s="56" t="n">
        <v>90</v>
      </c>
      <c r="W107" s="55" t="n">
        <v>0</v>
      </c>
      <c r="X107" s="55" t="n">
        <v>0</v>
      </c>
      <c r="Y107" s="58">
        <f>W107+X107</f>
        <v/>
      </c>
      <c r="Z107" s="56" t="n">
        <v>0</v>
      </c>
      <c r="AA107" s="56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5" t="n">
        <v>1</v>
      </c>
      <c r="H108" s="55" t="n">
        <v>741</v>
      </c>
      <c r="I108" s="55" t="n">
        <v>148</v>
      </c>
      <c r="J108" s="55" t="n">
        <v>104</v>
      </c>
      <c r="K108" s="55" t="n">
        <v>43</v>
      </c>
      <c r="L108" s="55" t="n">
        <v>0</v>
      </c>
      <c r="M108" s="55" t="n">
        <v>43</v>
      </c>
      <c r="N108" s="55" t="n">
        <v>0</v>
      </c>
      <c r="O108" s="55" t="n">
        <v>2</v>
      </c>
      <c r="P108" s="56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7">
        <f>M108*P108+K108*V108</f>
        <v/>
      </c>
      <c r="V108" s="56" t="n">
        <v>90</v>
      </c>
      <c r="W108" s="55" t="n">
        <v>355</v>
      </c>
      <c r="X108" s="55" t="n">
        <v>399</v>
      </c>
      <c r="Y108" s="58">
        <f>W108+X108</f>
        <v/>
      </c>
      <c r="Z108" s="56" t="n">
        <v>16642</v>
      </c>
      <c r="AA108" s="56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5" t="n">
        <v>0</v>
      </c>
      <c r="H109" s="55" t="n">
        <v>0</v>
      </c>
      <c r="I109" s="55" t="n">
        <v>0</v>
      </c>
      <c r="J109" s="55" t="n">
        <v>0</v>
      </c>
      <c r="K109" s="55" t="n">
        <v>0</v>
      </c>
      <c r="L109" s="55" t="n">
        <v>42</v>
      </c>
      <c r="M109" s="55" t="n">
        <v>42</v>
      </c>
      <c r="N109" s="55" t="n">
        <v>43</v>
      </c>
      <c r="O109" s="55" t="n">
        <v>2</v>
      </c>
      <c r="P109" s="56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7">
        <f>M109*P109+K109*V109</f>
        <v/>
      </c>
      <c r="V109" s="56" t="n">
        <v>90</v>
      </c>
      <c r="W109" s="55" t="n">
        <v>0</v>
      </c>
      <c r="X109" s="55" t="n">
        <v>0</v>
      </c>
      <c r="Y109" s="58">
        <f>W109+X109</f>
        <v/>
      </c>
      <c r="Z109" s="56" t="n">
        <v>0</v>
      </c>
      <c r="AA109" s="56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5" t="n">
        <v>1</v>
      </c>
      <c r="H110" s="55" t="n">
        <v>580</v>
      </c>
      <c r="I110" s="55" t="n">
        <v>116</v>
      </c>
      <c r="J110" s="55" t="n">
        <v>81</v>
      </c>
      <c r="K110" s="55" t="n">
        <v>34</v>
      </c>
      <c r="L110" s="55" t="n">
        <v>0</v>
      </c>
      <c r="M110" s="55" t="n">
        <v>34</v>
      </c>
      <c r="N110" s="55" t="n">
        <v>0</v>
      </c>
      <c r="O110" s="55" t="n">
        <v>2</v>
      </c>
      <c r="P110" s="56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7">
        <f>M110*P110+K110*V110</f>
        <v/>
      </c>
      <c r="V110" s="56" t="n">
        <v>90</v>
      </c>
      <c r="W110" s="55" t="n">
        <v>314</v>
      </c>
      <c r="X110" s="55" t="n">
        <v>276</v>
      </c>
      <c r="Y110" s="58">
        <f>W110+X110</f>
        <v/>
      </c>
      <c r="Z110" s="56" t="n">
        <v>9986</v>
      </c>
      <c r="AA110" s="56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5" t="n">
        <v>0</v>
      </c>
      <c r="H111" s="55" t="n">
        <v>0</v>
      </c>
      <c r="I111" s="55" t="n">
        <v>0</v>
      </c>
      <c r="J111" s="55" t="n">
        <v>0</v>
      </c>
      <c r="K111" s="55" t="n">
        <v>0</v>
      </c>
      <c r="L111" s="55" t="n">
        <v>33</v>
      </c>
      <c r="M111" s="55" t="n">
        <v>33</v>
      </c>
      <c r="N111" s="55" t="n">
        <v>34</v>
      </c>
      <c r="O111" s="55" t="n">
        <v>2</v>
      </c>
      <c r="P111" s="56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7">
        <f>M111*P111+K111*V111</f>
        <v/>
      </c>
      <c r="V111" s="56" t="n">
        <v>90</v>
      </c>
      <c r="W111" s="55" t="n">
        <v>0</v>
      </c>
      <c r="X111" s="55" t="n">
        <v>0</v>
      </c>
      <c r="Y111" s="58">
        <f>W111+X111</f>
        <v/>
      </c>
      <c r="Z111" s="56" t="n">
        <v>0</v>
      </c>
      <c r="AA111" s="56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5" t="n">
        <v>1</v>
      </c>
      <c r="H112" s="55" t="n">
        <v>580</v>
      </c>
      <c r="I112" s="55" t="n">
        <v>116</v>
      </c>
      <c r="J112" s="55" t="n">
        <v>81</v>
      </c>
      <c r="K112" s="55" t="n">
        <v>34</v>
      </c>
      <c r="L112" s="55" t="n">
        <v>0</v>
      </c>
      <c r="M112" s="55" t="n">
        <v>34</v>
      </c>
      <c r="N112" s="55" t="n">
        <v>0</v>
      </c>
      <c r="O112" s="55" t="n">
        <v>2</v>
      </c>
      <c r="P112" s="56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7">
        <f>M112*P112+K112*V112</f>
        <v/>
      </c>
      <c r="V112" s="56" t="n">
        <v>90</v>
      </c>
      <c r="W112" s="55" t="n">
        <v>313</v>
      </c>
      <c r="X112" s="55" t="n">
        <v>276</v>
      </c>
      <c r="Y112" s="58">
        <f>W112+X112</f>
        <v/>
      </c>
      <c r="Z112" s="56" t="n">
        <v>9985</v>
      </c>
      <c r="AA112" s="56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5" t="n">
        <v>0</v>
      </c>
      <c r="H113" s="55" t="n">
        <v>0</v>
      </c>
      <c r="I113" s="55" t="n">
        <v>0</v>
      </c>
      <c r="J113" s="55" t="n">
        <v>0</v>
      </c>
      <c r="K113" s="55" t="n">
        <v>0</v>
      </c>
      <c r="L113" s="55" t="n">
        <v>33</v>
      </c>
      <c r="M113" s="55" t="n">
        <v>33</v>
      </c>
      <c r="N113" s="55" t="n">
        <v>34</v>
      </c>
      <c r="O113" s="55" t="n">
        <v>2</v>
      </c>
      <c r="P113" s="56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7">
        <f>M113*P113+K113*V113</f>
        <v/>
      </c>
      <c r="V113" s="56" t="n">
        <v>90</v>
      </c>
      <c r="W113" s="55" t="n">
        <v>0</v>
      </c>
      <c r="X113" s="55" t="n">
        <v>0</v>
      </c>
      <c r="Y113" s="58">
        <f>W113+X113</f>
        <v/>
      </c>
      <c r="Z113" s="56" t="n">
        <v>0</v>
      </c>
      <c r="AA113" s="56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5" t="n">
        <v>1</v>
      </c>
      <c r="H114" s="55" t="n">
        <v>755</v>
      </c>
      <c r="I114" s="55" t="n">
        <v>151</v>
      </c>
      <c r="J114" s="55" t="n">
        <v>106</v>
      </c>
      <c r="K114" s="55" t="n">
        <v>44</v>
      </c>
      <c r="L114" s="55" t="n">
        <v>0</v>
      </c>
      <c r="M114" s="55" t="n">
        <v>44</v>
      </c>
      <c r="N114" s="55" t="n">
        <v>0</v>
      </c>
      <c r="O114" s="55" t="n">
        <v>2</v>
      </c>
      <c r="P114" s="56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7">
        <f>M114*P114+K114*V114</f>
        <v/>
      </c>
      <c r="V114" s="56" t="n">
        <v>90</v>
      </c>
      <c r="W114" s="55" t="n">
        <v>235</v>
      </c>
      <c r="X114" s="55" t="n">
        <v>538</v>
      </c>
      <c r="Y114" s="58">
        <f>W114+X114</f>
        <v/>
      </c>
      <c r="Z114" s="56" t="n">
        <v>27491</v>
      </c>
      <c r="AA114" s="56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5" t="n">
        <v>0</v>
      </c>
      <c r="H115" s="55" t="n">
        <v>0</v>
      </c>
      <c r="I115" s="55" t="n">
        <v>0</v>
      </c>
      <c r="J115" s="55" t="n">
        <v>0</v>
      </c>
      <c r="K115" s="55" t="n">
        <v>0</v>
      </c>
      <c r="L115" s="55" t="n">
        <v>43</v>
      </c>
      <c r="M115" s="55" t="n">
        <v>43</v>
      </c>
      <c r="N115" s="55" t="n">
        <v>44</v>
      </c>
      <c r="O115" s="55" t="n">
        <v>2</v>
      </c>
      <c r="P115" s="56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7">
        <f>M115*P115+K115*V115</f>
        <v/>
      </c>
      <c r="V115" s="56" t="n">
        <v>90</v>
      </c>
      <c r="W115" s="55" t="n">
        <v>0</v>
      </c>
      <c r="X115" s="55" t="n">
        <v>0</v>
      </c>
      <c r="Y115" s="58">
        <f>W115+X115</f>
        <v/>
      </c>
      <c r="Z115" s="56" t="n">
        <v>0</v>
      </c>
      <c r="AA115" s="56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5" t="n">
        <v>0</v>
      </c>
      <c r="H116" s="55" t="n">
        <v>0</v>
      </c>
      <c r="I116" s="55" t="n">
        <v>0</v>
      </c>
      <c r="J116" s="55" t="n">
        <v>0</v>
      </c>
      <c r="K116" s="55" t="n">
        <v>0</v>
      </c>
      <c r="L116" s="55" t="n">
        <v>42</v>
      </c>
      <c r="M116" s="55" t="n">
        <v>42</v>
      </c>
      <c r="N116" s="55" t="n">
        <v>43</v>
      </c>
      <c r="O116" s="55" t="n">
        <v>2</v>
      </c>
      <c r="P116" s="56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7">
        <f>M116*P116+K116*V116</f>
        <v/>
      </c>
      <c r="V116" s="56" t="n">
        <v>90</v>
      </c>
      <c r="W116" s="55" t="n">
        <v>0</v>
      </c>
      <c r="X116" s="55" t="n">
        <v>0</v>
      </c>
      <c r="Y116" s="58">
        <f>W116+X116</f>
        <v/>
      </c>
      <c r="Z116" s="56" t="n">
        <v>0</v>
      </c>
      <c r="AA116" s="56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5" t="n">
        <v>1</v>
      </c>
      <c r="H117" s="55" t="n">
        <v>642</v>
      </c>
      <c r="I117" s="55" t="n">
        <v>128</v>
      </c>
      <c r="J117" s="55" t="n">
        <v>90</v>
      </c>
      <c r="K117" s="55" t="n">
        <v>38</v>
      </c>
      <c r="L117" s="55" t="n">
        <v>0</v>
      </c>
      <c r="M117" s="55" t="n">
        <v>38</v>
      </c>
      <c r="N117" s="55" t="n">
        <v>0</v>
      </c>
      <c r="O117" s="55" t="n">
        <v>2</v>
      </c>
      <c r="P117" s="56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7">
        <f>M117*P117+K117*V117</f>
        <v/>
      </c>
      <c r="V117" s="56" t="n">
        <v>90</v>
      </c>
      <c r="W117" s="55" t="n">
        <v>247</v>
      </c>
      <c r="X117" s="55" t="n">
        <v>410</v>
      </c>
      <c r="Y117" s="58">
        <f>W117+X117</f>
        <v/>
      </c>
      <c r="Z117" s="56" t="n">
        <v>17136</v>
      </c>
      <c r="AA117" s="56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5" t="n">
        <v>0</v>
      </c>
      <c r="H118" s="55" t="n">
        <v>0</v>
      </c>
      <c r="I118" s="55" t="n">
        <v>0</v>
      </c>
      <c r="J118" s="55" t="n">
        <v>0</v>
      </c>
      <c r="K118" s="55" t="n">
        <v>0</v>
      </c>
      <c r="L118" s="55" t="n">
        <v>37</v>
      </c>
      <c r="M118" s="55" t="n">
        <v>37</v>
      </c>
      <c r="N118" s="55" t="n">
        <v>38</v>
      </c>
      <c r="O118" s="55" t="n">
        <v>2</v>
      </c>
      <c r="P118" s="56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7">
        <f>M118*P118+K118*V118</f>
        <v/>
      </c>
      <c r="V118" s="56" t="n">
        <v>90</v>
      </c>
      <c r="W118" s="55" t="n">
        <v>0</v>
      </c>
      <c r="X118" s="55" t="n">
        <v>0</v>
      </c>
      <c r="Y118" s="58">
        <f>W118+X118</f>
        <v/>
      </c>
      <c r="Z118" s="56" t="n">
        <v>0</v>
      </c>
      <c r="AA118" s="56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5" t="n">
        <v>0</v>
      </c>
      <c r="H119" s="55" t="n">
        <v>0</v>
      </c>
      <c r="I119" s="55" t="n">
        <v>0</v>
      </c>
      <c r="J119" s="55" t="n">
        <v>0</v>
      </c>
      <c r="K119" s="55" t="n">
        <v>0</v>
      </c>
      <c r="L119" s="55" t="n">
        <v>36</v>
      </c>
      <c r="M119" s="55" t="n">
        <v>36</v>
      </c>
      <c r="N119" s="55" t="n">
        <v>37</v>
      </c>
      <c r="O119" s="55" t="n">
        <v>2</v>
      </c>
      <c r="P119" s="56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7">
        <f>M119*P119+K119*V119</f>
        <v/>
      </c>
      <c r="V119" s="56" t="n">
        <v>90</v>
      </c>
      <c r="W119" s="55" t="n">
        <v>0</v>
      </c>
      <c r="X119" s="55" t="n">
        <v>0</v>
      </c>
      <c r="Y119" s="58">
        <f>W119+X119</f>
        <v/>
      </c>
      <c r="Z119" s="56" t="n">
        <v>0</v>
      </c>
      <c r="AA119" s="56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5" t="n">
        <v>1</v>
      </c>
      <c r="H120" s="55" t="n">
        <v>575</v>
      </c>
      <c r="I120" s="55" t="n">
        <v>161</v>
      </c>
      <c r="J120" s="55" t="n">
        <v>116</v>
      </c>
      <c r="K120" s="55" t="n">
        <v>69</v>
      </c>
      <c r="L120" s="55" t="n">
        <v>0</v>
      </c>
      <c r="M120" s="55" t="n">
        <v>69</v>
      </c>
      <c r="N120" s="55" t="n">
        <v>0</v>
      </c>
      <c r="O120" s="55" t="n">
        <v>3</v>
      </c>
      <c r="P120" s="56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7">
        <f>M120*P120+K120*V120</f>
        <v/>
      </c>
      <c r="V120" s="56" t="n">
        <v>90</v>
      </c>
      <c r="W120" s="55" t="n">
        <v>203</v>
      </c>
      <c r="X120" s="55" t="n">
        <v>379</v>
      </c>
      <c r="Y120" s="58">
        <f>W120+X120</f>
        <v/>
      </c>
      <c r="Z120" s="56" t="n">
        <v>18451</v>
      </c>
      <c r="AA120" s="56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5" t="n">
        <v>0</v>
      </c>
      <c r="H121" s="55" t="n">
        <v>0</v>
      </c>
      <c r="I121" s="55" t="n">
        <v>0</v>
      </c>
      <c r="J121" s="55" t="n">
        <v>0</v>
      </c>
      <c r="K121" s="55" t="n">
        <v>0</v>
      </c>
      <c r="L121" s="55" t="n">
        <v>68</v>
      </c>
      <c r="M121" s="55" t="n">
        <v>68</v>
      </c>
      <c r="N121" s="55" t="n">
        <v>69</v>
      </c>
      <c r="O121" s="55" t="n">
        <v>3</v>
      </c>
      <c r="P121" s="56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7">
        <f>M121*P121+K121*V121</f>
        <v/>
      </c>
      <c r="V121" s="56" t="n">
        <v>90</v>
      </c>
      <c r="W121" s="55" t="n">
        <v>0</v>
      </c>
      <c r="X121" s="55" t="n">
        <v>0</v>
      </c>
      <c r="Y121" s="58">
        <f>W121+X121</f>
        <v/>
      </c>
      <c r="Z121" s="56" t="n">
        <v>0</v>
      </c>
      <c r="AA121" s="56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5" t="n">
        <v>0</v>
      </c>
      <c r="H122" s="55" t="n">
        <v>0</v>
      </c>
      <c r="I122" s="55" t="n">
        <v>0</v>
      </c>
      <c r="J122" s="55" t="n">
        <v>0</v>
      </c>
      <c r="K122" s="55" t="n">
        <v>0</v>
      </c>
      <c r="L122" s="55" t="n">
        <v>66</v>
      </c>
      <c r="M122" s="55" t="n">
        <v>66</v>
      </c>
      <c r="N122" s="55" t="n">
        <v>68</v>
      </c>
      <c r="O122" s="55" t="n">
        <v>3</v>
      </c>
      <c r="P122" s="56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7">
        <f>M122*P122+K122*V122</f>
        <v/>
      </c>
      <c r="V122" s="56" t="n">
        <v>90</v>
      </c>
      <c r="W122" s="55" t="n">
        <v>0</v>
      </c>
      <c r="X122" s="55" t="n">
        <v>0</v>
      </c>
      <c r="Y122" s="58">
        <f>W122+X122</f>
        <v/>
      </c>
      <c r="Z122" s="56" t="n">
        <v>0</v>
      </c>
      <c r="AA122" s="56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5" t="n">
        <v>1</v>
      </c>
      <c r="H123" s="55" t="n">
        <v>1184</v>
      </c>
      <c r="I123" s="55" t="n">
        <v>237</v>
      </c>
      <c r="J123" s="55" t="n">
        <v>166</v>
      </c>
      <c r="K123" s="55" t="n">
        <v>69</v>
      </c>
      <c r="L123" s="55" t="n">
        <v>0</v>
      </c>
      <c r="M123" s="55" t="n">
        <v>69</v>
      </c>
      <c r="N123" s="55" t="n">
        <v>0</v>
      </c>
      <c r="O123" s="55" t="n">
        <v>3</v>
      </c>
      <c r="P123" s="56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7">
        <f>M123*P123+K123*V123</f>
        <v/>
      </c>
      <c r="V123" s="56" t="n">
        <v>90</v>
      </c>
      <c r="W123" s="55" t="n">
        <v>418</v>
      </c>
      <c r="X123" s="55" t="n">
        <v>779</v>
      </c>
      <c r="Y123" s="58">
        <f>W123+X123</f>
        <v/>
      </c>
      <c r="Z123" s="56" t="n">
        <v>37987</v>
      </c>
      <c r="AA123" s="56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5" t="n">
        <v>0</v>
      </c>
      <c r="H124" s="55" t="n">
        <v>0</v>
      </c>
      <c r="I124" s="55" t="n">
        <v>0</v>
      </c>
      <c r="J124" s="55" t="n">
        <v>0</v>
      </c>
      <c r="K124" s="55" t="n">
        <v>0</v>
      </c>
      <c r="L124" s="55" t="n">
        <v>68</v>
      </c>
      <c r="M124" s="55" t="n">
        <v>68</v>
      </c>
      <c r="N124" s="55" t="n">
        <v>69</v>
      </c>
      <c r="O124" s="55" t="n">
        <v>3</v>
      </c>
      <c r="P124" s="56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7">
        <f>M124*P124+K124*V124</f>
        <v/>
      </c>
      <c r="V124" s="56" t="n">
        <v>90</v>
      </c>
      <c r="W124" s="55" t="n">
        <v>0</v>
      </c>
      <c r="X124" s="55" t="n">
        <v>0</v>
      </c>
      <c r="Y124" s="58">
        <f>W124+X124</f>
        <v/>
      </c>
      <c r="Z124" s="56" t="n">
        <v>0</v>
      </c>
      <c r="AA124" s="56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5" t="n">
        <v>1</v>
      </c>
      <c r="H125" s="55" t="n">
        <v>486</v>
      </c>
      <c r="I125" s="55" t="n">
        <v>136</v>
      </c>
      <c r="J125" s="55" t="n">
        <v>98</v>
      </c>
      <c r="K125" s="55" t="n">
        <v>59</v>
      </c>
      <c r="L125" s="55" t="n">
        <v>0</v>
      </c>
      <c r="M125" s="55" t="n">
        <v>59</v>
      </c>
      <c r="N125" s="55" t="n">
        <v>0</v>
      </c>
      <c r="O125" s="55" t="n">
        <v>3</v>
      </c>
      <c r="P125" s="56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7">
        <f>M125*P125+K125*V125</f>
        <v/>
      </c>
      <c r="V125" s="56" t="n">
        <v>90</v>
      </c>
      <c r="W125" s="55" t="n">
        <v>205</v>
      </c>
      <c r="X125" s="55" t="n">
        <v>283</v>
      </c>
      <c r="Y125" s="58">
        <f>W125+X125</f>
        <v/>
      </c>
      <c r="Z125" s="56" t="n">
        <v>11317</v>
      </c>
      <c r="AA125" s="56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5" t="n">
        <v>0</v>
      </c>
      <c r="H126" s="55" t="n">
        <v>0</v>
      </c>
      <c r="I126" s="55" t="n">
        <v>0</v>
      </c>
      <c r="J126" s="55" t="n">
        <v>0</v>
      </c>
      <c r="K126" s="55" t="n">
        <v>0</v>
      </c>
      <c r="L126" s="55" t="n">
        <v>57</v>
      </c>
      <c r="M126" s="55" t="n">
        <v>57</v>
      </c>
      <c r="N126" s="55" t="n">
        <v>59</v>
      </c>
      <c r="O126" s="55" t="n">
        <v>2</v>
      </c>
      <c r="P126" s="56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7">
        <f>M126*P126+K126*V126</f>
        <v/>
      </c>
      <c r="V126" s="56" t="n">
        <v>90</v>
      </c>
      <c r="W126" s="55" t="n">
        <v>0</v>
      </c>
      <c r="X126" s="55" t="n">
        <v>0</v>
      </c>
      <c r="Y126" s="58">
        <f>W126+X126</f>
        <v/>
      </c>
      <c r="Z126" s="56" t="n">
        <v>0</v>
      </c>
      <c r="AA126" s="56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5" t="n">
        <v>0</v>
      </c>
      <c r="H127" s="55" t="n">
        <v>0</v>
      </c>
      <c r="I127" s="55" t="n">
        <v>0</v>
      </c>
      <c r="J127" s="55" t="n">
        <v>0</v>
      </c>
      <c r="K127" s="55" t="n">
        <v>0</v>
      </c>
      <c r="L127" s="55" t="n">
        <v>56</v>
      </c>
      <c r="M127" s="55" t="n">
        <v>56</v>
      </c>
      <c r="N127" s="55" t="n">
        <v>57</v>
      </c>
      <c r="O127" s="55" t="n">
        <v>2</v>
      </c>
      <c r="P127" s="56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7">
        <f>M127*P127+K127*V127</f>
        <v/>
      </c>
      <c r="V127" s="56" t="n">
        <v>90</v>
      </c>
      <c r="W127" s="55" t="n">
        <v>0</v>
      </c>
      <c r="X127" s="55" t="n">
        <v>0</v>
      </c>
      <c r="Y127" s="58">
        <f>W127+X127</f>
        <v/>
      </c>
      <c r="Z127" s="56" t="n">
        <v>0</v>
      </c>
      <c r="AA127" s="56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5" t="n">
        <v>1</v>
      </c>
      <c r="H128" s="55" t="n">
        <v>997</v>
      </c>
      <c r="I128" s="55" t="n">
        <v>199</v>
      </c>
      <c r="J128" s="55" t="n">
        <v>140</v>
      </c>
      <c r="K128" s="55" t="n">
        <v>59</v>
      </c>
      <c r="L128" s="55" t="n">
        <v>0</v>
      </c>
      <c r="M128" s="55" t="n">
        <v>59</v>
      </c>
      <c r="N128" s="55" t="n">
        <v>0</v>
      </c>
      <c r="O128" s="55" t="n">
        <v>3</v>
      </c>
      <c r="P128" s="56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7">
        <f>M128*P128+K128*V128</f>
        <v/>
      </c>
      <c r="V128" s="56" t="n">
        <v>90</v>
      </c>
      <c r="W128" s="55" t="n">
        <v>421</v>
      </c>
      <c r="X128" s="55" t="n">
        <v>580</v>
      </c>
      <c r="Y128" s="58">
        <f>W128+X128</f>
        <v/>
      </c>
      <c r="Z128" s="56" t="n">
        <v>23215</v>
      </c>
      <c r="AA128" s="56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5" t="n">
        <v>0</v>
      </c>
      <c r="H129" s="55" t="n">
        <v>0</v>
      </c>
      <c r="I129" s="55" t="n">
        <v>0</v>
      </c>
      <c r="J129" s="55" t="n">
        <v>0</v>
      </c>
      <c r="K129" s="55" t="n">
        <v>0</v>
      </c>
      <c r="L129" s="55" t="n">
        <v>58</v>
      </c>
      <c r="M129" s="55" t="n">
        <v>58</v>
      </c>
      <c r="N129" s="55" t="n">
        <v>59</v>
      </c>
      <c r="O129" s="55" t="n">
        <v>3</v>
      </c>
      <c r="P129" s="56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7">
        <f>M129*P129+K129*V129</f>
        <v/>
      </c>
      <c r="V129" s="56" t="n">
        <v>90</v>
      </c>
      <c r="W129" s="55" t="n">
        <v>0</v>
      </c>
      <c r="X129" s="55" t="n">
        <v>0</v>
      </c>
      <c r="Y129" s="58">
        <f>W129+X129</f>
        <v/>
      </c>
      <c r="Z129" s="56" t="n">
        <v>0</v>
      </c>
      <c r="AA129" s="56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5" t="n">
        <v>1</v>
      </c>
      <c r="H130" s="55" t="n">
        <v>441</v>
      </c>
      <c r="I130" s="55" t="n">
        <v>124</v>
      </c>
      <c r="J130" s="55" t="n">
        <v>89</v>
      </c>
      <c r="K130" s="55" t="n">
        <v>53</v>
      </c>
      <c r="L130" s="55" t="n">
        <v>0</v>
      </c>
      <c r="M130" s="55" t="n">
        <v>53</v>
      </c>
      <c r="N130" s="55" t="n">
        <v>0</v>
      </c>
      <c r="O130" s="55" t="n">
        <v>2</v>
      </c>
      <c r="P130" s="56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7">
        <f>M130*P130+K130*V130</f>
        <v/>
      </c>
      <c r="V130" s="56" t="n">
        <v>90</v>
      </c>
      <c r="W130" s="55" t="n">
        <v>208</v>
      </c>
      <c r="X130" s="55" t="n">
        <v>233</v>
      </c>
      <c r="Y130" s="58">
        <f>W130+X130</f>
        <v/>
      </c>
      <c r="Z130" s="56" t="n">
        <v>8526</v>
      </c>
      <c r="AA130" s="56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5" t="n">
        <v>0</v>
      </c>
      <c r="H131" s="55" t="n">
        <v>0</v>
      </c>
      <c r="I131" s="55" t="n">
        <v>0</v>
      </c>
      <c r="J131" s="55" t="n">
        <v>0</v>
      </c>
      <c r="K131" s="55" t="n">
        <v>0</v>
      </c>
      <c r="L131" s="55" t="n">
        <v>52</v>
      </c>
      <c r="M131" s="55" t="n">
        <v>52</v>
      </c>
      <c r="N131" s="55" t="n">
        <v>53</v>
      </c>
      <c r="O131" s="55" t="n">
        <v>2</v>
      </c>
      <c r="P131" s="56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7">
        <f>M131*P131+K131*V131</f>
        <v/>
      </c>
      <c r="V131" s="56" t="n">
        <v>90</v>
      </c>
      <c r="W131" s="55" t="n">
        <v>0</v>
      </c>
      <c r="X131" s="55" t="n">
        <v>0</v>
      </c>
      <c r="Y131" s="58">
        <f>W131+X131</f>
        <v/>
      </c>
      <c r="Z131" s="56" t="n">
        <v>0</v>
      </c>
      <c r="AA131" s="56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5" t="n">
        <v>0</v>
      </c>
      <c r="H132" s="55" t="n">
        <v>0</v>
      </c>
      <c r="I132" s="55" t="n">
        <v>0</v>
      </c>
      <c r="J132" s="55" t="n">
        <v>0</v>
      </c>
      <c r="K132" s="55" t="n">
        <v>0</v>
      </c>
      <c r="L132" s="55" t="n">
        <v>51</v>
      </c>
      <c r="M132" s="55" t="n">
        <v>51</v>
      </c>
      <c r="N132" s="55" t="n">
        <v>52</v>
      </c>
      <c r="O132" s="55" t="n">
        <v>2</v>
      </c>
      <c r="P132" s="56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7">
        <f>M132*P132+K132*V132</f>
        <v/>
      </c>
      <c r="V132" s="56" t="n">
        <v>90</v>
      </c>
      <c r="W132" s="55" t="n">
        <v>0</v>
      </c>
      <c r="X132" s="55" t="n">
        <v>0</v>
      </c>
      <c r="Y132" s="58">
        <f>W132+X132</f>
        <v/>
      </c>
      <c r="Z132" s="56" t="n">
        <v>0</v>
      </c>
      <c r="AA132" s="56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5" t="n">
        <v>1</v>
      </c>
      <c r="H133" s="55" t="n">
        <v>908</v>
      </c>
      <c r="I133" s="55" t="n">
        <v>182</v>
      </c>
      <c r="J133" s="55" t="n">
        <v>127</v>
      </c>
      <c r="K133" s="55" t="n">
        <v>53</v>
      </c>
      <c r="L133" s="55" t="n">
        <v>0</v>
      </c>
      <c r="M133" s="55" t="n">
        <v>53</v>
      </c>
      <c r="N133" s="55" t="n">
        <v>0</v>
      </c>
      <c r="O133" s="55" t="n">
        <v>3</v>
      </c>
      <c r="P133" s="56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7">
        <f>M133*P133+K133*V133</f>
        <v/>
      </c>
      <c r="V133" s="56" t="n">
        <v>90</v>
      </c>
      <c r="W133" s="55" t="n">
        <v>428</v>
      </c>
      <c r="X133" s="55" t="n">
        <v>480</v>
      </c>
      <c r="Y133" s="58">
        <f>W133+X133</f>
        <v/>
      </c>
      <c r="Z133" s="56" t="n">
        <v>17534</v>
      </c>
      <c r="AA133" s="56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5" t="n">
        <v>0</v>
      </c>
      <c r="H134" s="55" t="n">
        <v>0</v>
      </c>
      <c r="I134" s="55" t="n">
        <v>0</v>
      </c>
      <c r="J134" s="55" t="n">
        <v>0</v>
      </c>
      <c r="K134" s="55" t="n">
        <v>0</v>
      </c>
      <c r="L134" s="55" t="n">
        <v>53</v>
      </c>
      <c r="M134" s="55" t="n">
        <v>53</v>
      </c>
      <c r="N134" s="55" t="n">
        <v>53</v>
      </c>
      <c r="O134" s="55" t="n">
        <v>3</v>
      </c>
      <c r="P134" s="56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7">
        <f>M134*P134+K134*V134</f>
        <v/>
      </c>
      <c r="V134" s="56" t="n">
        <v>90</v>
      </c>
      <c r="W134" s="55" t="n">
        <v>0</v>
      </c>
      <c r="X134" s="55" t="n">
        <v>0</v>
      </c>
      <c r="Y134" s="58">
        <f>W134+X134</f>
        <v/>
      </c>
      <c r="Z134" s="56" t="n">
        <v>0</v>
      </c>
      <c r="AA134" s="56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5" t="n">
        <v>1</v>
      </c>
      <c r="H135" s="55" t="n">
        <v>375</v>
      </c>
      <c r="I135" s="55" t="n">
        <v>105</v>
      </c>
      <c r="J135" s="55" t="n">
        <v>76</v>
      </c>
      <c r="K135" s="55" t="n">
        <v>45</v>
      </c>
      <c r="L135" s="55" t="n">
        <v>0</v>
      </c>
      <c r="M135" s="55" t="n">
        <v>45</v>
      </c>
      <c r="N135" s="55" t="n">
        <v>0</v>
      </c>
      <c r="O135" s="55" t="n">
        <v>2</v>
      </c>
      <c r="P135" s="56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7">
        <f>M135*P135+K135*V135</f>
        <v/>
      </c>
      <c r="V135" s="56" t="n">
        <v>90</v>
      </c>
      <c r="W135" s="55" t="n">
        <v>180</v>
      </c>
      <c r="X135" s="55" t="n">
        <v>194</v>
      </c>
      <c r="Y135" s="58">
        <f>W135+X135</f>
        <v/>
      </c>
      <c r="Z135" s="56" t="n">
        <v>6743</v>
      </c>
      <c r="AA135" s="56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5" t="n">
        <v>0</v>
      </c>
      <c r="H136" s="55" t="n">
        <v>0</v>
      </c>
      <c r="I136" s="55" t="n">
        <v>0</v>
      </c>
      <c r="J136" s="55" t="n">
        <v>0</v>
      </c>
      <c r="K136" s="55" t="n">
        <v>0</v>
      </c>
      <c r="L136" s="55" t="n">
        <v>44</v>
      </c>
      <c r="M136" s="55" t="n">
        <v>44</v>
      </c>
      <c r="N136" s="55" t="n">
        <v>45</v>
      </c>
      <c r="O136" s="55" t="n">
        <v>2</v>
      </c>
      <c r="P136" s="56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7">
        <f>M136*P136+K136*V136</f>
        <v/>
      </c>
      <c r="V136" s="56" t="n">
        <v>90</v>
      </c>
      <c r="W136" s="55" t="n">
        <v>0</v>
      </c>
      <c r="X136" s="55" t="n">
        <v>0</v>
      </c>
      <c r="Y136" s="58">
        <f>W136+X136</f>
        <v/>
      </c>
      <c r="Z136" s="56" t="n">
        <v>0</v>
      </c>
      <c r="AA136" s="56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5" t="n">
        <v>0</v>
      </c>
      <c r="H137" s="55" t="n">
        <v>0</v>
      </c>
      <c r="I137" s="55" t="n">
        <v>0</v>
      </c>
      <c r="J137" s="55" t="n">
        <v>0</v>
      </c>
      <c r="K137" s="55" t="n">
        <v>0</v>
      </c>
      <c r="L137" s="55" t="n">
        <v>43</v>
      </c>
      <c r="M137" s="55" t="n">
        <v>43</v>
      </c>
      <c r="N137" s="55" t="n">
        <v>44</v>
      </c>
      <c r="O137" s="55" t="n">
        <v>2</v>
      </c>
      <c r="P137" s="56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7">
        <f>M137*P137+K137*V137</f>
        <v/>
      </c>
      <c r="V137" s="56" t="n">
        <v>90</v>
      </c>
      <c r="W137" s="55" t="n">
        <v>0</v>
      </c>
      <c r="X137" s="55" t="n">
        <v>0</v>
      </c>
      <c r="Y137" s="58">
        <f>W137+X137</f>
        <v/>
      </c>
      <c r="Z137" s="56" t="n">
        <v>0</v>
      </c>
      <c r="AA137" s="56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5" t="n">
        <v>1</v>
      </c>
      <c r="H138" s="55" t="n">
        <v>770</v>
      </c>
      <c r="I138" s="55" t="n">
        <v>154</v>
      </c>
      <c r="J138" s="55" t="n">
        <v>108</v>
      </c>
      <c r="K138" s="55" t="n">
        <v>45</v>
      </c>
      <c r="L138" s="55" t="n">
        <v>0</v>
      </c>
      <c r="M138" s="55" t="n">
        <v>45</v>
      </c>
      <c r="N138" s="55" t="n">
        <v>0</v>
      </c>
      <c r="O138" s="55" t="n">
        <v>2</v>
      </c>
      <c r="P138" s="56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7">
        <f>M138*P138+K138*V138</f>
        <v/>
      </c>
      <c r="V138" s="56" t="n">
        <v>90</v>
      </c>
      <c r="W138" s="55" t="n">
        <v>370</v>
      </c>
      <c r="X138" s="55" t="n">
        <v>398</v>
      </c>
      <c r="Y138" s="58">
        <f>W138+X138</f>
        <v/>
      </c>
      <c r="Z138" s="56" t="n">
        <v>13854</v>
      </c>
      <c r="AA138" s="56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5" t="n">
        <v>0</v>
      </c>
      <c r="H139" s="55" t="n">
        <v>0</v>
      </c>
      <c r="I139" s="55" t="n">
        <v>0</v>
      </c>
      <c r="J139" s="55" t="n">
        <v>0</v>
      </c>
      <c r="K139" s="55" t="n">
        <v>0</v>
      </c>
      <c r="L139" s="55" t="n">
        <v>44</v>
      </c>
      <c r="M139" s="55" t="n">
        <v>44</v>
      </c>
      <c r="N139" s="55" t="n">
        <v>45</v>
      </c>
      <c r="O139" s="55" t="n">
        <v>2</v>
      </c>
      <c r="P139" s="56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7">
        <f>M139*P139+K139*V139</f>
        <v/>
      </c>
      <c r="V139" s="56" t="n">
        <v>90</v>
      </c>
      <c r="W139" s="55" t="n">
        <v>0</v>
      </c>
      <c r="X139" s="55" t="n">
        <v>0</v>
      </c>
      <c r="Y139" s="58">
        <f>W139+X139</f>
        <v/>
      </c>
      <c r="Z139" s="56" t="n">
        <v>0</v>
      </c>
      <c r="AA139" s="56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5" t="n">
        <v>1</v>
      </c>
      <c r="H140" s="55" t="n">
        <v>530</v>
      </c>
      <c r="I140" s="55" t="n">
        <v>149</v>
      </c>
      <c r="J140" s="55" t="n">
        <v>107</v>
      </c>
      <c r="K140" s="55" t="n">
        <v>64</v>
      </c>
      <c r="L140" s="55" t="n">
        <v>0</v>
      </c>
      <c r="M140" s="55" t="n">
        <v>64</v>
      </c>
      <c r="N140" s="55" t="n">
        <v>0</v>
      </c>
      <c r="O140" s="55" t="n">
        <v>3</v>
      </c>
      <c r="P140" s="56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7">
        <f>M140*P140+K140*V140</f>
        <v/>
      </c>
      <c r="V140" s="56" t="n">
        <v>90</v>
      </c>
      <c r="W140" s="55" t="n">
        <v>213</v>
      </c>
      <c r="X140" s="55" t="n">
        <v>340</v>
      </c>
      <c r="Y140" s="58">
        <f>W140+X140</f>
        <v/>
      </c>
      <c r="Z140" s="56" t="n">
        <v>16491</v>
      </c>
      <c r="AA140" s="56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5" t="n">
        <v>0</v>
      </c>
      <c r="H141" s="55" t="n">
        <v>0</v>
      </c>
      <c r="I141" s="55" t="n">
        <v>0</v>
      </c>
      <c r="J141" s="55" t="n">
        <v>0</v>
      </c>
      <c r="K141" s="55" t="n">
        <v>0</v>
      </c>
      <c r="L141" s="55" t="n">
        <v>62</v>
      </c>
      <c r="M141" s="55" t="n">
        <v>62</v>
      </c>
      <c r="N141" s="55" t="n">
        <v>64</v>
      </c>
      <c r="O141" s="55" t="n">
        <v>3</v>
      </c>
      <c r="P141" s="56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7">
        <f>M141*P141+K141*V141</f>
        <v/>
      </c>
      <c r="V141" s="56" t="n">
        <v>90</v>
      </c>
      <c r="W141" s="55" t="n">
        <v>0</v>
      </c>
      <c r="X141" s="55" t="n">
        <v>0</v>
      </c>
      <c r="Y141" s="58">
        <f>W141+X141</f>
        <v/>
      </c>
      <c r="Z141" s="56" t="n">
        <v>0</v>
      </c>
      <c r="AA141" s="56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5" t="n">
        <v>0</v>
      </c>
      <c r="H142" s="55" t="n">
        <v>0</v>
      </c>
      <c r="I142" s="55" t="n">
        <v>0</v>
      </c>
      <c r="J142" s="55" t="n">
        <v>0</v>
      </c>
      <c r="K142" s="55" t="n">
        <v>0</v>
      </c>
      <c r="L142" s="55" t="n">
        <v>61</v>
      </c>
      <c r="M142" s="55" t="n">
        <v>61</v>
      </c>
      <c r="N142" s="55" t="n">
        <v>62</v>
      </c>
      <c r="O142" s="55" t="n">
        <v>3</v>
      </c>
      <c r="P142" s="56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7">
        <f>M142*P142+K142*V142</f>
        <v/>
      </c>
      <c r="V142" s="56" t="n">
        <v>90</v>
      </c>
      <c r="W142" s="55" t="n">
        <v>0</v>
      </c>
      <c r="X142" s="55" t="n">
        <v>0</v>
      </c>
      <c r="Y142" s="58">
        <f>W142+X142</f>
        <v/>
      </c>
      <c r="Z142" s="56" t="n">
        <v>0</v>
      </c>
      <c r="AA142" s="56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5" t="n">
        <v>1</v>
      </c>
      <c r="H143" s="55" t="n">
        <v>1086</v>
      </c>
      <c r="I143" s="55" t="n">
        <v>217</v>
      </c>
      <c r="J143" s="55" t="n">
        <v>152</v>
      </c>
      <c r="K143" s="55" t="n">
        <v>64</v>
      </c>
      <c r="L143" s="55" t="n">
        <v>0</v>
      </c>
      <c r="M143" s="55" t="n">
        <v>64</v>
      </c>
      <c r="N143" s="55" t="n">
        <v>0</v>
      </c>
      <c r="O143" s="55" t="n">
        <v>3</v>
      </c>
      <c r="P143" s="56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7">
        <f>M143*P143+K143*V143</f>
        <v/>
      </c>
      <c r="V143" s="56" t="n">
        <v>90</v>
      </c>
      <c r="W143" s="55" t="n">
        <v>437</v>
      </c>
      <c r="X143" s="55" t="n">
        <v>695</v>
      </c>
      <c r="Y143" s="58">
        <f>W143+X143</f>
        <v/>
      </c>
      <c r="Z143" s="56" t="n">
        <v>33757</v>
      </c>
      <c r="AA143" s="56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5" t="n">
        <v>0</v>
      </c>
      <c r="H144" s="55" t="n">
        <v>0</v>
      </c>
      <c r="I144" s="55" t="n">
        <v>0</v>
      </c>
      <c r="J144" s="55" t="n">
        <v>0</v>
      </c>
      <c r="K144" s="55" t="n">
        <v>0</v>
      </c>
      <c r="L144" s="55" t="n">
        <v>63</v>
      </c>
      <c r="M144" s="55" t="n">
        <v>63</v>
      </c>
      <c r="N144" s="55" t="n">
        <v>64</v>
      </c>
      <c r="O144" s="55" t="n">
        <v>3</v>
      </c>
      <c r="P144" s="56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7">
        <f>M144*P144+K144*V144</f>
        <v/>
      </c>
      <c r="V144" s="56" t="n">
        <v>90</v>
      </c>
      <c r="W144" s="55" t="n">
        <v>0</v>
      </c>
      <c r="X144" s="55" t="n">
        <v>0</v>
      </c>
      <c r="Y144" s="58">
        <f>W144+X144</f>
        <v/>
      </c>
      <c r="Z144" s="56" t="n">
        <v>0</v>
      </c>
      <c r="AA144" s="56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5" t="n">
        <v>1</v>
      </c>
      <c r="H145" s="55" t="n">
        <v>366</v>
      </c>
      <c r="I145" s="55" t="n">
        <v>102</v>
      </c>
      <c r="J145" s="55" t="n">
        <v>74</v>
      </c>
      <c r="K145" s="55" t="n">
        <v>44</v>
      </c>
      <c r="L145" s="55" t="n">
        <v>0</v>
      </c>
      <c r="M145" s="55" t="n">
        <v>44</v>
      </c>
      <c r="N145" s="55" t="n">
        <v>0</v>
      </c>
      <c r="O145" s="55" t="n">
        <v>2</v>
      </c>
      <c r="P145" s="56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7">
        <f>M145*P145+K145*V145</f>
        <v/>
      </c>
      <c r="V145" s="56" t="n">
        <v>90</v>
      </c>
      <c r="W145" s="55" t="n">
        <v>194</v>
      </c>
      <c r="X145" s="55" t="n">
        <v>186</v>
      </c>
      <c r="Y145" s="58">
        <f>W145+X145</f>
        <v/>
      </c>
      <c r="Z145" s="56" t="n">
        <v>6793</v>
      </c>
      <c r="AA145" s="56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5" t="n">
        <v>0</v>
      </c>
      <c r="H146" s="55" t="n">
        <v>0</v>
      </c>
      <c r="I146" s="55" t="n">
        <v>0</v>
      </c>
      <c r="J146" s="55" t="n">
        <v>0</v>
      </c>
      <c r="K146" s="55" t="n">
        <v>0</v>
      </c>
      <c r="L146" s="55" t="n">
        <v>43</v>
      </c>
      <c r="M146" s="55" t="n">
        <v>43</v>
      </c>
      <c r="N146" s="55" t="n">
        <v>44</v>
      </c>
      <c r="O146" s="55" t="n">
        <v>2</v>
      </c>
      <c r="P146" s="56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7">
        <f>M146*P146+K146*V146</f>
        <v/>
      </c>
      <c r="V146" s="56" t="n">
        <v>90</v>
      </c>
      <c r="W146" s="55" t="n">
        <v>0</v>
      </c>
      <c r="X146" s="55" t="n">
        <v>0</v>
      </c>
      <c r="Y146" s="58">
        <f>W146+X146</f>
        <v/>
      </c>
      <c r="Z146" s="56" t="n">
        <v>0</v>
      </c>
      <c r="AA146" s="56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5" t="n">
        <v>0</v>
      </c>
      <c r="H147" s="55" t="n">
        <v>0</v>
      </c>
      <c r="I147" s="55" t="n">
        <v>0</v>
      </c>
      <c r="J147" s="55" t="n">
        <v>0</v>
      </c>
      <c r="K147" s="55" t="n">
        <v>0</v>
      </c>
      <c r="L147" s="55" t="n">
        <v>42</v>
      </c>
      <c r="M147" s="55" t="n">
        <v>42</v>
      </c>
      <c r="N147" s="55" t="n">
        <v>43</v>
      </c>
      <c r="O147" s="55" t="n">
        <v>2</v>
      </c>
      <c r="P147" s="56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7">
        <f>M147*P147+K147*V147</f>
        <v/>
      </c>
      <c r="V147" s="56" t="n">
        <v>90</v>
      </c>
      <c r="W147" s="55" t="n">
        <v>0</v>
      </c>
      <c r="X147" s="55" t="n">
        <v>0</v>
      </c>
      <c r="Y147" s="58">
        <f>W147+X147</f>
        <v/>
      </c>
      <c r="Z147" s="56" t="n">
        <v>0</v>
      </c>
      <c r="AA147" s="56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5" t="n">
        <v>1</v>
      </c>
      <c r="H148" s="55" t="n">
        <v>756</v>
      </c>
      <c r="I148" s="55" t="n">
        <v>151</v>
      </c>
      <c r="J148" s="55" t="n">
        <v>106</v>
      </c>
      <c r="K148" s="55" t="n">
        <v>44</v>
      </c>
      <c r="L148" s="55" t="n">
        <v>0</v>
      </c>
      <c r="M148" s="55" t="n">
        <v>44</v>
      </c>
      <c r="N148" s="55" t="n">
        <v>0</v>
      </c>
      <c r="O148" s="55" t="n">
        <v>2</v>
      </c>
      <c r="P148" s="56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7">
        <f>M148*P148+K148*V148</f>
        <v/>
      </c>
      <c r="V148" s="56" t="n">
        <v>90</v>
      </c>
      <c r="W148" s="55" t="n">
        <v>400</v>
      </c>
      <c r="X148" s="55" t="n">
        <v>385</v>
      </c>
      <c r="Y148" s="58">
        <f>W148+X148</f>
        <v/>
      </c>
      <c r="Z148" s="56" t="n">
        <v>14050</v>
      </c>
      <c r="AA148" s="56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5" t="n">
        <v>0</v>
      </c>
      <c r="H149" s="55" t="n">
        <v>0</v>
      </c>
      <c r="I149" s="55" t="n">
        <v>0</v>
      </c>
      <c r="J149" s="55" t="n">
        <v>0</v>
      </c>
      <c r="K149" s="55" t="n">
        <v>0</v>
      </c>
      <c r="L149" s="55" t="n">
        <v>44</v>
      </c>
      <c r="M149" s="55" t="n">
        <v>44</v>
      </c>
      <c r="N149" s="55" t="n">
        <v>44</v>
      </c>
      <c r="O149" s="55" t="n">
        <v>2</v>
      </c>
      <c r="P149" s="56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7">
        <f>M149*P149+K149*V149</f>
        <v/>
      </c>
      <c r="V149" s="56" t="n">
        <v>90</v>
      </c>
      <c r="W149" s="55" t="n">
        <v>0</v>
      </c>
      <c r="X149" s="55" t="n">
        <v>0</v>
      </c>
      <c r="Y149" s="58">
        <f>W149+X149</f>
        <v/>
      </c>
      <c r="Z149" s="56" t="n">
        <v>0</v>
      </c>
      <c r="AA149" s="56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5" t="n">
        <v>1</v>
      </c>
      <c r="H150" s="55" t="n">
        <v>344</v>
      </c>
      <c r="I150" s="55" t="n">
        <v>96</v>
      </c>
      <c r="J150" s="55" t="n">
        <v>69</v>
      </c>
      <c r="K150" s="55" t="n">
        <v>42</v>
      </c>
      <c r="L150" s="55" t="n">
        <v>0</v>
      </c>
      <c r="M150" s="55" t="n">
        <v>42</v>
      </c>
      <c r="N150" s="55" t="n">
        <v>0</v>
      </c>
      <c r="O150" s="55" t="n">
        <v>2</v>
      </c>
      <c r="P150" s="56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7">
        <f>M150*P150+K150*V150</f>
        <v/>
      </c>
      <c r="V150" s="56" t="n">
        <v>90</v>
      </c>
      <c r="W150" s="55" t="n">
        <v>186</v>
      </c>
      <c r="X150" s="55" t="n">
        <v>171</v>
      </c>
      <c r="Y150" s="58">
        <f>W150+X150</f>
        <v/>
      </c>
      <c r="Z150" s="56" t="n">
        <v>5940</v>
      </c>
      <c r="AA150" s="56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5" t="n">
        <v>0</v>
      </c>
      <c r="H151" s="55" t="n">
        <v>0</v>
      </c>
      <c r="I151" s="55" t="n">
        <v>0</v>
      </c>
      <c r="J151" s="55" t="n">
        <v>0</v>
      </c>
      <c r="K151" s="55" t="n">
        <v>0</v>
      </c>
      <c r="L151" s="55" t="n">
        <v>41</v>
      </c>
      <c r="M151" s="55" t="n">
        <v>41</v>
      </c>
      <c r="N151" s="55" t="n">
        <v>42</v>
      </c>
      <c r="O151" s="55" t="n">
        <v>2</v>
      </c>
      <c r="P151" s="56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7">
        <f>M151*P151+K151*V151</f>
        <v/>
      </c>
      <c r="V151" s="56" t="n">
        <v>90</v>
      </c>
      <c r="W151" s="55" t="n">
        <v>0</v>
      </c>
      <c r="X151" s="55" t="n">
        <v>0</v>
      </c>
      <c r="Y151" s="58">
        <f>W151+X151</f>
        <v/>
      </c>
      <c r="Z151" s="56" t="n">
        <v>0</v>
      </c>
      <c r="AA151" s="56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5" t="n">
        <v>0</v>
      </c>
      <c r="H152" s="55" t="n">
        <v>0</v>
      </c>
      <c r="I152" s="55" t="n">
        <v>0</v>
      </c>
      <c r="J152" s="55" t="n">
        <v>0</v>
      </c>
      <c r="K152" s="55" t="n">
        <v>0</v>
      </c>
      <c r="L152" s="55" t="n">
        <v>40</v>
      </c>
      <c r="M152" s="55" t="n">
        <v>40</v>
      </c>
      <c r="N152" s="55" t="n">
        <v>41</v>
      </c>
      <c r="O152" s="55" t="n">
        <v>2</v>
      </c>
      <c r="P152" s="56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7">
        <f>M152*P152+K152*V152</f>
        <v/>
      </c>
      <c r="V152" s="56" t="n">
        <v>90</v>
      </c>
      <c r="W152" s="55" t="n">
        <v>0</v>
      </c>
      <c r="X152" s="55" t="n">
        <v>0</v>
      </c>
      <c r="Y152" s="58">
        <f>W152+X152</f>
        <v/>
      </c>
      <c r="Z152" s="56" t="n">
        <v>0</v>
      </c>
      <c r="AA152" s="56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5" t="n">
        <v>1</v>
      </c>
      <c r="H153" s="55" t="n">
        <v>712</v>
      </c>
      <c r="I153" s="55" t="n">
        <v>142</v>
      </c>
      <c r="J153" s="55" t="n">
        <v>100</v>
      </c>
      <c r="K153" s="55" t="n">
        <v>42</v>
      </c>
      <c r="L153" s="55" t="n">
        <v>0</v>
      </c>
      <c r="M153" s="55" t="n">
        <v>42</v>
      </c>
      <c r="N153" s="55" t="n">
        <v>0</v>
      </c>
      <c r="O153" s="55" t="n">
        <v>2</v>
      </c>
      <c r="P153" s="56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7">
        <f>M153*P153+K153*V153</f>
        <v/>
      </c>
      <c r="V153" s="56" t="n">
        <v>90</v>
      </c>
      <c r="W153" s="55" t="n">
        <v>384</v>
      </c>
      <c r="X153" s="55" t="n">
        <v>355</v>
      </c>
      <c r="Y153" s="58">
        <f>W153+X153</f>
        <v/>
      </c>
      <c r="Z153" s="56" t="n">
        <v>12311</v>
      </c>
      <c r="AA153" s="56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5" t="n">
        <v>0</v>
      </c>
      <c r="H154" s="55" t="n">
        <v>0</v>
      </c>
      <c r="I154" s="55" t="n">
        <v>0</v>
      </c>
      <c r="J154" s="55" t="n">
        <v>0</v>
      </c>
      <c r="K154" s="55" t="n">
        <v>0</v>
      </c>
      <c r="L154" s="55" t="n">
        <v>41</v>
      </c>
      <c r="M154" s="55" t="n">
        <v>41</v>
      </c>
      <c r="N154" s="55" t="n">
        <v>42</v>
      </c>
      <c r="O154" s="55" t="n">
        <v>2</v>
      </c>
      <c r="P154" s="56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7">
        <f>M154*P154+K154*V154</f>
        <v/>
      </c>
      <c r="V154" s="56" t="n">
        <v>90</v>
      </c>
      <c r="W154" s="55" t="n">
        <v>0</v>
      </c>
      <c r="X154" s="55" t="n">
        <v>0</v>
      </c>
      <c r="Y154" s="58">
        <f>W154+X154</f>
        <v/>
      </c>
      <c r="Z154" s="56" t="n">
        <v>0</v>
      </c>
      <c r="AA154" s="56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5" t="n">
        <v>1</v>
      </c>
      <c r="H155" s="55" t="n">
        <v>756</v>
      </c>
      <c r="I155" s="55" t="n">
        <v>151</v>
      </c>
      <c r="J155" s="55" t="n">
        <v>106</v>
      </c>
      <c r="K155" s="55" t="n">
        <v>44</v>
      </c>
      <c r="L155" s="55" t="n">
        <v>0</v>
      </c>
      <c r="M155" s="55" t="n">
        <v>44</v>
      </c>
      <c r="N155" s="55" t="n">
        <v>0</v>
      </c>
      <c r="O155" s="55" t="n">
        <v>2</v>
      </c>
      <c r="P155" s="56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7">
        <f>M155*P155+K155*V155</f>
        <v/>
      </c>
      <c r="V155" s="56" t="n">
        <v>90</v>
      </c>
      <c r="W155" s="55" t="n">
        <v>258</v>
      </c>
      <c r="X155" s="55" t="n">
        <v>489</v>
      </c>
      <c r="Y155" s="58">
        <f>W155+X155</f>
        <v/>
      </c>
      <c r="Z155" s="56" t="n">
        <v>17983</v>
      </c>
      <c r="AA155" s="56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5" t="n">
        <v>0</v>
      </c>
      <c r="H156" s="55" t="n">
        <v>0</v>
      </c>
      <c r="I156" s="55" t="n">
        <v>0</v>
      </c>
      <c r="J156" s="55" t="n">
        <v>0</v>
      </c>
      <c r="K156" s="55" t="n">
        <v>0</v>
      </c>
      <c r="L156" s="55" t="n">
        <v>43</v>
      </c>
      <c r="M156" s="55" t="n">
        <v>43</v>
      </c>
      <c r="N156" s="55" t="n">
        <v>44</v>
      </c>
      <c r="O156" s="55" t="n">
        <v>2</v>
      </c>
      <c r="P156" s="56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7">
        <f>M156*P156+K156*V156</f>
        <v/>
      </c>
      <c r="V156" s="56" t="n">
        <v>90</v>
      </c>
      <c r="W156" s="55" t="n">
        <v>0</v>
      </c>
      <c r="X156" s="55" t="n">
        <v>0</v>
      </c>
      <c r="Y156" s="58">
        <f>W156+X156</f>
        <v/>
      </c>
      <c r="Z156" s="56" t="n">
        <v>0</v>
      </c>
      <c r="AA156" s="56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5" t="n">
        <v>0</v>
      </c>
      <c r="H157" s="55" t="n">
        <v>0</v>
      </c>
      <c r="I157" s="55" t="n">
        <v>0</v>
      </c>
      <c r="J157" s="55" t="n">
        <v>0</v>
      </c>
      <c r="K157" s="55" t="n">
        <v>0</v>
      </c>
      <c r="L157" s="55" t="n">
        <v>42</v>
      </c>
      <c r="M157" s="55" t="n">
        <v>42</v>
      </c>
      <c r="N157" s="55" t="n">
        <v>43</v>
      </c>
      <c r="O157" s="55" t="n">
        <v>2</v>
      </c>
      <c r="P157" s="56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7">
        <f>M157*P157+K157*V157</f>
        <v/>
      </c>
      <c r="V157" s="56" t="n">
        <v>90</v>
      </c>
      <c r="W157" s="55" t="n">
        <v>0</v>
      </c>
      <c r="X157" s="55" t="n">
        <v>0</v>
      </c>
      <c r="Y157" s="58">
        <f>W157+X157</f>
        <v/>
      </c>
      <c r="Z157" s="56" t="n">
        <v>0</v>
      </c>
      <c r="AA157" s="56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5" t="n">
        <v>1</v>
      </c>
      <c r="H158" s="55" t="n">
        <v>605</v>
      </c>
      <c r="I158" s="55" t="n">
        <v>121</v>
      </c>
      <c r="J158" s="55" t="n">
        <v>85</v>
      </c>
      <c r="K158" s="55" t="n">
        <v>36</v>
      </c>
      <c r="L158" s="55" t="n">
        <v>0</v>
      </c>
      <c r="M158" s="55" t="n">
        <v>36</v>
      </c>
      <c r="N158" s="55" t="n">
        <v>0</v>
      </c>
      <c r="O158" s="55" t="n">
        <v>2</v>
      </c>
      <c r="P158" s="56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7">
        <f>M158*P158+K158*V158</f>
        <v/>
      </c>
      <c r="V158" s="56" t="n">
        <v>90</v>
      </c>
      <c r="W158" s="55" t="n">
        <v>223</v>
      </c>
      <c r="X158" s="55" t="n">
        <v>371</v>
      </c>
      <c r="Y158" s="58">
        <f>W158+X158</f>
        <v/>
      </c>
      <c r="Z158" s="56" t="n">
        <v>12341</v>
      </c>
      <c r="AA158" s="56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5" t="n">
        <v>0</v>
      </c>
      <c r="H159" s="55" t="n">
        <v>0</v>
      </c>
      <c r="I159" s="55" t="n">
        <v>0</v>
      </c>
      <c r="J159" s="55" t="n">
        <v>0</v>
      </c>
      <c r="K159" s="55" t="n">
        <v>0</v>
      </c>
      <c r="L159" s="55" t="n">
        <v>35</v>
      </c>
      <c r="M159" s="55" t="n">
        <v>35</v>
      </c>
      <c r="N159" s="55" t="n">
        <v>36</v>
      </c>
      <c r="O159" s="55" t="n">
        <v>2</v>
      </c>
      <c r="P159" s="56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7">
        <f>M159*P159+K159*V159</f>
        <v/>
      </c>
      <c r="V159" s="56" t="n">
        <v>90</v>
      </c>
      <c r="W159" s="55" t="n">
        <v>0</v>
      </c>
      <c r="X159" s="55" t="n">
        <v>0</v>
      </c>
      <c r="Y159" s="58">
        <f>W159+X159</f>
        <v/>
      </c>
      <c r="Z159" s="56" t="n">
        <v>0</v>
      </c>
      <c r="AA159" s="56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5" t="n">
        <v>0</v>
      </c>
      <c r="H160" s="55" t="n">
        <v>0</v>
      </c>
      <c r="I160" s="55" t="n">
        <v>0</v>
      </c>
      <c r="J160" s="55" t="n">
        <v>0</v>
      </c>
      <c r="K160" s="55" t="n">
        <v>0</v>
      </c>
      <c r="L160" s="55" t="n">
        <v>34</v>
      </c>
      <c r="M160" s="55" t="n">
        <v>34</v>
      </c>
      <c r="N160" s="55" t="n">
        <v>35</v>
      </c>
      <c r="O160" s="55" t="n">
        <v>2</v>
      </c>
      <c r="P160" s="56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7">
        <f>M160*P160+K160*V160</f>
        <v/>
      </c>
      <c r="V160" s="56" t="n">
        <v>90</v>
      </c>
      <c r="W160" s="55" t="n">
        <v>0</v>
      </c>
      <c r="X160" s="55" t="n">
        <v>0</v>
      </c>
      <c r="Y160" s="58">
        <f>W160+X160</f>
        <v/>
      </c>
      <c r="Z160" s="56" t="n">
        <v>0</v>
      </c>
      <c r="AA160" s="56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5" t="n">
        <v>1</v>
      </c>
      <c r="H161" s="55" t="n">
        <v>605</v>
      </c>
      <c r="I161" s="55" t="n">
        <v>121</v>
      </c>
      <c r="J161" s="55" t="n">
        <v>85</v>
      </c>
      <c r="K161" s="55" t="n">
        <v>36</v>
      </c>
      <c r="L161" s="55" t="n">
        <v>0</v>
      </c>
      <c r="M161" s="55" t="n">
        <v>36</v>
      </c>
      <c r="N161" s="55" t="n">
        <v>0</v>
      </c>
      <c r="O161" s="55" t="n">
        <v>2</v>
      </c>
      <c r="P161" s="56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7">
        <f>M161*P161+K161*V161</f>
        <v/>
      </c>
      <c r="V161" s="56" t="n">
        <v>90</v>
      </c>
      <c r="W161" s="55" t="n">
        <v>217</v>
      </c>
      <c r="X161" s="55" t="n">
        <v>377</v>
      </c>
      <c r="Y161" s="58">
        <f>W161+X161</f>
        <v/>
      </c>
      <c r="Z161" s="56" t="n">
        <v>12543</v>
      </c>
      <c r="AA161" s="56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5" t="n">
        <v>0</v>
      </c>
      <c r="H162" s="55" t="n">
        <v>0</v>
      </c>
      <c r="I162" s="55" t="n">
        <v>0</v>
      </c>
      <c r="J162" s="55" t="n">
        <v>0</v>
      </c>
      <c r="K162" s="55" t="n">
        <v>0</v>
      </c>
      <c r="L162" s="55" t="n">
        <v>35</v>
      </c>
      <c r="M162" s="55" t="n">
        <v>35</v>
      </c>
      <c r="N162" s="55" t="n">
        <v>36</v>
      </c>
      <c r="O162" s="55" t="n">
        <v>2</v>
      </c>
      <c r="P162" s="56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7">
        <f>M162*P162+K162*V162</f>
        <v/>
      </c>
      <c r="V162" s="56" t="n">
        <v>90</v>
      </c>
      <c r="W162" s="55" t="n">
        <v>0</v>
      </c>
      <c r="X162" s="55" t="n">
        <v>0</v>
      </c>
      <c r="Y162" s="58">
        <f>W162+X162</f>
        <v/>
      </c>
      <c r="Z162" s="56" t="n">
        <v>0</v>
      </c>
      <c r="AA162" s="56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5" t="n">
        <v>0</v>
      </c>
      <c r="H163" s="55" t="n">
        <v>0</v>
      </c>
      <c r="I163" s="55" t="n">
        <v>0</v>
      </c>
      <c r="J163" s="55" t="n">
        <v>0</v>
      </c>
      <c r="K163" s="55" t="n">
        <v>0</v>
      </c>
      <c r="L163" s="55" t="n">
        <v>34</v>
      </c>
      <c r="M163" s="55" t="n">
        <v>34</v>
      </c>
      <c r="N163" s="55" t="n">
        <v>35</v>
      </c>
      <c r="O163" s="55" t="n">
        <v>2</v>
      </c>
      <c r="P163" s="56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7">
        <f>M163*P163+K163*V163</f>
        <v/>
      </c>
      <c r="V163" s="56" t="n">
        <v>90</v>
      </c>
      <c r="W163" s="55" t="n">
        <v>0</v>
      </c>
      <c r="X163" s="55" t="n">
        <v>0</v>
      </c>
      <c r="Y163" s="58">
        <f>W163+X163</f>
        <v/>
      </c>
      <c r="Z163" s="56" t="n">
        <v>0</v>
      </c>
      <c r="AA163" s="56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5" t="n">
        <v>1</v>
      </c>
      <c r="H164" s="55" t="n">
        <v>699</v>
      </c>
      <c r="I164" s="55" t="n">
        <v>140</v>
      </c>
      <c r="J164" s="55" t="n">
        <v>98</v>
      </c>
      <c r="K164" s="55" t="n">
        <v>41</v>
      </c>
      <c r="L164" s="55" t="n">
        <v>0</v>
      </c>
      <c r="M164" s="55" t="n">
        <v>41</v>
      </c>
      <c r="N164" s="55" t="n">
        <v>0</v>
      </c>
      <c r="O164" s="55" t="n">
        <v>2</v>
      </c>
      <c r="P164" s="56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7">
        <f>M164*P164+K164*V164</f>
        <v/>
      </c>
      <c r="V164" s="56" t="n">
        <v>90</v>
      </c>
      <c r="W164" s="55" t="n">
        <v>341</v>
      </c>
      <c r="X164" s="55" t="n">
        <v>382</v>
      </c>
      <c r="Y164" s="58">
        <f>W164+X164</f>
        <v/>
      </c>
      <c r="Z164" s="56" t="n">
        <v>15129</v>
      </c>
      <c r="AA164" s="56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5" t="n">
        <v>0</v>
      </c>
      <c r="H165" s="55" t="n">
        <v>0</v>
      </c>
      <c r="I165" s="55" t="n">
        <v>0</v>
      </c>
      <c r="J165" s="55" t="n">
        <v>0</v>
      </c>
      <c r="K165" s="55" t="n">
        <v>0</v>
      </c>
      <c r="L165" s="55" t="n">
        <v>40</v>
      </c>
      <c r="M165" s="55" t="n">
        <v>40</v>
      </c>
      <c r="N165" s="55" t="n">
        <v>41</v>
      </c>
      <c r="O165" s="55" t="n">
        <v>2</v>
      </c>
      <c r="P165" s="56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7">
        <f>M165*P165+K165*V165</f>
        <v/>
      </c>
      <c r="V165" s="56" t="n">
        <v>90</v>
      </c>
      <c r="W165" s="55" t="n">
        <v>0</v>
      </c>
      <c r="X165" s="55" t="n">
        <v>0</v>
      </c>
      <c r="Y165" s="58">
        <f>W165+X165</f>
        <v/>
      </c>
      <c r="Z165" s="56" t="n">
        <v>0</v>
      </c>
      <c r="AA165" s="56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5" t="n">
        <v>1</v>
      </c>
      <c r="H166" s="55" t="n">
        <v>699</v>
      </c>
      <c r="I166" s="55" t="n">
        <v>140</v>
      </c>
      <c r="J166" s="55" t="n">
        <v>98</v>
      </c>
      <c r="K166" s="55" t="n">
        <v>41</v>
      </c>
      <c r="L166" s="55" t="n">
        <v>0</v>
      </c>
      <c r="M166" s="55" t="n">
        <v>41</v>
      </c>
      <c r="N166" s="55" t="n">
        <v>0</v>
      </c>
      <c r="O166" s="55" t="n">
        <v>2</v>
      </c>
      <c r="P166" s="56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7">
        <f>M166*P166+K166*V166</f>
        <v/>
      </c>
      <c r="V166" s="56" t="n">
        <v>90</v>
      </c>
      <c r="W166" s="55" t="n">
        <v>341</v>
      </c>
      <c r="X166" s="55" t="n">
        <v>383</v>
      </c>
      <c r="Y166" s="58">
        <f>W166+X166</f>
        <v/>
      </c>
      <c r="Z166" s="56" t="n">
        <v>15129</v>
      </c>
      <c r="AA166" s="56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5" t="n">
        <v>0</v>
      </c>
      <c r="H167" s="55" t="n">
        <v>0</v>
      </c>
      <c r="I167" s="55" t="n">
        <v>0</v>
      </c>
      <c r="J167" s="55" t="n">
        <v>0</v>
      </c>
      <c r="K167" s="55" t="n">
        <v>0</v>
      </c>
      <c r="L167" s="55" t="n">
        <v>40</v>
      </c>
      <c r="M167" s="55" t="n">
        <v>40</v>
      </c>
      <c r="N167" s="55" t="n">
        <v>41</v>
      </c>
      <c r="O167" s="55" t="n">
        <v>2</v>
      </c>
      <c r="P167" s="56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7">
        <f>M167*P167+K167*V167</f>
        <v/>
      </c>
      <c r="V167" s="56" t="n">
        <v>90</v>
      </c>
      <c r="W167" s="55" t="n">
        <v>0</v>
      </c>
      <c r="X167" s="55" t="n">
        <v>0</v>
      </c>
      <c r="Y167" s="58">
        <f>W167+X167</f>
        <v/>
      </c>
      <c r="Z167" s="56" t="n">
        <v>0</v>
      </c>
      <c r="AA167" s="56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5" t="n">
        <v>1</v>
      </c>
      <c r="H168" s="55" t="n">
        <v>547</v>
      </c>
      <c r="I168" s="55" t="n">
        <v>109</v>
      </c>
      <c r="J168" s="55" t="n">
        <v>77</v>
      </c>
      <c r="K168" s="55" t="n">
        <v>32</v>
      </c>
      <c r="L168" s="55" t="n">
        <v>0</v>
      </c>
      <c r="M168" s="55" t="n">
        <v>32</v>
      </c>
      <c r="N168" s="55" t="n">
        <v>0</v>
      </c>
      <c r="O168" s="55" t="n">
        <v>2</v>
      </c>
      <c r="P168" s="56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7">
        <f>M168*P168+K168*V168</f>
        <v/>
      </c>
      <c r="V168" s="56" t="n">
        <v>90</v>
      </c>
      <c r="W168" s="55" t="n">
        <v>302</v>
      </c>
      <c r="X168" s="55" t="n">
        <v>264</v>
      </c>
      <c r="Y168" s="58">
        <f>W168+X168</f>
        <v/>
      </c>
      <c r="Z168" s="56" t="n">
        <v>9078</v>
      </c>
      <c r="AA168" s="56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5" t="n">
        <v>0</v>
      </c>
      <c r="H169" s="55" t="n">
        <v>0</v>
      </c>
      <c r="I169" s="55" t="n">
        <v>0</v>
      </c>
      <c r="J169" s="55" t="n">
        <v>0</v>
      </c>
      <c r="K169" s="55" t="n">
        <v>0</v>
      </c>
      <c r="L169" s="55" t="n">
        <v>31</v>
      </c>
      <c r="M169" s="55" t="n">
        <v>31</v>
      </c>
      <c r="N169" s="55" t="n">
        <v>32</v>
      </c>
      <c r="O169" s="55" t="n">
        <v>2</v>
      </c>
      <c r="P169" s="56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7">
        <f>M169*P169+K169*V169</f>
        <v/>
      </c>
      <c r="V169" s="56" t="n">
        <v>90</v>
      </c>
      <c r="W169" s="55" t="n">
        <v>0</v>
      </c>
      <c r="X169" s="55" t="n">
        <v>0</v>
      </c>
      <c r="Y169" s="58">
        <f>W169+X169</f>
        <v/>
      </c>
      <c r="Z169" s="56" t="n">
        <v>0</v>
      </c>
      <c r="AA169" s="56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5" t="n">
        <v>1</v>
      </c>
      <c r="H170" s="55" t="n">
        <v>547</v>
      </c>
      <c r="I170" s="55" t="n">
        <v>109</v>
      </c>
      <c r="J170" s="55" t="n">
        <v>77</v>
      </c>
      <c r="K170" s="55" t="n">
        <v>32</v>
      </c>
      <c r="L170" s="55" t="n">
        <v>0</v>
      </c>
      <c r="M170" s="55" t="n">
        <v>32</v>
      </c>
      <c r="N170" s="55" t="n">
        <v>0</v>
      </c>
      <c r="O170" s="55" t="n">
        <v>2</v>
      </c>
      <c r="P170" s="56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7">
        <f>M170*P170+K170*V170</f>
        <v/>
      </c>
      <c r="V170" s="56" t="n">
        <v>90</v>
      </c>
      <c r="W170" s="55" t="n">
        <v>301</v>
      </c>
      <c r="X170" s="55" t="n">
        <v>264</v>
      </c>
      <c r="Y170" s="58">
        <f>W170+X170</f>
        <v/>
      </c>
      <c r="Z170" s="56" t="n">
        <v>9077</v>
      </c>
      <c r="AA170" s="56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5" t="n">
        <v>0</v>
      </c>
      <c r="H171" s="55" t="n">
        <v>0</v>
      </c>
      <c r="I171" s="55" t="n">
        <v>0</v>
      </c>
      <c r="J171" s="55" t="n">
        <v>0</v>
      </c>
      <c r="K171" s="55" t="n">
        <v>0</v>
      </c>
      <c r="L171" s="55" t="n">
        <v>31</v>
      </c>
      <c r="M171" s="55" t="n">
        <v>31</v>
      </c>
      <c r="N171" s="55" t="n">
        <v>32</v>
      </c>
      <c r="O171" s="55" t="n">
        <v>2</v>
      </c>
      <c r="P171" s="56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7">
        <f>M171*P171+K171*V171</f>
        <v/>
      </c>
      <c r="V171" s="56" t="n">
        <v>90</v>
      </c>
      <c r="W171" s="55" t="n">
        <v>0</v>
      </c>
      <c r="X171" s="55" t="n">
        <v>0</v>
      </c>
      <c r="Y171" s="58">
        <f>W171+X171</f>
        <v/>
      </c>
      <c r="Z171" s="56" t="n">
        <v>0</v>
      </c>
      <c r="AA171" s="56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5" t="n">
        <v>1</v>
      </c>
      <c r="H172" s="55" t="n">
        <v>712</v>
      </c>
      <c r="I172" s="55" t="n">
        <v>142</v>
      </c>
      <c r="J172" s="55" t="n">
        <v>100</v>
      </c>
      <c r="K172" s="55" t="n">
        <v>42</v>
      </c>
      <c r="L172" s="55" t="n">
        <v>0</v>
      </c>
      <c r="M172" s="55" t="n">
        <v>42</v>
      </c>
      <c r="N172" s="55" t="n">
        <v>0</v>
      </c>
      <c r="O172" s="55" t="n">
        <v>2</v>
      </c>
      <c r="P172" s="56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7">
        <f>M172*P172+K172*V172</f>
        <v/>
      </c>
      <c r="V172" s="56" t="n">
        <v>90</v>
      </c>
      <c r="W172" s="55" t="n">
        <v>231</v>
      </c>
      <c r="X172" s="55" t="n">
        <v>517</v>
      </c>
      <c r="Y172" s="58">
        <f>W172+X172</f>
        <v/>
      </c>
      <c r="Z172" s="56" t="n">
        <v>24992</v>
      </c>
      <c r="AA172" s="56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5" t="n">
        <v>0</v>
      </c>
      <c r="H173" s="55" t="n">
        <v>0</v>
      </c>
      <c r="I173" s="55" t="n">
        <v>0</v>
      </c>
      <c r="J173" s="55" t="n">
        <v>0</v>
      </c>
      <c r="K173" s="55" t="n">
        <v>0</v>
      </c>
      <c r="L173" s="55" t="n">
        <v>41</v>
      </c>
      <c r="M173" s="55" t="n">
        <v>41</v>
      </c>
      <c r="N173" s="55" t="n">
        <v>42</v>
      </c>
      <c r="O173" s="55" t="n">
        <v>2</v>
      </c>
      <c r="P173" s="56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7">
        <f>M173*P173+K173*V173</f>
        <v/>
      </c>
      <c r="V173" s="56" t="n">
        <v>90</v>
      </c>
      <c r="W173" s="55" t="n">
        <v>0</v>
      </c>
      <c r="X173" s="55" t="n">
        <v>0</v>
      </c>
      <c r="Y173" s="58">
        <f>W173+X173</f>
        <v/>
      </c>
      <c r="Z173" s="56" t="n">
        <v>0</v>
      </c>
      <c r="AA173" s="56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5" t="n">
        <v>0</v>
      </c>
      <c r="H174" s="55" t="n">
        <v>0</v>
      </c>
      <c r="I174" s="55" t="n">
        <v>0</v>
      </c>
      <c r="J174" s="55" t="n">
        <v>0</v>
      </c>
      <c r="K174" s="55" t="n">
        <v>0</v>
      </c>
      <c r="L174" s="55" t="n">
        <v>40</v>
      </c>
      <c r="M174" s="55" t="n">
        <v>40</v>
      </c>
      <c r="N174" s="55" t="n">
        <v>41</v>
      </c>
      <c r="O174" s="55" t="n">
        <v>2</v>
      </c>
      <c r="P174" s="56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7">
        <f>M174*P174+K174*V174</f>
        <v/>
      </c>
      <c r="V174" s="56" t="n">
        <v>90</v>
      </c>
      <c r="W174" s="55" t="n">
        <v>0</v>
      </c>
      <c r="X174" s="55" t="n">
        <v>0</v>
      </c>
      <c r="Y174" s="58">
        <f>W174+X174</f>
        <v/>
      </c>
      <c r="Z174" s="56" t="n">
        <v>0</v>
      </c>
      <c r="AA174" s="56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5" t="n">
        <v>1</v>
      </c>
      <c r="H175" s="55" t="n">
        <v>605</v>
      </c>
      <c r="I175" s="55" t="n">
        <v>121</v>
      </c>
      <c r="J175" s="55" t="n">
        <v>85</v>
      </c>
      <c r="K175" s="55" t="n">
        <v>36</v>
      </c>
      <c r="L175" s="55" t="n">
        <v>0</v>
      </c>
      <c r="M175" s="55" t="n">
        <v>36</v>
      </c>
      <c r="N175" s="55" t="n">
        <v>0</v>
      </c>
      <c r="O175" s="55" t="n">
        <v>2</v>
      </c>
      <c r="P175" s="56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7">
        <f>M175*P175+K175*V175</f>
        <v/>
      </c>
      <c r="V175" s="56" t="n">
        <v>90</v>
      </c>
      <c r="W175" s="55" t="n">
        <v>242</v>
      </c>
      <c r="X175" s="55" t="n">
        <v>392</v>
      </c>
      <c r="Y175" s="58">
        <f>W175+X175</f>
        <v/>
      </c>
      <c r="Z175" s="56" t="n">
        <v>15578</v>
      </c>
      <c r="AA175" s="56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5" t="n">
        <v>0</v>
      </c>
      <c r="H176" s="55" t="n">
        <v>0</v>
      </c>
      <c r="I176" s="55" t="n">
        <v>0</v>
      </c>
      <c r="J176" s="55" t="n">
        <v>0</v>
      </c>
      <c r="K176" s="55" t="n">
        <v>0</v>
      </c>
      <c r="L176" s="55" t="n">
        <v>35</v>
      </c>
      <c r="M176" s="55" t="n">
        <v>35</v>
      </c>
      <c r="N176" s="55" t="n">
        <v>36</v>
      </c>
      <c r="O176" s="55" t="n">
        <v>2</v>
      </c>
      <c r="P176" s="56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7">
        <f>M176*P176+K176*V176</f>
        <v/>
      </c>
      <c r="V176" s="56" t="n">
        <v>90</v>
      </c>
      <c r="W176" s="55" t="n">
        <v>0</v>
      </c>
      <c r="X176" s="55" t="n">
        <v>0</v>
      </c>
      <c r="Y176" s="58">
        <f>W176+X176</f>
        <v/>
      </c>
      <c r="Z176" s="56" t="n">
        <v>0</v>
      </c>
      <c r="AA176" s="56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5" t="n">
        <v>0</v>
      </c>
      <c r="H177" s="55" t="n">
        <v>0</v>
      </c>
      <c r="I177" s="55" t="n">
        <v>0</v>
      </c>
      <c r="J177" s="55" t="n">
        <v>0</v>
      </c>
      <c r="K177" s="55" t="n">
        <v>0</v>
      </c>
      <c r="L177" s="55" t="n">
        <v>34</v>
      </c>
      <c r="M177" s="55" t="n">
        <v>34</v>
      </c>
      <c r="N177" s="55" t="n">
        <v>35</v>
      </c>
      <c r="O177" s="55" t="n">
        <v>2</v>
      </c>
      <c r="P177" s="56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7">
        <f>M177*P177+K177*V177</f>
        <v/>
      </c>
      <c r="V177" s="56" t="n">
        <v>90</v>
      </c>
      <c r="W177" s="55" t="n">
        <v>0</v>
      </c>
      <c r="X177" s="55" t="n">
        <v>0</v>
      </c>
      <c r="Y177" s="58">
        <f>W177+X177</f>
        <v/>
      </c>
      <c r="Z177" s="56" t="n">
        <v>0</v>
      </c>
      <c r="AA177" s="56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5">
        <f>'02_Socle'!G4</f>
        <v/>
      </c>
      <c r="G4" s="55">
        <f>'02_Socle'!H4</f>
        <v/>
      </c>
      <c r="H4" s="55">
        <f>'02_Socle'!I4</f>
        <v/>
      </c>
      <c r="I4" s="55">
        <f>'02_Socle'!K4</f>
        <v/>
      </c>
      <c r="J4" s="55">
        <f>'02_Socle'!L4</f>
        <v/>
      </c>
      <c r="K4" s="55">
        <f>'02_Socle'!M4</f>
        <v/>
      </c>
      <c r="L4" s="55">
        <f>'02_Socle'!N4</f>
        <v/>
      </c>
      <c r="M4" s="56">
        <f>'02_Socle'!P4</f>
        <v/>
      </c>
      <c r="N4" s="59">
        <f>'02_Socle'!Q4</f>
        <v/>
      </c>
      <c r="O4" s="59">
        <f>'02_Socle'!R4</f>
        <v/>
      </c>
      <c r="P4" s="59">
        <f>'02_Socle'!S4</f>
        <v/>
      </c>
      <c r="Q4" s="59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5">
        <f>'02_Socle'!G5</f>
        <v/>
      </c>
      <c r="G5" s="55">
        <f>'02_Socle'!H5</f>
        <v/>
      </c>
      <c r="H5" s="55">
        <f>'02_Socle'!I5</f>
        <v/>
      </c>
      <c r="I5" s="55">
        <f>'02_Socle'!K5</f>
        <v/>
      </c>
      <c r="J5" s="55">
        <f>'02_Socle'!L5</f>
        <v/>
      </c>
      <c r="K5" s="55">
        <f>'02_Socle'!M5</f>
        <v/>
      </c>
      <c r="L5" s="55">
        <f>'02_Socle'!N5</f>
        <v/>
      </c>
      <c r="M5" s="56">
        <f>'02_Socle'!P5</f>
        <v/>
      </c>
      <c r="N5" s="59">
        <f>'02_Socle'!Q5</f>
        <v/>
      </c>
      <c r="O5" s="59">
        <f>'02_Socle'!R5</f>
        <v/>
      </c>
      <c r="P5" s="59">
        <f>'02_Socle'!S5</f>
        <v/>
      </c>
      <c r="Q5" s="59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5">
        <f>'02_Socle'!G6</f>
        <v/>
      </c>
      <c r="G6" s="55">
        <f>'02_Socle'!H6</f>
        <v/>
      </c>
      <c r="H6" s="55">
        <f>'02_Socle'!I6</f>
        <v/>
      </c>
      <c r="I6" s="55">
        <f>'02_Socle'!K6</f>
        <v/>
      </c>
      <c r="J6" s="55">
        <f>'02_Socle'!L6</f>
        <v/>
      </c>
      <c r="K6" s="55">
        <f>'02_Socle'!M6</f>
        <v/>
      </c>
      <c r="L6" s="55">
        <f>'02_Socle'!N6</f>
        <v/>
      </c>
      <c r="M6" s="56">
        <f>'02_Socle'!P6</f>
        <v/>
      </c>
      <c r="N6" s="59">
        <f>'02_Socle'!Q6</f>
        <v/>
      </c>
      <c r="O6" s="59">
        <f>'02_Socle'!R6</f>
        <v/>
      </c>
      <c r="P6" s="59">
        <f>'02_Socle'!S6</f>
        <v/>
      </c>
      <c r="Q6" s="59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5">
        <f>'02_Socle'!G7</f>
        <v/>
      </c>
      <c r="G7" s="55">
        <f>'02_Socle'!H7</f>
        <v/>
      </c>
      <c r="H7" s="55">
        <f>'02_Socle'!I7</f>
        <v/>
      </c>
      <c r="I7" s="55">
        <f>'02_Socle'!K7</f>
        <v/>
      </c>
      <c r="J7" s="55">
        <f>'02_Socle'!L7</f>
        <v/>
      </c>
      <c r="K7" s="55">
        <f>'02_Socle'!M7</f>
        <v/>
      </c>
      <c r="L7" s="55">
        <f>'02_Socle'!N7</f>
        <v/>
      </c>
      <c r="M7" s="56">
        <f>'02_Socle'!P7</f>
        <v/>
      </c>
      <c r="N7" s="59">
        <f>'02_Socle'!Q7</f>
        <v/>
      </c>
      <c r="O7" s="59">
        <f>'02_Socle'!R7</f>
        <v/>
      </c>
      <c r="P7" s="59">
        <f>'02_Socle'!S7</f>
        <v/>
      </c>
      <c r="Q7" s="59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5">
        <f>'02_Socle'!G8</f>
        <v/>
      </c>
      <c r="G8" s="55">
        <f>'02_Socle'!H8</f>
        <v/>
      </c>
      <c r="H8" s="55">
        <f>'02_Socle'!I8</f>
        <v/>
      </c>
      <c r="I8" s="55">
        <f>'02_Socle'!K8</f>
        <v/>
      </c>
      <c r="J8" s="55">
        <f>'02_Socle'!L8</f>
        <v/>
      </c>
      <c r="K8" s="55">
        <f>'02_Socle'!M8</f>
        <v/>
      </c>
      <c r="L8" s="55">
        <f>'02_Socle'!N8</f>
        <v/>
      </c>
      <c r="M8" s="56">
        <f>'02_Socle'!P8</f>
        <v/>
      </c>
      <c r="N8" s="59">
        <f>'02_Socle'!Q8</f>
        <v/>
      </c>
      <c r="O8" s="59">
        <f>'02_Socle'!R8</f>
        <v/>
      </c>
      <c r="P8" s="59">
        <f>'02_Socle'!S8</f>
        <v/>
      </c>
      <c r="Q8" s="59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5">
        <f>'02_Socle'!G9</f>
        <v/>
      </c>
      <c r="G9" s="55">
        <f>'02_Socle'!H9</f>
        <v/>
      </c>
      <c r="H9" s="55">
        <f>'02_Socle'!I9</f>
        <v/>
      </c>
      <c r="I9" s="55">
        <f>'02_Socle'!K9</f>
        <v/>
      </c>
      <c r="J9" s="55">
        <f>'02_Socle'!L9</f>
        <v/>
      </c>
      <c r="K9" s="55">
        <f>'02_Socle'!M9</f>
        <v/>
      </c>
      <c r="L9" s="55">
        <f>'02_Socle'!N9</f>
        <v/>
      </c>
      <c r="M9" s="56">
        <f>'02_Socle'!P9</f>
        <v/>
      </c>
      <c r="N9" s="59">
        <f>'02_Socle'!Q9</f>
        <v/>
      </c>
      <c r="O9" s="59">
        <f>'02_Socle'!R9</f>
        <v/>
      </c>
      <c r="P9" s="59">
        <f>'02_Socle'!S9</f>
        <v/>
      </c>
      <c r="Q9" s="59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9">
        <f>'08_Saisie_Campus'!I7</f>
        <v/>
      </c>
      <c r="AG9" s="59">
        <f>'08_Saisie_Campus'!J7</f>
        <v/>
      </c>
      <c r="AH9" s="5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5">
        <f>'02_Socle'!G10</f>
        <v/>
      </c>
      <c r="G10" s="55">
        <f>'02_Socle'!H10</f>
        <v/>
      </c>
      <c r="H10" s="55">
        <f>'02_Socle'!I10</f>
        <v/>
      </c>
      <c r="I10" s="55">
        <f>'02_Socle'!K10</f>
        <v/>
      </c>
      <c r="J10" s="55">
        <f>'02_Socle'!L10</f>
        <v/>
      </c>
      <c r="K10" s="55">
        <f>'02_Socle'!M10</f>
        <v/>
      </c>
      <c r="L10" s="55">
        <f>'02_Socle'!N10</f>
        <v/>
      </c>
      <c r="M10" s="56">
        <f>'02_Socle'!P10</f>
        <v/>
      </c>
      <c r="N10" s="59">
        <f>'02_Socle'!Q10</f>
        <v/>
      </c>
      <c r="O10" s="59">
        <f>'02_Socle'!R10</f>
        <v/>
      </c>
      <c r="P10" s="59">
        <f>'02_Socle'!S10</f>
        <v/>
      </c>
      <c r="Q10" s="59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9">
        <f>'08_Saisie_Campus'!I8</f>
        <v/>
      </c>
      <c r="AG10" s="59">
        <f>'08_Saisie_Campus'!J8</f>
        <v/>
      </c>
      <c r="AH10" s="5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5">
        <f>'02_Socle'!G11</f>
        <v/>
      </c>
      <c r="G11" s="55">
        <f>'02_Socle'!H11</f>
        <v/>
      </c>
      <c r="H11" s="55">
        <f>'02_Socle'!I11</f>
        <v/>
      </c>
      <c r="I11" s="55">
        <f>'02_Socle'!K11</f>
        <v/>
      </c>
      <c r="J11" s="55">
        <f>'02_Socle'!L11</f>
        <v/>
      </c>
      <c r="K11" s="55">
        <f>'02_Socle'!M11</f>
        <v/>
      </c>
      <c r="L11" s="55">
        <f>'02_Socle'!N11</f>
        <v/>
      </c>
      <c r="M11" s="56">
        <f>'02_Socle'!P11</f>
        <v/>
      </c>
      <c r="N11" s="59">
        <f>'02_Socle'!Q11</f>
        <v/>
      </c>
      <c r="O11" s="59">
        <f>'02_Socle'!R11</f>
        <v/>
      </c>
      <c r="P11" s="59">
        <f>'02_Socle'!S11</f>
        <v/>
      </c>
      <c r="Q11" s="59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9">
        <f>'08_Saisie_Campus'!I9</f>
        <v/>
      </c>
      <c r="AG11" s="59">
        <f>'08_Saisie_Campus'!J9</f>
        <v/>
      </c>
      <c r="AH11" s="5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5">
        <f>'02_Socle'!G12</f>
        <v/>
      </c>
      <c r="G12" s="55">
        <f>'02_Socle'!H12</f>
        <v/>
      </c>
      <c r="H12" s="55">
        <f>'02_Socle'!I12</f>
        <v/>
      </c>
      <c r="I12" s="55">
        <f>'02_Socle'!K12</f>
        <v/>
      </c>
      <c r="J12" s="55">
        <f>'02_Socle'!L12</f>
        <v/>
      </c>
      <c r="K12" s="55">
        <f>'02_Socle'!M12</f>
        <v/>
      </c>
      <c r="L12" s="55">
        <f>'02_Socle'!N12</f>
        <v/>
      </c>
      <c r="M12" s="56">
        <f>'02_Socle'!P12</f>
        <v/>
      </c>
      <c r="N12" s="59">
        <f>'02_Socle'!Q12</f>
        <v/>
      </c>
      <c r="O12" s="59">
        <f>'02_Socle'!R12</f>
        <v/>
      </c>
      <c r="P12" s="59">
        <f>'02_Socle'!S12</f>
        <v/>
      </c>
      <c r="Q12" s="59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9">
        <f>'08_Saisie_Campus'!I10</f>
        <v/>
      </c>
      <c r="AG12" s="59">
        <f>'08_Saisie_Campus'!J10</f>
        <v/>
      </c>
      <c r="AH12" s="5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5">
        <f>'02_Socle'!G13</f>
        <v/>
      </c>
      <c r="G13" s="55">
        <f>'02_Socle'!H13</f>
        <v/>
      </c>
      <c r="H13" s="55">
        <f>'02_Socle'!I13</f>
        <v/>
      </c>
      <c r="I13" s="55">
        <f>'02_Socle'!K13</f>
        <v/>
      </c>
      <c r="J13" s="55">
        <f>'02_Socle'!L13</f>
        <v/>
      </c>
      <c r="K13" s="55">
        <f>'02_Socle'!M13</f>
        <v/>
      </c>
      <c r="L13" s="55">
        <f>'02_Socle'!N13</f>
        <v/>
      </c>
      <c r="M13" s="56">
        <f>'02_Socle'!P13</f>
        <v/>
      </c>
      <c r="N13" s="59">
        <f>'02_Socle'!Q13</f>
        <v/>
      </c>
      <c r="O13" s="59">
        <f>'02_Socle'!R13</f>
        <v/>
      </c>
      <c r="P13" s="59">
        <f>'02_Socle'!S13</f>
        <v/>
      </c>
      <c r="Q13" s="59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9">
        <f>'08_Saisie_Campus'!I11</f>
        <v/>
      </c>
      <c r="AG13" s="59">
        <f>'08_Saisie_Campus'!J11</f>
        <v/>
      </c>
      <c r="AH13" s="5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5">
        <f>'02_Socle'!G14</f>
        <v/>
      </c>
      <c r="G14" s="55">
        <f>'02_Socle'!H14</f>
        <v/>
      </c>
      <c r="H14" s="55">
        <f>'02_Socle'!I14</f>
        <v/>
      </c>
      <c r="I14" s="55">
        <f>'02_Socle'!K14</f>
        <v/>
      </c>
      <c r="J14" s="55">
        <f>'02_Socle'!L14</f>
        <v/>
      </c>
      <c r="K14" s="55">
        <f>'02_Socle'!M14</f>
        <v/>
      </c>
      <c r="L14" s="55">
        <f>'02_Socle'!N14</f>
        <v/>
      </c>
      <c r="M14" s="56">
        <f>'02_Socle'!P14</f>
        <v/>
      </c>
      <c r="N14" s="59">
        <f>'02_Socle'!Q14</f>
        <v/>
      </c>
      <c r="O14" s="59">
        <f>'02_Socle'!R14</f>
        <v/>
      </c>
      <c r="P14" s="59">
        <f>'02_Socle'!S14</f>
        <v/>
      </c>
      <c r="Q14" s="59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5">
        <f>'02_Socle'!G15</f>
        <v/>
      </c>
      <c r="G15" s="55">
        <f>'02_Socle'!H15</f>
        <v/>
      </c>
      <c r="H15" s="55">
        <f>'02_Socle'!I15</f>
        <v/>
      </c>
      <c r="I15" s="55">
        <f>'02_Socle'!K15</f>
        <v/>
      </c>
      <c r="J15" s="55">
        <f>'02_Socle'!L15</f>
        <v/>
      </c>
      <c r="K15" s="55">
        <f>'02_Socle'!M15</f>
        <v/>
      </c>
      <c r="L15" s="55">
        <f>'02_Socle'!N15</f>
        <v/>
      </c>
      <c r="M15" s="56">
        <f>'02_Socle'!P15</f>
        <v/>
      </c>
      <c r="N15" s="59">
        <f>'02_Socle'!Q15</f>
        <v/>
      </c>
      <c r="O15" s="59">
        <f>'02_Socle'!R15</f>
        <v/>
      </c>
      <c r="P15" s="59">
        <f>'02_Socle'!S15</f>
        <v/>
      </c>
      <c r="Q15" s="59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5">
        <f>'02_Socle'!G16</f>
        <v/>
      </c>
      <c r="G16" s="55">
        <f>'02_Socle'!H16</f>
        <v/>
      </c>
      <c r="H16" s="55">
        <f>'02_Socle'!I16</f>
        <v/>
      </c>
      <c r="I16" s="55">
        <f>'02_Socle'!K16</f>
        <v/>
      </c>
      <c r="J16" s="55">
        <f>'02_Socle'!L16</f>
        <v/>
      </c>
      <c r="K16" s="55">
        <f>'02_Socle'!M16</f>
        <v/>
      </c>
      <c r="L16" s="55">
        <f>'02_Socle'!N16</f>
        <v/>
      </c>
      <c r="M16" s="56">
        <f>'02_Socle'!P16</f>
        <v/>
      </c>
      <c r="N16" s="59">
        <f>'02_Socle'!Q16</f>
        <v/>
      </c>
      <c r="O16" s="59">
        <f>'02_Socle'!R16</f>
        <v/>
      </c>
      <c r="P16" s="59">
        <f>'02_Socle'!S16</f>
        <v/>
      </c>
      <c r="Q16" s="59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5">
        <f>'02_Socle'!G17</f>
        <v/>
      </c>
      <c r="G17" s="55">
        <f>'02_Socle'!H17</f>
        <v/>
      </c>
      <c r="H17" s="55">
        <f>'02_Socle'!I17</f>
        <v/>
      </c>
      <c r="I17" s="55">
        <f>'02_Socle'!K17</f>
        <v/>
      </c>
      <c r="J17" s="55">
        <f>'02_Socle'!L17</f>
        <v/>
      </c>
      <c r="K17" s="55">
        <f>'02_Socle'!M17</f>
        <v/>
      </c>
      <c r="L17" s="55">
        <f>'02_Socle'!N17</f>
        <v/>
      </c>
      <c r="M17" s="56">
        <f>'02_Socle'!P17</f>
        <v/>
      </c>
      <c r="N17" s="59">
        <f>'02_Socle'!Q17</f>
        <v/>
      </c>
      <c r="O17" s="59">
        <f>'02_Socle'!R17</f>
        <v/>
      </c>
      <c r="P17" s="59">
        <f>'02_Socle'!S17</f>
        <v/>
      </c>
      <c r="Q17" s="59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5">
        <f>'02_Socle'!G18</f>
        <v/>
      </c>
      <c r="G18" s="55">
        <f>'02_Socle'!H18</f>
        <v/>
      </c>
      <c r="H18" s="55">
        <f>'02_Socle'!I18</f>
        <v/>
      </c>
      <c r="I18" s="55">
        <f>'02_Socle'!K18</f>
        <v/>
      </c>
      <c r="J18" s="55">
        <f>'02_Socle'!L18</f>
        <v/>
      </c>
      <c r="K18" s="55">
        <f>'02_Socle'!M18</f>
        <v/>
      </c>
      <c r="L18" s="55">
        <f>'02_Socle'!N18</f>
        <v/>
      </c>
      <c r="M18" s="56">
        <f>'02_Socle'!P18</f>
        <v/>
      </c>
      <c r="N18" s="59">
        <f>'02_Socle'!Q18</f>
        <v/>
      </c>
      <c r="O18" s="59">
        <f>'02_Socle'!R18</f>
        <v/>
      </c>
      <c r="P18" s="59">
        <f>'02_Socle'!S18</f>
        <v/>
      </c>
      <c r="Q18" s="59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5">
        <f>'02_Socle'!G19</f>
        <v/>
      </c>
      <c r="G19" s="55">
        <f>'02_Socle'!H19</f>
        <v/>
      </c>
      <c r="H19" s="55">
        <f>'02_Socle'!I19</f>
        <v/>
      </c>
      <c r="I19" s="55">
        <f>'02_Socle'!K19</f>
        <v/>
      </c>
      <c r="J19" s="55">
        <f>'02_Socle'!L19</f>
        <v/>
      </c>
      <c r="K19" s="55">
        <f>'02_Socle'!M19</f>
        <v/>
      </c>
      <c r="L19" s="55">
        <f>'02_Socle'!N19</f>
        <v/>
      </c>
      <c r="M19" s="56">
        <f>'02_Socle'!P19</f>
        <v/>
      </c>
      <c r="N19" s="59">
        <f>'02_Socle'!Q19</f>
        <v/>
      </c>
      <c r="O19" s="59">
        <f>'02_Socle'!R19</f>
        <v/>
      </c>
      <c r="P19" s="59">
        <f>'02_Socle'!S19</f>
        <v/>
      </c>
      <c r="Q19" s="59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5">
        <f>'02_Socle'!G20</f>
        <v/>
      </c>
      <c r="G20" s="55">
        <f>'02_Socle'!H20</f>
        <v/>
      </c>
      <c r="H20" s="55">
        <f>'02_Socle'!I20</f>
        <v/>
      </c>
      <c r="I20" s="55">
        <f>'02_Socle'!K20</f>
        <v/>
      </c>
      <c r="J20" s="55">
        <f>'02_Socle'!L20</f>
        <v/>
      </c>
      <c r="K20" s="55">
        <f>'02_Socle'!M20</f>
        <v/>
      </c>
      <c r="L20" s="55">
        <f>'02_Socle'!N20</f>
        <v/>
      </c>
      <c r="M20" s="56">
        <f>'02_Socle'!P20</f>
        <v/>
      </c>
      <c r="N20" s="59">
        <f>'02_Socle'!Q20</f>
        <v/>
      </c>
      <c r="O20" s="59">
        <f>'02_Socle'!R20</f>
        <v/>
      </c>
      <c r="P20" s="59">
        <f>'02_Socle'!S20</f>
        <v/>
      </c>
      <c r="Q20" s="59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5">
        <f>'02_Socle'!G21</f>
        <v/>
      </c>
      <c r="G21" s="55">
        <f>'02_Socle'!H21</f>
        <v/>
      </c>
      <c r="H21" s="55">
        <f>'02_Socle'!I21</f>
        <v/>
      </c>
      <c r="I21" s="55">
        <f>'02_Socle'!K21</f>
        <v/>
      </c>
      <c r="J21" s="55">
        <f>'02_Socle'!L21</f>
        <v/>
      </c>
      <c r="K21" s="55">
        <f>'02_Socle'!M21</f>
        <v/>
      </c>
      <c r="L21" s="55">
        <f>'02_Socle'!N21</f>
        <v/>
      </c>
      <c r="M21" s="56">
        <f>'02_Socle'!P21</f>
        <v/>
      </c>
      <c r="N21" s="59">
        <f>'02_Socle'!Q21</f>
        <v/>
      </c>
      <c r="O21" s="59">
        <f>'02_Socle'!R21</f>
        <v/>
      </c>
      <c r="P21" s="59">
        <f>'02_Socle'!S21</f>
        <v/>
      </c>
      <c r="Q21" s="59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5">
        <f>'02_Socle'!G22</f>
        <v/>
      </c>
      <c r="G22" s="55">
        <f>'02_Socle'!H22</f>
        <v/>
      </c>
      <c r="H22" s="55">
        <f>'02_Socle'!I22</f>
        <v/>
      </c>
      <c r="I22" s="55">
        <f>'02_Socle'!K22</f>
        <v/>
      </c>
      <c r="J22" s="55">
        <f>'02_Socle'!L22</f>
        <v/>
      </c>
      <c r="K22" s="55">
        <f>'02_Socle'!M22</f>
        <v/>
      </c>
      <c r="L22" s="55">
        <f>'02_Socle'!N22</f>
        <v/>
      </c>
      <c r="M22" s="56">
        <f>'02_Socle'!P22</f>
        <v/>
      </c>
      <c r="N22" s="59">
        <f>'02_Socle'!Q22</f>
        <v/>
      </c>
      <c r="O22" s="59">
        <f>'02_Socle'!R22</f>
        <v/>
      </c>
      <c r="P22" s="59">
        <f>'02_Socle'!S22</f>
        <v/>
      </c>
      <c r="Q22" s="59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5">
        <f>'02_Socle'!G23</f>
        <v/>
      </c>
      <c r="G23" s="55">
        <f>'02_Socle'!H23</f>
        <v/>
      </c>
      <c r="H23" s="55">
        <f>'02_Socle'!I23</f>
        <v/>
      </c>
      <c r="I23" s="55">
        <f>'02_Socle'!K23</f>
        <v/>
      </c>
      <c r="J23" s="55">
        <f>'02_Socle'!L23</f>
        <v/>
      </c>
      <c r="K23" s="55">
        <f>'02_Socle'!M23</f>
        <v/>
      </c>
      <c r="L23" s="55">
        <f>'02_Socle'!N23</f>
        <v/>
      </c>
      <c r="M23" s="56">
        <f>'02_Socle'!P23</f>
        <v/>
      </c>
      <c r="N23" s="59">
        <f>'02_Socle'!Q23</f>
        <v/>
      </c>
      <c r="O23" s="59">
        <f>'02_Socle'!R23</f>
        <v/>
      </c>
      <c r="P23" s="59">
        <f>'02_Socle'!S23</f>
        <v/>
      </c>
      <c r="Q23" s="59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5">
        <f>'02_Socle'!G24</f>
        <v/>
      </c>
      <c r="G24" s="55">
        <f>'02_Socle'!H24</f>
        <v/>
      </c>
      <c r="H24" s="55">
        <f>'02_Socle'!I24</f>
        <v/>
      </c>
      <c r="I24" s="55">
        <f>'02_Socle'!K24</f>
        <v/>
      </c>
      <c r="J24" s="55">
        <f>'02_Socle'!L24</f>
        <v/>
      </c>
      <c r="K24" s="55">
        <f>'02_Socle'!M24</f>
        <v/>
      </c>
      <c r="L24" s="55">
        <f>'02_Socle'!N24</f>
        <v/>
      </c>
      <c r="M24" s="56">
        <f>'02_Socle'!P24</f>
        <v/>
      </c>
      <c r="N24" s="59">
        <f>'02_Socle'!Q24</f>
        <v/>
      </c>
      <c r="O24" s="59">
        <f>'02_Socle'!R24</f>
        <v/>
      </c>
      <c r="P24" s="59">
        <f>'02_Socle'!S24</f>
        <v/>
      </c>
      <c r="Q24" s="59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5">
        <f>'02_Socle'!G25</f>
        <v/>
      </c>
      <c r="G25" s="55">
        <f>'02_Socle'!H25</f>
        <v/>
      </c>
      <c r="H25" s="55">
        <f>'02_Socle'!I25</f>
        <v/>
      </c>
      <c r="I25" s="55">
        <f>'02_Socle'!K25</f>
        <v/>
      </c>
      <c r="J25" s="55">
        <f>'02_Socle'!L25</f>
        <v/>
      </c>
      <c r="K25" s="55">
        <f>'02_Socle'!M25</f>
        <v/>
      </c>
      <c r="L25" s="55">
        <f>'02_Socle'!N25</f>
        <v/>
      </c>
      <c r="M25" s="56">
        <f>'02_Socle'!P25</f>
        <v/>
      </c>
      <c r="N25" s="59">
        <f>'02_Socle'!Q25</f>
        <v/>
      </c>
      <c r="O25" s="59">
        <f>'02_Socle'!R25</f>
        <v/>
      </c>
      <c r="P25" s="59">
        <f>'02_Socle'!S25</f>
        <v/>
      </c>
      <c r="Q25" s="59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5">
        <f>'02_Socle'!G26</f>
        <v/>
      </c>
      <c r="G26" s="55">
        <f>'02_Socle'!H26</f>
        <v/>
      </c>
      <c r="H26" s="55">
        <f>'02_Socle'!I26</f>
        <v/>
      </c>
      <c r="I26" s="55">
        <f>'02_Socle'!K26</f>
        <v/>
      </c>
      <c r="J26" s="55">
        <f>'02_Socle'!L26</f>
        <v/>
      </c>
      <c r="K26" s="55">
        <f>'02_Socle'!M26</f>
        <v/>
      </c>
      <c r="L26" s="55">
        <f>'02_Socle'!N26</f>
        <v/>
      </c>
      <c r="M26" s="56">
        <f>'02_Socle'!P26</f>
        <v/>
      </c>
      <c r="N26" s="59">
        <f>'02_Socle'!Q26</f>
        <v/>
      </c>
      <c r="O26" s="59">
        <f>'02_Socle'!R26</f>
        <v/>
      </c>
      <c r="P26" s="59">
        <f>'02_Socle'!S26</f>
        <v/>
      </c>
      <c r="Q26" s="59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5">
        <f>'02_Socle'!G27</f>
        <v/>
      </c>
      <c r="G27" s="55">
        <f>'02_Socle'!H27</f>
        <v/>
      </c>
      <c r="H27" s="55">
        <f>'02_Socle'!I27</f>
        <v/>
      </c>
      <c r="I27" s="55">
        <f>'02_Socle'!K27</f>
        <v/>
      </c>
      <c r="J27" s="55">
        <f>'02_Socle'!L27</f>
        <v/>
      </c>
      <c r="K27" s="55">
        <f>'02_Socle'!M27</f>
        <v/>
      </c>
      <c r="L27" s="55">
        <f>'02_Socle'!N27</f>
        <v/>
      </c>
      <c r="M27" s="56">
        <f>'02_Socle'!P27</f>
        <v/>
      </c>
      <c r="N27" s="59">
        <f>'02_Socle'!Q27</f>
        <v/>
      </c>
      <c r="O27" s="59">
        <f>'02_Socle'!R27</f>
        <v/>
      </c>
      <c r="P27" s="59">
        <f>'02_Socle'!S27</f>
        <v/>
      </c>
      <c r="Q27" s="59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5">
        <f>'02_Socle'!G28</f>
        <v/>
      </c>
      <c r="G28" s="55">
        <f>'02_Socle'!H28</f>
        <v/>
      </c>
      <c r="H28" s="55">
        <f>'02_Socle'!I28</f>
        <v/>
      </c>
      <c r="I28" s="55">
        <f>'02_Socle'!K28</f>
        <v/>
      </c>
      <c r="J28" s="55">
        <f>'02_Socle'!L28</f>
        <v/>
      </c>
      <c r="K28" s="55">
        <f>'02_Socle'!M28</f>
        <v/>
      </c>
      <c r="L28" s="55">
        <f>'02_Socle'!N28</f>
        <v/>
      </c>
      <c r="M28" s="56">
        <f>'02_Socle'!P28</f>
        <v/>
      </c>
      <c r="N28" s="59">
        <f>'02_Socle'!Q28</f>
        <v/>
      </c>
      <c r="O28" s="59">
        <f>'02_Socle'!R28</f>
        <v/>
      </c>
      <c r="P28" s="59">
        <f>'02_Socle'!S28</f>
        <v/>
      </c>
      <c r="Q28" s="59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5">
        <f>'02_Socle'!G29</f>
        <v/>
      </c>
      <c r="G29" s="55">
        <f>'02_Socle'!H29</f>
        <v/>
      </c>
      <c r="H29" s="55">
        <f>'02_Socle'!I29</f>
        <v/>
      </c>
      <c r="I29" s="55">
        <f>'02_Socle'!K29</f>
        <v/>
      </c>
      <c r="J29" s="55">
        <f>'02_Socle'!L29</f>
        <v/>
      </c>
      <c r="K29" s="55">
        <f>'02_Socle'!M29</f>
        <v/>
      </c>
      <c r="L29" s="55">
        <f>'02_Socle'!N29</f>
        <v/>
      </c>
      <c r="M29" s="56">
        <f>'02_Socle'!P29</f>
        <v/>
      </c>
      <c r="N29" s="59">
        <f>'02_Socle'!Q29</f>
        <v/>
      </c>
      <c r="O29" s="59">
        <f>'02_Socle'!R29</f>
        <v/>
      </c>
      <c r="P29" s="59">
        <f>'02_Socle'!S29</f>
        <v/>
      </c>
      <c r="Q29" s="59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5">
        <f>'02_Socle'!G30</f>
        <v/>
      </c>
      <c r="G30" s="55">
        <f>'02_Socle'!H30</f>
        <v/>
      </c>
      <c r="H30" s="55">
        <f>'02_Socle'!I30</f>
        <v/>
      </c>
      <c r="I30" s="55">
        <f>'02_Socle'!K30</f>
        <v/>
      </c>
      <c r="J30" s="55">
        <f>'02_Socle'!L30</f>
        <v/>
      </c>
      <c r="K30" s="55">
        <f>'02_Socle'!M30</f>
        <v/>
      </c>
      <c r="L30" s="55">
        <f>'02_Socle'!N30</f>
        <v/>
      </c>
      <c r="M30" s="56">
        <f>'02_Socle'!P30</f>
        <v/>
      </c>
      <c r="N30" s="59">
        <f>'02_Socle'!Q30</f>
        <v/>
      </c>
      <c r="O30" s="59">
        <f>'02_Socle'!R30</f>
        <v/>
      </c>
      <c r="P30" s="59">
        <f>'02_Socle'!S30</f>
        <v/>
      </c>
      <c r="Q30" s="59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5">
        <f>'02_Socle'!G31</f>
        <v/>
      </c>
      <c r="G31" s="55">
        <f>'02_Socle'!H31</f>
        <v/>
      </c>
      <c r="H31" s="55">
        <f>'02_Socle'!I31</f>
        <v/>
      </c>
      <c r="I31" s="55">
        <f>'02_Socle'!K31</f>
        <v/>
      </c>
      <c r="J31" s="55">
        <f>'02_Socle'!L31</f>
        <v/>
      </c>
      <c r="K31" s="55">
        <f>'02_Socle'!M31</f>
        <v/>
      </c>
      <c r="L31" s="55">
        <f>'02_Socle'!N31</f>
        <v/>
      </c>
      <c r="M31" s="56">
        <f>'02_Socle'!P31</f>
        <v/>
      </c>
      <c r="N31" s="59">
        <f>'02_Socle'!Q31</f>
        <v/>
      </c>
      <c r="O31" s="59">
        <f>'02_Socle'!R31</f>
        <v/>
      </c>
      <c r="P31" s="59">
        <f>'02_Socle'!S31</f>
        <v/>
      </c>
      <c r="Q31" s="59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5">
        <f>'02_Socle'!G32</f>
        <v/>
      </c>
      <c r="G32" s="55">
        <f>'02_Socle'!H32</f>
        <v/>
      </c>
      <c r="H32" s="55">
        <f>'02_Socle'!I32</f>
        <v/>
      </c>
      <c r="I32" s="55">
        <f>'02_Socle'!K32</f>
        <v/>
      </c>
      <c r="J32" s="55">
        <f>'02_Socle'!L32</f>
        <v/>
      </c>
      <c r="K32" s="55">
        <f>'02_Socle'!M32</f>
        <v/>
      </c>
      <c r="L32" s="55">
        <f>'02_Socle'!N32</f>
        <v/>
      </c>
      <c r="M32" s="56">
        <f>'02_Socle'!P32</f>
        <v/>
      </c>
      <c r="N32" s="59">
        <f>'02_Socle'!Q32</f>
        <v/>
      </c>
      <c r="O32" s="59">
        <f>'02_Socle'!R32</f>
        <v/>
      </c>
      <c r="P32" s="59">
        <f>'02_Socle'!S32</f>
        <v/>
      </c>
      <c r="Q32" s="59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5">
        <f>'02_Socle'!G33</f>
        <v/>
      </c>
      <c r="G33" s="55">
        <f>'02_Socle'!H33</f>
        <v/>
      </c>
      <c r="H33" s="55">
        <f>'02_Socle'!I33</f>
        <v/>
      </c>
      <c r="I33" s="55">
        <f>'02_Socle'!K33</f>
        <v/>
      </c>
      <c r="J33" s="55">
        <f>'02_Socle'!L33</f>
        <v/>
      </c>
      <c r="K33" s="55">
        <f>'02_Socle'!M33</f>
        <v/>
      </c>
      <c r="L33" s="55">
        <f>'02_Socle'!N33</f>
        <v/>
      </c>
      <c r="M33" s="56">
        <f>'02_Socle'!P33</f>
        <v/>
      </c>
      <c r="N33" s="59">
        <f>'02_Socle'!Q33</f>
        <v/>
      </c>
      <c r="O33" s="59">
        <f>'02_Socle'!R33</f>
        <v/>
      </c>
      <c r="P33" s="59">
        <f>'02_Socle'!S33</f>
        <v/>
      </c>
      <c r="Q33" s="59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5">
        <f>'02_Socle'!G34</f>
        <v/>
      </c>
      <c r="G34" s="55">
        <f>'02_Socle'!H34</f>
        <v/>
      </c>
      <c r="H34" s="55">
        <f>'02_Socle'!I34</f>
        <v/>
      </c>
      <c r="I34" s="55">
        <f>'02_Socle'!K34</f>
        <v/>
      </c>
      <c r="J34" s="55">
        <f>'02_Socle'!L34</f>
        <v/>
      </c>
      <c r="K34" s="55">
        <f>'02_Socle'!M34</f>
        <v/>
      </c>
      <c r="L34" s="55">
        <f>'02_Socle'!N34</f>
        <v/>
      </c>
      <c r="M34" s="56">
        <f>'02_Socle'!P34</f>
        <v/>
      </c>
      <c r="N34" s="59">
        <f>'02_Socle'!Q34</f>
        <v/>
      </c>
      <c r="O34" s="59">
        <f>'02_Socle'!R34</f>
        <v/>
      </c>
      <c r="P34" s="59">
        <f>'02_Socle'!S34</f>
        <v/>
      </c>
      <c r="Q34" s="59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5">
        <f>'02_Socle'!G35</f>
        <v/>
      </c>
      <c r="G35" s="55">
        <f>'02_Socle'!H35</f>
        <v/>
      </c>
      <c r="H35" s="55">
        <f>'02_Socle'!I35</f>
        <v/>
      </c>
      <c r="I35" s="55">
        <f>'02_Socle'!K35</f>
        <v/>
      </c>
      <c r="J35" s="55">
        <f>'02_Socle'!L35</f>
        <v/>
      </c>
      <c r="K35" s="55">
        <f>'02_Socle'!M35</f>
        <v/>
      </c>
      <c r="L35" s="55">
        <f>'02_Socle'!N35</f>
        <v/>
      </c>
      <c r="M35" s="56">
        <f>'02_Socle'!P35</f>
        <v/>
      </c>
      <c r="N35" s="59">
        <f>'02_Socle'!Q35</f>
        <v/>
      </c>
      <c r="O35" s="59">
        <f>'02_Socle'!R35</f>
        <v/>
      </c>
      <c r="P35" s="59">
        <f>'02_Socle'!S35</f>
        <v/>
      </c>
      <c r="Q35" s="59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5">
        <f>'02_Socle'!G36</f>
        <v/>
      </c>
      <c r="G36" s="55">
        <f>'02_Socle'!H36</f>
        <v/>
      </c>
      <c r="H36" s="55">
        <f>'02_Socle'!I36</f>
        <v/>
      </c>
      <c r="I36" s="55">
        <f>'02_Socle'!K36</f>
        <v/>
      </c>
      <c r="J36" s="55">
        <f>'02_Socle'!L36</f>
        <v/>
      </c>
      <c r="K36" s="55">
        <f>'02_Socle'!M36</f>
        <v/>
      </c>
      <c r="L36" s="55">
        <f>'02_Socle'!N36</f>
        <v/>
      </c>
      <c r="M36" s="56">
        <f>'02_Socle'!P36</f>
        <v/>
      </c>
      <c r="N36" s="59">
        <f>'02_Socle'!Q36</f>
        <v/>
      </c>
      <c r="O36" s="59">
        <f>'02_Socle'!R36</f>
        <v/>
      </c>
      <c r="P36" s="59">
        <f>'02_Socle'!S36</f>
        <v/>
      </c>
      <c r="Q36" s="59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5">
        <f>'02_Socle'!G37</f>
        <v/>
      </c>
      <c r="G37" s="55">
        <f>'02_Socle'!H37</f>
        <v/>
      </c>
      <c r="H37" s="55">
        <f>'02_Socle'!I37</f>
        <v/>
      </c>
      <c r="I37" s="55">
        <f>'02_Socle'!K37</f>
        <v/>
      </c>
      <c r="J37" s="55">
        <f>'02_Socle'!L37</f>
        <v/>
      </c>
      <c r="K37" s="55">
        <f>'02_Socle'!M37</f>
        <v/>
      </c>
      <c r="L37" s="55">
        <f>'02_Socle'!N37</f>
        <v/>
      </c>
      <c r="M37" s="56">
        <f>'02_Socle'!P37</f>
        <v/>
      </c>
      <c r="N37" s="59">
        <f>'02_Socle'!Q37</f>
        <v/>
      </c>
      <c r="O37" s="59">
        <f>'02_Socle'!R37</f>
        <v/>
      </c>
      <c r="P37" s="59">
        <f>'02_Socle'!S37</f>
        <v/>
      </c>
      <c r="Q37" s="59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5">
        <f>'02_Socle'!G38</f>
        <v/>
      </c>
      <c r="G38" s="55">
        <f>'02_Socle'!H38</f>
        <v/>
      </c>
      <c r="H38" s="55">
        <f>'02_Socle'!I38</f>
        <v/>
      </c>
      <c r="I38" s="55">
        <f>'02_Socle'!K38</f>
        <v/>
      </c>
      <c r="J38" s="55">
        <f>'02_Socle'!L38</f>
        <v/>
      </c>
      <c r="K38" s="55">
        <f>'02_Socle'!M38</f>
        <v/>
      </c>
      <c r="L38" s="55">
        <f>'02_Socle'!N38</f>
        <v/>
      </c>
      <c r="M38" s="56">
        <f>'02_Socle'!P38</f>
        <v/>
      </c>
      <c r="N38" s="59">
        <f>'02_Socle'!Q38</f>
        <v/>
      </c>
      <c r="O38" s="59">
        <f>'02_Socle'!R38</f>
        <v/>
      </c>
      <c r="P38" s="59">
        <f>'02_Socle'!S38</f>
        <v/>
      </c>
      <c r="Q38" s="59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5">
        <f>'02_Socle'!G39</f>
        <v/>
      </c>
      <c r="G39" s="55">
        <f>'02_Socle'!H39</f>
        <v/>
      </c>
      <c r="H39" s="55">
        <f>'02_Socle'!I39</f>
        <v/>
      </c>
      <c r="I39" s="55">
        <f>'02_Socle'!K39</f>
        <v/>
      </c>
      <c r="J39" s="55">
        <f>'02_Socle'!L39</f>
        <v/>
      </c>
      <c r="K39" s="55">
        <f>'02_Socle'!M39</f>
        <v/>
      </c>
      <c r="L39" s="55">
        <f>'02_Socle'!N39</f>
        <v/>
      </c>
      <c r="M39" s="56">
        <f>'02_Socle'!P39</f>
        <v/>
      </c>
      <c r="N39" s="59">
        <f>'02_Socle'!Q39</f>
        <v/>
      </c>
      <c r="O39" s="59">
        <f>'02_Socle'!R39</f>
        <v/>
      </c>
      <c r="P39" s="59">
        <f>'02_Socle'!S39</f>
        <v/>
      </c>
      <c r="Q39" s="59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5">
        <f>'02_Socle'!G40</f>
        <v/>
      </c>
      <c r="G40" s="55">
        <f>'02_Socle'!H40</f>
        <v/>
      </c>
      <c r="H40" s="55">
        <f>'02_Socle'!I40</f>
        <v/>
      </c>
      <c r="I40" s="55">
        <f>'02_Socle'!K40</f>
        <v/>
      </c>
      <c r="J40" s="55">
        <f>'02_Socle'!L40</f>
        <v/>
      </c>
      <c r="K40" s="55">
        <f>'02_Socle'!M40</f>
        <v/>
      </c>
      <c r="L40" s="55">
        <f>'02_Socle'!N40</f>
        <v/>
      </c>
      <c r="M40" s="56">
        <f>'02_Socle'!P40</f>
        <v/>
      </c>
      <c r="N40" s="59">
        <f>'02_Socle'!Q40</f>
        <v/>
      </c>
      <c r="O40" s="59">
        <f>'02_Socle'!R40</f>
        <v/>
      </c>
      <c r="P40" s="59">
        <f>'02_Socle'!S40</f>
        <v/>
      </c>
      <c r="Q40" s="59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5">
        <f>'02_Socle'!G41</f>
        <v/>
      </c>
      <c r="G41" s="55">
        <f>'02_Socle'!H41</f>
        <v/>
      </c>
      <c r="H41" s="55">
        <f>'02_Socle'!I41</f>
        <v/>
      </c>
      <c r="I41" s="55">
        <f>'02_Socle'!K41</f>
        <v/>
      </c>
      <c r="J41" s="55">
        <f>'02_Socle'!L41</f>
        <v/>
      </c>
      <c r="K41" s="55">
        <f>'02_Socle'!M41</f>
        <v/>
      </c>
      <c r="L41" s="55">
        <f>'02_Socle'!N41</f>
        <v/>
      </c>
      <c r="M41" s="56">
        <f>'02_Socle'!P41</f>
        <v/>
      </c>
      <c r="N41" s="59">
        <f>'02_Socle'!Q41</f>
        <v/>
      </c>
      <c r="O41" s="59">
        <f>'02_Socle'!R41</f>
        <v/>
      </c>
      <c r="P41" s="59">
        <f>'02_Socle'!S41</f>
        <v/>
      </c>
      <c r="Q41" s="59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5">
        <f>'02_Socle'!G42</f>
        <v/>
      </c>
      <c r="G42" s="55">
        <f>'02_Socle'!H42</f>
        <v/>
      </c>
      <c r="H42" s="55">
        <f>'02_Socle'!I42</f>
        <v/>
      </c>
      <c r="I42" s="55">
        <f>'02_Socle'!K42</f>
        <v/>
      </c>
      <c r="J42" s="55">
        <f>'02_Socle'!L42</f>
        <v/>
      </c>
      <c r="K42" s="55">
        <f>'02_Socle'!M42</f>
        <v/>
      </c>
      <c r="L42" s="55">
        <f>'02_Socle'!N42</f>
        <v/>
      </c>
      <c r="M42" s="56">
        <f>'02_Socle'!P42</f>
        <v/>
      </c>
      <c r="N42" s="59">
        <f>'02_Socle'!Q42</f>
        <v/>
      </c>
      <c r="O42" s="59">
        <f>'02_Socle'!R42</f>
        <v/>
      </c>
      <c r="P42" s="59">
        <f>'02_Socle'!S42</f>
        <v/>
      </c>
      <c r="Q42" s="59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5">
        <f>'02_Socle'!G43</f>
        <v/>
      </c>
      <c r="G43" s="55">
        <f>'02_Socle'!H43</f>
        <v/>
      </c>
      <c r="H43" s="55">
        <f>'02_Socle'!I43</f>
        <v/>
      </c>
      <c r="I43" s="55">
        <f>'02_Socle'!K43</f>
        <v/>
      </c>
      <c r="J43" s="55">
        <f>'02_Socle'!L43</f>
        <v/>
      </c>
      <c r="K43" s="55">
        <f>'02_Socle'!M43</f>
        <v/>
      </c>
      <c r="L43" s="55">
        <f>'02_Socle'!N43</f>
        <v/>
      </c>
      <c r="M43" s="56">
        <f>'02_Socle'!P43</f>
        <v/>
      </c>
      <c r="N43" s="59">
        <f>'02_Socle'!Q43</f>
        <v/>
      </c>
      <c r="O43" s="59">
        <f>'02_Socle'!R43</f>
        <v/>
      </c>
      <c r="P43" s="59">
        <f>'02_Socle'!S43</f>
        <v/>
      </c>
      <c r="Q43" s="59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5">
        <f>'02_Socle'!G44</f>
        <v/>
      </c>
      <c r="G44" s="55">
        <f>'02_Socle'!H44</f>
        <v/>
      </c>
      <c r="H44" s="55">
        <f>'02_Socle'!I44</f>
        <v/>
      </c>
      <c r="I44" s="55">
        <f>'02_Socle'!K44</f>
        <v/>
      </c>
      <c r="J44" s="55">
        <f>'02_Socle'!L44</f>
        <v/>
      </c>
      <c r="K44" s="55">
        <f>'02_Socle'!M44</f>
        <v/>
      </c>
      <c r="L44" s="55">
        <f>'02_Socle'!N44</f>
        <v/>
      </c>
      <c r="M44" s="56">
        <f>'02_Socle'!P44</f>
        <v/>
      </c>
      <c r="N44" s="59">
        <f>'02_Socle'!Q44</f>
        <v/>
      </c>
      <c r="O44" s="59">
        <f>'02_Socle'!R44</f>
        <v/>
      </c>
      <c r="P44" s="59">
        <f>'02_Socle'!S44</f>
        <v/>
      </c>
      <c r="Q44" s="59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5">
        <f>'02_Socle'!G45</f>
        <v/>
      </c>
      <c r="G45" s="55">
        <f>'02_Socle'!H45</f>
        <v/>
      </c>
      <c r="H45" s="55">
        <f>'02_Socle'!I45</f>
        <v/>
      </c>
      <c r="I45" s="55">
        <f>'02_Socle'!K45</f>
        <v/>
      </c>
      <c r="J45" s="55">
        <f>'02_Socle'!L45</f>
        <v/>
      </c>
      <c r="K45" s="55">
        <f>'02_Socle'!M45</f>
        <v/>
      </c>
      <c r="L45" s="55">
        <f>'02_Socle'!N45</f>
        <v/>
      </c>
      <c r="M45" s="56">
        <f>'02_Socle'!P45</f>
        <v/>
      </c>
      <c r="N45" s="59">
        <f>'02_Socle'!Q45</f>
        <v/>
      </c>
      <c r="O45" s="59">
        <f>'02_Socle'!R45</f>
        <v/>
      </c>
      <c r="P45" s="59">
        <f>'02_Socle'!S45</f>
        <v/>
      </c>
      <c r="Q45" s="59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5">
        <f>'02_Socle'!G46</f>
        <v/>
      </c>
      <c r="G46" s="55">
        <f>'02_Socle'!H46</f>
        <v/>
      </c>
      <c r="H46" s="55">
        <f>'02_Socle'!I46</f>
        <v/>
      </c>
      <c r="I46" s="55">
        <f>'02_Socle'!K46</f>
        <v/>
      </c>
      <c r="J46" s="55">
        <f>'02_Socle'!L46</f>
        <v/>
      </c>
      <c r="K46" s="55">
        <f>'02_Socle'!M46</f>
        <v/>
      </c>
      <c r="L46" s="55">
        <f>'02_Socle'!N46</f>
        <v/>
      </c>
      <c r="M46" s="56">
        <f>'02_Socle'!P46</f>
        <v/>
      </c>
      <c r="N46" s="59">
        <f>'02_Socle'!Q46</f>
        <v/>
      </c>
      <c r="O46" s="59">
        <f>'02_Socle'!R46</f>
        <v/>
      </c>
      <c r="P46" s="59">
        <f>'02_Socle'!S46</f>
        <v/>
      </c>
      <c r="Q46" s="59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5">
        <f>'02_Socle'!G47</f>
        <v/>
      </c>
      <c r="G47" s="55">
        <f>'02_Socle'!H47</f>
        <v/>
      </c>
      <c r="H47" s="55">
        <f>'02_Socle'!I47</f>
        <v/>
      </c>
      <c r="I47" s="55">
        <f>'02_Socle'!K47</f>
        <v/>
      </c>
      <c r="J47" s="55">
        <f>'02_Socle'!L47</f>
        <v/>
      </c>
      <c r="K47" s="55">
        <f>'02_Socle'!M47</f>
        <v/>
      </c>
      <c r="L47" s="55">
        <f>'02_Socle'!N47</f>
        <v/>
      </c>
      <c r="M47" s="56">
        <f>'02_Socle'!P47</f>
        <v/>
      </c>
      <c r="N47" s="59">
        <f>'02_Socle'!Q47</f>
        <v/>
      </c>
      <c r="O47" s="59">
        <f>'02_Socle'!R47</f>
        <v/>
      </c>
      <c r="P47" s="59">
        <f>'02_Socle'!S47</f>
        <v/>
      </c>
      <c r="Q47" s="59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5">
        <f>'02_Socle'!G48</f>
        <v/>
      </c>
      <c r="G48" s="55">
        <f>'02_Socle'!H48</f>
        <v/>
      </c>
      <c r="H48" s="55">
        <f>'02_Socle'!I48</f>
        <v/>
      </c>
      <c r="I48" s="55">
        <f>'02_Socle'!K48</f>
        <v/>
      </c>
      <c r="J48" s="55">
        <f>'02_Socle'!L48</f>
        <v/>
      </c>
      <c r="K48" s="55">
        <f>'02_Socle'!M48</f>
        <v/>
      </c>
      <c r="L48" s="55">
        <f>'02_Socle'!N48</f>
        <v/>
      </c>
      <c r="M48" s="56">
        <f>'02_Socle'!P48</f>
        <v/>
      </c>
      <c r="N48" s="59">
        <f>'02_Socle'!Q48</f>
        <v/>
      </c>
      <c r="O48" s="59">
        <f>'02_Socle'!R48</f>
        <v/>
      </c>
      <c r="P48" s="59">
        <f>'02_Socle'!S48</f>
        <v/>
      </c>
      <c r="Q48" s="59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5">
        <f>'02_Socle'!G49</f>
        <v/>
      </c>
      <c r="G49" s="55">
        <f>'02_Socle'!H49</f>
        <v/>
      </c>
      <c r="H49" s="55">
        <f>'02_Socle'!I49</f>
        <v/>
      </c>
      <c r="I49" s="55">
        <f>'02_Socle'!K49</f>
        <v/>
      </c>
      <c r="J49" s="55">
        <f>'02_Socle'!L49</f>
        <v/>
      </c>
      <c r="K49" s="55">
        <f>'02_Socle'!M49</f>
        <v/>
      </c>
      <c r="L49" s="55">
        <f>'02_Socle'!N49</f>
        <v/>
      </c>
      <c r="M49" s="56">
        <f>'02_Socle'!P49</f>
        <v/>
      </c>
      <c r="N49" s="59">
        <f>'02_Socle'!Q49</f>
        <v/>
      </c>
      <c r="O49" s="59">
        <f>'02_Socle'!R49</f>
        <v/>
      </c>
      <c r="P49" s="59">
        <f>'02_Socle'!S49</f>
        <v/>
      </c>
      <c r="Q49" s="59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5">
        <f>'02_Socle'!G50</f>
        <v/>
      </c>
      <c r="G50" s="55">
        <f>'02_Socle'!H50</f>
        <v/>
      </c>
      <c r="H50" s="55">
        <f>'02_Socle'!I50</f>
        <v/>
      </c>
      <c r="I50" s="55">
        <f>'02_Socle'!K50</f>
        <v/>
      </c>
      <c r="J50" s="55">
        <f>'02_Socle'!L50</f>
        <v/>
      </c>
      <c r="K50" s="55">
        <f>'02_Socle'!M50</f>
        <v/>
      </c>
      <c r="L50" s="55">
        <f>'02_Socle'!N50</f>
        <v/>
      </c>
      <c r="M50" s="56">
        <f>'02_Socle'!P50</f>
        <v/>
      </c>
      <c r="N50" s="59">
        <f>'02_Socle'!Q50</f>
        <v/>
      </c>
      <c r="O50" s="59">
        <f>'02_Socle'!R50</f>
        <v/>
      </c>
      <c r="P50" s="59">
        <f>'02_Socle'!S50</f>
        <v/>
      </c>
      <c r="Q50" s="59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5">
        <f>'02_Socle'!G51</f>
        <v/>
      </c>
      <c r="G51" s="55">
        <f>'02_Socle'!H51</f>
        <v/>
      </c>
      <c r="H51" s="55">
        <f>'02_Socle'!I51</f>
        <v/>
      </c>
      <c r="I51" s="55">
        <f>'02_Socle'!K51</f>
        <v/>
      </c>
      <c r="J51" s="55">
        <f>'02_Socle'!L51</f>
        <v/>
      </c>
      <c r="K51" s="55">
        <f>'02_Socle'!M51</f>
        <v/>
      </c>
      <c r="L51" s="55">
        <f>'02_Socle'!N51</f>
        <v/>
      </c>
      <c r="M51" s="56">
        <f>'02_Socle'!P51</f>
        <v/>
      </c>
      <c r="N51" s="59">
        <f>'02_Socle'!Q51</f>
        <v/>
      </c>
      <c r="O51" s="59">
        <f>'02_Socle'!R51</f>
        <v/>
      </c>
      <c r="P51" s="59">
        <f>'02_Socle'!S51</f>
        <v/>
      </c>
      <c r="Q51" s="59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5">
        <f>'02_Socle'!G52</f>
        <v/>
      </c>
      <c r="G52" s="55">
        <f>'02_Socle'!H52</f>
        <v/>
      </c>
      <c r="H52" s="55">
        <f>'02_Socle'!I52</f>
        <v/>
      </c>
      <c r="I52" s="55">
        <f>'02_Socle'!K52</f>
        <v/>
      </c>
      <c r="J52" s="55">
        <f>'02_Socle'!L52</f>
        <v/>
      </c>
      <c r="K52" s="55">
        <f>'02_Socle'!M52</f>
        <v/>
      </c>
      <c r="L52" s="55">
        <f>'02_Socle'!N52</f>
        <v/>
      </c>
      <c r="M52" s="56">
        <f>'02_Socle'!P52</f>
        <v/>
      </c>
      <c r="N52" s="59">
        <f>'02_Socle'!Q52</f>
        <v/>
      </c>
      <c r="O52" s="59">
        <f>'02_Socle'!R52</f>
        <v/>
      </c>
      <c r="P52" s="59">
        <f>'02_Socle'!S52</f>
        <v/>
      </c>
      <c r="Q52" s="59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5">
        <f>'02_Socle'!G53</f>
        <v/>
      </c>
      <c r="G53" s="55">
        <f>'02_Socle'!H53</f>
        <v/>
      </c>
      <c r="H53" s="55">
        <f>'02_Socle'!I53</f>
        <v/>
      </c>
      <c r="I53" s="55">
        <f>'02_Socle'!K53</f>
        <v/>
      </c>
      <c r="J53" s="55">
        <f>'02_Socle'!L53</f>
        <v/>
      </c>
      <c r="K53" s="55">
        <f>'02_Socle'!M53</f>
        <v/>
      </c>
      <c r="L53" s="55">
        <f>'02_Socle'!N53</f>
        <v/>
      </c>
      <c r="M53" s="56">
        <f>'02_Socle'!P53</f>
        <v/>
      </c>
      <c r="N53" s="59">
        <f>'02_Socle'!Q53</f>
        <v/>
      </c>
      <c r="O53" s="59">
        <f>'02_Socle'!R53</f>
        <v/>
      </c>
      <c r="P53" s="59">
        <f>'02_Socle'!S53</f>
        <v/>
      </c>
      <c r="Q53" s="59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5">
        <f>'02_Socle'!G54</f>
        <v/>
      </c>
      <c r="G54" s="55">
        <f>'02_Socle'!H54</f>
        <v/>
      </c>
      <c r="H54" s="55">
        <f>'02_Socle'!I54</f>
        <v/>
      </c>
      <c r="I54" s="55">
        <f>'02_Socle'!K54</f>
        <v/>
      </c>
      <c r="J54" s="55">
        <f>'02_Socle'!L54</f>
        <v/>
      </c>
      <c r="K54" s="55">
        <f>'02_Socle'!M54</f>
        <v/>
      </c>
      <c r="L54" s="55">
        <f>'02_Socle'!N54</f>
        <v/>
      </c>
      <c r="M54" s="56">
        <f>'02_Socle'!P54</f>
        <v/>
      </c>
      <c r="N54" s="59">
        <f>'02_Socle'!Q54</f>
        <v/>
      </c>
      <c r="O54" s="59">
        <f>'02_Socle'!R54</f>
        <v/>
      </c>
      <c r="P54" s="59">
        <f>'02_Socle'!S54</f>
        <v/>
      </c>
      <c r="Q54" s="59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5">
        <f>'02_Socle'!G55</f>
        <v/>
      </c>
      <c r="G55" s="55">
        <f>'02_Socle'!H55</f>
        <v/>
      </c>
      <c r="H55" s="55">
        <f>'02_Socle'!I55</f>
        <v/>
      </c>
      <c r="I55" s="55">
        <f>'02_Socle'!K55</f>
        <v/>
      </c>
      <c r="J55" s="55">
        <f>'02_Socle'!L55</f>
        <v/>
      </c>
      <c r="K55" s="55">
        <f>'02_Socle'!M55</f>
        <v/>
      </c>
      <c r="L55" s="55">
        <f>'02_Socle'!N55</f>
        <v/>
      </c>
      <c r="M55" s="56">
        <f>'02_Socle'!P55</f>
        <v/>
      </c>
      <c r="N55" s="59">
        <f>'02_Socle'!Q55</f>
        <v/>
      </c>
      <c r="O55" s="59">
        <f>'02_Socle'!R55</f>
        <v/>
      </c>
      <c r="P55" s="59">
        <f>'02_Socle'!S55</f>
        <v/>
      </c>
      <c r="Q55" s="59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5">
        <f>'02_Socle'!G56</f>
        <v/>
      </c>
      <c r="G56" s="55">
        <f>'02_Socle'!H56</f>
        <v/>
      </c>
      <c r="H56" s="55">
        <f>'02_Socle'!I56</f>
        <v/>
      </c>
      <c r="I56" s="55">
        <f>'02_Socle'!K56</f>
        <v/>
      </c>
      <c r="J56" s="55">
        <f>'02_Socle'!L56</f>
        <v/>
      </c>
      <c r="K56" s="55">
        <f>'02_Socle'!M56</f>
        <v/>
      </c>
      <c r="L56" s="55">
        <f>'02_Socle'!N56</f>
        <v/>
      </c>
      <c r="M56" s="56">
        <f>'02_Socle'!P56</f>
        <v/>
      </c>
      <c r="N56" s="59">
        <f>'02_Socle'!Q56</f>
        <v/>
      </c>
      <c r="O56" s="59">
        <f>'02_Socle'!R56</f>
        <v/>
      </c>
      <c r="P56" s="59">
        <f>'02_Socle'!S56</f>
        <v/>
      </c>
      <c r="Q56" s="59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5">
        <f>'02_Socle'!G57</f>
        <v/>
      </c>
      <c r="G57" s="55">
        <f>'02_Socle'!H57</f>
        <v/>
      </c>
      <c r="H57" s="55">
        <f>'02_Socle'!I57</f>
        <v/>
      </c>
      <c r="I57" s="55">
        <f>'02_Socle'!K57</f>
        <v/>
      </c>
      <c r="J57" s="55">
        <f>'02_Socle'!L57</f>
        <v/>
      </c>
      <c r="K57" s="55">
        <f>'02_Socle'!M57</f>
        <v/>
      </c>
      <c r="L57" s="55">
        <f>'02_Socle'!N57</f>
        <v/>
      </c>
      <c r="M57" s="56">
        <f>'02_Socle'!P57</f>
        <v/>
      </c>
      <c r="N57" s="59">
        <f>'02_Socle'!Q57</f>
        <v/>
      </c>
      <c r="O57" s="59">
        <f>'02_Socle'!R57</f>
        <v/>
      </c>
      <c r="P57" s="59">
        <f>'02_Socle'!S57</f>
        <v/>
      </c>
      <c r="Q57" s="59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5">
        <f>'02_Socle'!G58</f>
        <v/>
      </c>
      <c r="G58" s="55">
        <f>'02_Socle'!H58</f>
        <v/>
      </c>
      <c r="H58" s="55">
        <f>'02_Socle'!I58</f>
        <v/>
      </c>
      <c r="I58" s="55">
        <f>'02_Socle'!K58</f>
        <v/>
      </c>
      <c r="J58" s="55">
        <f>'02_Socle'!L58</f>
        <v/>
      </c>
      <c r="K58" s="55">
        <f>'02_Socle'!M58</f>
        <v/>
      </c>
      <c r="L58" s="55">
        <f>'02_Socle'!N58</f>
        <v/>
      </c>
      <c r="M58" s="56">
        <f>'02_Socle'!P58</f>
        <v/>
      </c>
      <c r="N58" s="59">
        <f>'02_Socle'!Q58</f>
        <v/>
      </c>
      <c r="O58" s="59">
        <f>'02_Socle'!R58</f>
        <v/>
      </c>
      <c r="P58" s="59">
        <f>'02_Socle'!S58</f>
        <v/>
      </c>
      <c r="Q58" s="59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5">
        <f>'02_Socle'!G59</f>
        <v/>
      </c>
      <c r="G59" s="55">
        <f>'02_Socle'!H59</f>
        <v/>
      </c>
      <c r="H59" s="55">
        <f>'02_Socle'!I59</f>
        <v/>
      </c>
      <c r="I59" s="55">
        <f>'02_Socle'!K59</f>
        <v/>
      </c>
      <c r="J59" s="55">
        <f>'02_Socle'!L59</f>
        <v/>
      </c>
      <c r="K59" s="55">
        <f>'02_Socle'!M59</f>
        <v/>
      </c>
      <c r="L59" s="55">
        <f>'02_Socle'!N59</f>
        <v/>
      </c>
      <c r="M59" s="56">
        <f>'02_Socle'!P59</f>
        <v/>
      </c>
      <c r="N59" s="59">
        <f>'02_Socle'!Q59</f>
        <v/>
      </c>
      <c r="O59" s="59">
        <f>'02_Socle'!R59</f>
        <v/>
      </c>
      <c r="P59" s="59">
        <f>'02_Socle'!S59</f>
        <v/>
      </c>
      <c r="Q59" s="59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5">
        <f>'02_Socle'!G60</f>
        <v/>
      </c>
      <c r="G60" s="55">
        <f>'02_Socle'!H60</f>
        <v/>
      </c>
      <c r="H60" s="55">
        <f>'02_Socle'!I60</f>
        <v/>
      </c>
      <c r="I60" s="55">
        <f>'02_Socle'!K60</f>
        <v/>
      </c>
      <c r="J60" s="55">
        <f>'02_Socle'!L60</f>
        <v/>
      </c>
      <c r="K60" s="55">
        <f>'02_Socle'!M60</f>
        <v/>
      </c>
      <c r="L60" s="55">
        <f>'02_Socle'!N60</f>
        <v/>
      </c>
      <c r="M60" s="56">
        <f>'02_Socle'!P60</f>
        <v/>
      </c>
      <c r="N60" s="59">
        <f>'02_Socle'!Q60</f>
        <v/>
      </c>
      <c r="O60" s="59">
        <f>'02_Socle'!R60</f>
        <v/>
      </c>
      <c r="P60" s="59">
        <f>'02_Socle'!S60</f>
        <v/>
      </c>
      <c r="Q60" s="59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5">
        <f>'02_Socle'!G61</f>
        <v/>
      </c>
      <c r="G61" s="55">
        <f>'02_Socle'!H61</f>
        <v/>
      </c>
      <c r="H61" s="55">
        <f>'02_Socle'!I61</f>
        <v/>
      </c>
      <c r="I61" s="55">
        <f>'02_Socle'!K61</f>
        <v/>
      </c>
      <c r="J61" s="55">
        <f>'02_Socle'!L61</f>
        <v/>
      </c>
      <c r="K61" s="55">
        <f>'02_Socle'!M61</f>
        <v/>
      </c>
      <c r="L61" s="55">
        <f>'02_Socle'!N61</f>
        <v/>
      </c>
      <c r="M61" s="56">
        <f>'02_Socle'!P61</f>
        <v/>
      </c>
      <c r="N61" s="59">
        <f>'02_Socle'!Q61</f>
        <v/>
      </c>
      <c r="O61" s="59">
        <f>'02_Socle'!R61</f>
        <v/>
      </c>
      <c r="P61" s="59">
        <f>'02_Socle'!S61</f>
        <v/>
      </c>
      <c r="Q61" s="59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51" t="inlineStr">
        <is>
          <t>TOTAL</t>
        </is>
      </c>
      <c r="B62" s="52" t="inlineStr">
        <is>
          <t> </t>
        </is>
      </c>
      <c r="C62" s="52" t="inlineStr">
        <is>
          <t> </t>
        </is>
      </c>
      <c r="D62" s="52" t="inlineStr">
        <is>
          <t> </t>
        </is>
      </c>
      <c r="E62" s="52" t="inlineStr">
        <is>
          <t> </t>
        </is>
      </c>
      <c r="F62" s="53">
        <f>SUM(F4:F61)</f>
        <v/>
      </c>
      <c r="G62" s="53">
        <f>SUM(G4:G61)</f>
        <v/>
      </c>
      <c r="H62" s="53">
        <f>SUM(H4:H61)</f>
        <v/>
      </c>
      <c r="I62" s="53">
        <f>SUM(I4:I61)</f>
        <v/>
      </c>
      <c r="T62" s="53">
        <f>SUM(T4:T61)</f>
        <v/>
      </c>
      <c r="U62" s="53">
        <f>SUM(U4:U61)</f>
        <v/>
      </c>
      <c r="V62" s="53">
        <f>SUM(V4:V61)</f>
        <v/>
      </c>
      <c r="W62" s="53">
        <f>SUM(W4:W61)</f>
        <v/>
      </c>
      <c r="X62" s="53">
        <f>SUM(X4:X61)</f>
        <v/>
      </c>
      <c r="Y62" s="53">
        <f>SUM(Y4:Y61)</f>
        <v/>
      </c>
      <c r="AA62" s="50">
        <f>SUM(AA4:AA61)</f>
        <v/>
      </c>
      <c r="AD62" s="53">
        <f>SUM(AD4:AD61)</f>
        <v/>
      </c>
      <c r="AE62" s="50">
        <f>SUM(AE4:AE61)</f>
        <v/>
      </c>
      <c r="AJ62" s="50">
        <f>SUM(AJ4:AJ61)</f>
        <v/>
      </c>
      <c r="AK62" s="53">
        <f>SUM(AK4:AK61)</f>
        <v/>
      </c>
      <c r="AL62" s="50">
        <f>SUM(AL4:AL61)</f>
        <v/>
      </c>
      <c r="AM62" s="5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60" t="inlineStr">
        <is>
          <t>A–Q</t>
        </is>
      </c>
      <c r="B65" s="6" t="inlineStr">
        <is>
          <t>Identité + reprise base + taux mesurés (funnel, passage)</t>
        </is>
      </c>
    </row>
    <row r="66">
      <c r="A66" s="60" t="inlineStr">
        <is>
          <t>R–V</t>
        </is>
      </c>
      <c r="B66" s="6" t="inlineStr">
        <is>
          <t>Acquisition : leads cellule → candidatures → admis</t>
        </is>
      </c>
    </row>
    <row r="67">
      <c r="A67" s="6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6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6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6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6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1" t="inlineStr">
        <is>
          <t>7062</t>
        </is>
      </c>
      <c r="B4" s="25" t="inlineStr">
        <is>
          <t>Prestations de formation — alternance (OPCO)</t>
        </is>
      </c>
      <c r="C4" s="62" t="inlineStr">
        <is>
          <t>7 — Produits d'exploitation</t>
        </is>
      </c>
      <c r="D4" s="62" t="inlineStr">
        <is>
          <t>70 — Prestations de services</t>
        </is>
      </c>
      <c r="E4" s="62" t="inlineStr">
        <is>
          <t>Produits</t>
        </is>
      </c>
      <c r="F4" s="62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1" t="inlineStr">
        <is>
          <t>706</t>
        </is>
      </c>
      <c r="B5" s="25" t="inlineStr">
        <is>
          <t>Prestations de formation — scolarité (initial)</t>
        </is>
      </c>
      <c r="C5" s="62" t="inlineStr">
        <is>
          <t>7 — Produits d'exploitation</t>
        </is>
      </c>
      <c r="D5" s="62" t="inlineStr">
        <is>
          <t>70 — Prestations de services</t>
        </is>
      </c>
      <c r="E5" s="62" t="inlineStr">
        <is>
          <t>Produits</t>
        </is>
      </c>
      <c r="F5" s="62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1" t="inlineStr">
        <is>
          <t>708</t>
        </is>
      </c>
      <c r="B6" s="25" t="inlineStr">
        <is>
          <t>Frais de dossier &amp; droits d'inscription</t>
        </is>
      </c>
      <c r="C6" s="62" t="inlineStr">
        <is>
          <t>7 — Produits d'exploitation</t>
        </is>
      </c>
      <c r="D6" s="62" t="inlineStr">
        <is>
          <t>70 — Prestations de services</t>
        </is>
      </c>
      <c r="E6" s="62" t="inlineStr">
        <is>
          <t>Produits</t>
        </is>
      </c>
      <c r="F6" s="62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2" t="inlineStr">
        <is>
          <t>6 — Charges d'exploitation</t>
        </is>
      </c>
      <c r="D7" s="62" t="inlineStr">
        <is>
          <t>62 — Autres services extérieurs</t>
        </is>
      </c>
      <c r="E7" s="62" t="inlineStr">
        <is>
          <t>Coûts directs</t>
        </is>
      </c>
      <c r="F7" s="62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2" t="inlineStr">
        <is>
          <t>6 — Charges d'exploitation</t>
        </is>
      </c>
      <c r="D8" s="62" t="inlineStr">
        <is>
          <t>60 — Achats</t>
        </is>
      </c>
      <c r="E8" s="62" t="inlineStr">
        <is>
          <t>Coûts directs</t>
        </is>
      </c>
      <c r="F8" s="62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2" t="inlineStr">
        <is>
          <t>6 — Charges d'exploitation</t>
        </is>
      </c>
      <c r="D9" s="62" t="inlineStr">
        <is>
          <t>60 — Achats</t>
        </is>
      </c>
      <c r="E9" s="62" t="inlineStr">
        <is>
          <t>Coûts directs</t>
        </is>
      </c>
      <c r="F9" s="62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2" t="inlineStr">
        <is>
          <t>6 — Charges d'exploitation</t>
        </is>
      </c>
      <c r="D10" s="62" t="inlineStr">
        <is>
          <t>62 — Autres services extérieurs</t>
        </is>
      </c>
      <c r="E10" s="62" t="inlineStr">
        <is>
          <t>Coûts directs</t>
        </is>
      </c>
      <c r="F10" s="62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2" t="inlineStr">
        <is>
          <t>6 — Charges d'exploitation</t>
        </is>
      </c>
      <c r="D11" s="62" t="inlineStr">
        <is>
          <t>64 — Charges de personnel</t>
        </is>
      </c>
      <c r="E11" s="62" t="inlineStr">
        <is>
          <t>Personnel</t>
        </is>
      </c>
      <c r="F11" s="62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2" t="inlineStr">
        <is>
          <t>6 — Charges d'exploitation</t>
        </is>
      </c>
      <c r="D12" s="62" t="inlineStr">
        <is>
          <t>64 — Charges de personnel</t>
        </is>
      </c>
      <c r="E12" s="62" t="inlineStr">
        <is>
          <t>Personnel</t>
        </is>
      </c>
      <c r="F12" s="62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2" t="inlineStr">
        <is>
          <t>6 — Charges d'exploitation</t>
        </is>
      </c>
      <c r="D13" s="62" t="inlineStr">
        <is>
          <t>64 — Charges de personnel</t>
        </is>
      </c>
      <c r="E13" s="62" t="inlineStr">
        <is>
          <t>Personnel</t>
        </is>
      </c>
      <c r="F13" s="62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2" t="inlineStr">
        <is>
          <t>6 — Charges d'exploitation</t>
        </is>
      </c>
      <c r="D14" s="62" t="inlineStr">
        <is>
          <t>64 — Charges de personnel</t>
        </is>
      </c>
      <c r="E14" s="62" t="inlineStr">
        <is>
          <t>Personnel</t>
        </is>
      </c>
      <c r="F14" s="62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2" t="inlineStr">
        <is>
          <t>6 — Charges d'exploitation</t>
        </is>
      </c>
      <c r="D15" s="62" t="inlineStr">
        <is>
          <t>61 — Services extérieurs</t>
        </is>
      </c>
      <c r="E15" s="62" t="inlineStr">
        <is>
          <t>Structure</t>
        </is>
      </c>
      <c r="F15" s="62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2" t="inlineStr">
        <is>
          <t>6 — Charges d'exploitation</t>
        </is>
      </c>
      <c r="D16" s="62" t="inlineStr">
        <is>
          <t>61 — Services extérieurs</t>
        </is>
      </c>
      <c r="E16" s="62" t="inlineStr">
        <is>
          <t>Structure</t>
        </is>
      </c>
      <c r="F16" s="62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2" t="inlineStr">
        <is>
          <t>6 — Charges d'exploitation</t>
        </is>
      </c>
      <c r="D17" s="62" t="inlineStr">
        <is>
          <t>61 — Services extérieurs</t>
        </is>
      </c>
      <c r="E17" s="62" t="inlineStr">
        <is>
          <t>Structure</t>
        </is>
      </c>
      <c r="F17" s="62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2" t="inlineStr">
        <is>
          <t>6 — Charges d'exploitation</t>
        </is>
      </c>
      <c r="D18" s="62" t="inlineStr">
        <is>
          <t>62 — Autres services extérieurs</t>
        </is>
      </c>
      <c r="E18" s="62" t="inlineStr">
        <is>
          <t>Structure</t>
        </is>
      </c>
      <c r="F18" s="62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2" t="inlineStr">
        <is>
          <t>6 — Charges d'exploitation</t>
        </is>
      </c>
      <c r="D19" s="62" t="inlineStr">
        <is>
          <t>62 — Autres services extérieurs</t>
        </is>
      </c>
      <c r="E19" s="62" t="inlineStr">
        <is>
          <t>Structure</t>
        </is>
      </c>
      <c r="F19" s="62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2" t="inlineStr">
        <is>
          <t>6 — Charges d'exploitation</t>
        </is>
      </c>
      <c r="D20" s="62" t="inlineStr">
        <is>
          <t>62 — Autres services extérieurs</t>
        </is>
      </c>
      <c r="E20" s="62" t="inlineStr">
        <is>
          <t>Structure</t>
        </is>
      </c>
      <c r="F20" s="62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2" t="inlineStr">
        <is>
          <t>6 — Charges d'exploitation</t>
        </is>
      </c>
      <c r="D21" s="62" t="inlineStr">
        <is>
          <t>62 — Autres services extérieurs</t>
        </is>
      </c>
      <c r="E21" s="62" t="inlineStr">
        <is>
          <t>Structure</t>
        </is>
      </c>
      <c r="F21" s="62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2" t="inlineStr">
        <is>
          <t>6 — Charges d'exploitation</t>
        </is>
      </c>
      <c r="D22" s="62" t="inlineStr">
        <is>
          <t>62 — Autres services extérieurs</t>
        </is>
      </c>
      <c r="E22" s="62" t="inlineStr">
        <is>
          <t>Structure</t>
        </is>
      </c>
      <c r="F22" s="62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2" t="inlineStr">
        <is>
          <t>6 — Charges d'exploitation</t>
        </is>
      </c>
      <c r="D23" s="62" t="inlineStr">
        <is>
          <t>63 — Impôts &amp; taxes</t>
        </is>
      </c>
      <c r="E23" s="62" t="inlineStr">
        <is>
          <t>Impôts &amp; taxes</t>
        </is>
      </c>
      <c r="F23" s="62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2" t="inlineStr">
        <is>
          <t>6 — Charges d'exploitation</t>
        </is>
      </c>
      <c r="D24" s="62" t="inlineStr">
        <is>
          <t>63 — Impôts &amp; taxes</t>
        </is>
      </c>
      <c r="E24" s="62" t="inlineStr">
        <is>
          <t>Impôts &amp; taxes</t>
        </is>
      </c>
      <c r="F24" s="62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2" t="inlineStr">
        <is>
          <t>6 — Charges d'exploitation</t>
        </is>
      </c>
      <c r="D25" s="62" t="inlineStr">
        <is>
          <t>63 — Impôts &amp; taxes</t>
        </is>
      </c>
      <c r="E25" s="62" t="inlineStr">
        <is>
          <t>Impôts &amp; taxes</t>
        </is>
      </c>
      <c r="F25" s="62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2" t="inlineStr">
        <is>
          <t>6 — Charges d'exploitation</t>
        </is>
      </c>
      <c r="D26" s="62" t="inlineStr">
        <is>
          <t>68 — Dotations &amp; amort.</t>
        </is>
      </c>
      <c r="E26" s="62" t="inlineStr">
        <is>
          <t>Dotations</t>
        </is>
      </c>
      <c r="F26" s="62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3" t="inlineStr">
        <is>
          <t>RESULTAT_EXPL</t>
        </is>
      </c>
      <c r="B31" s="12" t="inlineStr">
        <is>
          <t>Résultat d'exploitation (EBIT)</t>
        </is>
      </c>
      <c r="C31" s="62" t="inlineStr">
        <is>
          <t>(racine)</t>
        </is>
      </c>
      <c r="D31" s="64" t="inlineStr">
        <is>
          <t>Agrégat</t>
        </is>
      </c>
    </row>
    <row r="32">
      <c r="A32" s="63" t="inlineStr">
        <is>
          <t>EBITDA</t>
        </is>
      </c>
      <c r="B32" s="12" t="inlineStr">
        <is>
          <t>EBITDA</t>
        </is>
      </c>
      <c r="C32" s="62" t="inlineStr">
        <is>
          <t>RESULTAT_EXPL</t>
        </is>
      </c>
      <c r="D32" s="64" t="inlineStr">
        <is>
          <t>Agrégat</t>
        </is>
      </c>
    </row>
    <row r="33">
      <c r="A33" s="63" t="inlineStr">
        <is>
          <t>MARGE_CONTRIB</t>
        </is>
      </c>
      <c r="B33" s="12" t="inlineStr">
        <is>
          <t>Marge de contribution</t>
        </is>
      </c>
      <c r="C33" s="62" t="inlineStr">
        <is>
          <t>EBITDA</t>
        </is>
      </c>
      <c r="D33" s="64" t="inlineStr">
        <is>
          <t>Agrégat</t>
        </is>
      </c>
    </row>
    <row r="34">
      <c r="A34" s="63" t="inlineStr">
        <is>
          <t>SIG_PROD</t>
        </is>
      </c>
      <c r="B34" s="12" t="inlineStr">
        <is>
          <t>Produits d'exploitation</t>
        </is>
      </c>
      <c r="C34" s="62" t="inlineStr">
        <is>
          <t>MARGE_CONTRIB</t>
        </is>
      </c>
      <c r="D34" s="64" t="inlineStr">
        <is>
          <t>Regroupement</t>
        </is>
      </c>
    </row>
    <row r="35">
      <c r="A35" s="63" t="inlineStr">
        <is>
          <t>SIG_DIR</t>
        </is>
      </c>
      <c r="B35" s="12" t="inlineStr">
        <is>
          <t>Coûts directs</t>
        </is>
      </c>
      <c r="C35" s="62" t="inlineStr">
        <is>
          <t>MARGE_CONTRIB</t>
        </is>
      </c>
      <c r="D35" s="64" t="inlineStr">
        <is>
          <t>Regroupement</t>
        </is>
      </c>
    </row>
    <row r="36">
      <c r="A36" s="63" t="inlineStr">
        <is>
          <t>SIG_PERS</t>
        </is>
      </c>
      <c r="B36" s="12" t="inlineStr">
        <is>
          <t>Charges de personnel</t>
        </is>
      </c>
      <c r="C36" s="62" t="inlineStr">
        <is>
          <t>EBITDA</t>
        </is>
      </c>
      <c r="D36" s="64" t="inlineStr">
        <is>
          <t>Regroupement</t>
        </is>
      </c>
    </row>
    <row r="37">
      <c r="A37" s="63" t="inlineStr">
        <is>
          <t>SIG_STRUCT</t>
        </is>
      </c>
      <c r="B37" s="12" t="inlineStr">
        <is>
          <t>Charges de structure</t>
        </is>
      </c>
      <c r="C37" s="62" t="inlineStr">
        <is>
          <t>EBITDA</t>
        </is>
      </c>
      <c r="D37" s="64" t="inlineStr">
        <is>
          <t>Regroupement</t>
        </is>
      </c>
    </row>
    <row r="38">
      <c r="A38" s="63" t="inlineStr">
        <is>
          <t>SIG_IMP</t>
        </is>
      </c>
      <c r="B38" s="12" t="inlineStr">
        <is>
          <t>Impôts &amp; taxes</t>
        </is>
      </c>
      <c r="C38" s="62" t="inlineStr">
        <is>
          <t>EBITDA</t>
        </is>
      </c>
      <c r="D38" s="64" t="inlineStr">
        <is>
          <t>Regroupement</t>
        </is>
      </c>
    </row>
    <row r="39">
      <c r="A39" s="63" t="inlineStr">
        <is>
          <t>SIG_DOT</t>
        </is>
      </c>
      <c r="B39" s="12" t="inlineStr">
        <is>
          <t>Dotations aux amortissements</t>
        </is>
      </c>
      <c r="C39" s="62" t="inlineStr">
        <is>
          <t>RESULTAT_EXPL</t>
        </is>
      </c>
      <c r="D39" s="64" t="inlineStr">
        <is>
          <t>Regroupement</t>
        </is>
      </c>
    </row>
    <row r="40">
      <c r="A40" s="62" t="inlineStr">
        <is>
          <t>7062</t>
        </is>
      </c>
      <c r="B40" s="25" t="inlineStr">
        <is>
          <t>Prestations de formation — alternance (OPCO)</t>
        </is>
      </c>
      <c r="C40" s="62" t="inlineStr">
        <is>
          <t>SIG_PROD</t>
        </is>
      </c>
      <c r="D40" s="64" t="inlineStr">
        <is>
          <t>Compte (détail)</t>
        </is>
      </c>
    </row>
    <row r="41">
      <c r="A41" s="62" t="inlineStr">
        <is>
          <t>706</t>
        </is>
      </c>
      <c r="B41" s="25" t="inlineStr">
        <is>
          <t>Prestations de formation — scolarité (initial)</t>
        </is>
      </c>
      <c r="C41" s="62" t="inlineStr">
        <is>
          <t>SIG_PROD</t>
        </is>
      </c>
      <c r="D41" s="64" t="inlineStr">
        <is>
          <t>Compte (détail)</t>
        </is>
      </c>
    </row>
    <row r="42">
      <c r="A42" s="62" t="inlineStr">
        <is>
          <t>708</t>
        </is>
      </c>
      <c r="B42" s="25" t="inlineStr">
        <is>
          <t>Frais de dossier &amp; droits d'inscription</t>
        </is>
      </c>
      <c r="C42" s="62" t="inlineStr">
        <is>
          <t>SIG_PROD</t>
        </is>
      </c>
      <c r="D42" s="64" t="inlineStr">
        <is>
          <t>Compte (détail)</t>
        </is>
      </c>
    </row>
    <row r="43">
      <c r="A43" s="62" t="inlineStr">
        <is>
          <t>621</t>
        </is>
      </c>
      <c r="B43" s="25" t="inlineStr">
        <is>
          <t>Personnel extérieur — vacataires &amp; intervenants</t>
        </is>
      </c>
      <c r="C43" s="62" t="inlineStr">
        <is>
          <t>SIG_DIR</t>
        </is>
      </c>
      <c r="D43" s="64" t="inlineStr">
        <is>
          <t>Compte (détail)</t>
        </is>
      </c>
    </row>
    <row r="44">
      <c r="A44" s="62" t="inlineStr">
        <is>
          <t>604</t>
        </is>
      </c>
      <c r="B44" s="25" t="inlineStr">
        <is>
          <t>Sous-traitance pédagogique</t>
        </is>
      </c>
      <c r="C44" s="62" t="inlineStr">
        <is>
          <t>SIG_DIR</t>
        </is>
      </c>
      <c r="D44" s="64" t="inlineStr">
        <is>
          <t>Compte (détail)</t>
        </is>
      </c>
    </row>
    <row r="45">
      <c r="A45" s="62" t="inlineStr">
        <is>
          <t>6063</t>
        </is>
      </c>
      <c r="B45" s="25" t="inlineStr">
        <is>
          <t>Fournitures pédagogiques &amp; petit équipement</t>
        </is>
      </c>
      <c r="C45" s="62" t="inlineStr">
        <is>
          <t>SIG_DIR</t>
        </is>
      </c>
      <c r="D45" s="64" t="inlineStr">
        <is>
          <t>Compte (détail)</t>
        </is>
      </c>
    </row>
    <row r="46">
      <c r="A46" s="62" t="inlineStr">
        <is>
          <t>6231</t>
        </is>
      </c>
      <c r="B46" s="25" t="inlineStr">
        <is>
          <t>Publicité &amp; marketing d'acquisition (leads)</t>
        </is>
      </c>
      <c r="C46" s="62" t="inlineStr">
        <is>
          <t>SIG_DIR</t>
        </is>
      </c>
      <c r="D46" s="64" t="inlineStr">
        <is>
          <t>Compte (détail)</t>
        </is>
      </c>
    </row>
    <row r="47">
      <c r="A47" s="62" t="inlineStr">
        <is>
          <t>6411</t>
        </is>
      </c>
      <c r="B47" s="25" t="inlineStr">
        <is>
          <t>Rémunération enseignants permanents</t>
        </is>
      </c>
      <c r="C47" s="62" t="inlineStr">
        <is>
          <t>SIG_PERS</t>
        </is>
      </c>
      <c r="D47" s="64" t="inlineStr">
        <is>
          <t>Compte (détail)</t>
        </is>
      </c>
    </row>
    <row r="48">
      <c r="A48" s="62" t="inlineStr">
        <is>
          <t>6413</t>
        </is>
      </c>
      <c r="B48" s="25" t="inlineStr">
        <is>
          <t>Rémunération personnel administratif &amp; pédagogique</t>
        </is>
      </c>
      <c r="C48" s="62" t="inlineStr">
        <is>
          <t>SIG_PERS</t>
        </is>
      </c>
      <c r="D48" s="64" t="inlineStr">
        <is>
          <t>Compte (détail)</t>
        </is>
      </c>
    </row>
    <row r="49">
      <c r="A49" s="62" t="inlineStr">
        <is>
          <t>6414</t>
        </is>
      </c>
      <c r="B49" s="25" t="inlineStr">
        <is>
          <t>Rémunération direction &amp; fonctions support (siège)</t>
        </is>
      </c>
      <c r="C49" s="62" t="inlineStr">
        <is>
          <t>SIG_PERS</t>
        </is>
      </c>
      <c r="D49" s="64" t="inlineStr">
        <is>
          <t>Compte (détail)</t>
        </is>
      </c>
    </row>
    <row r="50">
      <c r="A50" s="62" t="inlineStr">
        <is>
          <t>645</t>
        </is>
      </c>
      <c r="B50" s="25" t="inlineStr">
        <is>
          <t>Charges sociales &amp; de prévoyance</t>
        </is>
      </c>
      <c r="C50" s="62" t="inlineStr">
        <is>
          <t>SIG_PERS</t>
        </is>
      </c>
      <c r="D50" s="64" t="inlineStr">
        <is>
          <t>Compte (détail)</t>
        </is>
      </c>
    </row>
    <row r="51">
      <c r="A51" s="62" t="inlineStr">
        <is>
          <t>613</t>
        </is>
      </c>
      <c r="B51" s="25" t="inlineStr">
        <is>
          <t>Loyers &amp; charges locatives (campus)</t>
        </is>
      </c>
      <c r="C51" s="62" t="inlineStr">
        <is>
          <t>SIG_STRUCT</t>
        </is>
      </c>
      <c r="D51" s="64" t="inlineStr">
        <is>
          <t>Compte (détail)</t>
        </is>
      </c>
    </row>
    <row r="52">
      <c r="A52" s="62" t="inlineStr">
        <is>
          <t>615</t>
        </is>
      </c>
      <c r="B52" s="25" t="inlineStr">
        <is>
          <t>Entretien &amp; maintenance</t>
        </is>
      </c>
      <c r="C52" s="62" t="inlineStr">
        <is>
          <t>SIG_STRUCT</t>
        </is>
      </c>
      <c r="D52" s="64" t="inlineStr">
        <is>
          <t>Compte (détail)</t>
        </is>
      </c>
    </row>
    <row r="53">
      <c r="A53" s="62" t="inlineStr">
        <is>
          <t>616</t>
        </is>
      </c>
      <c r="B53" s="25" t="inlineStr">
        <is>
          <t>Primes d'assurance</t>
        </is>
      </c>
      <c r="C53" s="62" t="inlineStr">
        <is>
          <t>SIG_STRUCT</t>
        </is>
      </c>
      <c r="D53" s="64" t="inlineStr">
        <is>
          <t>Compte (détail)</t>
        </is>
      </c>
    </row>
    <row r="54">
      <c r="A54" s="62" t="inlineStr">
        <is>
          <t>6226</t>
        </is>
      </c>
      <c r="B54" s="25" t="inlineStr">
        <is>
          <t>Honoraires (audit, conseil, juridique)</t>
        </is>
      </c>
      <c r="C54" s="62" t="inlineStr">
        <is>
          <t>SIG_STRUCT</t>
        </is>
      </c>
      <c r="D54" s="64" t="inlineStr">
        <is>
          <t>Compte (détail)</t>
        </is>
      </c>
    </row>
    <row r="55">
      <c r="A55" s="62" t="inlineStr">
        <is>
          <t>6236</t>
        </is>
      </c>
      <c r="B55" s="25" t="inlineStr">
        <is>
          <t>Marketing de marque, salons &amp; JPO</t>
        </is>
      </c>
      <c r="C55" s="62" t="inlineStr">
        <is>
          <t>SIG_STRUCT</t>
        </is>
      </c>
      <c r="D55" s="64" t="inlineStr">
        <is>
          <t>Compte (détail)</t>
        </is>
      </c>
    </row>
    <row r="56">
      <c r="A56" s="62" t="inlineStr">
        <is>
          <t>625</t>
        </is>
      </c>
      <c r="B56" s="25" t="inlineStr">
        <is>
          <t>Déplacements, missions &amp; réceptions</t>
        </is>
      </c>
      <c r="C56" s="62" t="inlineStr">
        <is>
          <t>SIG_STRUCT</t>
        </is>
      </c>
      <c r="D56" s="64" t="inlineStr">
        <is>
          <t>Compte (détail)</t>
        </is>
      </c>
    </row>
    <row r="57">
      <c r="A57" s="62" t="inlineStr">
        <is>
          <t>626</t>
        </is>
      </c>
      <c r="B57" s="25" t="inlineStr">
        <is>
          <t>Télécom, systèmes d'information &amp; affranchissement</t>
        </is>
      </c>
      <c r="C57" s="62" t="inlineStr">
        <is>
          <t>SIG_STRUCT</t>
        </is>
      </c>
      <c r="D57" s="64" t="inlineStr">
        <is>
          <t>Compte (détail)</t>
        </is>
      </c>
    </row>
    <row r="58">
      <c r="A58" s="62" t="inlineStr">
        <is>
          <t>6281</t>
        </is>
      </c>
      <c r="B58" s="25" t="inlineStr">
        <is>
          <t>Cotisations, documentation &amp; abonnements</t>
        </is>
      </c>
      <c r="C58" s="62" t="inlineStr">
        <is>
          <t>SIG_STRUCT</t>
        </is>
      </c>
      <c r="D58" s="64" t="inlineStr">
        <is>
          <t>Compte (détail)</t>
        </is>
      </c>
    </row>
    <row r="59">
      <c r="A59" s="62" t="inlineStr">
        <is>
          <t>6331</t>
        </is>
      </c>
      <c r="B59" s="25" t="inlineStr">
        <is>
          <t>Taxe sur les salaires</t>
        </is>
      </c>
      <c r="C59" s="62" t="inlineStr">
        <is>
          <t>SIG_IMP</t>
        </is>
      </c>
      <c r="D59" s="64" t="inlineStr">
        <is>
          <t>Compte (détail)</t>
        </is>
      </c>
    </row>
    <row r="60">
      <c r="A60" s="62" t="inlineStr">
        <is>
          <t>63511</t>
        </is>
      </c>
      <c r="B60" s="25" t="inlineStr">
        <is>
          <t>Cotisation foncière &amp; CVAE</t>
        </is>
      </c>
      <c r="C60" s="62" t="inlineStr">
        <is>
          <t>SIG_IMP</t>
        </is>
      </c>
      <c r="D60" s="64" t="inlineStr">
        <is>
          <t>Compte (détail)</t>
        </is>
      </c>
    </row>
    <row r="61">
      <c r="A61" s="62" t="inlineStr">
        <is>
          <t>6333</t>
        </is>
      </c>
      <c r="B61" s="25" t="inlineStr">
        <is>
          <t>Participation formation professionnelle</t>
        </is>
      </c>
      <c r="C61" s="62" t="inlineStr">
        <is>
          <t>SIG_IMP</t>
        </is>
      </c>
      <c r="D61" s="64" t="inlineStr">
        <is>
          <t>Compte (détail)</t>
        </is>
      </c>
    </row>
    <row r="62">
      <c r="A62" s="62" t="inlineStr">
        <is>
          <t>6811</t>
        </is>
      </c>
      <c r="B62" s="25" t="inlineStr">
        <is>
          <t>Dotations aux amortissements (D&amp;A)</t>
        </is>
      </c>
      <c r="C62" s="62" t="inlineStr">
        <is>
          <t>SIG_DOT</t>
        </is>
      </c>
      <c r="D62" s="6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3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3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3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552322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330938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272751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238657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552322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209109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204564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136376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120011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120011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203654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190926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220929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152741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577630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346103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285249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249593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577630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218691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213937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142625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125510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125510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212986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199675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231052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159740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605202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362623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298865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261507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605202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229130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224149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149433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131501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131501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223153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209206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242081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167364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318872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186982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151490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134718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295499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115669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107125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74715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53053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53053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105033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76827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115195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67521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333483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195550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158432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140891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309039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120969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112034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78138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55484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55484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109846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80348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120473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70615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349401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204885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165994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147616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323791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126743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117382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81868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58132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58132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115089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84183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126224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73986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496023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290862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235652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209562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459665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179929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166639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116223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82526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82526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163385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119509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179192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105033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518752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304190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246450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219164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480728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188174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174275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121548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86308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86308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170872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124985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187402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109846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543513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318709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258214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229626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503674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197156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182594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127350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90427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90427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179028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130951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196348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115089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341140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204403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168464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147406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341140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129156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126348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84232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74124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74124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125787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117925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136456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94340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356772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213769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176184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154161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356772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135074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132138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88092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77521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77521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131550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123328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142709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98663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373801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223973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184593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161519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373801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141521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138445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92297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81221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81221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137830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129215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149520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103372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48734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29200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24066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21058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48734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18451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18050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12033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10589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10589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17970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16846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19494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13477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50967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30538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25169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22023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50967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19296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18877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12585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11074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11074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18793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17618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20387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14095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53400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31996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26370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23074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53400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20217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19778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13185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11603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11603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19690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18459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21360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14767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35430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20776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16832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14969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32833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12852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11903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8302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5895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5895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11670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8536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12799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7502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37054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21728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17604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15655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34338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13441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12448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8682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6165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6165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12205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8928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13386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7846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38822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22765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18444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16402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35977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14083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13042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9096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6459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6459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12788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9354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14025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8221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53145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31164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25248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22453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49250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19278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17854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12452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8842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8842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17506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12805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19199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11254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55581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32592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26405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23482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51507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20161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18672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13023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9247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9247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18308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13391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20079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11769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58234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34147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27666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24603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53965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21124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19564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13645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9689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9689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19182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14030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21037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12331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32490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19467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16044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14039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32490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12301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12033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8022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7059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7059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11980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11231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12996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8985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33978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20359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16779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14682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33978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12864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12585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8390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7383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7383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12529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11746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13591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9396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35600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21331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17580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15383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35600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13478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13185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8790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7735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7735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13127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12306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14240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9845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5" t="inlineStr">
        <is>
          <t>PRODUITS</t>
        </is>
      </c>
      <c r="C4" s="66" t="n"/>
      <c r="D4" s="66" t="n"/>
      <c r="E4" s="66" t="n"/>
      <c r="F4" s="66" t="n"/>
      <c r="G4" s="66" t="n"/>
      <c r="H4" s="66" t="n"/>
    </row>
    <row r="5">
      <c r="B5" s="46" t="inlineStr">
        <is>
          <t>7062</t>
        </is>
      </c>
      <c r="C5" s="6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7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7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7">
        <f>F7*('04_Moteur'!$AA$62/22544725)</f>
        <v/>
      </c>
      <c r="H7" s="16">
        <f>IFERROR(G7/F7-1,0)</f>
        <v/>
      </c>
    </row>
    <row r="8">
      <c r="B8" s="68" t="inlineStr">
        <is>
          <t> </t>
        </is>
      </c>
      <c r="C8" s="51" t="inlineStr">
        <is>
          <t>CHIFFRE D'AFFAIRES</t>
        </is>
      </c>
      <c r="D8" s="50">
        <f>SUMIFS('06_Compta'!$L$4:$L$675,'06_Compta'!$H$4:$H$675,"Produit",'06_Compta'!$J$4:$J$675,"2024ACT_VDEF")</f>
        <v/>
      </c>
      <c r="E8" s="50">
        <f>SUMIFS('06_Compta'!$L$4:$L$675,'06_Compta'!$H$4:$H$675,"Produit",'06_Compta'!$J$4:$J$675,"2025ACT_VDEF")</f>
        <v/>
      </c>
      <c r="F8" s="50">
        <f>SUMIFS('06_Compta'!$L$4:$L$675,'06_Compta'!$H$4:$H$675,"Produit",'06_Compta'!$J$4:$J$675,"2026ATT_VDEF")</f>
        <v/>
      </c>
      <c r="G8" s="69">
        <f>G5+G6+G7</f>
        <v/>
      </c>
      <c r="H8" s="70">
        <f>IFERROR(G8/F8-1,0)</f>
        <v/>
      </c>
    </row>
    <row r="9" ht="20" customHeight="1">
      <c r="B9" s="65" t="inlineStr">
        <is>
          <t>COÛTS DIRECTS</t>
        </is>
      </c>
      <c r="C9" s="66" t="n"/>
      <c r="D9" s="66" t="n"/>
      <c r="E9" s="66" t="n"/>
      <c r="F9" s="66" t="n"/>
      <c r="G9" s="66" t="n"/>
      <c r="H9" s="66" t="n"/>
    </row>
    <row r="10">
      <c r="B10" s="46" t="inlineStr">
        <is>
          <t>621</t>
        </is>
      </c>
      <c r="C10" s="6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7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7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7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7">
        <f>F13*(1+'01_Cadrage'!$H$16)</f>
        <v/>
      </c>
      <c r="H13" s="16">
        <f>IFERROR(G13/F13-1,0)</f>
        <v/>
      </c>
    </row>
    <row r="14">
      <c r="B14" s="68" t="inlineStr">
        <is>
          <t> </t>
        </is>
      </c>
      <c r="C14" s="51" t="inlineStr">
        <is>
          <t>MARGE DE CONTRIBUTION</t>
        </is>
      </c>
      <c r="D14" s="5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9">
        <f>G5+G6+G7+G10+G11+G12+G13</f>
        <v/>
      </c>
      <c r="H14" s="70">
        <f>IFERROR(G14/F14-1,0)</f>
        <v/>
      </c>
    </row>
    <row r="15" ht="20" customHeight="1">
      <c r="B15" s="65" t="inlineStr">
        <is>
          <t>PERSONNEL</t>
        </is>
      </c>
      <c r="C15" s="66" t="n"/>
      <c r="D15" s="66" t="n"/>
      <c r="E15" s="66" t="n"/>
      <c r="F15" s="66" t="n"/>
      <c r="G15" s="66" t="n"/>
      <c r="H15" s="66" t="n"/>
    </row>
    <row r="16">
      <c r="B16" s="46" t="inlineStr">
        <is>
          <t>6411</t>
        </is>
      </c>
      <c r="C16" s="6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7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7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7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7">
        <f>F19*((1+'01_Cadrage'!$H$23)*(1+'01_Cadrage'!$H$24))</f>
        <v/>
      </c>
      <c r="H19" s="16">
        <f>IFERROR(G19/F19-1,0)</f>
        <v/>
      </c>
    </row>
    <row r="20" ht="20" customHeight="1">
      <c r="B20" s="65" t="inlineStr">
        <is>
          <t>STRUCTURE</t>
        </is>
      </c>
      <c r="C20" s="66" t="n"/>
      <c r="D20" s="66" t="n"/>
      <c r="E20" s="66" t="n"/>
      <c r="F20" s="66" t="n"/>
      <c r="G20" s="66" t="n"/>
      <c r="H20" s="66" t="n"/>
    </row>
    <row r="21">
      <c r="B21" s="46" t="inlineStr">
        <is>
          <t>613</t>
        </is>
      </c>
      <c r="C21" s="6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7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7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7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7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7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7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7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7">
        <f>F28*((1+'01_Cadrage'!$H$22)*(1-'01_Cadrage'!$H$25)*(1+'01_Cadrage'!$H$26))</f>
        <v/>
      </c>
      <c r="H28" s="16">
        <f>IFERROR(G28/F28-1,0)</f>
        <v/>
      </c>
    </row>
    <row r="29" ht="20" customHeight="1">
      <c r="B29" s="65" t="inlineStr">
        <is>
          <t>IMPÔTS &amp; TAXES</t>
        </is>
      </c>
      <c r="C29" s="66" t="n"/>
      <c r="D29" s="66" t="n"/>
      <c r="E29" s="66" t="n"/>
      <c r="F29" s="66" t="n"/>
      <c r="G29" s="66" t="n"/>
      <c r="H29" s="66" t="n"/>
    </row>
    <row r="30">
      <c r="B30" s="46" t="inlineStr">
        <is>
          <t>6331</t>
        </is>
      </c>
      <c r="C30" s="6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7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7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7">
        <f>F32*((1+'01_Cadrage'!$H$22)*(1-'01_Cadrage'!$H$25))</f>
        <v/>
      </c>
      <c r="H32" s="16">
        <f>IFERROR(G32/F32-1,0)</f>
        <v/>
      </c>
    </row>
    <row r="33">
      <c r="B33" s="68" t="inlineStr">
        <is>
          <t> </t>
        </is>
      </c>
      <c r="C33" s="51" t="inlineStr">
        <is>
          <t>EBITDA</t>
        </is>
      </c>
      <c r="D33" s="5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9">
        <f>G5+G6+G7+G10+G11+G12+G13+G16+G17+G18+G19+G21+G22+G23+G24+G25+G26+G27+G28+G30+G31+G32</f>
        <v/>
      </c>
      <c r="H33" s="70">
        <f>IFERROR(G33/F33-1,0)</f>
        <v/>
      </c>
    </row>
    <row r="34" ht="20" customHeight="1">
      <c r="B34" s="65" t="inlineStr">
        <is>
          <t>DOTATIONS</t>
        </is>
      </c>
      <c r="C34" s="66" t="n"/>
      <c r="D34" s="66" t="n"/>
      <c r="E34" s="66" t="n"/>
      <c r="F34" s="66" t="n"/>
      <c r="G34" s="66" t="n"/>
      <c r="H34" s="66" t="n"/>
    </row>
    <row r="35">
      <c r="B35" s="46" t="inlineStr">
        <is>
          <t>6811</t>
        </is>
      </c>
      <c r="C35" s="6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7">
        <f>F35*(1+'01_Cadrage'!$H$22)</f>
        <v/>
      </c>
      <c r="H35" s="16">
        <f>IFERROR(G35/F35-1,0)</f>
        <v/>
      </c>
    </row>
    <row r="36">
      <c r="B36" s="68" t="inlineStr">
        <is>
          <t> </t>
        </is>
      </c>
      <c r="C36" s="51" t="inlineStr">
        <is>
          <t>EBIT / RÉSULTAT D'EXPLOITATION</t>
        </is>
      </c>
      <c r="D36" s="50">
        <f>SUMIFS('06_Compta'!$L$4:$L$675,'06_Compta'!$H$4:$H$675,"Produit",'06_Compta'!$J$4:$J$675,"2024ACT_VDEF")-SUMIFS('06_Compta'!$L$4:$L$675,'06_Compta'!$H$4:$H$675,"Charge",'06_Compta'!$J$4:$J$675,"2024ACT_VDEF")</f>
        <v/>
      </c>
      <c r="E36" s="50">
        <f>SUMIFS('06_Compta'!$L$4:$L$675,'06_Compta'!$H$4:$H$675,"Produit",'06_Compta'!$J$4:$J$675,"2025ACT_VDEF")-SUMIFS('06_Compta'!$L$4:$L$675,'06_Compta'!$H$4:$H$675,"Charge",'06_Compta'!$J$4:$J$675,"2025ACT_VDEF")</f>
        <v/>
      </c>
      <c r="F36" s="50">
        <f>SUMIFS('06_Compta'!$L$4:$L$675,'06_Compta'!$H$4:$H$675,"Produit",'06_Compta'!$J$4:$J$675,"2026ATT_VDEF")-SUMIFS('06_Compta'!$L$4:$L$675,'06_Compta'!$H$4:$H$675,"Charge",'06_Compta'!$J$4:$J$675,"2026ATT_VDEF")</f>
        <v/>
      </c>
      <c r="G36" s="69">
        <f>G5+G6+G7+G10+G11+G12+G13+G16+G17+G18+G19+G21+G22+G23+G24+G25+G26+G27+G28+G30+G31+G32+G35</f>
        <v/>
      </c>
      <c r="H36" s="70">
        <f>IFERROR(G36/F36-1,0)</f>
        <v/>
      </c>
    </row>
    <row r="37">
      <c r="C37" s="31" t="inlineStr">
        <is>
          <t>Marge EBITDA %</t>
        </is>
      </c>
      <c r="D37" s="71">
        <f>IFERROR(D33/D8,0)</f>
        <v/>
      </c>
      <c r="E37" s="71">
        <f>IFERROR(E33/E8,0)</f>
        <v/>
      </c>
      <c r="F37" s="71">
        <f>IFERROR(F33/F8,0)</f>
        <v/>
      </c>
      <c r="G37" s="71">
        <f>IFERROR(G33/G8,0)</f>
        <v/>
      </c>
    </row>
    <row r="38">
      <c r="C38" s="31" t="inlineStr">
        <is>
          <t>Marge EBIT %</t>
        </is>
      </c>
      <c r="D38" s="71">
        <f>IFERROR(D36/D8,0)</f>
        <v/>
      </c>
      <c r="E38" s="71">
        <f>IFERROR(E36/E8,0)</f>
        <v/>
      </c>
      <c r="F38" s="71">
        <f>IFERROR(F36/F8,0)</f>
        <v/>
      </c>
      <c r="G38" s="7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2">
        <f>N12</f>
        <v/>
      </c>
      <c r="E4" s="8" t="inlineStr">
        <is>
          <t>Construit (ajusté) :</t>
        </is>
      </c>
      <c r="G4" s="72">
        <f>M12</f>
        <v/>
      </c>
      <c r="I4" s="8" t="inlineStr">
        <is>
          <t>Reste à trouver :</t>
        </is>
      </c>
      <c r="K4" s="7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51" t="inlineStr">
        <is>
          <t>TOTAL CAMPUS</t>
        </is>
      </c>
      <c r="B12" s="52" t="inlineStr">
        <is>
          <t> </t>
        </is>
      </c>
      <c r="C12" s="52" t="inlineStr">
        <is>
          <t> </t>
        </is>
      </c>
      <c r="D12" s="53">
        <f>SUM(D7:D11)</f>
        <v/>
      </c>
      <c r="E12" s="52" t="inlineStr">
        <is>
          <t> </t>
        </is>
      </c>
      <c r="F12" s="52" t="inlineStr">
        <is>
          <t> </t>
        </is>
      </c>
      <c r="G12" s="52" t="inlineStr">
        <is>
          <t> </t>
        </is>
      </c>
      <c r="H12" s="53">
        <f>SUM(H7:H11)</f>
        <v/>
      </c>
      <c r="I12" s="52" t="inlineStr">
        <is>
          <t> </t>
        </is>
      </c>
      <c r="J12" s="52" t="inlineStr">
        <is>
          <t> </t>
        </is>
      </c>
      <c r="K12" s="52" t="inlineStr">
        <is>
          <t> </t>
        </is>
      </c>
      <c r="L12" s="53">
        <f>SUM(L7:L11)</f>
        <v/>
      </c>
      <c r="M12" s="50">
        <f>SUM(M7:M11)</f>
        <v/>
      </c>
      <c r="N12" s="50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4">
        <f>'04_Moteur'!$AA$62</f>
        <v/>
      </c>
      <c r="C3" s="36" t="n"/>
      <c r="D3" s="37" t="n"/>
      <c r="E3" s="74">
        <f>'07_PnL'!$G$33</f>
        <v/>
      </c>
      <c r="F3" s="36" t="n"/>
      <c r="G3" s="37" t="n"/>
      <c r="H3" s="75">
        <f>IFERROR('07_PnL'!$G$33/'04_Moteur'!$AA$62,0)</f>
        <v/>
      </c>
      <c r="I3" s="36" t="n"/>
      <c r="J3" s="37" t="n"/>
      <c r="K3" s="76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4">
        <f>'01_Cadrage'!F7</f>
        <v/>
      </c>
      <c r="C6" s="36" t="n"/>
      <c r="D6" s="37" t="n"/>
      <c r="E6" s="77">
        <f>'01_Cadrage'!D12</f>
        <v/>
      </c>
      <c r="F6" s="36" t="n"/>
      <c r="G6" s="37" t="n"/>
      <c r="H6" s="74">
        <f>IFERROR(SUM('03_Campagnes'!$K$4:$K$17)/SUM('03_Campagnes'!$L$4:$L$17),0)</f>
        <v/>
      </c>
      <c r="I6" s="36" t="n"/>
      <c r="J6" s="37" t="n"/>
      <c r="K6" s="74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8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51" t="inlineStr">
        <is>
          <t>→ CA Budget construit</t>
        </is>
      </c>
      <c r="D14" s="5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2" t="inlineStr">
        <is>
          <t>+ Effet CA (à marge réf.)</t>
        </is>
      </c>
      <c r="D18" s="15">
        <f>('04_Moteur'!$AA$62-22544725)*IFERROR('07_PnL'!$F$33/22544725,0)</f>
        <v/>
      </c>
    </row>
    <row r="19">
      <c r="B19" s="62" t="inlineStr">
        <is>
          <t>+ Effet coûts &amp; levier op.</t>
        </is>
      </c>
      <c r="D19" s="15">
        <f>'07_PnL'!$G$33-'07_PnL'!$F$33-D18</f>
        <v/>
      </c>
    </row>
    <row r="20">
      <c r="B20" s="51" t="inlineStr">
        <is>
          <t>→ EBITDA Budget construit</t>
        </is>
      </c>
      <c r="D20" s="50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  <col width="11" customWidth="1" min="17" max="17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9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9">
        <f>'01b_Pilotage'!$D$8</f>
        <v/>
      </c>
    </row>
    <row r="5">
      <c r="B5" s="8" t="inlineStr">
        <is>
          <t>Niveau 3 — Campus → Classe, clé (CFO) :</t>
        </is>
      </c>
      <c r="E5" s="79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  <c r="Q7" s="11" t="inlineStr">
        <is>
          <t>Heures/an (sect.)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0.05+0.021*SUMIFS('02_Socle'!$U$4:$U$61,'02_Socle'!$A$4:$A$61,A8,'02_Socle'!$B$4:$B$61,B8)*IFERROR('02_Socle'!K4/SUMIFS('02_Socle'!$K$4:$K$61,'02_Socle'!$A$4:$A$61,A8,'02_Socle'!$B$4:$B$61,B8),0)+SUMIFS('02_Socle'!$U$4:$U$61,'02_Socle'!$A$4:$A$61,A8,'02_Socle'!$B$4:$B$61,B8)*0.07*(IFERROR(Q8/SUMIFS($Q$8:$Q$65,$A$8:$A$65,A8,$B$8:$B$65,B8),0)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-SUMIFS('06_Compta'!$L$4:$L$675,'06_Compta'!$C$4:$C$675,A8,'06_Compta'!$D$4:$D$675,B8,'06_Compta'!$J$4:$J$675,"2026ATT_VDEF",'06_Compta'!$E$4:$E$675,"6411"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+SUMIFS('06_Compta'!$L$4:$L$675,'06_Compta'!$C$4:$C$675,A8,'06_Compta'!$D$4:$D$675,B8,'06_Compta'!$J$4:$J$675,"2026ATT_VDEF",'06_Compta'!$E$4:$E$675,"6411")*(IFERROR(Q8/SUMIFS($Q$8:$Q$65,$A$8:$A$65,A8,$B$8:$B$65,B8)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80" t="n">
        <v>0</v>
      </c>
      <c r="Q8" s="23">
        <f>H8*600</f>
        <v/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0.05+0.021*SUMIFS('02_Socle'!$U$4:$U$61,'02_Socle'!$A$4:$A$61,A9,'02_Socle'!$B$4:$B$61,B9)*IFERROR('02_Socle'!K5/SUMIFS('02_Socle'!$K$4:$K$61,'02_Socle'!$A$4:$A$61,A9,'02_Socle'!$B$4:$B$61,B9),0)+SUMIFS('02_Socle'!$U$4:$U$61,'02_Socle'!$A$4:$A$61,A9,'02_Socle'!$B$4:$B$61,B9)*0.07*(IFERROR(Q9/SUMIFS($Q$8:$Q$65,$A$8:$A$65,A9,$B$8:$B$65,B9),0)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-SUMIFS('06_Compta'!$L$4:$L$675,'06_Compta'!$C$4:$C$675,A9,'06_Compta'!$D$4:$D$675,B9,'06_Compta'!$J$4:$J$675,"2026ATT_VDEF",'06_Compta'!$E$4:$E$675,"6411"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+SUMIFS('06_Compta'!$L$4:$L$675,'06_Compta'!$C$4:$C$675,A9,'06_Compta'!$D$4:$D$675,B9,'06_Compta'!$J$4:$J$675,"2026ATT_VDEF",'06_Compta'!$E$4:$E$675,"6411")*(IFERROR(Q9/SUMIFS($Q$8:$Q$65,$A$8:$A$65,A9,$B$8:$B$65,B9)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80" t="n">
        <v>0</v>
      </c>
      <c r="Q9" s="23">
        <f>H9*480</f>
        <v/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0.05+0.021*SUMIFS('02_Socle'!$U$4:$U$61,'02_Socle'!$A$4:$A$61,A10,'02_Socle'!$B$4:$B$61,B10)*IFERROR('02_Socle'!K6/SUMIFS('02_Socle'!$K$4:$K$61,'02_Socle'!$A$4:$A$61,A10,'02_Socle'!$B$4:$B$61,B10),0)+SUMIFS('02_Socle'!$U$4:$U$61,'02_Socle'!$A$4:$A$61,A10,'02_Socle'!$B$4:$B$61,B10)*0.07*(IFERROR(Q10/SUMIFS($Q$8:$Q$65,$A$8:$A$65,A10,$B$8:$B$65,B10),0)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-SUMIFS('06_Compta'!$L$4:$L$675,'06_Compta'!$C$4:$C$675,A10,'06_Compta'!$D$4:$D$675,B10,'06_Compta'!$J$4:$J$675,"2026ATT_VDEF",'06_Compta'!$E$4:$E$675,"6411"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+SUMIFS('06_Compta'!$L$4:$L$675,'06_Compta'!$C$4:$C$675,A10,'06_Compta'!$D$4:$D$675,B10,'06_Compta'!$J$4:$J$675,"2026ATT_VDEF",'06_Compta'!$E$4:$E$675,"6411")*(IFERROR(Q10/SUMIFS($Q$8:$Q$65,$A$8:$A$65,A10,$B$8:$B$65,B10)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80" t="n">
        <v>0</v>
      </c>
      <c r="Q10" s="23">
        <f>H10*480</f>
        <v/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0.05+0.021*SUMIFS('02_Socle'!$U$4:$U$61,'02_Socle'!$A$4:$A$61,A11,'02_Socle'!$B$4:$B$61,B11)*IFERROR('02_Socle'!K7/SUMIFS('02_Socle'!$K$4:$K$61,'02_Socle'!$A$4:$A$61,A11,'02_Socle'!$B$4:$B$61,B11),0)+SUMIFS('02_Socle'!$U$4:$U$61,'02_Socle'!$A$4:$A$61,A11,'02_Socle'!$B$4:$B$61,B11)*0.07*(IFERROR(Q11/SUMIFS($Q$8:$Q$65,$A$8:$A$65,A11,$B$8:$B$65,B11),0)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-SUMIFS('06_Compta'!$L$4:$L$675,'06_Compta'!$C$4:$C$675,A11,'06_Compta'!$D$4:$D$675,B11,'06_Compta'!$J$4:$J$675,"2026ATT_VDEF",'06_Compta'!$E$4:$E$675,"6411"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+SUMIFS('06_Compta'!$L$4:$L$675,'06_Compta'!$C$4:$C$675,A11,'06_Compta'!$D$4:$D$675,B11,'06_Compta'!$J$4:$J$675,"2026ATT_VDEF",'06_Compta'!$E$4:$E$675,"6411")*(IFERROR(Q11/SUMIFS($Q$8:$Q$65,$A$8:$A$65,A11,$B$8:$B$65,B11)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80" t="n">
        <v>0</v>
      </c>
      <c r="Q11" s="23">
        <f>H11*420</f>
        <v/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0.05+0.021*SUMIFS('02_Socle'!$U$4:$U$61,'02_Socle'!$A$4:$A$61,A12,'02_Socle'!$B$4:$B$61,B12)*IFERROR('02_Socle'!K8/SUMIFS('02_Socle'!$K$4:$K$61,'02_Socle'!$A$4:$A$61,A12,'02_Socle'!$B$4:$B$61,B12),0)+SUMIFS('02_Socle'!$U$4:$U$61,'02_Socle'!$A$4:$A$61,A12,'02_Socle'!$B$4:$B$61,B12)*0.07*(IFERROR(Q12/SUMIFS($Q$8:$Q$65,$A$8:$A$65,A12,$B$8:$B$65,B12),0)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-SUMIFS('06_Compta'!$L$4:$L$675,'06_Compta'!$C$4:$C$675,A12,'06_Compta'!$D$4:$D$675,B12,'06_Compta'!$J$4:$J$675,"2026ATT_VDEF",'06_Compta'!$E$4:$E$675,"6411"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+SUMIFS('06_Compta'!$L$4:$L$675,'06_Compta'!$C$4:$C$675,A12,'06_Compta'!$D$4:$D$675,B12,'06_Compta'!$J$4:$J$675,"2026ATT_VDEF",'06_Compta'!$E$4:$E$675,"6411")*(IFERROR(Q12/SUMIFS($Q$8:$Q$65,$A$8:$A$65,A12,$B$8:$B$65,B12)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80" t="n">
        <v>0</v>
      </c>
      <c r="Q12" s="23">
        <f>H12*420</f>
        <v/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0.05+0.021*SUMIFS('02_Socle'!$U$4:$U$61,'02_Socle'!$A$4:$A$61,A13,'02_Socle'!$B$4:$B$61,B13)*IFERROR('02_Socle'!K9/SUMIFS('02_Socle'!$K$4:$K$61,'02_Socle'!$A$4:$A$61,A13,'02_Socle'!$B$4:$B$61,B13),0)+SUMIFS('02_Socle'!$U$4:$U$61,'02_Socle'!$A$4:$A$61,A13,'02_Socle'!$B$4:$B$61,B13)*0.07*(IFERROR(Q13/SUMIFS($Q$8:$Q$65,$A$8:$A$65,A13,$B$8:$B$65,B13),0)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-SUMIFS('06_Compta'!$L$4:$L$675,'06_Compta'!$C$4:$C$675,A13,'06_Compta'!$D$4:$D$675,B13,'06_Compta'!$J$4:$J$675,"2026ATT_VDEF",'06_Compta'!$E$4:$E$675,"6411"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+SUMIFS('06_Compta'!$L$4:$L$675,'06_Compta'!$C$4:$C$675,A13,'06_Compta'!$D$4:$D$675,B13,'06_Compta'!$J$4:$J$675,"2026ATT_VDEF",'06_Compta'!$E$4:$E$675,"6411")*(IFERROR(Q13/SUMIFS($Q$8:$Q$65,$A$8:$A$65,A13,$B$8:$B$65,B13)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80" t="n">
        <v>0</v>
      </c>
      <c r="Q13" s="23">
        <f>H13*600</f>
        <v/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0.05+0.021*SUMIFS('02_Socle'!$U$4:$U$61,'02_Socle'!$A$4:$A$61,A14,'02_Socle'!$B$4:$B$61,B14)*IFERROR('02_Socle'!K10/SUMIFS('02_Socle'!$K$4:$K$61,'02_Socle'!$A$4:$A$61,A14,'02_Socle'!$B$4:$B$61,B14),0)+SUMIFS('02_Socle'!$U$4:$U$61,'02_Socle'!$A$4:$A$61,A14,'02_Socle'!$B$4:$B$61,B14)*0.07*(IFERROR(Q14/SUMIFS($Q$8:$Q$65,$A$8:$A$65,A14,$B$8:$B$65,B14),0)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-SUMIFS('06_Compta'!$L$4:$L$675,'06_Compta'!$C$4:$C$675,A14,'06_Compta'!$D$4:$D$675,B14,'06_Compta'!$J$4:$J$675,"2026ATT_VDEF",'06_Compta'!$E$4:$E$675,"6411"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+SUMIFS('06_Compta'!$L$4:$L$675,'06_Compta'!$C$4:$C$675,A14,'06_Compta'!$D$4:$D$675,B14,'06_Compta'!$J$4:$J$675,"2026ATT_VDEF",'06_Compta'!$E$4:$E$675,"6411")*(IFERROR(Q14/SUMIFS($Q$8:$Q$65,$A$8:$A$65,A14,$B$8:$B$65,B14)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80" t="n">
        <v>0</v>
      </c>
      <c r="Q14" s="23">
        <f>H14*480</f>
        <v/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0.05+0.021*SUMIFS('02_Socle'!$U$4:$U$61,'02_Socle'!$A$4:$A$61,A15,'02_Socle'!$B$4:$B$61,B15)*IFERROR('02_Socle'!K11/SUMIFS('02_Socle'!$K$4:$K$61,'02_Socle'!$A$4:$A$61,A15,'02_Socle'!$B$4:$B$61,B15),0)+SUMIFS('02_Socle'!$U$4:$U$61,'02_Socle'!$A$4:$A$61,A15,'02_Socle'!$B$4:$B$61,B15)*0.07*(IFERROR(Q15/SUMIFS($Q$8:$Q$65,$A$8:$A$65,A15,$B$8:$B$65,B15),0)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-SUMIFS('06_Compta'!$L$4:$L$675,'06_Compta'!$C$4:$C$675,A15,'06_Compta'!$D$4:$D$675,B15,'06_Compta'!$J$4:$J$675,"2026ATT_VDEF",'06_Compta'!$E$4:$E$675,"6411"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+SUMIFS('06_Compta'!$L$4:$L$675,'06_Compta'!$C$4:$C$675,A15,'06_Compta'!$D$4:$D$675,B15,'06_Compta'!$J$4:$J$675,"2026ATT_VDEF",'06_Compta'!$E$4:$E$675,"6411")*(IFERROR(Q15/SUMIFS($Q$8:$Q$65,$A$8:$A$65,A15,$B$8:$B$65,B15)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80" t="n">
        <v>0</v>
      </c>
      <c r="Q15" s="23">
        <f>H15*480</f>
        <v/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0.05+0.021*SUMIFS('02_Socle'!$U$4:$U$61,'02_Socle'!$A$4:$A$61,A16,'02_Socle'!$B$4:$B$61,B16)*IFERROR('02_Socle'!K12/SUMIFS('02_Socle'!$K$4:$K$61,'02_Socle'!$A$4:$A$61,A16,'02_Socle'!$B$4:$B$61,B16),0)+SUMIFS('02_Socle'!$U$4:$U$61,'02_Socle'!$A$4:$A$61,A16,'02_Socle'!$B$4:$B$61,B16)*0.07*(IFERROR(Q16/SUMIFS($Q$8:$Q$65,$A$8:$A$65,A16,$B$8:$B$65,B16),0)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-SUMIFS('06_Compta'!$L$4:$L$675,'06_Compta'!$C$4:$C$675,A16,'06_Compta'!$D$4:$D$675,B16,'06_Compta'!$J$4:$J$675,"2026ATT_VDEF",'06_Compta'!$E$4:$E$675,"6411"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+SUMIFS('06_Compta'!$L$4:$L$675,'06_Compta'!$C$4:$C$675,A16,'06_Compta'!$D$4:$D$675,B16,'06_Compta'!$J$4:$J$675,"2026ATT_VDEF",'06_Compta'!$E$4:$E$675,"6411")*(IFERROR(Q16/SUMIFS($Q$8:$Q$65,$A$8:$A$65,A16,$B$8:$B$65,B16)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80" t="n">
        <v>0</v>
      </c>
      <c r="Q16" s="23">
        <f>H16*420</f>
        <v/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0.05+0.021*SUMIFS('02_Socle'!$U$4:$U$61,'02_Socle'!$A$4:$A$61,A17,'02_Socle'!$B$4:$B$61,B17)*IFERROR('02_Socle'!K13/SUMIFS('02_Socle'!$K$4:$K$61,'02_Socle'!$A$4:$A$61,A17,'02_Socle'!$B$4:$B$61,B17),0)+SUMIFS('02_Socle'!$U$4:$U$61,'02_Socle'!$A$4:$A$61,A17,'02_Socle'!$B$4:$B$61,B17)*0.07*(IFERROR(Q17/SUMIFS($Q$8:$Q$65,$A$8:$A$65,A17,$B$8:$B$65,B17),0)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-SUMIFS('06_Compta'!$L$4:$L$675,'06_Compta'!$C$4:$C$675,A17,'06_Compta'!$D$4:$D$675,B17,'06_Compta'!$J$4:$J$675,"2026ATT_VDEF",'06_Compta'!$E$4:$E$675,"6411"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+SUMIFS('06_Compta'!$L$4:$L$675,'06_Compta'!$C$4:$C$675,A17,'06_Compta'!$D$4:$D$675,B17,'06_Compta'!$J$4:$J$675,"2026ATT_VDEF",'06_Compta'!$E$4:$E$675,"6411")*(IFERROR(Q17/SUMIFS($Q$8:$Q$65,$A$8:$A$65,A17,$B$8:$B$65,B17)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80" t="n">
        <v>0</v>
      </c>
      <c r="Q17" s="23">
        <f>H17*420</f>
        <v/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0.05+0.021*SUMIFS('02_Socle'!$U$4:$U$61,'02_Socle'!$A$4:$A$61,A18,'02_Socle'!$B$4:$B$61,B18)*IFERROR('02_Socle'!K14/SUMIFS('02_Socle'!$K$4:$K$61,'02_Socle'!$A$4:$A$61,A18,'02_Socle'!$B$4:$B$61,B18),0)+SUMIFS('02_Socle'!$U$4:$U$61,'02_Socle'!$A$4:$A$61,A18,'02_Socle'!$B$4:$B$61,B18)*0.07*(IFERROR(Q18/SUMIFS($Q$8:$Q$65,$A$8:$A$65,A18,$B$8:$B$65,B18),0)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-SUMIFS('06_Compta'!$L$4:$L$675,'06_Compta'!$C$4:$C$675,A18,'06_Compta'!$D$4:$D$675,B18,'06_Compta'!$J$4:$J$675,"2026ATT_VDEF",'06_Compta'!$E$4:$E$675,"6411"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+SUMIFS('06_Compta'!$L$4:$L$675,'06_Compta'!$C$4:$C$675,A18,'06_Compta'!$D$4:$D$675,B18,'06_Compta'!$J$4:$J$675,"2026ATT_VDEF",'06_Compta'!$E$4:$E$675,"6411")*(IFERROR(Q18/SUMIFS($Q$8:$Q$65,$A$8:$A$65,A18,$B$8:$B$65,B18)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80" t="n">
        <v>0</v>
      </c>
      <c r="Q18" s="23">
        <f>H18*600</f>
        <v/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0.05+0.021*SUMIFS('02_Socle'!$U$4:$U$61,'02_Socle'!$A$4:$A$61,A19,'02_Socle'!$B$4:$B$61,B19)*IFERROR('02_Socle'!K15/SUMIFS('02_Socle'!$K$4:$K$61,'02_Socle'!$A$4:$A$61,A19,'02_Socle'!$B$4:$B$61,B19),0)+SUMIFS('02_Socle'!$U$4:$U$61,'02_Socle'!$A$4:$A$61,A19,'02_Socle'!$B$4:$B$61,B19)*0.07*(IFERROR(Q19/SUMIFS($Q$8:$Q$65,$A$8:$A$65,A19,$B$8:$B$65,B19),0)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-SUMIFS('06_Compta'!$L$4:$L$675,'06_Compta'!$C$4:$C$675,A19,'06_Compta'!$D$4:$D$675,B19,'06_Compta'!$J$4:$J$675,"2026ATT_VDEF",'06_Compta'!$E$4:$E$675,"6411"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+SUMIFS('06_Compta'!$L$4:$L$675,'06_Compta'!$C$4:$C$675,A19,'06_Compta'!$D$4:$D$675,B19,'06_Compta'!$J$4:$J$675,"2026ATT_VDEF",'06_Compta'!$E$4:$E$675,"6411")*(IFERROR(Q19/SUMIFS($Q$8:$Q$65,$A$8:$A$65,A19,$B$8:$B$65,B19)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80" t="n">
        <v>0</v>
      </c>
      <c r="Q19" s="23">
        <f>H19*480</f>
        <v/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0.05+0.021*SUMIFS('02_Socle'!$U$4:$U$61,'02_Socle'!$A$4:$A$61,A20,'02_Socle'!$B$4:$B$61,B20)*IFERROR('02_Socle'!K16/SUMIFS('02_Socle'!$K$4:$K$61,'02_Socle'!$A$4:$A$61,A20,'02_Socle'!$B$4:$B$61,B20),0)+SUMIFS('02_Socle'!$U$4:$U$61,'02_Socle'!$A$4:$A$61,A20,'02_Socle'!$B$4:$B$61,B20)*0.07*(IFERROR(Q20/SUMIFS($Q$8:$Q$65,$A$8:$A$65,A20,$B$8:$B$65,B20),0)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-SUMIFS('06_Compta'!$L$4:$L$675,'06_Compta'!$C$4:$C$675,A20,'06_Compta'!$D$4:$D$675,B20,'06_Compta'!$J$4:$J$675,"2026ATT_VDEF",'06_Compta'!$E$4:$E$675,"6411"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+SUMIFS('06_Compta'!$L$4:$L$675,'06_Compta'!$C$4:$C$675,A20,'06_Compta'!$D$4:$D$675,B20,'06_Compta'!$J$4:$J$675,"2026ATT_VDEF",'06_Compta'!$E$4:$E$675,"6411")*(IFERROR(Q20/SUMIFS($Q$8:$Q$65,$A$8:$A$65,A20,$B$8:$B$65,B20)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80" t="n">
        <v>0</v>
      </c>
      <c r="Q20" s="23">
        <f>H20*480</f>
        <v/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0.05+0.021*SUMIFS('02_Socle'!$U$4:$U$61,'02_Socle'!$A$4:$A$61,A21,'02_Socle'!$B$4:$B$61,B21)*IFERROR('02_Socle'!K17/SUMIFS('02_Socle'!$K$4:$K$61,'02_Socle'!$A$4:$A$61,A21,'02_Socle'!$B$4:$B$61,B21),0)+SUMIFS('02_Socle'!$U$4:$U$61,'02_Socle'!$A$4:$A$61,A21,'02_Socle'!$B$4:$B$61,B21)*0.07*(IFERROR(Q21/SUMIFS($Q$8:$Q$65,$A$8:$A$65,A21,$B$8:$B$65,B21),0)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-SUMIFS('06_Compta'!$L$4:$L$675,'06_Compta'!$C$4:$C$675,A21,'06_Compta'!$D$4:$D$675,B21,'06_Compta'!$J$4:$J$675,"2026ATT_VDEF",'06_Compta'!$E$4:$E$675,"6411"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+SUMIFS('06_Compta'!$L$4:$L$675,'06_Compta'!$C$4:$C$675,A21,'06_Compta'!$D$4:$D$675,B21,'06_Compta'!$J$4:$J$675,"2026ATT_VDEF",'06_Compta'!$E$4:$E$675,"6411")*(IFERROR(Q21/SUMIFS($Q$8:$Q$65,$A$8:$A$65,A21,$B$8:$B$65,B21)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80" t="n">
        <v>0</v>
      </c>
      <c r="Q21" s="23">
        <f>H21*420</f>
        <v/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0.05+0.021*SUMIFS('02_Socle'!$U$4:$U$61,'02_Socle'!$A$4:$A$61,A22,'02_Socle'!$B$4:$B$61,B22)*IFERROR('02_Socle'!K18/SUMIFS('02_Socle'!$K$4:$K$61,'02_Socle'!$A$4:$A$61,A22,'02_Socle'!$B$4:$B$61,B22),0)+SUMIFS('02_Socle'!$U$4:$U$61,'02_Socle'!$A$4:$A$61,A22,'02_Socle'!$B$4:$B$61,B22)*0.07*(IFERROR(Q22/SUMIFS($Q$8:$Q$65,$A$8:$A$65,A22,$B$8:$B$65,B22),0)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-SUMIFS('06_Compta'!$L$4:$L$675,'06_Compta'!$C$4:$C$675,A22,'06_Compta'!$D$4:$D$675,B22,'06_Compta'!$J$4:$J$675,"2026ATT_VDEF",'06_Compta'!$E$4:$E$675,"6411"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+SUMIFS('06_Compta'!$L$4:$L$675,'06_Compta'!$C$4:$C$675,A22,'06_Compta'!$D$4:$D$675,B22,'06_Compta'!$J$4:$J$675,"2026ATT_VDEF",'06_Compta'!$E$4:$E$675,"6411")*(IFERROR(Q22/SUMIFS($Q$8:$Q$65,$A$8:$A$65,A22,$B$8:$B$65,B22)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80" t="n">
        <v>0</v>
      </c>
      <c r="Q22" s="23">
        <f>H22*420</f>
        <v/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0.05+0.021*SUMIFS('02_Socle'!$U$4:$U$61,'02_Socle'!$A$4:$A$61,A23,'02_Socle'!$B$4:$B$61,B23)*IFERROR('02_Socle'!K19/SUMIFS('02_Socle'!$K$4:$K$61,'02_Socle'!$A$4:$A$61,A23,'02_Socle'!$B$4:$B$61,B23),0)+SUMIFS('02_Socle'!$U$4:$U$61,'02_Socle'!$A$4:$A$61,A23,'02_Socle'!$B$4:$B$61,B23)*0.07*(IFERROR(Q23/SUMIFS($Q$8:$Q$65,$A$8:$A$65,A23,$B$8:$B$65,B23),0)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-SUMIFS('06_Compta'!$L$4:$L$675,'06_Compta'!$C$4:$C$675,A23,'06_Compta'!$D$4:$D$675,B23,'06_Compta'!$J$4:$J$675,"2026ATT_VDEF",'06_Compta'!$E$4:$E$675,"6411"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+SUMIFS('06_Compta'!$L$4:$L$675,'06_Compta'!$C$4:$C$675,A23,'06_Compta'!$D$4:$D$675,B23,'06_Compta'!$J$4:$J$675,"2026ATT_VDEF",'06_Compta'!$E$4:$E$675,"6411")*(IFERROR(Q23/SUMIFS($Q$8:$Q$65,$A$8:$A$65,A23,$B$8:$B$65,B23)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80" t="n">
        <v>0</v>
      </c>
      <c r="Q23" s="23">
        <f>H23*600</f>
        <v/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0.05+0.021*SUMIFS('02_Socle'!$U$4:$U$61,'02_Socle'!$A$4:$A$61,A24,'02_Socle'!$B$4:$B$61,B24)*IFERROR('02_Socle'!K20/SUMIFS('02_Socle'!$K$4:$K$61,'02_Socle'!$A$4:$A$61,A24,'02_Socle'!$B$4:$B$61,B24),0)+SUMIFS('02_Socle'!$U$4:$U$61,'02_Socle'!$A$4:$A$61,A24,'02_Socle'!$B$4:$B$61,B24)*0.07*(IFERROR(Q24/SUMIFS($Q$8:$Q$65,$A$8:$A$65,A24,$B$8:$B$65,B24),0)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-SUMIFS('06_Compta'!$L$4:$L$675,'06_Compta'!$C$4:$C$675,A24,'06_Compta'!$D$4:$D$675,B24,'06_Compta'!$J$4:$J$675,"2026ATT_VDEF",'06_Compta'!$E$4:$E$675,"6411"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+SUMIFS('06_Compta'!$L$4:$L$675,'06_Compta'!$C$4:$C$675,A24,'06_Compta'!$D$4:$D$675,B24,'06_Compta'!$J$4:$J$675,"2026ATT_VDEF",'06_Compta'!$E$4:$E$675,"6411")*(IFERROR(Q24/SUMIFS($Q$8:$Q$65,$A$8:$A$65,A24,$B$8:$B$65,B24)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80" t="n">
        <v>0</v>
      </c>
      <c r="Q24" s="23">
        <f>H24*480</f>
        <v/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0.05+0.021*SUMIFS('02_Socle'!$U$4:$U$61,'02_Socle'!$A$4:$A$61,A25,'02_Socle'!$B$4:$B$61,B25)*IFERROR('02_Socle'!K21/SUMIFS('02_Socle'!$K$4:$K$61,'02_Socle'!$A$4:$A$61,A25,'02_Socle'!$B$4:$B$61,B25),0)+SUMIFS('02_Socle'!$U$4:$U$61,'02_Socle'!$A$4:$A$61,A25,'02_Socle'!$B$4:$B$61,B25)*0.07*(IFERROR(Q25/SUMIFS($Q$8:$Q$65,$A$8:$A$65,A25,$B$8:$B$65,B25),0)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-SUMIFS('06_Compta'!$L$4:$L$675,'06_Compta'!$C$4:$C$675,A25,'06_Compta'!$D$4:$D$675,B25,'06_Compta'!$J$4:$J$675,"2026ATT_VDEF",'06_Compta'!$E$4:$E$675,"6411"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+SUMIFS('06_Compta'!$L$4:$L$675,'06_Compta'!$C$4:$C$675,A25,'06_Compta'!$D$4:$D$675,B25,'06_Compta'!$J$4:$J$675,"2026ATT_VDEF",'06_Compta'!$E$4:$E$675,"6411")*(IFERROR(Q25/SUMIFS($Q$8:$Q$65,$A$8:$A$65,A25,$B$8:$B$65,B25)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80" t="n">
        <v>0</v>
      </c>
      <c r="Q25" s="23">
        <f>H25*480</f>
        <v/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0.05+0.021*SUMIFS('02_Socle'!$U$4:$U$61,'02_Socle'!$A$4:$A$61,A26,'02_Socle'!$B$4:$B$61,B26)*IFERROR('02_Socle'!K22/SUMIFS('02_Socle'!$K$4:$K$61,'02_Socle'!$A$4:$A$61,A26,'02_Socle'!$B$4:$B$61,B26),0)+SUMIFS('02_Socle'!$U$4:$U$61,'02_Socle'!$A$4:$A$61,A26,'02_Socle'!$B$4:$B$61,B26)*0.07*(IFERROR(Q26/SUMIFS($Q$8:$Q$65,$A$8:$A$65,A26,$B$8:$B$65,B26),0)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-SUMIFS('06_Compta'!$L$4:$L$675,'06_Compta'!$C$4:$C$675,A26,'06_Compta'!$D$4:$D$675,B26,'06_Compta'!$J$4:$J$675,"2026ATT_VDEF",'06_Compta'!$E$4:$E$675,"6411"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+SUMIFS('06_Compta'!$L$4:$L$675,'06_Compta'!$C$4:$C$675,A26,'06_Compta'!$D$4:$D$675,B26,'06_Compta'!$J$4:$J$675,"2026ATT_VDEF",'06_Compta'!$E$4:$E$675,"6411")*(IFERROR(Q26/SUMIFS($Q$8:$Q$65,$A$8:$A$65,A26,$B$8:$B$65,B26)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80" t="n">
        <v>0</v>
      </c>
      <c r="Q26" s="23">
        <f>H26*420</f>
        <v/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0.05+0.021*SUMIFS('02_Socle'!$U$4:$U$61,'02_Socle'!$A$4:$A$61,A27,'02_Socle'!$B$4:$B$61,B27)*IFERROR('02_Socle'!K23/SUMIFS('02_Socle'!$K$4:$K$61,'02_Socle'!$A$4:$A$61,A27,'02_Socle'!$B$4:$B$61,B27),0)+SUMIFS('02_Socle'!$U$4:$U$61,'02_Socle'!$A$4:$A$61,A27,'02_Socle'!$B$4:$B$61,B27)*0.07*(IFERROR(Q27/SUMIFS($Q$8:$Q$65,$A$8:$A$65,A27,$B$8:$B$65,B27),0)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-SUMIFS('06_Compta'!$L$4:$L$675,'06_Compta'!$C$4:$C$675,A27,'06_Compta'!$D$4:$D$675,B27,'06_Compta'!$J$4:$J$675,"2026ATT_VDEF",'06_Compta'!$E$4:$E$675,"6411"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+SUMIFS('06_Compta'!$L$4:$L$675,'06_Compta'!$C$4:$C$675,A27,'06_Compta'!$D$4:$D$675,B27,'06_Compta'!$J$4:$J$675,"2026ATT_VDEF",'06_Compta'!$E$4:$E$675,"6411")*(IFERROR(Q27/SUMIFS($Q$8:$Q$65,$A$8:$A$65,A27,$B$8:$B$65,B27)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80" t="n">
        <v>0</v>
      </c>
      <c r="Q27" s="23">
        <f>H27*420</f>
        <v/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0.05+0.021*SUMIFS('02_Socle'!$U$4:$U$61,'02_Socle'!$A$4:$A$61,A28,'02_Socle'!$B$4:$B$61,B28)*IFERROR('02_Socle'!K24/SUMIFS('02_Socle'!$K$4:$K$61,'02_Socle'!$A$4:$A$61,A28,'02_Socle'!$B$4:$B$61,B28),0)+SUMIFS('02_Socle'!$U$4:$U$61,'02_Socle'!$A$4:$A$61,A28,'02_Socle'!$B$4:$B$61,B28)*0.07*(IFERROR(Q28/SUMIFS($Q$8:$Q$65,$A$8:$A$65,A28,$B$8:$B$65,B28),0)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-SUMIFS('06_Compta'!$L$4:$L$675,'06_Compta'!$C$4:$C$675,A28,'06_Compta'!$D$4:$D$675,B28,'06_Compta'!$J$4:$J$675,"2026ATT_VDEF",'06_Compta'!$E$4:$E$675,"6411"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+SUMIFS('06_Compta'!$L$4:$L$675,'06_Compta'!$C$4:$C$675,A28,'06_Compta'!$D$4:$D$675,B28,'06_Compta'!$J$4:$J$675,"2026ATT_VDEF",'06_Compta'!$E$4:$E$675,"6411")*(IFERROR(Q28/SUMIFS($Q$8:$Q$65,$A$8:$A$65,A28,$B$8:$B$65,B28)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80" t="n">
        <v>0</v>
      </c>
      <c r="Q28" s="23">
        <f>H28*600</f>
        <v/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0.05+0.021*SUMIFS('02_Socle'!$U$4:$U$61,'02_Socle'!$A$4:$A$61,A29,'02_Socle'!$B$4:$B$61,B29)*IFERROR('02_Socle'!K25/SUMIFS('02_Socle'!$K$4:$K$61,'02_Socle'!$A$4:$A$61,A29,'02_Socle'!$B$4:$B$61,B29),0)+SUMIFS('02_Socle'!$U$4:$U$61,'02_Socle'!$A$4:$A$61,A29,'02_Socle'!$B$4:$B$61,B29)*0.07*(IFERROR(Q29/SUMIFS($Q$8:$Q$65,$A$8:$A$65,A29,$B$8:$B$65,B29),0)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-SUMIFS('06_Compta'!$L$4:$L$675,'06_Compta'!$C$4:$C$675,A29,'06_Compta'!$D$4:$D$675,B29,'06_Compta'!$J$4:$J$675,"2026ATT_VDEF",'06_Compta'!$E$4:$E$675,"6411"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+SUMIFS('06_Compta'!$L$4:$L$675,'06_Compta'!$C$4:$C$675,A29,'06_Compta'!$D$4:$D$675,B29,'06_Compta'!$J$4:$J$675,"2026ATT_VDEF",'06_Compta'!$E$4:$E$675,"6411")*(IFERROR(Q29/SUMIFS($Q$8:$Q$65,$A$8:$A$65,A29,$B$8:$B$65,B29)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80" t="n">
        <v>0</v>
      </c>
      <c r="Q29" s="23">
        <f>H29*480</f>
        <v/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0.05+0.021*SUMIFS('02_Socle'!$U$4:$U$61,'02_Socle'!$A$4:$A$61,A30,'02_Socle'!$B$4:$B$61,B30)*IFERROR('02_Socle'!K26/SUMIFS('02_Socle'!$K$4:$K$61,'02_Socle'!$A$4:$A$61,A30,'02_Socle'!$B$4:$B$61,B30),0)+SUMIFS('02_Socle'!$U$4:$U$61,'02_Socle'!$A$4:$A$61,A30,'02_Socle'!$B$4:$B$61,B30)*0.07*(IFERROR(Q30/SUMIFS($Q$8:$Q$65,$A$8:$A$65,A30,$B$8:$B$65,B30),0)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-SUMIFS('06_Compta'!$L$4:$L$675,'06_Compta'!$C$4:$C$675,A30,'06_Compta'!$D$4:$D$675,B30,'06_Compta'!$J$4:$J$675,"2026ATT_VDEF",'06_Compta'!$E$4:$E$675,"6411"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+SUMIFS('06_Compta'!$L$4:$L$675,'06_Compta'!$C$4:$C$675,A30,'06_Compta'!$D$4:$D$675,B30,'06_Compta'!$J$4:$J$675,"2026ATT_VDEF",'06_Compta'!$E$4:$E$675,"6411")*(IFERROR(Q30/SUMIFS($Q$8:$Q$65,$A$8:$A$65,A30,$B$8:$B$65,B30)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80" t="n">
        <v>0</v>
      </c>
      <c r="Q30" s="23">
        <f>H30*480</f>
        <v/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0.05+0.021*SUMIFS('02_Socle'!$U$4:$U$61,'02_Socle'!$A$4:$A$61,A31,'02_Socle'!$B$4:$B$61,B31)*IFERROR('02_Socle'!K27/SUMIFS('02_Socle'!$K$4:$K$61,'02_Socle'!$A$4:$A$61,A31,'02_Socle'!$B$4:$B$61,B31),0)+SUMIFS('02_Socle'!$U$4:$U$61,'02_Socle'!$A$4:$A$61,A31,'02_Socle'!$B$4:$B$61,B31)*0.07*(IFERROR(Q31/SUMIFS($Q$8:$Q$65,$A$8:$A$65,A31,$B$8:$B$65,B31),0)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-SUMIFS('06_Compta'!$L$4:$L$675,'06_Compta'!$C$4:$C$675,A31,'06_Compta'!$D$4:$D$675,B31,'06_Compta'!$J$4:$J$675,"2026ATT_VDEF",'06_Compta'!$E$4:$E$675,"6411"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+SUMIFS('06_Compta'!$L$4:$L$675,'06_Compta'!$C$4:$C$675,A31,'06_Compta'!$D$4:$D$675,B31,'06_Compta'!$J$4:$J$675,"2026ATT_VDEF",'06_Compta'!$E$4:$E$675,"6411")*(IFERROR(Q31/SUMIFS($Q$8:$Q$65,$A$8:$A$65,A31,$B$8:$B$65,B31)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80" t="n">
        <v>0</v>
      </c>
      <c r="Q31" s="23">
        <f>H31*420</f>
        <v/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0.05+0.021*SUMIFS('02_Socle'!$U$4:$U$61,'02_Socle'!$A$4:$A$61,A32,'02_Socle'!$B$4:$B$61,B32)*IFERROR('02_Socle'!K28/SUMIFS('02_Socle'!$K$4:$K$61,'02_Socle'!$A$4:$A$61,A32,'02_Socle'!$B$4:$B$61,B32),0)+SUMIFS('02_Socle'!$U$4:$U$61,'02_Socle'!$A$4:$A$61,A32,'02_Socle'!$B$4:$B$61,B32)*0.07*(IFERROR(Q32/SUMIFS($Q$8:$Q$65,$A$8:$A$65,A32,$B$8:$B$65,B32),0)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-SUMIFS('06_Compta'!$L$4:$L$675,'06_Compta'!$C$4:$C$675,A32,'06_Compta'!$D$4:$D$675,B32,'06_Compta'!$J$4:$J$675,"2026ATT_VDEF",'06_Compta'!$E$4:$E$675,"6411"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+SUMIFS('06_Compta'!$L$4:$L$675,'06_Compta'!$C$4:$C$675,A32,'06_Compta'!$D$4:$D$675,B32,'06_Compta'!$J$4:$J$675,"2026ATT_VDEF",'06_Compta'!$E$4:$E$675,"6411")*(IFERROR(Q32/SUMIFS($Q$8:$Q$65,$A$8:$A$65,A32,$B$8:$B$65,B32)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80" t="n">
        <v>0</v>
      </c>
      <c r="Q32" s="23">
        <f>H32*420</f>
        <v/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0.05+0.021*SUMIFS('02_Socle'!$U$4:$U$61,'02_Socle'!$A$4:$A$61,A33,'02_Socle'!$B$4:$B$61,B33)*IFERROR('02_Socle'!K29/SUMIFS('02_Socle'!$K$4:$K$61,'02_Socle'!$A$4:$A$61,A33,'02_Socle'!$B$4:$B$61,B33),0)+SUMIFS('02_Socle'!$U$4:$U$61,'02_Socle'!$A$4:$A$61,A33,'02_Socle'!$B$4:$B$61,B33)*0.07*(IFERROR(Q33/SUMIFS($Q$8:$Q$65,$A$8:$A$65,A33,$B$8:$B$65,B33),0)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-SUMIFS('06_Compta'!$L$4:$L$675,'06_Compta'!$C$4:$C$675,A33,'06_Compta'!$D$4:$D$675,B33,'06_Compta'!$J$4:$J$675,"2026ATT_VDEF",'06_Compta'!$E$4:$E$675,"6411"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+SUMIFS('06_Compta'!$L$4:$L$675,'06_Compta'!$C$4:$C$675,A33,'06_Compta'!$D$4:$D$675,B33,'06_Compta'!$J$4:$J$675,"2026ATT_VDEF",'06_Compta'!$E$4:$E$675,"6411")*(IFERROR(Q33/SUMIFS($Q$8:$Q$65,$A$8:$A$65,A33,$B$8:$B$65,B33)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80" t="n">
        <v>0</v>
      </c>
      <c r="Q33" s="23">
        <f>H33*600</f>
        <v/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0.05+0.021*SUMIFS('02_Socle'!$U$4:$U$61,'02_Socle'!$A$4:$A$61,A34,'02_Socle'!$B$4:$B$61,B34)*IFERROR('02_Socle'!K30/SUMIFS('02_Socle'!$K$4:$K$61,'02_Socle'!$A$4:$A$61,A34,'02_Socle'!$B$4:$B$61,B34),0)+SUMIFS('02_Socle'!$U$4:$U$61,'02_Socle'!$A$4:$A$61,A34,'02_Socle'!$B$4:$B$61,B34)*0.07*(IFERROR(Q34/SUMIFS($Q$8:$Q$65,$A$8:$A$65,A34,$B$8:$B$65,B34),0)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-SUMIFS('06_Compta'!$L$4:$L$675,'06_Compta'!$C$4:$C$675,A34,'06_Compta'!$D$4:$D$675,B34,'06_Compta'!$J$4:$J$675,"2026ATT_VDEF",'06_Compta'!$E$4:$E$675,"6411"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+SUMIFS('06_Compta'!$L$4:$L$675,'06_Compta'!$C$4:$C$675,A34,'06_Compta'!$D$4:$D$675,B34,'06_Compta'!$J$4:$J$675,"2026ATT_VDEF",'06_Compta'!$E$4:$E$675,"6411")*(IFERROR(Q34/SUMIFS($Q$8:$Q$65,$A$8:$A$65,A34,$B$8:$B$65,B34)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80" t="n">
        <v>0</v>
      </c>
      <c r="Q34" s="23">
        <f>H34*480</f>
        <v/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0.05+0.021*SUMIFS('02_Socle'!$U$4:$U$61,'02_Socle'!$A$4:$A$61,A35,'02_Socle'!$B$4:$B$61,B35)*IFERROR('02_Socle'!K31/SUMIFS('02_Socle'!$K$4:$K$61,'02_Socle'!$A$4:$A$61,A35,'02_Socle'!$B$4:$B$61,B35),0)+SUMIFS('02_Socle'!$U$4:$U$61,'02_Socle'!$A$4:$A$61,A35,'02_Socle'!$B$4:$B$61,B35)*0.07*(IFERROR(Q35/SUMIFS($Q$8:$Q$65,$A$8:$A$65,A35,$B$8:$B$65,B35),0)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-SUMIFS('06_Compta'!$L$4:$L$675,'06_Compta'!$C$4:$C$675,A35,'06_Compta'!$D$4:$D$675,B35,'06_Compta'!$J$4:$J$675,"2026ATT_VDEF",'06_Compta'!$E$4:$E$675,"6411"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+SUMIFS('06_Compta'!$L$4:$L$675,'06_Compta'!$C$4:$C$675,A35,'06_Compta'!$D$4:$D$675,B35,'06_Compta'!$J$4:$J$675,"2026ATT_VDEF",'06_Compta'!$E$4:$E$675,"6411")*(IFERROR(Q35/SUMIFS($Q$8:$Q$65,$A$8:$A$65,A35,$B$8:$B$65,B35)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80" t="n">
        <v>0</v>
      </c>
      <c r="Q35" s="23">
        <f>H35*480</f>
        <v/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0.05+0.021*SUMIFS('02_Socle'!$U$4:$U$61,'02_Socle'!$A$4:$A$61,A36,'02_Socle'!$B$4:$B$61,B36)*IFERROR('02_Socle'!K32/SUMIFS('02_Socle'!$K$4:$K$61,'02_Socle'!$A$4:$A$61,A36,'02_Socle'!$B$4:$B$61,B36),0)+SUMIFS('02_Socle'!$U$4:$U$61,'02_Socle'!$A$4:$A$61,A36,'02_Socle'!$B$4:$B$61,B36)*0.07*(IFERROR(Q36/SUMIFS($Q$8:$Q$65,$A$8:$A$65,A36,$B$8:$B$65,B36),0)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-SUMIFS('06_Compta'!$L$4:$L$675,'06_Compta'!$C$4:$C$675,A36,'06_Compta'!$D$4:$D$675,B36,'06_Compta'!$J$4:$J$675,"2026ATT_VDEF",'06_Compta'!$E$4:$E$675,"6411"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+SUMIFS('06_Compta'!$L$4:$L$675,'06_Compta'!$C$4:$C$675,A36,'06_Compta'!$D$4:$D$675,B36,'06_Compta'!$J$4:$J$675,"2026ATT_VDEF",'06_Compta'!$E$4:$E$675,"6411")*(IFERROR(Q36/SUMIFS($Q$8:$Q$65,$A$8:$A$65,A36,$B$8:$B$65,B36)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80" t="n">
        <v>0</v>
      </c>
      <c r="Q36" s="23">
        <f>H36*420</f>
        <v/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0.05+0.021*SUMIFS('02_Socle'!$U$4:$U$61,'02_Socle'!$A$4:$A$61,A37,'02_Socle'!$B$4:$B$61,B37)*IFERROR('02_Socle'!K33/SUMIFS('02_Socle'!$K$4:$K$61,'02_Socle'!$A$4:$A$61,A37,'02_Socle'!$B$4:$B$61,B37),0)+SUMIFS('02_Socle'!$U$4:$U$61,'02_Socle'!$A$4:$A$61,A37,'02_Socle'!$B$4:$B$61,B37)*0.07*(IFERROR(Q37/SUMIFS($Q$8:$Q$65,$A$8:$A$65,A37,$B$8:$B$65,B37),0)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-SUMIFS('06_Compta'!$L$4:$L$675,'06_Compta'!$C$4:$C$675,A37,'06_Compta'!$D$4:$D$675,B37,'06_Compta'!$J$4:$J$675,"2026ATT_VDEF",'06_Compta'!$E$4:$E$675,"6411"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+SUMIFS('06_Compta'!$L$4:$L$675,'06_Compta'!$C$4:$C$675,A37,'06_Compta'!$D$4:$D$675,B37,'06_Compta'!$J$4:$J$675,"2026ATT_VDEF",'06_Compta'!$E$4:$E$675,"6411")*(IFERROR(Q37/SUMIFS($Q$8:$Q$65,$A$8:$A$65,A37,$B$8:$B$65,B37)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80" t="n">
        <v>0</v>
      </c>
      <c r="Q37" s="23">
        <f>H37*420</f>
        <v/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0.05+0.021*SUMIFS('02_Socle'!$U$4:$U$61,'02_Socle'!$A$4:$A$61,A38,'02_Socle'!$B$4:$B$61,B38)*IFERROR('02_Socle'!K34/SUMIFS('02_Socle'!$K$4:$K$61,'02_Socle'!$A$4:$A$61,A38,'02_Socle'!$B$4:$B$61,B38),0)+SUMIFS('02_Socle'!$U$4:$U$61,'02_Socle'!$A$4:$A$61,A38,'02_Socle'!$B$4:$B$61,B38)*0.07*(IFERROR(Q38/SUMIFS($Q$8:$Q$65,$A$8:$A$65,A38,$B$8:$B$65,B38),0)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-SUMIFS('06_Compta'!$L$4:$L$675,'06_Compta'!$C$4:$C$675,A38,'06_Compta'!$D$4:$D$675,B38,'06_Compta'!$J$4:$J$675,"2026ATT_VDEF",'06_Compta'!$E$4:$E$675,"6411"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+SUMIFS('06_Compta'!$L$4:$L$675,'06_Compta'!$C$4:$C$675,A38,'06_Compta'!$D$4:$D$675,B38,'06_Compta'!$J$4:$J$675,"2026ATT_VDEF",'06_Compta'!$E$4:$E$675,"6411")*(IFERROR(Q38/SUMIFS($Q$8:$Q$65,$A$8:$A$65,A38,$B$8:$B$65,B38)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80" t="n">
        <v>0</v>
      </c>
      <c r="Q38" s="23">
        <f>H38*600</f>
        <v/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0.05+0.021*SUMIFS('02_Socle'!$U$4:$U$61,'02_Socle'!$A$4:$A$61,A39,'02_Socle'!$B$4:$B$61,B39)*IFERROR('02_Socle'!K35/SUMIFS('02_Socle'!$K$4:$K$61,'02_Socle'!$A$4:$A$61,A39,'02_Socle'!$B$4:$B$61,B39),0)+SUMIFS('02_Socle'!$U$4:$U$61,'02_Socle'!$A$4:$A$61,A39,'02_Socle'!$B$4:$B$61,B39)*0.07*(IFERROR(Q39/SUMIFS($Q$8:$Q$65,$A$8:$A$65,A39,$B$8:$B$65,B39),0)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-SUMIFS('06_Compta'!$L$4:$L$675,'06_Compta'!$C$4:$C$675,A39,'06_Compta'!$D$4:$D$675,B39,'06_Compta'!$J$4:$J$675,"2026ATT_VDEF",'06_Compta'!$E$4:$E$675,"6411"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+SUMIFS('06_Compta'!$L$4:$L$675,'06_Compta'!$C$4:$C$675,A39,'06_Compta'!$D$4:$D$675,B39,'06_Compta'!$J$4:$J$675,"2026ATT_VDEF",'06_Compta'!$E$4:$E$675,"6411")*(IFERROR(Q39/SUMIFS($Q$8:$Q$65,$A$8:$A$65,A39,$B$8:$B$65,B39)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80" t="n">
        <v>0</v>
      </c>
      <c r="Q39" s="23">
        <f>H39*480</f>
        <v/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0.05+0.021*SUMIFS('02_Socle'!$U$4:$U$61,'02_Socle'!$A$4:$A$61,A40,'02_Socle'!$B$4:$B$61,B40)*IFERROR('02_Socle'!K36/SUMIFS('02_Socle'!$K$4:$K$61,'02_Socle'!$A$4:$A$61,A40,'02_Socle'!$B$4:$B$61,B40),0)+SUMIFS('02_Socle'!$U$4:$U$61,'02_Socle'!$A$4:$A$61,A40,'02_Socle'!$B$4:$B$61,B40)*0.07*(IFERROR(Q40/SUMIFS($Q$8:$Q$65,$A$8:$A$65,A40,$B$8:$B$65,B40),0)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-SUMIFS('06_Compta'!$L$4:$L$675,'06_Compta'!$C$4:$C$675,A40,'06_Compta'!$D$4:$D$675,B40,'06_Compta'!$J$4:$J$675,"2026ATT_VDEF",'06_Compta'!$E$4:$E$675,"6411"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+SUMIFS('06_Compta'!$L$4:$L$675,'06_Compta'!$C$4:$C$675,A40,'06_Compta'!$D$4:$D$675,B40,'06_Compta'!$J$4:$J$675,"2026ATT_VDEF",'06_Compta'!$E$4:$E$675,"6411")*(IFERROR(Q40/SUMIFS($Q$8:$Q$65,$A$8:$A$65,A40,$B$8:$B$65,B40)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80" t="n">
        <v>0</v>
      </c>
      <c r="Q40" s="23">
        <f>H40*480</f>
        <v/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0.05+0.021*SUMIFS('02_Socle'!$U$4:$U$61,'02_Socle'!$A$4:$A$61,A41,'02_Socle'!$B$4:$B$61,B41)*IFERROR('02_Socle'!K37/SUMIFS('02_Socle'!$K$4:$K$61,'02_Socle'!$A$4:$A$61,A41,'02_Socle'!$B$4:$B$61,B41),0)+SUMIFS('02_Socle'!$U$4:$U$61,'02_Socle'!$A$4:$A$61,A41,'02_Socle'!$B$4:$B$61,B41)*0.07*(IFERROR(Q41/SUMIFS($Q$8:$Q$65,$A$8:$A$65,A41,$B$8:$B$65,B41),0)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-SUMIFS('06_Compta'!$L$4:$L$675,'06_Compta'!$C$4:$C$675,A41,'06_Compta'!$D$4:$D$675,B41,'06_Compta'!$J$4:$J$675,"2026ATT_VDEF",'06_Compta'!$E$4:$E$675,"6411"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+SUMIFS('06_Compta'!$L$4:$L$675,'06_Compta'!$C$4:$C$675,A41,'06_Compta'!$D$4:$D$675,B41,'06_Compta'!$J$4:$J$675,"2026ATT_VDEF",'06_Compta'!$E$4:$E$675,"6411")*(IFERROR(Q41/SUMIFS($Q$8:$Q$65,$A$8:$A$65,A41,$B$8:$B$65,B41)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80" t="n">
        <v>0</v>
      </c>
      <c r="Q41" s="23">
        <f>H41*420</f>
        <v/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0.05+0.021*SUMIFS('02_Socle'!$U$4:$U$61,'02_Socle'!$A$4:$A$61,A42,'02_Socle'!$B$4:$B$61,B42)*IFERROR('02_Socle'!K38/SUMIFS('02_Socle'!$K$4:$K$61,'02_Socle'!$A$4:$A$61,A42,'02_Socle'!$B$4:$B$61,B42),0)+SUMIFS('02_Socle'!$U$4:$U$61,'02_Socle'!$A$4:$A$61,A42,'02_Socle'!$B$4:$B$61,B42)*0.07*(IFERROR(Q42/SUMIFS($Q$8:$Q$65,$A$8:$A$65,A42,$B$8:$B$65,B42),0)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-SUMIFS('06_Compta'!$L$4:$L$675,'06_Compta'!$C$4:$C$675,A42,'06_Compta'!$D$4:$D$675,B42,'06_Compta'!$J$4:$J$675,"2026ATT_VDEF",'06_Compta'!$E$4:$E$675,"6411"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+SUMIFS('06_Compta'!$L$4:$L$675,'06_Compta'!$C$4:$C$675,A42,'06_Compta'!$D$4:$D$675,B42,'06_Compta'!$J$4:$J$675,"2026ATT_VDEF",'06_Compta'!$E$4:$E$675,"6411")*(IFERROR(Q42/SUMIFS($Q$8:$Q$65,$A$8:$A$65,A42,$B$8:$B$65,B42)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80" t="n">
        <v>0</v>
      </c>
      <c r="Q42" s="23">
        <f>H42*420</f>
        <v/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0.05+0.021*SUMIFS('02_Socle'!$U$4:$U$61,'02_Socle'!$A$4:$A$61,A43,'02_Socle'!$B$4:$B$61,B43)*IFERROR('02_Socle'!K39/SUMIFS('02_Socle'!$K$4:$K$61,'02_Socle'!$A$4:$A$61,A43,'02_Socle'!$B$4:$B$61,B43),0)+SUMIFS('02_Socle'!$U$4:$U$61,'02_Socle'!$A$4:$A$61,A43,'02_Socle'!$B$4:$B$61,B43)*0.07*(IFERROR(Q43/SUMIFS($Q$8:$Q$65,$A$8:$A$65,A43,$B$8:$B$65,B43),0)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-SUMIFS('06_Compta'!$L$4:$L$675,'06_Compta'!$C$4:$C$675,A43,'06_Compta'!$D$4:$D$675,B43,'06_Compta'!$J$4:$J$675,"2026ATT_VDEF",'06_Compta'!$E$4:$E$675,"6411"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+SUMIFS('06_Compta'!$L$4:$L$675,'06_Compta'!$C$4:$C$675,A43,'06_Compta'!$D$4:$D$675,B43,'06_Compta'!$J$4:$J$675,"2026ATT_VDEF",'06_Compta'!$E$4:$E$675,"6411")*(IFERROR(Q43/SUMIFS($Q$8:$Q$65,$A$8:$A$65,A43,$B$8:$B$65,B43)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80" t="n">
        <v>0</v>
      </c>
      <c r="Q43" s="23">
        <f>H43*480</f>
        <v/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0.05+0.021*SUMIFS('02_Socle'!$U$4:$U$61,'02_Socle'!$A$4:$A$61,A44,'02_Socle'!$B$4:$B$61,B44)*IFERROR('02_Socle'!K40/SUMIFS('02_Socle'!$K$4:$K$61,'02_Socle'!$A$4:$A$61,A44,'02_Socle'!$B$4:$B$61,B44),0)+SUMIFS('02_Socle'!$U$4:$U$61,'02_Socle'!$A$4:$A$61,A44,'02_Socle'!$B$4:$B$61,B44)*0.07*(IFERROR(Q44/SUMIFS($Q$8:$Q$65,$A$8:$A$65,A44,$B$8:$B$65,B44),0)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-SUMIFS('06_Compta'!$L$4:$L$675,'06_Compta'!$C$4:$C$675,A44,'06_Compta'!$D$4:$D$675,B44,'06_Compta'!$J$4:$J$675,"2026ATT_VDEF",'06_Compta'!$E$4:$E$675,"6411"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+SUMIFS('06_Compta'!$L$4:$L$675,'06_Compta'!$C$4:$C$675,A44,'06_Compta'!$D$4:$D$675,B44,'06_Compta'!$J$4:$J$675,"2026ATT_VDEF",'06_Compta'!$E$4:$E$675,"6411")*(IFERROR(Q44/SUMIFS($Q$8:$Q$65,$A$8:$A$65,A44,$B$8:$B$65,B44)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80" t="n">
        <v>0</v>
      </c>
      <c r="Q44" s="23">
        <f>H44*480</f>
        <v/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0.05+0.021*SUMIFS('02_Socle'!$U$4:$U$61,'02_Socle'!$A$4:$A$61,A45,'02_Socle'!$B$4:$B$61,B45)*IFERROR('02_Socle'!K41/SUMIFS('02_Socle'!$K$4:$K$61,'02_Socle'!$A$4:$A$61,A45,'02_Socle'!$B$4:$B$61,B45),0)+SUMIFS('02_Socle'!$U$4:$U$61,'02_Socle'!$A$4:$A$61,A45,'02_Socle'!$B$4:$B$61,B45)*0.07*(IFERROR(Q45/SUMIFS($Q$8:$Q$65,$A$8:$A$65,A45,$B$8:$B$65,B45),0)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-SUMIFS('06_Compta'!$L$4:$L$675,'06_Compta'!$C$4:$C$675,A45,'06_Compta'!$D$4:$D$675,B45,'06_Compta'!$J$4:$J$675,"2026ATT_VDEF",'06_Compta'!$E$4:$E$675,"6411"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+SUMIFS('06_Compta'!$L$4:$L$675,'06_Compta'!$C$4:$C$675,A45,'06_Compta'!$D$4:$D$675,B45,'06_Compta'!$J$4:$J$675,"2026ATT_VDEF",'06_Compta'!$E$4:$E$675,"6411")*(IFERROR(Q45/SUMIFS($Q$8:$Q$65,$A$8:$A$65,A45,$B$8:$B$65,B45)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80" t="n">
        <v>0</v>
      </c>
      <c r="Q45" s="23">
        <f>H45*480</f>
        <v/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0.05+0.021*SUMIFS('02_Socle'!$U$4:$U$61,'02_Socle'!$A$4:$A$61,A46,'02_Socle'!$B$4:$B$61,B46)*IFERROR('02_Socle'!K42/SUMIFS('02_Socle'!$K$4:$K$61,'02_Socle'!$A$4:$A$61,A46,'02_Socle'!$B$4:$B$61,B46),0)+SUMIFS('02_Socle'!$U$4:$U$61,'02_Socle'!$A$4:$A$61,A46,'02_Socle'!$B$4:$B$61,B46)*0.07*(IFERROR(Q46/SUMIFS($Q$8:$Q$65,$A$8:$A$65,A46,$B$8:$B$65,B46),0)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-SUMIFS('06_Compta'!$L$4:$L$675,'06_Compta'!$C$4:$C$675,A46,'06_Compta'!$D$4:$D$675,B46,'06_Compta'!$J$4:$J$675,"2026ATT_VDEF",'06_Compta'!$E$4:$E$675,"6411"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+SUMIFS('06_Compta'!$L$4:$L$675,'06_Compta'!$C$4:$C$675,A46,'06_Compta'!$D$4:$D$675,B46,'06_Compta'!$J$4:$J$675,"2026ATT_VDEF",'06_Compta'!$E$4:$E$675,"6411")*(IFERROR(Q46/SUMIFS($Q$8:$Q$65,$A$8:$A$65,A46,$B$8:$B$65,B46)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80" t="n">
        <v>0</v>
      </c>
      <c r="Q46" s="23">
        <f>H46*480</f>
        <v/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0.05+0.021*SUMIFS('02_Socle'!$U$4:$U$61,'02_Socle'!$A$4:$A$61,A47,'02_Socle'!$B$4:$B$61,B47)*IFERROR('02_Socle'!K43/SUMIFS('02_Socle'!$K$4:$K$61,'02_Socle'!$A$4:$A$61,A47,'02_Socle'!$B$4:$B$61,B47),0)+SUMIFS('02_Socle'!$U$4:$U$61,'02_Socle'!$A$4:$A$61,A47,'02_Socle'!$B$4:$B$61,B47)*0.07*(IFERROR(Q47/SUMIFS($Q$8:$Q$65,$A$8:$A$65,A47,$B$8:$B$65,B47),0)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-SUMIFS('06_Compta'!$L$4:$L$675,'06_Compta'!$C$4:$C$675,A47,'06_Compta'!$D$4:$D$675,B47,'06_Compta'!$J$4:$J$675,"2026ATT_VDEF",'06_Compta'!$E$4:$E$675,"6411"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+SUMIFS('06_Compta'!$L$4:$L$675,'06_Compta'!$C$4:$C$675,A47,'06_Compta'!$D$4:$D$675,B47,'06_Compta'!$J$4:$J$675,"2026ATT_VDEF",'06_Compta'!$E$4:$E$675,"6411")*(IFERROR(Q47/SUMIFS($Q$8:$Q$65,$A$8:$A$65,A47,$B$8:$B$65,B47)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80" t="n">
        <v>0</v>
      </c>
      <c r="Q47" s="23">
        <f>H47*480</f>
        <v/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0.05+0.021*SUMIFS('02_Socle'!$U$4:$U$61,'02_Socle'!$A$4:$A$61,A48,'02_Socle'!$B$4:$B$61,B48)*IFERROR('02_Socle'!K44/SUMIFS('02_Socle'!$K$4:$K$61,'02_Socle'!$A$4:$A$61,A48,'02_Socle'!$B$4:$B$61,B48),0)+SUMIFS('02_Socle'!$U$4:$U$61,'02_Socle'!$A$4:$A$61,A48,'02_Socle'!$B$4:$B$61,B48)*0.07*(IFERROR(Q48/SUMIFS($Q$8:$Q$65,$A$8:$A$65,A48,$B$8:$B$65,B48),0)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-SUMIFS('06_Compta'!$L$4:$L$675,'06_Compta'!$C$4:$C$675,A48,'06_Compta'!$D$4:$D$675,B48,'06_Compta'!$J$4:$J$675,"2026ATT_VDEF",'06_Compta'!$E$4:$E$675,"6411"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+SUMIFS('06_Compta'!$L$4:$L$675,'06_Compta'!$C$4:$C$675,A48,'06_Compta'!$D$4:$D$675,B48,'06_Compta'!$J$4:$J$675,"2026ATT_VDEF",'06_Compta'!$E$4:$E$675,"6411")*(IFERROR(Q48/SUMIFS($Q$8:$Q$65,$A$8:$A$65,A48,$B$8:$B$65,B48)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80" t="n">
        <v>0</v>
      </c>
      <c r="Q48" s="23">
        <f>H48*480</f>
        <v/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0.05+0.021*SUMIFS('02_Socle'!$U$4:$U$61,'02_Socle'!$A$4:$A$61,A49,'02_Socle'!$B$4:$B$61,B49)*IFERROR('02_Socle'!K45/SUMIFS('02_Socle'!$K$4:$K$61,'02_Socle'!$A$4:$A$61,A49,'02_Socle'!$B$4:$B$61,B49),0)+SUMIFS('02_Socle'!$U$4:$U$61,'02_Socle'!$A$4:$A$61,A49,'02_Socle'!$B$4:$B$61,B49)*0.07*(IFERROR(Q49/SUMIFS($Q$8:$Q$65,$A$8:$A$65,A49,$B$8:$B$65,B49),0)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-SUMIFS('06_Compta'!$L$4:$L$675,'06_Compta'!$C$4:$C$675,A49,'06_Compta'!$D$4:$D$675,B49,'06_Compta'!$J$4:$J$675,"2026ATT_VDEF",'06_Compta'!$E$4:$E$675,"6411"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+SUMIFS('06_Compta'!$L$4:$L$675,'06_Compta'!$C$4:$C$675,A49,'06_Compta'!$D$4:$D$675,B49,'06_Compta'!$J$4:$J$675,"2026ATT_VDEF",'06_Compta'!$E$4:$E$675,"6411")*(IFERROR(Q49/SUMIFS($Q$8:$Q$65,$A$8:$A$65,A49,$B$8:$B$65,B49)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80" t="n">
        <v>0</v>
      </c>
      <c r="Q49" s="23">
        <f>H49*480</f>
        <v/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0.05+0.021*SUMIFS('02_Socle'!$U$4:$U$61,'02_Socle'!$A$4:$A$61,A50,'02_Socle'!$B$4:$B$61,B50)*IFERROR('02_Socle'!K46/SUMIFS('02_Socle'!$K$4:$K$61,'02_Socle'!$A$4:$A$61,A50,'02_Socle'!$B$4:$B$61,B50),0)+SUMIFS('02_Socle'!$U$4:$U$61,'02_Socle'!$A$4:$A$61,A50,'02_Socle'!$B$4:$B$61,B50)*0.07*(IFERROR(Q50/SUMIFS($Q$8:$Q$65,$A$8:$A$65,A50,$B$8:$B$65,B50),0)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-SUMIFS('06_Compta'!$L$4:$L$675,'06_Compta'!$C$4:$C$675,A50,'06_Compta'!$D$4:$D$675,B50,'06_Compta'!$J$4:$J$675,"2026ATT_VDEF",'06_Compta'!$E$4:$E$675,"6411"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+SUMIFS('06_Compta'!$L$4:$L$675,'06_Compta'!$C$4:$C$675,A50,'06_Compta'!$D$4:$D$675,B50,'06_Compta'!$J$4:$J$675,"2026ATT_VDEF",'06_Compta'!$E$4:$E$675,"6411")*(IFERROR(Q50/SUMIFS($Q$8:$Q$65,$A$8:$A$65,A50,$B$8:$B$65,B50)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80" t="n">
        <v>0</v>
      </c>
      <c r="Q50" s="23">
        <f>H50*480</f>
        <v/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0.05+0.021*SUMIFS('02_Socle'!$U$4:$U$61,'02_Socle'!$A$4:$A$61,A51,'02_Socle'!$B$4:$B$61,B51)*IFERROR('02_Socle'!K47/SUMIFS('02_Socle'!$K$4:$K$61,'02_Socle'!$A$4:$A$61,A51,'02_Socle'!$B$4:$B$61,B51),0)+SUMIFS('02_Socle'!$U$4:$U$61,'02_Socle'!$A$4:$A$61,A51,'02_Socle'!$B$4:$B$61,B51)*0.07*(IFERROR(Q51/SUMIFS($Q$8:$Q$65,$A$8:$A$65,A51,$B$8:$B$65,B51),0)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-SUMIFS('06_Compta'!$L$4:$L$675,'06_Compta'!$C$4:$C$675,A51,'06_Compta'!$D$4:$D$675,B51,'06_Compta'!$J$4:$J$675,"2026ATT_VDEF",'06_Compta'!$E$4:$E$675,"6411"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+SUMIFS('06_Compta'!$L$4:$L$675,'06_Compta'!$C$4:$C$675,A51,'06_Compta'!$D$4:$D$675,B51,'06_Compta'!$J$4:$J$675,"2026ATT_VDEF",'06_Compta'!$E$4:$E$675,"6411")*(IFERROR(Q51/SUMIFS($Q$8:$Q$65,$A$8:$A$65,A51,$B$8:$B$65,B51)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80" t="n">
        <v>0</v>
      </c>
      <c r="Q51" s="23">
        <f>H51*480</f>
        <v/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0.05+0.021*SUMIFS('02_Socle'!$U$4:$U$61,'02_Socle'!$A$4:$A$61,A52,'02_Socle'!$B$4:$B$61,B52)*IFERROR('02_Socle'!K48/SUMIFS('02_Socle'!$K$4:$K$61,'02_Socle'!$A$4:$A$61,A52,'02_Socle'!$B$4:$B$61,B52),0)+SUMIFS('02_Socle'!$U$4:$U$61,'02_Socle'!$A$4:$A$61,A52,'02_Socle'!$B$4:$B$61,B52)*0.07*(IFERROR(Q52/SUMIFS($Q$8:$Q$65,$A$8:$A$65,A52,$B$8:$B$65,B52),0)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-SUMIFS('06_Compta'!$L$4:$L$675,'06_Compta'!$C$4:$C$675,A52,'06_Compta'!$D$4:$D$675,B52,'06_Compta'!$J$4:$J$675,"2026ATT_VDEF",'06_Compta'!$E$4:$E$675,"6411"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+SUMIFS('06_Compta'!$L$4:$L$675,'06_Compta'!$C$4:$C$675,A52,'06_Compta'!$D$4:$D$675,B52,'06_Compta'!$J$4:$J$675,"2026ATT_VDEF",'06_Compta'!$E$4:$E$675,"6411")*(IFERROR(Q52/SUMIFS($Q$8:$Q$65,$A$8:$A$65,A52,$B$8:$B$65,B52)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80" t="n">
        <v>0</v>
      </c>
      <c r="Q52" s="23">
        <f>H52*700</f>
        <v/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0.05+0.021*SUMIFS('02_Socle'!$U$4:$U$61,'02_Socle'!$A$4:$A$61,A53,'02_Socle'!$B$4:$B$61,B53)*IFERROR('02_Socle'!K49/SUMIFS('02_Socle'!$K$4:$K$61,'02_Socle'!$A$4:$A$61,A53,'02_Socle'!$B$4:$B$61,B53),0)+SUMIFS('02_Socle'!$U$4:$U$61,'02_Socle'!$A$4:$A$61,A53,'02_Socle'!$B$4:$B$61,B53)*0.07*(IFERROR(Q53/SUMIFS($Q$8:$Q$65,$A$8:$A$65,A53,$B$8:$B$65,B53),0)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-SUMIFS('06_Compta'!$L$4:$L$675,'06_Compta'!$C$4:$C$675,A53,'06_Compta'!$D$4:$D$675,B53,'06_Compta'!$J$4:$J$675,"2026ATT_VDEF",'06_Compta'!$E$4:$E$675,"6411"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+SUMIFS('06_Compta'!$L$4:$L$675,'06_Compta'!$C$4:$C$675,A53,'06_Compta'!$D$4:$D$675,B53,'06_Compta'!$J$4:$J$675,"2026ATT_VDEF",'06_Compta'!$E$4:$E$675,"6411")*(IFERROR(Q53/SUMIFS($Q$8:$Q$65,$A$8:$A$65,A53,$B$8:$B$65,B53)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80" t="n">
        <v>0</v>
      </c>
      <c r="Q53" s="23">
        <f>H53*700</f>
        <v/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0.05+0.021*SUMIFS('02_Socle'!$U$4:$U$61,'02_Socle'!$A$4:$A$61,A54,'02_Socle'!$B$4:$B$61,B54)*IFERROR('02_Socle'!K50/SUMIFS('02_Socle'!$K$4:$K$61,'02_Socle'!$A$4:$A$61,A54,'02_Socle'!$B$4:$B$61,B54),0)+SUMIFS('02_Socle'!$U$4:$U$61,'02_Socle'!$A$4:$A$61,A54,'02_Socle'!$B$4:$B$61,B54)*0.07*(IFERROR(Q54/SUMIFS($Q$8:$Q$65,$A$8:$A$65,A54,$B$8:$B$65,B54),0)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-SUMIFS('06_Compta'!$L$4:$L$675,'06_Compta'!$C$4:$C$675,A54,'06_Compta'!$D$4:$D$675,B54,'06_Compta'!$J$4:$J$675,"2026ATT_VDEF",'06_Compta'!$E$4:$E$675,"6411"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+SUMIFS('06_Compta'!$L$4:$L$675,'06_Compta'!$C$4:$C$675,A54,'06_Compta'!$D$4:$D$675,B54,'06_Compta'!$J$4:$J$675,"2026ATT_VDEF",'06_Compta'!$E$4:$E$675,"6411")*(IFERROR(Q54/SUMIFS($Q$8:$Q$65,$A$8:$A$65,A54,$B$8:$B$65,B54)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80" t="n">
        <v>0</v>
      </c>
      <c r="Q54" s="23">
        <f>H54*480</f>
        <v/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0.05+0.021*SUMIFS('02_Socle'!$U$4:$U$61,'02_Socle'!$A$4:$A$61,A55,'02_Socle'!$B$4:$B$61,B55)*IFERROR('02_Socle'!K51/SUMIFS('02_Socle'!$K$4:$K$61,'02_Socle'!$A$4:$A$61,A55,'02_Socle'!$B$4:$B$61,B55),0)+SUMIFS('02_Socle'!$U$4:$U$61,'02_Socle'!$A$4:$A$61,A55,'02_Socle'!$B$4:$B$61,B55)*0.07*(IFERROR(Q55/SUMIFS($Q$8:$Q$65,$A$8:$A$65,A55,$B$8:$B$65,B55),0)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-SUMIFS('06_Compta'!$L$4:$L$675,'06_Compta'!$C$4:$C$675,A55,'06_Compta'!$D$4:$D$675,B55,'06_Compta'!$J$4:$J$675,"2026ATT_VDEF",'06_Compta'!$E$4:$E$675,"6411"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+SUMIFS('06_Compta'!$L$4:$L$675,'06_Compta'!$C$4:$C$675,A55,'06_Compta'!$D$4:$D$675,B55,'06_Compta'!$J$4:$J$675,"2026ATT_VDEF",'06_Compta'!$E$4:$E$675,"6411")*(IFERROR(Q55/SUMIFS($Q$8:$Q$65,$A$8:$A$65,A55,$B$8:$B$65,B55)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80" t="n">
        <v>0</v>
      </c>
      <c r="Q55" s="23">
        <f>H55*480</f>
        <v/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0.05+0.021*SUMIFS('02_Socle'!$U$4:$U$61,'02_Socle'!$A$4:$A$61,A56,'02_Socle'!$B$4:$B$61,B56)*IFERROR('02_Socle'!K52/SUMIFS('02_Socle'!$K$4:$K$61,'02_Socle'!$A$4:$A$61,A56,'02_Socle'!$B$4:$B$61,B56),0)+SUMIFS('02_Socle'!$U$4:$U$61,'02_Socle'!$A$4:$A$61,A56,'02_Socle'!$B$4:$B$61,B56)*0.07*(IFERROR(Q56/SUMIFS($Q$8:$Q$65,$A$8:$A$65,A56,$B$8:$B$65,B56),0)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-SUMIFS('06_Compta'!$L$4:$L$675,'06_Compta'!$C$4:$C$675,A56,'06_Compta'!$D$4:$D$675,B56,'06_Compta'!$J$4:$J$675,"2026ATT_VDEF",'06_Compta'!$E$4:$E$675,"6411"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+SUMIFS('06_Compta'!$L$4:$L$675,'06_Compta'!$C$4:$C$675,A56,'06_Compta'!$D$4:$D$675,B56,'06_Compta'!$J$4:$J$675,"2026ATT_VDEF",'06_Compta'!$E$4:$E$675,"6411")*(IFERROR(Q56/SUMIFS($Q$8:$Q$65,$A$8:$A$65,A56,$B$8:$B$65,B56)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80" t="n">
        <v>0</v>
      </c>
      <c r="Q56" s="23">
        <f>H56*700</f>
        <v/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0.05+0.021*SUMIFS('02_Socle'!$U$4:$U$61,'02_Socle'!$A$4:$A$61,A57,'02_Socle'!$B$4:$B$61,B57)*IFERROR('02_Socle'!K53/SUMIFS('02_Socle'!$K$4:$K$61,'02_Socle'!$A$4:$A$61,A57,'02_Socle'!$B$4:$B$61,B57),0)+SUMIFS('02_Socle'!$U$4:$U$61,'02_Socle'!$A$4:$A$61,A57,'02_Socle'!$B$4:$B$61,B57)*0.07*(IFERROR(Q57/SUMIFS($Q$8:$Q$65,$A$8:$A$65,A57,$B$8:$B$65,B57),0)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-SUMIFS('06_Compta'!$L$4:$L$675,'06_Compta'!$C$4:$C$675,A57,'06_Compta'!$D$4:$D$675,B57,'06_Compta'!$J$4:$J$675,"2026ATT_VDEF",'06_Compta'!$E$4:$E$675,"6411"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+SUMIFS('06_Compta'!$L$4:$L$675,'06_Compta'!$C$4:$C$675,A57,'06_Compta'!$D$4:$D$675,B57,'06_Compta'!$J$4:$J$675,"2026ATT_VDEF",'06_Compta'!$E$4:$E$675,"6411")*(IFERROR(Q57/SUMIFS($Q$8:$Q$65,$A$8:$A$65,A57,$B$8:$B$65,B57)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80" t="n">
        <v>0</v>
      </c>
      <c r="Q57" s="23">
        <f>H57*700</f>
        <v/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0.05+0.021*SUMIFS('02_Socle'!$U$4:$U$61,'02_Socle'!$A$4:$A$61,A58,'02_Socle'!$B$4:$B$61,B58)*IFERROR('02_Socle'!K54/SUMIFS('02_Socle'!$K$4:$K$61,'02_Socle'!$A$4:$A$61,A58,'02_Socle'!$B$4:$B$61,B58),0)+SUMIFS('02_Socle'!$U$4:$U$61,'02_Socle'!$A$4:$A$61,A58,'02_Socle'!$B$4:$B$61,B58)*0.07*(IFERROR(Q58/SUMIFS($Q$8:$Q$65,$A$8:$A$65,A58,$B$8:$B$65,B58),0)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-SUMIFS('06_Compta'!$L$4:$L$675,'06_Compta'!$C$4:$C$675,A58,'06_Compta'!$D$4:$D$675,B58,'06_Compta'!$J$4:$J$675,"2026ATT_VDEF",'06_Compta'!$E$4:$E$675,"6411"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+SUMIFS('06_Compta'!$L$4:$L$675,'06_Compta'!$C$4:$C$675,A58,'06_Compta'!$D$4:$D$675,B58,'06_Compta'!$J$4:$J$675,"2026ATT_VDEF",'06_Compta'!$E$4:$E$675,"6411")*(IFERROR(Q58/SUMIFS($Q$8:$Q$65,$A$8:$A$65,A58,$B$8:$B$65,B58)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80" t="n">
        <v>0</v>
      </c>
      <c r="Q58" s="23">
        <f>H58*480</f>
        <v/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0.05+0.021*SUMIFS('02_Socle'!$U$4:$U$61,'02_Socle'!$A$4:$A$61,A59,'02_Socle'!$B$4:$B$61,B59)*IFERROR('02_Socle'!K55/SUMIFS('02_Socle'!$K$4:$K$61,'02_Socle'!$A$4:$A$61,A59,'02_Socle'!$B$4:$B$61,B59),0)+SUMIFS('02_Socle'!$U$4:$U$61,'02_Socle'!$A$4:$A$61,A59,'02_Socle'!$B$4:$B$61,B59)*0.07*(IFERROR(Q59/SUMIFS($Q$8:$Q$65,$A$8:$A$65,A59,$B$8:$B$65,B59),0)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-SUMIFS('06_Compta'!$L$4:$L$675,'06_Compta'!$C$4:$C$675,A59,'06_Compta'!$D$4:$D$675,B59,'06_Compta'!$J$4:$J$675,"2026ATT_VDEF",'06_Compta'!$E$4:$E$675,"6411"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+SUMIFS('06_Compta'!$L$4:$L$675,'06_Compta'!$C$4:$C$675,A59,'06_Compta'!$D$4:$D$675,B59,'06_Compta'!$J$4:$J$675,"2026ATT_VDEF",'06_Compta'!$E$4:$E$675,"6411")*(IFERROR(Q59/SUMIFS($Q$8:$Q$65,$A$8:$A$65,A59,$B$8:$B$65,B59)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80" t="n">
        <v>0</v>
      </c>
      <c r="Q59" s="23">
        <f>H59*480</f>
        <v/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0.05+0.021*SUMIFS('02_Socle'!$U$4:$U$61,'02_Socle'!$A$4:$A$61,A60,'02_Socle'!$B$4:$B$61,B60)*IFERROR('02_Socle'!K56/SUMIFS('02_Socle'!$K$4:$K$61,'02_Socle'!$A$4:$A$61,A60,'02_Socle'!$B$4:$B$61,B60),0)+SUMIFS('02_Socle'!$U$4:$U$61,'02_Socle'!$A$4:$A$61,A60,'02_Socle'!$B$4:$B$61,B60)*0.07*(IFERROR(Q60/SUMIFS($Q$8:$Q$65,$A$8:$A$65,A60,$B$8:$B$65,B60),0)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-SUMIFS('06_Compta'!$L$4:$L$675,'06_Compta'!$C$4:$C$675,A60,'06_Compta'!$D$4:$D$675,B60,'06_Compta'!$J$4:$J$675,"2026ATT_VDEF",'06_Compta'!$E$4:$E$675,"6411"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+SUMIFS('06_Compta'!$L$4:$L$675,'06_Compta'!$C$4:$C$675,A60,'06_Compta'!$D$4:$D$675,B60,'06_Compta'!$J$4:$J$675,"2026ATT_VDEF",'06_Compta'!$E$4:$E$675,"6411")*(IFERROR(Q60/SUMIFS($Q$8:$Q$65,$A$8:$A$65,A60,$B$8:$B$65,B60)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80" t="n">
        <v>0</v>
      </c>
      <c r="Q60" s="23">
        <f>H60*480</f>
        <v/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0.05+0.021*SUMIFS('02_Socle'!$U$4:$U$61,'02_Socle'!$A$4:$A$61,A61,'02_Socle'!$B$4:$B$61,B61)*IFERROR('02_Socle'!K57/SUMIFS('02_Socle'!$K$4:$K$61,'02_Socle'!$A$4:$A$61,A61,'02_Socle'!$B$4:$B$61,B61),0)+SUMIFS('02_Socle'!$U$4:$U$61,'02_Socle'!$A$4:$A$61,A61,'02_Socle'!$B$4:$B$61,B61)*0.07*(IFERROR(Q61/SUMIFS($Q$8:$Q$65,$A$8:$A$65,A61,$B$8:$B$65,B61),0)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-SUMIFS('06_Compta'!$L$4:$L$675,'06_Compta'!$C$4:$C$675,A61,'06_Compta'!$D$4:$D$675,B61,'06_Compta'!$J$4:$J$675,"2026ATT_VDEF",'06_Compta'!$E$4:$E$675,"6411"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+SUMIFS('06_Compta'!$L$4:$L$675,'06_Compta'!$C$4:$C$675,A61,'06_Compta'!$D$4:$D$675,B61,'06_Compta'!$J$4:$J$675,"2026ATT_VDEF",'06_Compta'!$E$4:$E$675,"6411")*(IFERROR(Q61/SUMIFS($Q$8:$Q$65,$A$8:$A$65,A61,$B$8:$B$65,B61)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80" t="n">
        <v>0</v>
      </c>
      <c r="Q61" s="23">
        <f>H61*480</f>
        <v/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0.05+0.021*SUMIFS('02_Socle'!$U$4:$U$61,'02_Socle'!$A$4:$A$61,A62,'02_Socle'!$B$4:$B$61,B62)*IFERROR('02_Socle'!K58/SUMIFS('02_Socle'!$K$4:$K$61,'02_Socle'!$A$4:$A$61,A62,'02_Socle'!$B$4:$B$61,B62),0)+SUMIFS('02_Socle'!$U$4:$U$61,'02_Socle'!$A$4:$A$61,A62,'02_Socle'!$B$4:$B$61,B62)*0.07*(IFERROR(Q62/SUMIFS($Q$8:$Q$65,$A$8:$A$65,A62,$B$8:$B$65,B62),0)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-SUMIFS('06_Compta'!$L$4:$L$675,'06_Compta'!$C$4:$C$675,A62,'06_Compta'!$D$4:$D$675,B62,'06_Compta'!$J$4:$J$675,"2026ATT_VDEF",'06_Compta'!$E$4:$E$675,"6411"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+SUMIFS('06_Compta'!$L$4:$L$675,'06_Compta'!$C$4:$C$675,A62,'06_Compta'!$D$4:$D$675,B62,'06_Compta'!$J$4:$J$675,"2026ATT_VDEF",'06_Compta'!$E$4:$E$675,"6411")*(IFERROR(Q62/SUMIFS($Q$8:$Q$65,$A$8:$A$65,A62,$B$8:$B$65,B62)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80" t="n">
        <v>0</v>
      </c>
      <c r="Q62" s="23">
        <f>H62*480</f>
        <v/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0.05+0.021*SUMIFS('02_Socle'!$U$4:$U$61,'02_Socle'!$A$4:$A$61,A63,'02_Socle'!$B$4:$B$61,B63)*IFERROR('02_Socle'!K59/SUMIFS('02_Socle'!$K$4:$K$61,'02_Socle'!$A$4:$A$61,A63,'02_Socle'!$B$4:$B$61,B63),0)+SUMIFS('02_Socle'!$U$4:$U$61,'02_Socle'!$A$4:$A$61,A63,'02_Socle'!$B$4:$B$61,B63)*0.07*(IFERROR(Q63/SUMIFS($Q$8:$Q$65,$A$8:$A$65,A63,$B$8:$B$65,B63),0)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-SUMIFS('06_Compta'!$L$4:$L$675,'06_Compta'!$C$4:$C$675,A63,'06_Compta'!$D$4:$D$675,B63,'06_Compta'!$J$4:$J$675,"2026ATT_VDEF",'06_Compta'!$E$4:$E$675,"6411"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+SUMIFS('06_Compta'!$L$4:$L$675,'06_Compta'!$C$4:$C$675,A63,'06_Compta'!$D$4:$D$675,B63,'06_Compta'!$J$4:$J$675,"2026ATT_VDEF",'06_Compta'!$E$4:$E$675,"6411")*(IFERROR(Q63/SUMIFS($Q$8:$Q$65,$A$8:$A$65,A63,$B$8:$B$65,B63)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80" t="n">
        <v>0</v>
      </c>
      <c r="Q63" s="23">
        <f>H63*480</f>
        <v/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0.05+0.021*SUMIFS('02_Socle'!$U$4:$U$61,'02_Socle'!$A$4:$A$61,A64,'02_Socle'!$B$4:$B$61,B64)*IFERROR('02_Socle'!K60/SUMIFS('02_Socle'!$K$4:$K$61,'02_Socle'!$A$4:$A$61,A64,'02_Socle'!$B$4:$B$61,B64),0)+SUMIFS('02_Socle'!$U$4:$U$61,'02_Socle'!$A$4:$A$61,A64,'02_Socle'!$B$4:$B$61,B64)*0.07*(IFERROR(Q64/SUMIFS($Q$8:$Q$65,$A$8:$A$65,A64,$B$8:$B$65,B64),0)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-SUMIFS('06_Compta'!$L$4:$L$675,'06_Compta'!$C$4:$C$675,A64,'06_Compta'!$D$4:$D$675,B64,'06_Compta'!$J$4:$J$675,"2026ATT_VDEF",'06_Compta'!$E$4:$E$675,"6411"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+SUMIFS('06_Compta'!$L$4:$L$675,'06_Compta'!$C$4:$C$675,A64,'06_Compta'!$D$4:$D$675,B64,'06_Compta'!$J$4:$J$675,"2026ATT_VDEF",'06_Compta'!$E$4:$E$675,"6411")*(IFERROR(Q64/SUMIFS($Q$8:$Q$65,$A$8:$A$65,A64,$B$8:$B$65,B64)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80" t="n">
        <v>0</v>
      </c>
      <c r="Q64" s="23">
        <f>H64*480</f>
        <v/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0.05+0.021*SUMIFS('02_Socle'!$U$4:$U$61,'02_Socle'!$A$4:$A$61,A65,'02_Socle'!$B$4:$B$61,B65)*IFERROR('02_Socle'!K61/SUMIFS('02_Socle'!$K$4:$K$61,'02_Socle'!$A$4:$A$61,A65,'02_Socle'!$B$4:$B$61,B65),0)+SUMIFS('02_Socle'!$U$4:$U$61,'02_Socle'!$A$4:$A$61,A65,'02_Socle'!$B$4:$B$61,B65)*0.07*(IFERROR(Q65/SUMIFS($Q$8:$Q$65,$A$8:$A$65,A65,$B$8:$B$65,B65),0)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-SUMIFS('06_Compta'!$L$4:$L$675,'06_Compta'!$C$4:$C$675,A65,'06_Compta'!$D$4:$D$675,B65,'06_Compta'!$J$4:$J$675,"2026ATT_VDEF",'06_Compta'!$E$4:$E$675,"6411"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+SUMIFS('06_Compta'!$L$4:$L$675,'06_Compta'!$C$4:$C$675,A65,'06_Compta'!$D$4:$D$675,B65,'06_Compta'!$J$4:$J$675,"2026ATT_VDEF",'06_Compta'!$E$4:$E$675,"6411")*(IFERROR(Q65/SUMIFS($Q$8:$Q$65,$A$8:$A$65,A65,$B$8:$B$65,B65)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80" t="n">
        <v>0</v>
      </c>
      <c r="Q65" s="23">
        <f>H65*480</f>
        <v/>
      </c>
    </row>
    <row r="66">
      <c r="A66" s="51" t="inlineStr">
        <is>
          <t>TOTAL</t>
        </is>
      </c>
      <c r="B66" s="52" t="inlineStr">
        <is>
          <t> </t>
        </is>
      </c>
      <c r="C66" s="52" t="inlineStr">
        <is>
          <t> </t>
        </is>
      </c>
      <c r="D66" s="52" t="inlineStr">
        <is>
          <t> </t>
        </is>
      </c>
      <c r="E66" s="52" t="inlineStr">
        <is>
          <t> </t>
        </is>
      </c>
      <c r="F66" s="50">
        <f>SUM(F8:F65)</f>
        <v/>
      </c>
      <c r="G66" s="53">
        <f>SUM(G8:G65)</f>
        <v/>
      </c>
      <c r="H66" s="53">
        <f>SUM(H8:H65)</f>
        <v/>
      </c>
      <c r="I66" s="50">
        <f>SUM(I8:I65)</f>
        <v/>
      </c>
      <c r="J66" s="50">
        <f>SUM(J8:J65)</f>
        <v/>
      </c>
      <c r="K66" s="50">
        <f>SUM(K8:K65)</f>
        <v/>
      </c>
      <c r="L66" s="50">
        <f>SUM(L8:L65)</f>
        <v/>
      </c>
      <c r="M66" s="50">
        <f>IFERROR(L66/G66,0)</f>
        <v/>
      </c>
      <c r="N66" s="50">
        <f>IFERROR(L66/H66,0)</f>
        <v/>
      </c>
      <c r="O66" s="50">
        <f>IFERROR(F66/G66-M66,0)</f>
        <v/>
      </c>
      <c r="P66" s="81">
        <f>SUM(P8:P65)</f>
        <v/>
      </c>
      <c r="Q66" s="53">
        <f>SUM(Q8:Q65)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2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3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C70:H70"/>
    <mergeCell ref="B4:D4"/>
    <mergeCell ref="A68:H68"/>
    <mergeCell ref="C69:H69"/>
    <mergeCell ref="E72:H72"/>
    <mergeCell ref="A70:B70"/>
    <mergeCell ref="A74:O75"/>
    <mergeCell ref="A1:Q1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4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4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4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4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4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4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2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15" customWidth="1" min="17" max="17"/>
    <col width="12" customWidth="1" min="18" max="18"/>
    <col width="42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8" t="inlineStr">
        <is>
          <t>Clé d'allocation structure → classe (③, cockpit 01b) :</t>
        </is>
      </c>
      <c r="F3" s="85">
        <f>'01b_Pilotage'!$D$9</f>
        <v/>
      </c>
      <c r="G3" s="37" t="n"/>
      <c r="H3" s="31" t="inlineStr">
        <is>
          <t>Changez-la sur 01b → la colonne « Marge complète » et les déficits se redéploient (total groupe constant).</t>
        </is>
      </c>
    </row>
    <row r="5" ht="34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Programme</t>
        </is>
      </c>
      <c r="D5" s="11" t="inlineStr">
        <is>
          <t>Niveau</t>
        </is>
      </c>
      <c r="E5" s="11" t="inlineStr">
        <is>
          <t>Effectif</t>
        </is>
      </c>
      <c r="F5" s="11" t="inlineStr">
        <is>
          <t>Sect.</t>
        </is>
      </c>
      <c r="G5" s="11" t="inlineStr">
        <is>
          <t>CA</t>
        </is>
      </c>
      <c r="H5" s="11" t="inlineStr">
        <is>
          <t>Variable</t>
        </is>
      </c>
      <c r="I5" s="11" t="inlineStr">
        <is>
          <t>Contribution</t>
        </is>
      </c>
      <c r="J5" s="11" t="inlineStr">
        <is>
          <t>Structure allouée</t>
        </is>
      </c>
      <c r="K5" s="11" t="inlineStr">
        <is>
          <t>Coût complet</t>
        </is>
      </c>
      <c r="L5" s="11" t="inlineStr">
        <is>
          <t>Marge complète</t>
        </is>
      </c>
      <c r="M5" s="11" t="inlineStr">
        <is>
          <t>Point mort</t>
        </is>
      </c>
      <c r="N5" s="11" t="inlineStr">
        <is>
          <t>Marge sécu.</t>
        </is>
      </c>
      <c r="O5" s="11" t="inlineStr">
        <is>
          <t>🔵 Décision</t>
        </is>
      </c>
      <c r="P5" s="11" t="inlineStr">
        <is>
          <t>Structure APRÈS</t>
        </is>
      </c>
      <c r="Q5" s="11" t="inlineStr">
        <is>
          <t>Marge complète APRÈS</t>
        </is>
      </c>
      <c r="R5" s="11" t="inlineStr">
        <is>
          <t>Impact EBITDA</t>
        </is>
      </c>
      <c r="S5" s="11" t="inlineStr">
        <is>
          <t>Lecture</t>
        </is>
      </c>
    </row>
    <row r="6">
      <c r="A6" s="17">
        <f>'10_Allocation'!A8</f>
        <v/>
      </c>
      <c r="B6" s="45">
        <f>'10_Allocation'!B8</f>
        <v/>
      </c>
      <c r="C6" s="17">
        <f>'10_Allocation'!C8</f>
        <v/>
      </c>
      <c r="D6" s="45">
        <f>'10_Allocation'!D8</f>
        <v/>
      </c>
      <c r="E6" s="23">
        <f>'10_Allocation'!G8</f>
        <v/>
      </c>
      <c r="F6" s="23">
        <f>'10_Allocation'!H8</f>
        <v/>
      </c>
      <c r="G6" s="15">
        <f>'10_Allocation'!F8</f>
        <v/>
      </c>
      <c r="H6" s="15">
        <f>'10_Allocation'!I8</f>
        <v/>
      </c>
      <c r="I6" s="14">
        <f>G6-H6</f>
        <v/>
      </c>
      <c r="J6" s="15">
        <f>T6+U6</f>
        <v/>
      </c>
      <c r="K6" s="15">
        <f>H6+J6</f>
        <v/>
      </c>
      <c r="L6" s="14">
        <f>G6-K6</f>
        <v/>
      </c>
      <c r="M6" s="23">
        <f>IF(I6&lt;=0,"contrib≤0",ROUNDUP(J6/I6*E6,0))</f>
        <v/>
      </c>
      <c r="N6" s="16">
        <f>IF(I6&lt;=0,"—",1-J6/I6)</f>
        <v/>
      </c>
      <c r="O6" s="9" t="inlineStr">
        <is>
          <t>Garder</t>
        </is>
      </c>
      <c r="P6" s="15">
        <f>IF(O6="Fermer","—",(T6+IFERROR(SUMIFS($T$6:$T$63,$A$6:$A$63,A6,$B$6:$B$63,B6,$O$6:$O$63,"Fermer")*V6/SUMIFS($V$6:$V$63,$A$6:$A$63,A6,$B$6:$B$63,B6,$O$6:$O$63,"&lt;&gt;Fermer"),0))+(U6+IFERROR(SUMIFS($U$6:$U$63,$O$6:$O$63,"Fermer")*V6/SUMIFS($V$6:$V$63,$O$6:$O$63,"&lt;&gt;Fermer"),0)))</f>
        <v/>
      </c>
      <c r="Q6" s="14">
        <f>IF(O6="Fermer","—",G6-H6-P6)</f>
        <v/>
      </c>
      <c r="R6" s="15">
        <f>IF(O6="Fermer",-I6,0)</f>
        <v/>
      </c>
      <c r="S6" s="62">
        <f>IF(O6="Fermer","✖ Fermer = −"&amp;TEXT(I6,"# ##0")&amp;" € d'EBITDA (le fixe reste)",IF(AND(L6&gt;=0,Q6&lt;0),"⚠ BASCULE : saine → déficit à cause d'une fermeture voisine",IF(L6&lt;0,IF(I6&gt;0,"Déficit COMPLET mais contribution POSITIVE → NE PAS fermer (artefact d'allocation)","Contribution négative — vrai point dur"),"Rentable — point mort "&amp;TEXT(M6,"0")&amp;" étud., marge sécu "&amp;TEXT(N6,"0%"))))</f>
        <v/>
      </c>
      <c r="T6" s="86">
        <f>'10_Allocation'!K8</f>
        <v/>
      </c>
      <c r="U6" s="86">
        <f>'10_Allocation'!J8</f>
        <v/>
      </c>
      <c r="V6" s="87">
        <f>IF('01b_Pilotage'!$D$9="Effectif",E6,IF('01b_Pilotage'!$D$9="Nombre de classes",F6,G6))</f>
        <v/>
      </c>
    </row>
    <row r="7">
      <c r="A7" s="17">
        <f>'10_Allocation'!A9</f>
        <v/>
      </c>
      <c r="B7" s="45">
        <f>'10_Allocation'!B9</f>
        <v/>
      </c>
      <c r="C7" s="17">
        <f>'10_Allocation'!C9</f>
        <v/>
      </c>
      <c r="D7" s="45">
        <f>'10_Allocation'!D9</f>
        <v/>
      </c>
      <c r="E7" s="23">
        <f>'10_Allocation'!G9</f>
        <v/>
      </c>
      <c r="F7" s="23">
        <f>'10_Allocation'!H9</f>
        <v/>
      </c>
      <c r="G7" s="15">
        <f>'10_Allocation'!F9</f>
        <v/>
      </c>
      <c r="H7" s="15">
        <f>'10_Allocation'!I9</f>
        <v/>
      </c>
      <c r="I7" s="14">
        <f>G7-H7</f>
        <v/>
      </c>
      <c r="J7" s="15">
        <f>T7+U7</f>
        <v/>
      </c>
      <c r="K7" s="15">
        <f>H7+J7</f>
        <v/>
      </c>
      <c r="L7" s="14">
        <f>G7-K7</f>
        <v/>
      </c>
      <c r="M7" s="23">
        <f>IF(I7&lt;=0,"contrib≤0",ROUNDUP(J7/I7*E7,0))</f>
        <v/>
      </c>
      <c r="N7" s="16">
        <f>IF(I7&lt;=0,"—",1-J7/I7)</f>
        <v/>
      </c>
      <c r="O7" s="88" t="inlineStr">
        <is>
          <t>cohorte</t>
        </is>
      </c>
      <c r="P7" s="15">
        <f>IF(O7="Fermer","—",(T7+IFERROR(SUMIFS($T$6:$T$63,$A$6:$A$63,A7,$B$6:$B$63,B7,$O$6:$O$63,"Fermer")*V7/SUMIFS($V$6:$V$63,$A$6:$A$63,A7,$B$6:$B$63,B7,$O$6:$O$63,"&lt;&gt;Fermer"),0))+(U7+IFERROR(SUMIFS($U$6:$U$63,$O$6:$O$63,"Fermer")*V7/SUMIFS($V$6:$V$63,$O$6:$O$63,"&lt;&gt;Fermer"),0)))</f>
        <v/>
      </c>
      <c r="Q7" s="14">
        <f>IF(O7="Fermer","—",G7-H7-P7)</f>
        <v/>
      </c>
      <c r="R7" s="15">
        <f>IF(O7="Fermer",-I7,0)</f>
        <v/>
      </c>
      <c r="S7" s="62">
        <f>IF(O7="Fermer","✖ Fermer = −"&amp;TEXT(I7,"# ##0")&amp;" € d'EBITDA (le fixe reste)",IF(AND(L7&gt;=0,Q7&lt;0),"⚠ BASCULE : saine → déficit à cause d'une fermeture voisine",IF(L7&lt;0,IF(I7&gt;0,"Déficit COMPLET mais contribution POSITIVE → NE PAS fermer (artefact d'allocation)","Contribution négative — vrai point dur"),"Rentable — point mort "&amp;TEXT(M7,"0")&amp;" étud., marge sécu "&amp;TEXT(N7,"0%"))))</f>
        <v/>
      </c>
      <c r="T7" s="86">
        <f>'10_Allocation'!K9</f>
        <v/>
      </c>
      <c r="U7" s="86">
        <f>'10_Allocation'!J9</f>
        <v/>
      </c>
      <c r="V7" s="87">
        <f>IF('01b_Pilotage'!$D$9="Effectif",E7,IF('01b_Pilotage'!$D$9="Nombre de classes",F7,G7))</f>
        <v/>
      </c>
    </row>
    <row r="8">
      <c r="A8" s="17">
        <f>'10_Allocation'!A10</f>
        <v/>
      </c>
      <c r="B8" s="45">
        <f>'10_Allocation'!B10</f>
        <v/>
      </c>
      <c r="C8" s="17">
        <f>'10_Allocation'!C10</f>
        <v/>
      </c>
      <c r="D8" s="45">
        <f>'10_Allocation'!D10</f>
        <v/>
      </c>
      <c r="E8" s="23">
        <f>'10_Allocation'!G10</f>
        <v/>
      </c>
      <c r="F8" s="23">
        <f>'10_Allocation'!H10</f>
        <v/>
      </c>
      <c r="G8" s="15">
        <f>'10_Allocation'!F10</f>
        <v/>
      </c>
      <c r="H8" s="15">
        <f>'10_Allocation'!I10</f>
        <v/>
      </c>
      <c r="I8" s="14">
        <f>G8-H8</f>
        <v/>
      </c>
      <c r="J8" s="15">
        <f>T8+U8</f>
        <v/>
      </c>
      <c r="K8" s="15">
        <f>H8+J8</f>
        <v/>
      </c>
      <c r="L8" s="14">
        <f>G8-K8</f>
        <v/>
      </c>
      <c r="M8" s="23">
        <f>IF(I8&lt;=0,"contrib≤0",ROUNDUP(J8/I8*E8,0))</f>
        <v/>
      </c>
      <c r="N8" s="16">
        <f>IF(I8&lt;=0,"—",1-J8/I8)</f>
        <v/>
      </c>
      <c r="O8" s="88" t="inlineStr">
        <is>
          <t>cohorte</t>
        </is>
      </c>
      <c r="P8" s="15">
        <f>IF(O8="Fermer","—",(T8+IFERROR(SUMIFS($T$6:$T$63,$A$6:$A$63,A8,$B$6:$B$63,B8,$O$6:$O$63,"Fermer")*V8/SUMIFS($V$6:$V$63,$A$6:$A$63,A8,$B$6:$B$63,B8,$O$6:$O$63,"&lt;&gt;Fermer"),0))+(U8+IFERROR(SUMIFS($U$6:$U$63,$O$6:$O$63,"Fermer")*V8/SUMIFS($V$6:$V$63,$O$6:$O$63,"&lt;&gt;Fermer"),0)))</f>
        <v/>
      </c>
      <c r="Q8" s="14">
        <f>IF(O8="Fermer","—",G8-H8-P8)</f>
        <v/>
      </c>
      <c r="R8" s="15">
        <f>IF(O8="Fermer",-I8,0)</f>
        <v/>
      </c>
      <c r="S8" s="62">
        <f>IF(O8="Fermer","✖ Fermer = −"&amp;TEXT(I8,"# ##0")&amp;" € d'EBITDA (le fixe reste)",IF(AND(L8&gt;=0,Q8&lt;0),"⚠ BASCULE : saine → déficit à cause d'une fermeture voisine",IF(L8&lt;0,IF(I8&gt;0,"Déficit COMPLET mais contribution POSITIVE → NE PAS fermer (artefact d'allocation)","Contribution négative — vrai point dur"),"Rentable — point mort "&amp;TEXT(M8,"0")&amp;" étud., marge sécu "&amp;TEXT(N8,"0%"))))</f>
        <v/>
      </c>
      <c r="T8" s="86">
        <f>'10_Allocation'!K10</f>
        <v/>
      </c>
      <c r="U8" s="86">
        <f>'10_Allocation'!J10</f>
        <v/>
      </c>
      <c r="V8" s="87">
        <f>IF('01b_Pilotage'!$D$9="Effectif",E8,IF('01b_Pilotage'!$D$9="Nombre de classes",F8,G8))</f>
        <v/>
      </c>
    </row>
    <row r="9">
      <c r="A9" s="17">
        <f>'10_Allocation'!A11</f>
        <v/>
      </c>
      <c r="B9" s="45">
        <f>'10_Allocation'!B11</f>
        <v/>
      </c>
      <c r="C9" s="17">
        <f>'10_Allocation'!C11</f>
        <v/>
      </c>
      <c r="D9" s="45">
        <f>'10_Allocation'!D11</f>
        <v/>
      </c>
      <c r="E9" s="23">
        <f>'10_Allocation'!G11</f>
        <v/>
      </c>
      <c r="F9" s="23">
        <f>'10_Allocation'!H11</f>
        <v/>
      </c>
      <c r="G9" s="15">
        <f>'10_Allocation'!F11</f>
        <v/>
      </c>
      <c r="H9" s="15">
        <f>'10_Allocation'!I11</f>
        <v/>
      </c>
      <c r="I9" s="14">
        <f>G9-H9</f>
        <v/>
      </c>
      <c r="J9" s="15">
        <f>T9+U9</f>
        <v/>
      </c>
      <c r="K9" s="15">
        <f>H9+J9</f>
        <v/>
      </c>
      <c r="L9" s="14">
        <f>G9-K9</f>
        <v/>
      </c>
      <c r="M9" s="23">
        <f>IF(I9&lt;=0,"contrib≤0",ROUNDUP(J9/I9*E9,0))</f>
        <v/>
      </c>
      <c r="N9" s="16">
        <f>IF(I9&lt;=0,"—",1-J9/I9)</f>
        <v/>
      </c>
      <c r="O9" s="9" t="inlineStr">
        <is>
          <t>Garder</t>
        </is>
      </c>
      <c r="P9" s="15">
        <f>IF(O9="Fermer","—",(T9+IFERROR(SUMIFS($T$6:$T$63,$A$6:$A$63,A9,$B$6:$B$63,B9,$O$6:$O$63,"Fermer")*V9/SUMIFS($V$6:$V$63,$A$6:$A$63,A9,$B$6:$B$63,B9,$O$6:$O$63,"&lt;&gt;Fermer"),0))+(U9+IFERROR(SUMIFS($U$6:$U$63,$O$6:$O$63,"Fermer")*V9/SUMIFS($V$6:$V$63,$O$6:$O$63,"&lt;&gt;Fermer"),0)))</f>
        <v/>
      </c>
      <c r="Q9" s="14">
        <f>IF(O9="Fermer","—",G9-H9-P9)</f>
        <v/>
      </c>
      <c r="R9" s="15">
        <f>IF(O9="Fermer",-I9,0)</f>
        <v/>
      </c>
      <c r="S9" s="62">
        <f>IF(O9="Fermer","✖ Fermer = −"&amp;TEXT(I9,"# ##0")&amp;" € d'EBITDA (le fixe reste)",IF(AND(L9&gt;=0,Q9&lt;0),"⚠ BASCULE : saine → déficit à cause d'une fermeture voisine",IF(L9&lt;0,IF(I9&gt;0,"Déficit COMPLET mais contribution POSITIVE → NE PAS fermer (artefact d'allocation)","Contribution négative — vrai point dur"),"Rentable — point mort "&amp;TEXT(M9,"0")&amp;" étud., marge sécu "&amp;TEXT(N9,"0%"))))</f>
        <v/>
      </c>
      <c r="T9" s="86">
        <f>'10_Allocation'!K11</f>
        <v/>
      </c>
      <c r="U9" s="86">
        <f>'10_Allocation'!J11</f>
        <v/>
      </c>
      <c r="V9" s="87">
        <f>IF('01b_Pilotage'!$D$9="Effectif",E9,IF('01b_Pilotage'!$D$9="Nombre de classes",F9,G9))</f>
        <v/>
      </c>
    </row>
    <row r="10">
      <c r="A10" s="17">
        <f>'10_Allocation'!A12</f>
        <v/>
      </c>
      <c r="B10" s="45">
        <f>'10_Allocation'!B12</f>
        <v/>
      </c>
      <c r="C10" s="17">
        <f>'10_Allocation'!C12</f>
        <v/>
      </c>
      <c r="D10" s="45">
        <f>'10_Allocation'!D12</f>
        <v/>
      </c>
      <c r="E10" s="23">
        <f>'10_Allocation'!G12</f>
        <v/>
      </c>
      <c r="F10" s="23">
        <f>'10_Allocation'!H12</f>
        <v/>
      </c>
      <c r="G10" s="15">
        <f>'10_Allocation'!F12</f>
        <v/>
      </c>
      <c r="H10" s="15">
        <f>'10_Allocation'!I12</f>
        <v/>
      </c>
      <c r="I10" s="14">
        <f>G10-H10</f>
        <v/>
      </c>
      <c r="J10" s="15">
        <f>T10+U10</f>
        <v/>
      </c>
      <c r="K10" s="15">
        <f>H10+J10</f>
        <v/>
      </c>
      <c r="L10" s="14">
        <f>G10-K10</f>
        <v/>
      </c>
      <c r="M10" s="23">
        <f>IF(I10&lt;=0,"contrib≤0",ROUNDUP(J10/I10*E10,0))</f>
        <v/>
      </c>
      <c r="N10" s="16">
        <f>IF(I10&lt;=0,"—",1-J10/I10)</f>
        <v/>
      </c>
      <c r="O10" s="88" t="inlineStr">
        <is>
          <t>cohorte</t>
        </is>
      </c>
      <c r="P10" s="15">
        <f>IF(O10="Fermer","—",(T10+IFERROR(SUMIFS($T$6:$T$63,$A$6:$A$63,A10,$B$6:$B$63,B10,$O$6:$O$63,"Fermer")*V10/SUMIFS($V$6:$V$63,$A$6:$A$63,A10,$B$6:$B$63,B10,$O$6:$O$63,"&lt;&gt;Fermer"),0))+(U10+IFERROR(SUMIFS($U$6:$U$63,$O$6:$O$63,"Fermer")*V10/SUMIFS($V$6:$V$63,$O$6:$O$63,"&lt;&gt;Fermer"),0)))</f>
        <v/>
      </c>
      <c r="Q10" s="14">
        <f>IF(O10="Fermer","—",G10-H10-P10)</f>
        <v/>
      </c>
      <c r="R10" s="15">
        <f>IF(O10="Fermer",-I10,0)</f>
        <v/>
      </c>
      <c r="S10" s="62">
        <f>IF(O10="Fermer","✖ Fermer = −"&amp;TEXT(I10,"# ##0")&amp;" € d'EBITDA (le fixe reste)",IF(AND(L10&gt;=0,Q10&lt;0),"⚠ BASCULE : saine → déficit à cause d'une fermeture voisine",IF(L10&lt;0,IF(I10&gt;0,"Déficit COMPLET mais contribution POSITIVE → NE PAS fermer (artefact d'allocation)","Contribution négative — vrai point dur"),"Rentable — point mort "&amp;TEXT(M10,"0")&amp;" étud., marge sécu "&amp;TEXT(N10,"0%"))))</f>
        <v/>
      </c>
      <c r="T10" s="86">
        <f>'10_Allocation'!K12</f>
        <v/>
      </c>
      <c r="U10" s="86">
        <f>'10_Allocation'!J12</f>
        <v/>
      </c>
      <c r="V10" s="87">
        <f>IF('01b_Pilotage'!$D$9="Effectif",E10,IF('01b_Pilotage'!$D$9="Nombre de classes",F10,G10))</f>
        <v/>
      </c>
    </row>
    <row r="11">
      <c r="A11" s="17">
        <f>'10_Allocation'!A13</f>
        <v/>
      </c>
      <c r="B11" s="45">
        <f>'10_Allocation'!B13</f>
        <v/>
      </c>
      <c r="C11" s="17">
        <f>'10_Allocation'!C13</f>
        <v/>
      </c>
      <c r="D11" s="45">
        <f>'10_Allocation'!D13</f>
        <v/>
      </c>
      <c r="E11" s="23">
        <f>'10_Allocation'!G13</f>
        <v/>
      </c>
      <c r="F11" s="23">
        <f>'10_Allocation'!H13</f>
        <v/>
      </c>
      <c r="G11" s="15">
        <f>'10_Allocation'!F13</f>
        <v/>
      </c>
      <c r="H11" s="15">
        <f>'10_Allocation'!I13</f>
        <v/>
      </c>
      <c r="I11" s="14">
        <f>G11-H11</f>
        <v/>
      </c>
      <c r="J11" s="15">
        <f>T11+U11</f>
        <v/>
      </c>
      <c r="K11" s="15">
        <f>H11+J11</f>
        <v/>
      </c>
      <c r="L11" s="14">
        <f>G11-K11</f>
        <v/>
      </c>
      <c r="M11" s="23">
        <f>IF(I11&lt;=0,"contrib≤0",ROUNDUP(J11/I11*E11,0))</f>
        <v/>
      </c>
      <c r="N11" s="16">
        <f>IF(I11&lt;=0,"—",1-J11/I11)</f>
        <v/>
      </c>
      <c r="O11" s="9" t="inlineStr">
        <is>
          <t>Garder</t>
        </is>
      </c>
      <c r="P11" s="15">
        <f>IF(O11="Fermer","—",(T11+IFERROR(SUMIFS($T$6:$T$63,$A$6:$A$63,A11,$B$6:$B$63,B11,$O$6:$O$63,"Fermer")*V11/SUMIFS($V$6:$V$63,$A$6:$A$63,A11,$B$6:$B$63,B11,$O$6:$O$63,"&lt;&gt;Fermer"),0))+(U11+IFERROR(SUMIFS($U$6:$U$63,$O$6:$O$63,"Fermer")*V11/SUMIFS($V$6:$V$63,$O$6:$O$63,"&lt;&gt;Fermer"),0)))</f>
        <v/>
      </c>
      <c r="Q11" s="14">
        <f>IF(O11="Fermer","—",G11-H11-P11)</f>
        <v/>
      </c>
      <c r="R11" s="15">
        <f>IF(O11="Fermer",-I11,0)</f>
        <v/>
      </c>
      <c r="S11" s="62">
        <f>IF(O11="Fermer","✖ Fermer = −"&amp;TEXT(I11,"# ##0")&amp;" € d'EBITDA (le fixe reste)",IF(AND(L11&gt;=0,Q11&lt;0),"⚠ BASCULE : saine → déficit à cause d'une fermeture voisine",IF(L11&lt;0,IF(I11&gt;0,"Déficit COMPLET mais contribution POSITIVE → NE PAS fermer (artefact d'allocation)","Contribution négative — vrai point dur"),"Rentable — point mort "&amp;TEXT(M11,"0")&amp;" étud., marge sécu "&amp;TEXT(N11,"0%"))))</f>
        <v/>
      </c>
      <c r="T11" s="86">
        <f>'10_Allocation'!K13</f>
        <v/>
      </c>
      <c r="U11" s="86">
        <f>'10_Allocation'!J13</f>
        <v/>
      </c>
      <c r="V11" s="87">
        <f>IF('01b_Pilotage'!$D$9="Effectif",E11,IF('01b_Pilotage'!$D$9="Nombre de classes",F11,G11))</f>
        <v/>
      </c>
    </row>
    <row r="12">
      <c r="A12" s="17">
        <f>'10_Allocation'!A14</f>
        <v/>
      </c>
      <c r="B12" s="45">
        <f>'10_Allocation'!B14</f>
        <v/>
      </c>
      <c r="C12" s="17">
        <f>'10_Allocation'!C14</f>
        <v/>
      </c>
      <c r="D12" s="45">
        <f>'10_Allocation'!D14</f>
        <v/>
      </c>
      <c r="E12" s="23">
        <f>'10_Allocation'!G14</f>
        <v/>
      </c>
      <c r="F12" s="23">
        <f>'10_Allocation'!H14</f>
        <v/>
      </c>
      <c r="G12" s="15">
        <f>'10_Allocation'!F14</f>
        <v/>
      </c>
      <c r="H12" s="15">
        <f>'10_Allocation'!I14</f>
        <v/>
      </c>
      <c r="I12" s="14">
        <f>G12-H12</f>
        <v/>
      </c>
      <c r="J12" s="15">
        <f>T12+U12</f>
        <v/>
      </c>
      <c r="K12" s="15">
        <f>H12+J12</f>
        <v/>
      </c>
      <c r="L12" s="14">
        <f>G12-K12</f>
        <v/>
      </c>
      <c r="M12" s="23">
        <f>IF(I12&lt;=0,"contrib≤0",ROUNDUP(J12/I12*E12,0))</f>
        <v/>
      </c>
      <c r="N12" s="16">
        <f>IF(I12&lt;=0,"—",1-J12/I12)</f>
        <v/>
      </c>
      <c r="O12" s="88" t="inlineStr">
        <is>
          <t>cohorte</t>
        </is>
      </c>
      <c r="P12" s="15">
        <f>IF(O12="Fermer","—",(T12+IFERROR(SUMIFS($T$6:$T$63,$A$6:$A$63,A12,$B$6:$B$63,B12,$O$6:$O$63,"Fermer")*V12/SUMIFS($V$6:$V$63,$A$6:$A$63,A12,$B$6:$B$63,B12,$O$6:$O$63,"&lt;&gt;Fermer"),0))+(U12+IFERROR(SUMIFS($U$6:$U$63,$O$6:$O$63,"Fermer")*V12/SUMIFS($V$6:$V$63,$O$6:$O$63,"&lt;&gt;Fermer"),0)))</f>
        <v/>
      </c>
      <c r="Q12" s="14">
        <f>IF(O12="Fermer","—",G12-H12-P12)</f>
        <v/>
      </c>
      <c r="R12" s="15">
        <f>IF(O12="Fermer",-I12,0)</f>
        <v/>
      </c>
      <c r="S12" s="62">
        <f>IF(O12="Fermer","✖ Fermer = −"&amp;TEXT(I12,"# ##0")&amp;" € d'EBITDA (le fixe reste)",IF(AND(L12&gt;=0,Q12&lt;0),"⚠ BASCULE : saine → déficit à cause d'une fermeture voisine",IF(L12&lt;0,IF(I12&gt;0,"Déficit COMPLET mais contribution POSITIVE → NE PAS fermer (artefact d'allocation)","Contribution négative — vrai point dur"),"Rentable — point mort "&amp;TEXT(M12,"0")&amp;" étud., marge sécu "&amp;TEXT(N12,"0%"))))</f>
        <v/>
      </c>
      <c r="T12" s="86">
        <f>'10_Allocation'!K14</f>
        <v/>
      </c>
      <c r="U12" s="86">
        <f>'10_Allocation'!J14</f>
        <v/>
      </c>
      <c r="V12" s="87">
        <f>IF('01b_Pilotage'!$D$9="Effectif",E12,IF('01b_Pilotage'!$D$9="Nombre de classes",F12,G12))</f>
        <v/>
      </c>
    </row>
    <row r="13">
      <c r="A13" s="17">
        <f>'10_Allocation'!A15</f>
        <v/>
      </c>
      <c r="B13" s="45">
        <f>'10_Allocation'!B15</f>
        <v/>
      </c>
      <c r="C13" s="17">
        <f>'10_Allocation'!C15</f>
        <v/>
      </c>
      <c r="D13" s="45">
        <f>'10_Allocation'!D15</f>
        <v/>
      </c>
      <c r="E13" s="23">
        <f>'10_Allocation'!G15</f>
        <v/>
      </c>
      <c r="F13" s="23">
        <f>'10_Allocation'!H15</f>
        <v/>
      </c>
      <c r="G13" s="15">
        <f>'10_Allocation'!F15</f>
        <v/>
      </c>
      <c r="H13" s="15">
        <f>'10_Allocation'!I15</f>
        <v/>
      </c>
      <c r="I13" s="14">
        <f>G13-H13</f>
        <v/>
      </c>
      <c r="J13" s="15">
        <f>T13+U13</f>
        <v/>
      </c>
      <c r="K13" s="15">
        <f>H13+J13</f>
        <v/>
      </c>
      <c r="L13" s="14">
        <f>G13-K13</f>
        <v/>
      </c>
      <c r="M13" s="23">
        <f>IF(I13&lt;=0,"contrib≤0",ROUNDUP(J13/I13*E13,0))</f>
        <v/>
      </c>
      <c r="N13" s="16">
        <f>IF(I13&lt;=0,"—",1-J13/I13)</f>
        <v/>
      </c>
      <c r="O13" s="88" t="inlineStr">
        <is>
          <t>cohorte</t>
        </is>
      </c>
      <c r="P13" s="15">
        <f>IF(O13="Fermer","—",(T13+IFERROR(SUMIFS($T$6:$T$63,$A$6:$A$63,A13,$B$6:$B$63,B13,$O$6:$O$63,"Fermer")*V13/SUMIFS($V$6:$V$63,$A$6:$A$63,A13,$B$6:$B$63,B13,$O$6:$O$63,"&lt;&gt;Fermer"),0))+(U13+IFERROR(SUMIFS($U$6:$U$63,$O$6:$O$63,"Fermer")*V13/SUMIFS($V$6:$V$63,$O$6:$O$63,"&lt;&gt;Fermer"),0)))</f>
        <v/>
      </c>
      <c r="Q13" s="14">
        <f>IF(O13="Fermer","—",G13-H13-P13)</f>
        <v/>
      </c>
      <c r="R13" s="15">
        <f>IF(O13="Fermer",-I13,0)</f>
        <v/>
      </c>
      <c r="S13" s="62">
        <f>IF(O13="Fermer","✖ Fermer = −"&amp;TEXT(I13,"# ##0")&amp;" € d'EBITDA (le fixe reste)",IF(AND(L13&gt;=0,Q13&lt;0),"⚠ BASCULE : saine → déficit à cause d'une fermeture voisine",IF(L13&lt;0,IF(I13&gt;0,"Déficit COMPLET mais contribution POSITIVE → NE PAS fermer (artefact d'allocation)","Contribution négative — vrai point dur"),"Rentable — point mort "&amp;TEXT(M13,"0")&amp;" étud., marge sécu "&amp;TEXT(N13,"0%"))))</f>
        <v/>
      </c>
      <c r="T13" s="86">
        <f>'10_Allocation'!K15</f>
        <v/>
      </c>
      <c r="U13" s="86">
        <f>'10_Allocation'!J15</f>
        <v/>
      </c>
      <c r="V13" s="87">
        <f>IF('01b_Pilotage'!$D$9="Effectif",E13,IF('01b_Pilotage'!$D$9="Nombre de classes",F13,G13))</f>
        <v/>
      </c>
    </row>
    <row r="14">
      <c r="A14" s="17">
        <f>'10_Allocation'!A16</f>
        <v/>
      </c>
      <c r="B14" s="45">
        <f>'10_Allocation'!B16</f>
        <v/>
      </c>
      <c r="C14" s="17">
        <f>'10_Allocation'!C16</f>
        <v/>
      </c>
      <c r="D14" s="45">
        <f>'10_Allocation'!D16</f>
        <v/>
      </c>
      <c r="E14" s="23">
        <f>'10_Allocation'!G16</f>
        <v/>
      </c>
      <c r="F14" s="23">
        <f>'10_Allocation'!H16</f>
        <v/>
      </c>
      <c r="G14" s="15">
        <f>'10_Allocation'!F16</f>
        <v/>
      </c>
      <c r="H14" s="15">
        <f>'10_Allocation'!I16</f>
        <v/>
      </c>
      <c r="I14" s="14">
        <f>G14-H14</f>
        <v/>
      </c>
      <c r="J14" s="15">
        <f>T14+U14</f>
        <v/>
      </c>
      <c r="K14" s="15">
        <f>H14+J14</f>
        <v/>
      </c>
      <c r="L14" s="14">
        <f>G14-K14</f>
        <v/>
      </c>
      <c r="M14" s="23">
        <f>IF(I14&lt;=0,"contrib≤0",ROUNDUP(J14/I14*E14,0))</f>
        <v/>
      </c>
      <c r="N14" s="16">
        <f>IF(I14&lt;=0,"—",1-J14/I14)</f>
        <v/>
      </c>
      <c r="O14" s="9" t="inlineStr">
        <is>
          <t>Garder</t>
        </is>
      </c>
      <c r="P14" s="15">
        <f>IF(O14="Fermer","—",(T14+IFERROR(SUMIFS($T$6:$T$63,$A$6:$A$63,A14,$B$6:$B$63,B14,$O$6:$O$63,"Fermer")*V14/SUMIFS($V$6:$V$63,$A$6:$A$63,A14,$B$6:$B$63,B14,$O$6:$O$63,"&lt;&gt;Fermer"),0))+(U14+IFERROR(SUMIFS($U$6:$U$63,$O$6:$O$63,"Fermer")*V14/SUMIFS($V$6:$V$63,$O$6:$O$63,"&lt;&gt;Fermer"),0)))</f>
        <v/>
      </c>
      <c r="Q14" s="14">
        <f>IF(O14="Fermer","—",G14-H14-P14)</f>
        <v/>
      </c>
      <c r="R14" s="15">
        <f>IF(O14="Fermer",-I14,0)</f>
        <v/>
      </c>
      <c r="S14" s="62">
        <f>IF(O14="Fermer","✖ Fermer = −"&amp;TEXT(I14,"# ##0")&amp;" € d'EBITDA (le fixe reste)",IF(AND(L14&gt;=0,Q14&lt;0),"⚠ BASCULE : saine → déficit à cause d'une fermeture voisine",IF(L14&lt;0,IF(I14&gt;0,"Déficit COMPLET mais contribution POSITIVE → NE PAS fermer (artefact d'allocation)","Contribution négative — vrai point dur"),"Rentable — point mort "&amp;TEXT(M14,"0")&amp;" étud., marge sécu "&amp;TEXT(N14,"0%"))))</f>
        <v/>
      </c>
      <c r="T14" s="86">
        <f>'10_Allocation'!K16</f>
        <v/>
      </c>
      <c r="U14" s="86">
        <f>'10_Allocation'!J16</f>
        <v/>
      </c>
      <c r="V14" s="87">
        <f>IF('01b_Pilotage'!$D$9="Effectif",E14,IF('01b_Pilotage'!$D$9="Nombre de classes",F14,G14))</f>
        <v/>
      </c>
    </row>
    <row r="15">
      <c r="A15" s="17">
        <f>'10_Allocation'!A17</f>
        <v/>
      </c>
      <c r="B15" s="45">
        <f>'10_Allocation'!B17</f>
        <v/>
      </c>
      <c r="C15" s="17">
        <f>'10_Allocation'!C17</f>
        <v/>
      </c>
      <c r="D15" s="45">
        <f>'10_Allocation'!D17</f>
        <v/>
      </c>
      <c r="E15" s="23">
        <f>'10_Allocation'!G17</f>
        <v/>
      </c>
      <c r="F15" s="23">
        <f>'10_Allocation'!H17</f>
        <v/>
      </c>
      <c r="G15" s="15">
        <f>'10_Allocation'!F17</f>
        <v/>
      </c>
      <c r="H15" s="15">
        <f>'10_Allocation'!I17</f>
        <v/>
      </c>
      <c r="I15" s="14">
        <f>G15-H15</f>
        <v/>
      </c>
      <c r="J15" s="15">
        <f>T15+U15</f>
        <v/>
      </c>
      <c r="K15" s="15">
        <f>H15+J15</f>
        <v/>
      </c>
      <c r="L15" s="14">
        <f>G15-K15</f>
        <v/>
      </c>
      <c r="M15" s="23">
        <f>IF(I15&lt;=0,"contrib≤0",ROUNDUP(J15/I15*E15,0))</f>
        <v/>
      </c>
      <c r="N15" s="16">
        <f>IF(I15&lt;=0,"—",1-J15/I15)</f>
        <v/>
      </c>
      <c r="O15" s="88" t="inlineStr">
        <is>
          <t>cohorte</t>
        </is>
      </c>
      <c r="P15" s="15">
        <f>IF(O15="Fermer","—",(T15+IFERROR(SUMIFS($T$6:$T$63,$A$6:$A$63,A15,$B$6:$B$63,B15,$O$6:$O$63,"Fermer")*V15/SUMIFS($V$6:$V$63,$A$6:$A$63,A15,$B$6:$B$63,B15,$O$6:$O$63,"&lt;&gt;Fermer"),0))+(U15+IFERROR(SUMIFS($U$6:$U$63,$O$6:$O$63,"Fermer")*V15/SUMIFS($V$6:$V$63,$O$6:$O$63,"&lt;&gt;Fermer"),0)))</f>
        <v/>
      </c>
      <c r="Q15" s="14">
        <f>IF(O15="Fermer","—",G15-H15-P15)</f>
        <v/>
      </c>
      <c r="R15" s="15">
        <f>IF(O15="Fermer",-I15,0)</f>
        <v/>
      </c>
      <c r="S15" s="62">
        <f>IF(O15="Fermer","✖ Fermer = −"&amp;TEXT(I15,"# ##0")&amp;" € d'EBITDA (le fixe reste)",IF(AND(L15&gt;=0,Q15&lt;0),"⚠ BASCULE : saine → déficit à cause d'une fermeture voisine",IF(L15&lt;0,IF(I15&gt;0,"Déficit COMPLET mais contribution POSITIVE → NE PAS fermer (artefact d'allocation)","Contribution négative — vrai point dur"),"Rentable — point mort "&amp;TEXT(M15,"0")&amp;" étud., marge sécu "&amp;TEXT(N15,"0%"))))</f>
        <v/>
      </c>
      <c r="T15" s="86">
        <f>'10_Allocation'!K17</f>
        <v/>
      </c>
      <c r="U15" s="86">
        <f>'10_Allocation'!J17</f>
        <v/>
      </c>
      <c r="V15" s="87">
        <f>IF('01b_Pilotage'!$D$9="Effectif",E15,IF('01b_Pilotage'!$D$9="Nombre de classes",F15,G15))</f>
        <v/>
      </c>
    </row>
    <row r="16">
      <c r="A16" s="17">
        <f>'10_Allocation'!A18</f>
        <v/>
      </c>
      <c r="B16" s="45">
        <f>'10_Allocation'!B18</f>
        <v/>
      </c>
      <c r="C16" s="17">
        <f>'10_Allocation'!C18</f>
        <v/>
      </c>
      <c r="D16" s="45">
        <f>'10_Allocation'!D18</f>
        <v/>
      </c>
      <c r="E16" s="23">
        <f>'10_Allocation'!G18</f>
        <v/>
      </c>
      <c r="F16" s="23">
        <f>'10_Allocation'!H18</f>
        <v/>
      </c>
      <c r="G16" s="15">
        <f>'10_Allocation'!F18</f>
        <v/>
      </c>
      <c r="H16" s="15">
        <f>'10_Allocation'!I18</f>
        <v/>
      </c>
      <c r="I16" s="14">
        <f>G16-H16</f>
        <v/>
      </c>
      <c r="J16" s="15">
        <f>T16+U16</f>
        <v/>
      </c>
      <c r="K16" s="15">
        <f>H16+J16</f>
        <v/>
      </c>
      <c r="L16" s="14">
        <f>G16-K16</f>
        <v/>
      </c>
      <c r="M16" s="23">
        <f>IF(I16&lt;=0,"contrib≤0",ROUNDUP(J16/I16*E16,0))</f>
        <v/>
      </c>
      <c r="N16" s="16">
        <f>IF(I16&lt;=0,"—",1-J16/I16)</f>
        <v/>
      </c>
      <c r="O16" s="9" t="inlineStr">
        <is>
          <t>Garder</t>
        </is>
      </c>
      <c r="P16" s="15">
        <f>IF(O16="Fermer","—",(T16+IFERROR(SUMIFS($T$6:$T$63,$A$6:$A$63,A16,$B$6:$B$63,B16,$O$6:$O$63,"Fermer")*V16/SUMIFS($V$6:$V$63,$A$6:$A$63,A16,$B$6:$B$63,B16,$O$6:$O$63,"&lt;&gt;Fermer"),0))+(U16+IFERROR(SUMIFS($U$6:$U$63,$O$6:$O$63,"Fermer")*V16/SUMIFS($V$6:$V$63,$O$6:$O$63,"&lt;&gt;Fermer"),0)))</f>
        <v/>
      </c>
      <c r="Q16" s="14">
        <f>IF(O16="Fermer","—",G16-H16-P16)</f>
        <v/>
      </c>
      <c r="R16" s="15">
        <f>IF(O16="Fermer",-I16,0)</f>
        <v/>
      </c>
      <c r="S16" s="62">
        <f>IF(O16="Fermer","✖ Fermer = −"&amp;TEXT(I16,"# ##0")&amp;" € d'EBITDA (le fixe reste)",IF(AND(L16&gt;=0,Q16&lt;0),"⚠ BASCULE : saine → déficit à cause d'une fermeture voisine",IF(L16&lt;0,IF(I16&gt;0,"Déficit COMPLET mais contribution POSITIVE → NE PAS fermer (artefact d'allocation)","Contribution négative — vrai point dur"),"Rentable — point mort "&amp;TEXT(M16,"0")&amp;" étud., marge sécu "&amp;TEXT(N16,"0%"))))</f>
        <v/>
      </c>
      <c r="T16" s="86">
        <f>'10_Allocation'!K18</f>
        <v/>
      </c>
      <c r="U16" s="86">
        <f>'10_Allocation'!J18</f>
        <v/>
      </c>
      <c r="V16" s="87">
        <f>IF('01b_Pilotage'!$D$9="Effectif",E16,IF('01b_Pilotage'!$D$9="Nombre de classes",F16,G16))</f>
        <v/>
      </c>
    </row>
    <row r="17">
      <c r="A17" s="17">
        <f>'10_Allocation'!A19</f>
        <v/>
      </c>
      <c r="B17" s="45">
        <f>'10_Allocation'!B19</f>
        <v/>
      </c>
      <c r="C17" s="17">
        <f>'10_Allocation'!C19</f>
        <v/>
      </c>
      <c r="D17" s="45">
        <f>'10_Allocation'!D19</f>
        <v/>
      </c>
      <c r="E17" s="23">
        <f>'10_Allocation'!G19</f>
        <v/>
      </c>
      <c r="F17" s="23">
        <f>'10_Allocation'!H19</f>
        <v/>
      </c>
      <c r="G17" s="15">
        <f>'10_Allocation'!F19</f>
        <v/>
      </c>
      <c r="H17" s="15">
        <f>'10_Allocation'!I19</f>
        <v/>
      </c>
      <c r="I17" s="14">
        <f>G17-H17</f>
        <v/>
      </c>
      <c r="J17" s="15">
        <f>T17+U17</f>
        <v/>
      </c>
      <c r="K17" s="15">
        <f>H17+J17</f>
        <v/>
      </c>
      <c r="L17" s="14">
        <f>G17-K17</f>
        <v/>
      </c>
      <c r="M17" s="23">
        <f>IF(I17&lt;=0,"contrib≤0",ROUNDUP(J17/I17*E17,0))</f>
        <v/>
      </c>
      <c r="N17" s="16">
        <f>IF(I17&lt;=0,"—",1-J17/I17)</f>
        <v/>
      </c>
      <c r="O17" s="88" t="inlineStr">
        <is>
          <t>cohorte</t>
        </is>
      </c>
      <c r="P17" s="15">
        <f>IF(O17="Fermer","—",(T17+IFERROR(SUMIFS($T$6:$T$63,$A$6:$A$63,A17,$B$6:$B$63,B17,$O$6:$O$63,"Fermer")*V17/SUMIFS($V$6:$V$63,$A$6:$A$63,A17,$B$6:$B$63,B17,$O$6:$O$63,"&lt;&gt;Fermer"),0))+(U17+IFERROR(SUMIFS($U$6:$U$63,$O$6:$O$63,"Fermer")*V17/SUMIFS($V$6:$V$63,$O$6:$O$63,"&lt;&gt;Fermer"),0)))</f>
        <v/>
      </c>
      <c r="Q17" s="14">
        <f>IF(O17="Fermer","—",G17-H17-P17)</f>
        <v/>
      </c>
      <c r="R17" s="15">
        <f>IF(O17="Fermer",-I17,0)</f>
        <v/>
      </c>
      <c r="S17" s="62">
        <f>IF(O17="Fermer","✖ Fermer = −"&amp;TEXT(I17,"# ##0")&amp;" € d'EBITDA (le fixe reste)",IF(AND(L17&gt;=0,Q17&lt;0),"⚠ BASCULE : saine → déficit à cause d'une fermeture voisine",IF(L17&lt;0,IF(I17&gt;0,"Déficit COMPLET mais contribution POSITIVE → NE PAS fermer (artefact d'allocation)","Contribution négative — vrai point dur"),"Rentable — point mort "&amp;TEXT(M17,"0")&amp;" étud., marge sécu "&amp;TEXT(N17,"0%"))))</f>
        <v/>
      </c>
      <c r="T17" s="86">
        <f>'10_Allocation'!K19</f>
        <v/>
      </c>
      <c r="U17" s="86">
        <f>'10_Allocation'!J19</f>
        <v/>
      </c>
      <c r="V17" s="87">
        <f>IF('01b_Pilotage'!$D$9="Effectif",E17,IF('01b_Pilotage'!$D$9="Nombre de classes",F17,G17))</f>
        <v/>
      </c>
    </row>
    <row r="18">
      <c r="A18" s="17">
        <f>'10_Allocation'!A20</f>
        <v/>
      </c>
      <c r="B18" s="45">
        <f>'10_Allocation'!B20</f>
        <v/>
      </c>
      <c r="C18" s="17">
        <f>'10_Allocation'!C20</f>
        <v/>
      </c>
      <c r="D18" s="45">
        <f>'10_Allocation'!D20</f>
        <v/>
      </c>
      <c r="E18" s="23">
        <f>'10_Allocation'!G20</f>
        <v/>
      </c>
      <c r="F18" s="23">
        <f>'10_Allocation'!H20</f>
        <v/>
      </c>
      <c r="G18" s="15">
        <f>'10_Allocation'!F20</f>
        <v/>
      </c>
      <c r="H18" s="15">
        <f>'10_Allocation'!I20</f>
        <v/>
      </c>
      <c r="I18" s="14">
        <f>G18-H18</f>
        <v/>
      </c>
      <c r="J18" s="15">
        <f>T18+U18</f>
        <v/>
      </c>
      <c r="K18" s="15">
        <f>H18+J18</f>
        <v/>
      </c>
      <c r="L18" s="14">
        <f>G18-K18</f>
        <v/>
      </c>
      <c r="M18" s="23">
        <f>IF(I18&lt;=0,"contrib≤0",ROUNDUP(J18/I18*E18,0))</f>
        <v/>
      </c>
      <c r="N18" s="16">
        <f>IF(I18&lt;=0,"—",1-J18/I18)</f>
        <v/>
      </c>
      <c r="O18" s="88" t="inlineStr">
        <is>
          <t>cohorte</t>
        </is>
      </c>
      <c r="P18" s="15">
        <f>IF(O18="Fermer","—",(T18+IFERROR(SUMIFS($T$6:$T$63,$A$6:$A$63,A18,$B$6:$B$63,B18,$O$6:$O$63,"Fermer")*V18/SUMIFS($V$6:$V$63,$A$6:$A$63,A18,$B$6:$B$63,B18,$O$6:$O$63,"&lt;&gt;Fermer"),0))+(U18+IFERROR(SUMIFS($U$6:$U$63,$O$6:$O$63,"Fermer")*V18/SUMIFS($V$6:$V$63,$O$6:$O$63,"&lt;&gt;Fermer"),0)))</f>
        <v/>
      </c>
      <c r="Q18" s="14">
        <f>IF(O18="Fermer","—",G18-H18-P18)</f>
        <v/>
      </c>
      <c r="R18" s="15">
        <f>IF(O18="Fermer",-I18,0)</f>
        <v/>
      </c>
      <c r="S18" s="62">
        <f>IF(O18="Fermer","✖ Fermer = −"&amp;TEXT(I18,"# ##0")&amp;" € d'EBITDA (le fixe reste)",IF(AND(L18&gt;=0,Q18&lt;0),"⚠ BASCULE : saine → déficit à cause d'une fermeture voisine",IF(L18&lt;0,IF(I18&gt;0,"Déficit COMPLET mais contribution POSITIVE → NE PAS fermer (artefact d'allocation)","Contribution négative — vrai point dur"),"Rentable — point mort "&amp;TEXT(M18,"0")&amp;" étud., marge sécu "&amp;TEXT(N18,"0%"))))</f>
        <v/>
      </c>
      <c r="T18" s="86">
        <f>'10_Allocation'!K20</f>
        <v/>
      </c>
      <c r="U18" s="86">
        <f>'10_Allocation'!J20</f>
        <v/>
      </c>
      <c r="V18" s="87">
        <f>IF('01b_Pilotage'!$D$9="Effectif",E18,IF('01b_Pilotage'!$D$9="Nombre de classes",F18,G18))</f>
        <v/>
      </c>
    </row>
    <row r="19">
      <c r="A19" s="17">
        <f>'10_Allocation'!A21</f>
        <v/>
      </c>
      <c r="B19" s="45">
        <f>'10_Allocation'!B21</f>
        <v/>
      </c>
      <c r="C19" s="17">
        <f>'10_Allocation'!C21</f>
        <v/>
      </c>
      <c r="D19" s="45">
        <f>'10_Allocation'!D21</f>
        <v/>
      </c>
      <c r="E19" s="23">
        <f>'10_Allocation'!G21</f>
        <v/>
      </c>
      <c r="F19" s="23">
        <f>'10_Allocation'!H21</f>
        <v/>
      </c>
      <c r="G19" s="15">
        <f>'10_Allocation'!F21</f>
        <v/>
      </c>
      <c r="H19" s="15">
        <f>'10_Allocation'!I21</f>
        <v/>
      </c>
      <c r="I19" s="14">
        <f>G19-H19</f>
        <v/>
      </c>
      <c r="J19" s="15">
        <f>T19+U19</f>
        <v/>
      </c>
      <c r="K19" s="15">
        <f>H19+J19</f>
        <v/>
      </c>
      <c r="L19" s="14">
        <f>G19-K19</f>
        <v/>
      </c>
      <c r="M19" s="23">
        <f>IF(I19&lt;=0,"contrib≤0",ROUNDUP(J19/I19*E19,0))</f>
        <v/>
      </c>
      <c r="N19" s="16">
        <f>IF(I19&lt;=0,"—",1-J19/I19)</f>
        <v/>
      </c>
      <c r="O19" s="9" t="inlineStr">
        <is>
          <t>Garder</t>
        </is>
      </c>
      <c r="P19" s="15">
        <f>IF(O19="Fermer","—",(T19+IFERROR(SUMIFS($T$6:$T$63,$A$6:$A$63,A19,$B$6:$B$63,B19,$O$6:$O$63,"Fermer")*V19/SUMIFS($V$6:$V$63,$A$6:$A$63,A19,$B$6:$B$63,B19,$O$6:$O$63,"&lt;&gt;Fermer"),0))+(U19+IFERROR(SUMIFS($U$6:$U$63,$O$6:$O$63,"Fermer")*V19/SUMIFS($V$6:$V$63,$O$6:$O$63,"&lt;&gt;Fermer"),0)))</f>
        <v/>
      </c>
      <c r="Q19" s="14">
        <f>IF(O19="Fermer","—",G19-H19-P19)</f>
        <v/>
      </c>
      <c r="R19" s="15">
        <f>IF(O19="Fermer",-I19,0)</f>
        <v/>
      </c>
      <c r="S19" s="62">
        <f>IF(O19="Fermer","✖ Fermer = −"&amp;TEXT(I19,"# ##0")&amp;" € d'EBITDA (le fixe reste)",IF(AND(L19&gt;=0,Q19&lt;0),"⚠ BASCULE : saine → déficit à cause d'une fermeture voisine",IF(L19&lt;0,IF(I19&gt;0,"Déficit COMPLET mais contribution POSITIVE → NE PAS fermer (artefact d'allocation)","Contribution négative — vrai point dur"),"Rentable — point mort "&amp;TEXT(M19,"0")&amp;" étud., marge sécu "&amp;TEXT(N19,"0%"))))</f>
        <v/>
      </c>
      <c r="T19" s="86">
        <f>'10_Allocation'!K21</f>
        <v/>
      </c>
      <c r="U19" s="86">
        <f>'10_Allocation'!J21</f>
        <v/>
      </c>
      <c r="V19" s="87">
        <f>IF('01b_Pilotage'!$D$9="Effectif",E19,IF('01b_Pilotage'!$D$9="Nombre de classes",F19,G19))</f>
        <v/>
      </c>
    </row>
    <row r="20">
      <c r="A20" s="17">
        <f>'10_Allocation'!A22</f>
        <v/>
      </c>
      <c r="B20" s="45">
        <f>'10_Allocation'!B22</f>
        <v/>
      </c>
      <c r="C20" s="17">
        <f>'10_Allocation'!C22</f>
        <v/>
      </c>
      <c r="D20" s="45">
        <f>'10_Allocation'!D22</f>
        <v/>
      </c>
      <c r="E20" s="23">
        <f>'10_Allocation'!G22</f>
        <v/>
      </c>
      <c r="F20" s="23">
        <f>'10_Allocation'!H22</f>
        <v/>
      </c>
      <c r="G20" s="15">
        <f>'10_Allocation'!F22</f>
        <v/>
      </c>
      <c r="H20" s="15">
        <f>'10_Allocation'!I22</f>
        <v/>
      </c>
      <c r="I20" s="14">
        <f>G20-H20</f>
        <v/>
      </c>
      <c r="J20" s="15">
        <f>T20+U20</f>
        <v/>
      </c>
      <c r="K20" s="15">
        <f>H20+J20</f>
        <v/>
      </c>
      <c r="L20" s="14">
        <f>G20-K20</f>
        <v/>
      </c>
      <c r="M20" s="23">
        <f>IF(I20&lt;=0,"contrib≤0",ROUNDUP(J20/I20*E20,0))</f>
        <v/>
      </c>
      <c r="N20" s="16">
        <f>IF(I20&lt;=0,"—",1-J20/I20)</f>
        <v/>
      </c>
      <c r="O20" s="88" t="inlineStr">
        <is>
          <t>cohorte</t>
        </is>
      </c>
      <c r="P20" s="15">
        <f>IF(O20="Fermer","—",(T20+IFERROR(SUMIFS($T$6:$T$63,$A$6:$A$63,A20,$B$6:$B$63,B20,$O$6:$O$63,"Fermer")*V20/SUMIFS($V$6:$V$63,$A$6:$A$63,A20,$B$6:$B$63,B20,$O$6:$O$63,"&lt;&gt;Fermer"),0))+(U20+IFERROR(SUMIFS($U$6:$U$63,$O$6:$O$63,"Fermer")*V20/SUMIFS($V$6:$V$63,$O$6:$O$63,"&lt;&gt;Fermer"),0)))</f>
        <v/>
      </c>
      <c r="Q20" s="14">
        <f>IF(O20="Fermer","—",G20-H20-P20)</f>
        <v/>
      </c>
      <c r="R20" s="15">
        <f>IF(O20="Fermer",-I20,0)</f>
        <v/>
      </c>
      <c r="S20" s="62">
        <f>IF(O20="Fermer","✖ Fermer = −"&amp;TEXT(I20,"# ##0")&amp;" € d'EBITDA (le fixe reste)",IF(AND(L20&gt;=0,Q20&lt;0),"⚠ BASCULE : saine → déficit à cause d'une fermeture voisine",IF(L20&lt;0,IF(I20&gt;0,"Déficit COMPLET mais contribution POSITIVE → NE PAS fermer (artefact d'allocation)","Contribution négative — vrai point dur"),"Rentable — point mort "&amp;TEXT(M20,"0")&amp;" étud., marge sécu "&amp;TEXT(N20,"0%"))))</f>
        <v/>
      </c>
      <c r="T20" s="86">
        <f>'10_Allocation'!K22</f>
        <v/>
      </c>
      <c r="U20" s="86">
        <f>'10_Allocation'!J22</f>
        <v/>
      </c>
      <c r="V20" s="87">
        <f>IF('01b_Pilotage'!$D$9="Effectif",E20,IF('01b_Pilotage'!$D$9="Nombre de classes",F20,G20))</f>
        <v/>
      </c>
    </row>
    <row r="21">
      <c r="A21" s="17">
        <f>'10_Allocation'!A23</f>
        <v/>
      </c>
      <c r="B21" s="45">
        <f>'10_Allocation'!B23</f>
        <v/>
      </c>
      <c r="C21" s="17">
        <f>'10_Allocation'!C23</f>
        <v/>
      </c>
      <c r="D21" s="45">
        <f>'10_Allocation'!D23</f>
        <v/>
      </c>
      <c r="E21" s="23">
        <f>'10_Allocation'!G23</f>
        <v/>
      </c>
      <c r="F21" s="23">
        <f>'10_Allocation'!H23</f>
        <v/>
      </c>
      <c r="G21" s="15">
        <f>'10_Allocation'!F23</f>
        <v/>
      </c>
      <c r="H21" s="15">
        <f>'10_Allocation'!I23</f>
        <v/>
      </c>
      <c r="I21" s="14">
        <f>G21-H21</f>
        <v/>
      </c>
      <c r="J21" s="15">
        <f>T21+U21</f>
        <v/>
      </c>
      <c r="K21" s="15">
        <f>H21+J21</f>
        <v/>
      </c>
      <c r="L21" s="14">
        <f>G21-K21</f>
        <v/>
      </c>
      <c r="M21" s="23">
        <f>IF(I21&lt;=0,"contrib≤0",ROUNDUP(J21/I21*E21,0))</f>
        <v/>
      </c>
      <c r="N21" s="16">
        <f>IF(I21&lt;=0,"—",1-J21/I21)</f>
        <v/>
      </c>
      <c r="O21" s="9" t="inlineStr">
        <is>
          <t>Garder</t>
        </is>
      </c>
      <c r="P21" s="15">
        <f>IF(O21="Fermer","—",(T21+IFERROR(SUMIFS($T$6:$T$63,$A$6:$A$63,A21,$B$6:$B$63,B21,$O$6:$O$63,"Fermer")*V21/SUMIFS($V$6:$V$63,$A$6:$A$63,A21,$B$6:$B$63,B21,$O$6:$O$63,"&lt;&gt;Fermer"),0))+(U21+IFERROR(SUMIFS($U$6:$U$63,$O$6:$O$63,"Fermer")*V21/SUMIFS($V$6:$V$63,$O$6:$O$63,"&lt;&gt;Fermer"),0)))</f>
        <v/>
      </c>
      <c r="Q21" s="14">
        <f>IF(O21="Fermer","—",G21-H21-P21)</f>
        <v/>
      </c>
      <c r="R21" s="15">
        <f>IF(O21="Fermer",-I21,0)</f>
        <v/>
      </c>
      <c r="S21" s="62">
        <f>IF(O21="Fermer","✖ Fermer = −"&amp;TEXT(I21,"# ##0")&amp;" € d'EBITDA (le fixe reste)",IF(AND(L21&gt;=0,Q21&lt;0),"⚠ BASCULE : saine → déficit à cause d'une fermeture voisine",IF(L21&lt;0,IF(I21&gt;0,"Déficit COMPLET mais contribution POSITIVE → NE PAS fermer (artefact d'allocation)","Contribution négative — vrai point dur"),"Rentable — point mort "&amp;TEXT(M21,"0")&amp;" étud., marge sécu "&amp;TEXT(N21,"0%"))))</f>
        <v/>
      </c>
      <c r="T21" s="86">
        <f>'10_Allocation'!K23</f>
        <v/>
      </c>
      <c r="U21" s="86">
        <f>'10_Allocation'!J23</f>
        <v/>
      </c>
      <c r="V21" s="87">
        <f>IF('01b_Pilotage'!$D$9="Effectif",E21,IF('01b_Pilotage'!$D$9="Nombre de classes",F21,G21))</f>
        <v/>
      </c>
    </row>
    <row r="22">
      <c r="A22" s="17">
        <f>'10_Allocation'!A24</f>
        <v/>
      </c>
      <c r="B22" s="45">
        <f>'10_Allocation'!B24</f>
        <v/>
      </c>
      <c r="C22" s="17">
        <f>'10_Allocation'!C24</f>
        <v/>
      </c>
      <c r="D22" s="45">
        <f>'10_Allocation'!D24</f>
        <v/>
      </c>
      <c r="E22" s="23">
        <f>'10_Allocation'!G24</f>
        <v/>
      </c>
      <c r="F22" s="23">
        <f>'10_Allocation'!H24</f>
        <v/>
      </c>
      <c r="G22" s="15">
        <f>'10_Allocation'!F24</f>
        <v/>
      </c>
      <c r="H22" s="15">
        <f>'10_Allocation'!I24</f>
        <v/>
      </c>
      <c r="I22" s="14">
        <f>G22-H22</f>
        <v/>
      </c>
      <c r="J22" s="15">
        <f>T22+U22</f>
        <v/>
      </c>
      <c r="K22" s="15">
        <f>H22+J22</f>
        <v/>
      </c>
      <c r="L22" s="14">
        <f>G22-K22</f>
        <v/>
      </c>
      <c r="M22" s="23">
        <f>IF(I22&lt;=0,"contrib≤0",ROUNDUP(J22/I22*E22,0))</f>
        <v/>
      </c>
      <c r="N22" s="16">
        <f>IF(I22&lt;=0,"—",1-J22/I22)</f>
        <v/>
      </c>
      <c r="O22" s="88" t="inlineStr">
        <is>
          <t>cohorte</t>
        </is>
      </c>
      <c r="P22" s="15">
        <f>IF(O22="Fermer","—",(T22+IFERROR(SUMIFS($T$6:$T$63,$A$6:$A$63,A22,$B$6:$B$63,B22,$O$6:$O$63,"Fermer")*V22/SUMIFS($V$6:$V$63,$A$6:$A$63,A22,$B$6:$B$63,B22,$O$6:$O$63,"&lt;&gt;Fermer"),0))+(U22+IFERROR(SUMIFS($U$6:$U$63,$O$6:$O$63,"Fermer")*V22/SUMIFS($V$6:$V$63,$O$6:$O$63,"&lt;&gt;Fermer"),0)))</f>
        <v/>
      </c>
      <c r="Q22" s="14">
        <f>IF(O22="Fermer","—",G22-H22-P22)</f>
        <v/>
      </c>
      <c r="R22" s="15">
        <f>IF(O22="Fermer",-I22,0)</f>
        <v/>
      </c>
      <c r="S22" s="62">
        <f>IF(O22="Fermer","✖ Fermer = −"&amp;TEXT(I22,"# ##0")&amp;" € d'EBITDA (le fixe reste)",IF(AND(L22&gt;=0,Q22&lt;0),"⚠ BASCULE : saine → déficit à cause d'une fermeture voisine",IF(L22&lt;0,IF(I22&gt;0,"Déficit COMPLET mais contribution POSITIVE → NE PAS fermer (artefact d'allocation)","Contribution négative — vrai point dur"),"Rentable — point mort "&amp;TEXT(M22,"0")&amp;" étud., marge sécu "&amp;TEXT(N22,"0%"))))</f>
        <v/>
      </c>
      <c r="T22" s="86">
        <f>'10_Allocation'!K24</f>
        <v/>
      </c>
      <c r="U22" s="86">
        <f>'10_Allocation'!J24</f>
        <v/>
      </c>
      <c r="V22" s="87">
        <f>IF('01b_Pilotage'!$D$9="Effectif",E22,IF('01b_Pilotage'!$D$9="Nombre de classes",F22,G22))</f>
        <v/>
      </c>
    </row>
    <row r="23">
      <c r="A23" s="17">
        <f>'10_Allocation'!A25</f>
        <v/>
      </c>
      <c r="B23" s="45">
        <f>'10_Allocation'!B25</f>
        <v/>
      </c>
      <c r="C23" s="17">
        <f>'10_Allocation'!C25</f>
        <v/>
      </c>
      <c r="D23" s="45">
        <f>'10_Allocation'!D25</f>
        <v/>
      </c>
      <c r="E23" s="23">
        <f>'10_Allocation'!G25</f>
        <v/>
      </c>
      <c r="F23" s="23">
        <f>'10_Allocation'!H25</f>
        <v/>
      </c>
      <c r="G23" s="15">
        <f>'10_Allocation'!F25</f>
        <v/>
      </c>
      <c r="H23" s="15">
        <f>'10_Allocation'!I25</f>
        <v/>
      </c>
      <c r="I23" s="14">
        <f>G23-H23</f>
        <v/>
      </c>
      <c r="J23" s="15">
        <f>T23+U23</f>
        <v/>
      </c>
      <c r="K23" s="15">
        <f>H23+J23</f>
        <v/>
      </c>
      <c r="L23" s="14">
        <f>G23-K23</f>
        <v/>
      </c>
      <c r="M23" s="23">
        <f>IF(I23&lt;=0,"contrib≤0",ROUNDUP(J23/I23*E23,0))</f>
        <v/>
      </c>
      <c r="N23" s="16">
        <f>IF(I23&lt;=0,"—",1-J23/I23)</f>
        <v/>
      </c>
      <c r="O23" s="88" t="inlineStr">
        <is>
          <t>cohorte</t>
        </is>
      </c>
      <c r="P23" s="15">
        <f>IF(O23="Fermer","—",(T23+IFERROR(SUMIFS($T$6:$T$63,$A$6:$A$63,A23,$B$6:$B$63,B23,$O$6:$O$63,"Fermer")*V23/SUMIFS($V$6:$V$63,$A$6:$A$63,A23,$B$6:$B$63,B23,$O$6:$O$63,"&lt;&gt;Fermer"),0))+(U23+IFERROR(SUMIFS($U$6:$U$63,$O$6:$O$63,"Fermer")*V23/SUMIFS($V$6:$V$63,$O$6:$O$63,"&lt;&gt;Fermer"),0)))</f>
        <v/>
      </c>
      <c r="Q23" s="14">
        <f>IF(O23="Fermer","—",G23-H23-P23)</f>
        <v/>
      </c>
      <c r="R23" s="15">
        <f>IF(O23="Fermer",-I23,0)</f>
        <v/>
      </c>
      <c r="S23" s="62">
        <f>IF(O23="Fermer","✖ Fermer = −"&amp;TEXT(I23,"# ##0")&amp;" € d'EBITDA (le fixe reste)",IF(AND(L23&gt;=0,Q23&lt;0),"⚠ BASCULE : saine → déficit à cause d'une fermeture voisine",IF(L23&lt;0,IF(I23&gt;0,"Déficit COMPLET mais contribution POSITIVE → NE PAS fermer (artefact d'allocation)","Contribution négative — vrai point dur"),"Rentable — point mort "&amp;TEXT(M23,"0")&amp;" étud., marge sécu "&amp;TEXT(N23,"0%"))))</f>
        <v/>
      </c>
      <c r="T23" s="86">
        <f>'10_Allocation'!K25</f>
        <v/>
      </c>
      <c r="U23" s="86">
        <f>'10_Allocation'!J25</f>
        <v/>
      </c>
      <c r="V23" s="87">
        <f>IF('01b_Pilotage'!$D$9="Effectif",E23,IF('01b_Pilotage'!$D$9="Nombre de classes",F23,G23))</f>
        <v/>
      </c>
    </row>
    <row r="24">
      <c r="A24" s="17">
        <f>'10_Allocation'!A26</f>
        <v/>
      </c>
      <c r="B24" s="45">
        <f>'10_Allocation'!B26</f>
        <v/>
      </c>
      <c r="C24" s="17">
        <f>'10_Allocation'!C26</f>
        <v/>
      </c>
      <c r="D24" s="45">
        <f>'10_Allocation'!D26</f>
        <v/>
      </c>
      <c r="E24" s="23">
        <f>'10_Allocation'!G26</f>
        <v/>
      </c>
      <c r="F24" s="23">
        <f>'10_Allocation'!H26</f>
        <v/>
      </c>
      <c r="G24" s="15">
        <f>'10_Allocation'!F26</f>
        <v/>
      </c>
      <c r="H24" s="15">
        <f>'10_Allocation'!I26</f>
        <v/>
      </c>
      <c r="I24" s="14">
        <f>G24-H24</f>
        <v/>
      </c>
      <c r="J24" s="15">
        <f>T24+U24</f>
        <v/>
      </c>
      <c r="K24" s="15">
        <f>H24+J24</f>
        <v/>
      </c>
      <c r="L24" s="14">
        <f>G24-K24</f>
        <v/>
      </c>
      <c r="M24" s="23">
        <f>IF(I24&lt;=0,"contrib≤0",ROUNDUP(J24/I24*E24,0))</f>
        <v/>
      </c>
      <c r="N24" s="16">
        <f>IF(I24&lt;=0,"—",1-J24/I24)</f>
        <v/>
      </c>
      <c r="O24" s="9" t="inlineStr">
        <is>
          <t>Garder</t>
        </is>
      </c>
      <c r="P24" s="15">
        <f>IF(O24="Fermer","—",(T24+IFERROR(SUMIFS($T$6:$T$63,$A$6:$A$63,A24,$B$6:$B$63,B24,$O$6:$O$63,"Fermer")*V24/SUMIFS($V$6:$V$63,$A$6:$A$63,A24,$B$6:$B$63,B24,$O$6:$O$63,"&lt;&gt;Fermer"),0))+(U24+IFERROR(SUMIFS($U$6:$U$63,$O$6:$O$63,"Fermer")*V24/SUMIFS($V$6:$V$63,$O$6:$O$63,"&lt;&gt;Fermer"),0)))</f>
        <v/>
      </c>
      <c r="Q24" s="14">
        <f>IF(O24="Fermer","—",G24-H24-P24)</f>
        <v/>
      </c>
      <c r="R24" s="15">
        <f>IF(O24="Fermer",-I24,0)</f>
        <v/>
      </c>
      <c r="S24" s="62">
        <f>IF(O24="Fermer","✖ Fermer = −"&amp;TEXT(I24,"# ##0")&amp;" € d'EBITDA (le fixe reste)",IF(AND(L24&gt;=0,Q24&lt;0),"⚠ BASCULE : saine → déficit à cause d'une fermeture voisine",IF(L24&lt;0,IF(I24&gt;0,"Déficit COMPLET mais contribution POSITIVE → NE PAS fermer (artefact d'allocation)","Contribution négative — vrai point dur"),"Rentable — point mort "&amp;TEXT(M24,"0")&amp;" étud., marge sécu "&amp;TEXT(N24,"0%"))))</f>
        <v/>
      </c>
      <c r="T24" s="86">
        <f>'10_Allocation'!K26</f>
        <v/>
      </c>
      <c r="U24" s="86">
        <f>'10_Allocation'!J26</f>
        <v/>
      </c>
      <c r="V24" s="87">
        <f>IF('01b_Pilotage'!$D$9="Effectif",E24,IF('01b_Pilotage'!$D$9="Nombre de classes",F24,G24))</f>
        <v/>
      </c>
    </row>
    <row r="25">
      <c r="A25" s="17">
        <f>'10_Allocation'!A27</f>
        <v/>
      </c>
      <c r="B25" s="45">
        <f>'10_Allocation'!B27</f>
        <v/>
      </c>
      <c r="C25" s="17">
        <f>'10_Allocation'!C27</f>
        <v/>
      </c>
      <c r="D25" s="45">
        <f>'10_Allocation'!D27</f>
        <v/>
      </c>
      <c r="E25" s="23">
        <f>'10_Allocation'!G27</f>
        <v/>
      </c>
      <c r="F25" s="23">
        <f>'10_Allocation'!H27</f>
        <v/>
      </c>
      <c r="G25" s="15">
        <f>'10_Allocation'!F27</f>
        <v/>
      </c>
      <c r="H25" s="15">
        <f>'10_Allocation'!I27</f>
        <v/>
      </c>
      <c r="I25" s="14">
        <f>G25-H25</f>
        <v/>
      </c>
      <c r="J25" s="15">
        <f>T25+U25</f>
        <v/>
      </c>
      <c r="K25" s="15">
        <f>H25+J25</f>
        <v/>
      </c>
      <c r="L25" s="14">
        <f>G25-K25</f>
        <v/>
      </c>
      <c r="M25" s="23">
        <f>IF(I25&lt;=0,"contrib≤0",ROUNDUP(J25/I25*E25,0))</f>
        <v/>
      </c>
      <c r="N25" s="16">
        <f>IF(I25&lt;=0,"—",1-J25/I25)</f>
        <v/>
      </c>
      <c r="O25" s="88" t="inlineStr">
        <is>
          <t>cohorte</t>
        </is>
      </c>
      <c r="P25" s="15">
        <f>IF(O25="Fermer","—",(T25+IFERROR(SUMIFS($T$6:$T$63,$A$6:$A$63,A25,$B$6:$B$63,B25,$O$6:$O$63,"Fermer")*V25/SUMIFS($V$6:$V$63,$A$6:$A$63,A25,$B$6:$B$63,B25,$O$6:$O$63,"&lt;&gt;Fermer"),0))+(U25+IFERROR(SUMIFS($U$6:$U$63,$O$6:$O$63,"Fermer")*V25/SUMIFS($V$6:$V$63,$O$6:$O$63,"&lt;&gt;Fermer"),0)))</f>
        <v/>
      </c>
      <c r="Q25" s="14">
        <f>IF(O25="Fermer","—",G25-H25-P25)</f>
        <v/>
      </c>
      <c r="R25" s="15">
        <f>IF(O25="Fermer",-I25,0)</f>
        <v/>
      </c>
      <c r="S25" s="62">
        <f>IF(O25="Fermer","✖ Fermer = −"&amp;TEXT(I25,"# ##0")&amp;" € d'EBITDA (le fixe reste)",IF(AND(L25&gt;=0,Q25&lt;0),"⚠ BASCULE : saine → déficit à cause d'une fermeture voisine",IF(L25&lt;0,IF(I25&gt;0,"Déficit COMPLET mais contribution POSITIVE → NE PAS fermer (artefact d'allocation)","Contribution négative — vrai point dur"),"Rentable — point mort "&amp;TEXT(M25,"0")&amp;" étud., marge sécu "&amp;TEXT(N25,"0%"))))</f>
        <v/>
      </c>
      <c r="T25" s="86">
        <f>'10_Allocation'!K27</f>
        <v/>
      </c>
      <c r="U25" s="86">
        <f>'10_Allocation'!J27</f>
        <v/>
      </c>
      <c r="V25" s="87">
        <f>IF('01b_Pilotage'!$D$9="Effectif",E25,IF('01b_Pilotage'!$D$9="Nombre de classes",F25,G25))</f>
        <v/>
      </c>
    </row>
    <row r="26">
      <c r="A26" s="17">
        <f>'10_Allocation'!A28</f>
        <v/>
      </c>
      <c r="B26" s="45">
        <f>'10_Allocation'!B28</f>
        <v/>
      </c>
      <c r="C26" s="17">
        <f>'10_Allocation'!C28</f>
        <v/>
      </c>
      <c r="D26" s="45">
        <f>'10_Allocation'!D28</f>
        <v/>
      </c>
      <c r="E26" s="23">
        <f>'10_Allocation'!G28</f>
        <v/>
      </c>
      <c r="F26" s="23">
        <f>'10_Allocation'!H28</f>
        <v/>
      </c>
      <c r="G26" s="15">
        <f>'10_Allocation'!F28</f>
        <v/>
      </c>
      <c r="H26" s="15">
        <f>'10_Allocation'!I28</f>
        <v/>
      </c>
      <c r="I26" s="14">
        <f>G26-H26</f>
        <v/>
      </c>
      <c r="J26" s="15">
        <f>T26+U26</f>
        <v/>
      </c>
      <c r="K26" s="15">
        <f>H26+J26</f>
        <v/>
      </c>
      <c r="L26" s="14">
        <f>G26-K26</f>
        <v/>
      </c>
      <c r="M26" s="23">
        <f>IF(I26&lt;=0,"contrib≤0",ROUNDUP(J26/I26*E26,0))</f>
        <v/>
      </c>
      <c r="N26" s="16">
        <f>IF(I26&lt;=0,"—",1-J26/I26)</f>
        <v/>
      </c>
      <c r="O26" s="9" t="inlineStr">
        <is>
          <t>Garder</t>
        </is>
      </c>
      <c r="P26" s="15">
        <f>IF(O26="Fermer","—",(T26+IFERROR(SUMIFS($T$6:$T$63,$A$6:$A$63,A26,$B$6:$B$63,B26,$O$6:$O$63,"Fermer")*V26/SUMIFS($V$6:$V$63,$A$6:$A$63,A26,$B$6:$B$63,B26,$O$6:$O$63,"&lt;&gt;Fermer"),0))+(U26+IFERROR(SUMIFS($U$6:$U$63,$O$6:$O$63,"Fermer")*V26/SUMIFS($V$6:$V$63,$O$6:$O$63,"&lt;&gt;Fermer"),0)))</f>
        <v/>
      </c>
      <c r="Q26" s="14">
        <f>IF(O26="Fermer","—",G26-H26-P26)</f>
        <v/>
      </c>
      <c r="R26" s="15">
        <f>IF(O26="Fermer",-I26,0)</f>
        <v/>
      </c>
      <c r="S26" s="62">
        <f>IF(O26="Fermer","✖ Fermer = −"&amp;TEXT(I26,"# ##0")&amp;" € d'EBITDA (le fixe reste)",IF(AND(L26&gt;=0,Q26&lt;0),"⚠ BASCULE : saine → déficit à cause d'une fermeture voisine",IF(L26&lt;0,IF(I26&gt;0,"Déficit COMPLET mais contribution POSITIVE → NE PAS fermer (artefact d'allocation)","Contribution négative — vrai point dur"),"Rentable — point mort "&amp;TEXT(M26,"0")&amp;" étud., marge sécu "&amp;TEXT(N26,"0%"))))</f>
        <v/>
      </c>
      <c r="T26" s="86">
        <f>'10_Allocation'!K28</f>
        <v/>
      </c>
      <c r="U26" s="86">
        <f>'10_Allocation'!J28</f>
        <v/>
      </c>
      <c r="V26" s="87">
        <f>IF('01b_Pilotage'!$D$9="Effectif",E26,IF('01b_Pilotage'!$D$9="Nombre de classes",F26,G26))</f>
        <v/>
      </c>
    </row>
    <row r="27">
      <c r="A27" s="17">
        <f>'10_Allocation'!A29</f>
        <v/>
      </c>
      <c r="B27" s="45">
        <f>'10_Allocation'!B29</f>
        <v/>
      </c>
      <c r="C27" s="17">
        <f>'10_Allocation'!C29</f>
        <v/>
      </c>
      <c r="D27" s="45">
        <f>'10_Allocation'!D29</f>
        <v/>
      </c>
      <c r="E27" s="23">
        <f>'10_Allocation'!G29</f>
        <v/>
      </c>
      <c r="F27" s="23">
        <f>'10_Allocation'!H29</f>
        <v/>
      </c>
      <c r="G27" s="15">
        <f>'10_Allocation'!F29</f>
        <v/>
      </c>
      <c r="H27" s="15">
        <f>'10_Allocation'!I29</f>
        <v/>
      </c>
      <c r="I27" s="14">
        <f>G27-H27</f>
        <v/>
      </c>
      <c r="J27" s="15">
        <f>T27+U27</f>
        <v/>
      </c>
      <c r="K27" s="15">
        <f>H27+J27</f>
        <v/>
      </c>
      <c r="L27" s="14">
        <f>G27-K27</f>
        <v/>
      </c>
      <c r="M27" s="23">
        <f>IF(I27&lt;=0,"contrib≤0",ROUNDUP(J27/I27*E27,0))</f>
        <v/>
      </c>
      <c r="N27" s="16">
        <f>IF(I27&lt;=0,"—",1-J27/I27)</f>
        <v/>
      </c>
      <c r="O27" s="88" t="inlineStr">
        <is>
          <t>cohorte</t>
        </is>
      </c>
      <c r="P27" s="15">
        <f>IF(O27="Fermer","—",(T27+IFERROR(SUMIFS($T$6:$T$63,$A$6:$A$63,A27,$B$6:$B$63,B27,$O$6:$O$63,"Fermer")*V27/SUMIFS($V$6:$V$63,$A$6:$A$63,A27,$B$6:$B$63,B27,$O$6:$O$63,"&lt;&gt;Fermer"),0))+(U27+IFERROR(SUMIFS($U$6:$U$63,$O$6:$O$63,"Fermer")*V27/SUMIFS($V$6:$V$63,$O$6:$O$63,"&lt;&gt;Fermer"),0)))</f>
        <v/>
      </c>
      <c r="Q27" s="14">
        <f>IF(O27="Fermer","—",G27-H27-P27)</f>
        <v/>
      </c>
      <c r="R27" s="15">
        <f>IF(O27="Fermer",-I27,0)</f>
        <v/>
      </c>
      <c r="S27" s="62">
        <f>IF(O27="Fermer","✖ Fermer = −"&amp;TEXT(I27,"# ##0")&amp;" € d'EBITDA (le fixe reste)",IF(AND(L27&gt;=0,Q27&lt;0),"⚠ BASCULE : saine → déficit à cause d'une fermeture voisine",IF(L27&lt;0,IF(I27&gt;0,"Déficit COMPLET mais contribution POSITIVE → NE PAS fermer (artefact d'allocation)","Contribution négative — vrai point dur"),"Rentable — point mort "&amp;TEXT(M27,"0")&amp;" étud., marge sécu "&amp;TEXT(N27,"0%"))))</f>
        <v/>
      </c>
      <c r="T27" s="86">
        <f>'10_Allocation'!K29</f>
        <v/>
      </c>
      <c r="U27" s="86">
        <f>'10_Allocation'!J29</f>
        <v/>
      </c>
      <c r="V27" s="87">
        <f>IF('01b_Pilotage'!$D$9="Effectif",E27,IF('01b_Pilotage'!$D$9="Nombre de classes",F27,G27))</f>
        <v/>
      </c>
    </row>
    <row r="28">
      <c r="A28" s="17">
        <f>'10_Allocation'!A30</f>
        <v/>
      </c>
      <c r="B28" s="45">
        <f>'10_Allocation'!B30</f>
        <v/>
      </c>
      <c r="C28" s="17">
        <f>'10_Allocation'!C30</f>
        <v/>
      </c>
      <c r="D28" s="45">
        <f>'10_Allocation'!D30</f>
        <v/>
      </c>
      <c r="E28" s="23">
        <f>'10_Allocation'!G30</f>
        <v/>
      </c>
      <c r="F28" s="23">
        <f>'10_Allocation'!H30</f>
        <v/>
      </c>
      <c r="G28" s="15">
        <f>'10_Allocation'!F30</f>
        <v/>
      </c>
      <c r="H28" s="15">
        <f>'10_Allocation'!I30</f>
        <v/>
      </c>
      <c r="I28" s="14">
        <f>G28-H28</f>
        <v/>
      </c>
      <c r="J28" s="15">
        <f>T28+U28</f>
        <v/>
      </c>
      <c r="K28" s="15">
        <f>H28+J28</f>
        <v/>
      </c>
      <c r="L28" s="14">
        <f>G28-K28</f>
        <v/>
      </c>
      <c r="M28" s="23">
        <f>IF(I28&lt;=0,"contrib≤0",ROUNDUP(J28/I28*E28,0))</f>
        <v/>
      </c>
      <c r="N28" s="16">
        <f>IF(I28&lt;=0,"—",1-J28/I28)</f>
        <v/>
      </c>
      <c r="O28" s="88" t="inlineStr">
        <is>
          <t>cohorte</t>
        </is>
      </c>
      <c r="P28" s="15">
        <f>IF(O28="Fermer","—",(T28+IFERROR(SUMIFS($T$6:$T$63,$A$6:$A$63,A28,$B$6:$B$63,B28,$O$6:$O$63,"Fermer")*V28/SUMIFS($V$6:$V$63,$A$6:$A$63,A28,$B$6:$B$63,B28,$O$6:$O$63,"&lt;&gt;Fermer"),0))+(U28+IFERROR(SUMIFS($U$6:$U$63,$O$6:$O$63,"Fermer")*V28/SUMIFS($V$6:$V$63,$O$6:$O$63,"&lt;&gt;Fermer"),0)))</f>
        <v/>
      </c>
      <c r="Q28" s="14">
        <f>IF(O28="Fermer","—",G28-H28-P28)</f>
        <v/>
      </c>
      <c r="R28" s="15">
        <f>IF(O28="Fermer",-I28,0)</f>
        <v/>
      </c>
      <c r="S28" s="62">
        <f>IF(O28="Fermer","✖ Fermer = −"&amp;TEXT(I28,"# ##0")&amp;" € d'EBITDA (le fixe reste)",IF(AND(L28&gt;=0,Q28&lt;0),"⚠ BASCULE : saine → déficit à cause d'une fermeture voisine",IF(L28&lt;0,IF(I28&gt;0,"Déficit COMPLET mais contribution POSITIVE → NE PAS fermer (artefact d'allocation)","Contribution négative — vrai point dur"),"Rentable — point mort "&amp;TEXT(M28,"0")&amp;" étud., marge sécu "&amp;TEXT(N28,"0%"))))</f>
        <v/>
      </c>
      <c r="T28" s="86">
        <f>'10_Allocation'!K30</f>
        <v/>
      </c>
      <c r="U28" s="86">
        <f>'10_Allocation'!J30</f>
        <v/>
      </c>
      <c r="V28" s="87">
        <f>IF('01b_Pilotage'!$D$9="Effectif",E28,IF('01b_Pilotage'!$D$9="Nombre de classes",F28,G28))</f>
        <v/>
      </c>
    </row>
    <row r="29">
      <c r="A29" s="17">
        <f>'10_Allocation'!A31</f>
        <v/>
      </c>
      <c r="B29" s="45">
        <f>'10_Allocation'!B31</f>
        <v/>
      </c>
      <c r="C29" s="17">
        <f>'10_Allocation'!C31</f>
        <v/>
      </c>
      <c r="D29" s="45">
        <f>'10_Allocation'!D31</f>
        <v/>
      </c>
      <c r="E29" s="23">
        <f>'10_Allocation'!G31</f>
        <v/>
      </c>
      <c r="F29" s="23">
        <f>'10_Allocation'!H31</f>
        <v/>
      </c>
      <c r="G29" s="15">
        <f>'10_Allocation'!F31</f>
        <v/>
      </c>
      <c r="H29" s="15">
        <f>'10_Allocation'!I31</f>
        <v/>
      </c>
      <c r="I29" s="14">
        <f>G29-H29</f>
        <v/>
      </c>
      <c r="J29" s="15">
        <f>T29+U29</f>
        <v/>
      </c>
      <c r="K29" s="15">
        <f>H29+J29</f>
        <v/>
      </c>
      <c r="L29" s="14">
        <f>G29-K29</f>
        <v/>
      </c>
      <c r="M29" s="23">
        <f>IF(I29&lt;=0,"contrib≤0",ROUNDUP(J29/I29*E29,0))</f>
        <v/>
      </c>
      <c r="N29" s="16">
        <f>IF(I29&lt;=0,"—",1-J29/I29)</f>
        <v/>
      </c>
      <c r="O29" s="9" t="inlineStr">
        <is>
          <t>Garder</t>
        </is>
      </c>
      <c r="P29" s="15">
        <f>IF(O29="Fermer","—",(T29+IFERROR(SUMIFS($T$6:$T$63,$A$6:$A$63,A29,$B$6:$B$63,B29,$O$6:$O$63,"Fermer")*V29/SUMIFS($V$6:$V$63,$A$6:$A$63,A29,$B$6:$B$63,B29,$O$6:$O$63,"&lt;&gt;Fermer"),0))+(U29+IFERROR(SUMIFS($U$6:$U$63,$O$6:$O$63,"Fermer")*V29/SUMIFS($V$6:$V$63,$O$6:$O$63,"&lt;&gt;Fermer"),0)))</f>
        <v/>
      </c>
      <c r="Q29" s="14">
        <f>IF(O29="Fermer","—",G29-H29-P29)</f>
        <v/>
      </c>
      <c r="R29" s="15">
        <f>IF(O29="Fermer",-I29,0)</f>
        <v/>
      </c>
      <c r="S29" s="62">
        <f>IF(O29="Fermer","✖ Fermer = −"&amp;TEXT(I29,"# ##0")&amp;" € d'EBITDA (le fixe reste)",IF(AND(L29&gt;=0,Q29&lt;0),"⚠ BASCULE : saine → déficit à cause d'une fermeture voisine",IF(L29&lt;0,IF(I29&gt;0,"Déficit COMPLET mais contribution POSITIVE → NE PAS fermer (artefact d'allocation)","Contribution négative — vrai point dur"),"Rentable — point mort "&amp;TEXT(M29,"0")&amp;" étud., marge sécu "&amp;TEXT(N29,"0%"))))</f>
        <v/>
      </c>
      <c r="T29" s="86">
        <f>'10_Allocation'!K31</f>
        <v/>
      </c>
      <c r="U29" s="86">
        <f>'10_Allocation'!J31</f>
        <v/>
      </c>
      <c r="V29" s="87">
        <f>IF('01b_Pilotage'!$D$9="Effectif",E29,IF('01b_Pilotage'!$D$9="Nombre de classes",F29,G29))</f>
        <v/>
      </c>
    </row>
    <row r="30">
      <c r="A30" s="17">
        <f>'10_Allocation'!A32</f>
        <v/>
      </c>
      <c r="B30" s="45">
        <f>'10_Allocation'!B32</f>
        <v/>
      </c>
      <c r="C30" s="17">
        <f>'10_Allocation'!C32</f>
        <v/>
      </c>
      <c r="D30" s="45">
        <f>'10_Allocation'!D32</f>
        <v/>
      </c>
      <c r="E30" s="23">
        <f>'10_Allocation'!G32</f>
        <v/>
      </c>
      <c r="F30" s="23">
        <f>'10_Allocation'!H32</f>
        <v/>
      </c>
      <c r="G30" s="15">
        <f>'10_Allocation'!F32</f>
        <v/>
      </c>
      <c r="H30" s="15">
        <f>'10_Allocation'!I32</f>
        <v/>
      </c>
      <c r="I30" s="14">
        <f>G30-H30</f>
        <v/>
      </c>
      <c r="J30" s="15">
        <f>T30+U30</f>
        <v/>
      </c>
      <c r="K30" s="15">
        <f>H30+J30</f>
        <v/>
      </c>
      <c r="L30" s="14">
        <f>G30-K30</f>
        <v/>
      </c>
      <c r="M30" s="23">
        <f>IF(I30&lt;=0,"contrib≤0",ROUNDUP(J30/I30*E30,0))</f>
        <v/>
      </c>
      <c r="N30" s="16">
        <f>IF(I30&lt;=0,"—",1-J30/I30)</f>
        <v/>
      </c>
      <c r="O30" s="88" t="inlineStr">
        <is>
          <t>cohorte</t>
        </is>
      </c>
      <c r="P30" s="15">
        <f>IF(O30="Fermer","—",(T30+IFERROR(SUMIFS($T$6:$T$63,$A$6:$A$63,A30,$B$6:$B$63,B30,$O$6:$O$63,"Fermer")*V30/SUMIFS($V$6:$V$63,$A$6:$A$63,A30,$B$6:$B$63,B30,$O$6:$O$63,"&lt;&gt;Fermer"),0))+(U30+IFERROR(SUMIFS($U$6:$U$63,$O$6:$O$63,"Fermer")*V30/SUMIFS($V$6:$V$63,$O$6:$O$63,"&lt;&gt;Fermer"),0)))</f>
        <v/>
      </c>
      <c r="Q30" s="14">
        <f>IF(O30="Fermer","—",G30-H30-P30)</f>
        <v/>
      </c>
      <c r="R30" s="15">
        <f>IF(O30="Fermer",-I30,0)</f>
        <v/>
      </c>
      <c r="S30" s="62">
        <f>IF(O30="Fermer","✖ Fermer = −"&amp;TEXT(I30,"# ##0")&amp;" € d'EBITDA (le fixe reste)",IF(AND(L30&gt;=0,Q30&lt;0),"⚠ BASCULE : saine → déficit à cause d'une fermeture voisine",IF(L30&lt;0,IF(I30&gt;0,"Déficit COMPLET mais contribution POSITIVE → NE PAS fermer (artefact d'allocation)","Contribution négative — vrai point dur"),"Rentable — point mort "&amp;TEXT(M30,"0")&amp;" étud., marge sécu "&amp;TEXT(N30,"0%"))))</f>
        <v/>
      </c>
      <c r="T30" s="86">
        <f>'10_Allocation'!K32</f>
        <v/>
      </c>
      <c r="U30" s="86">
        <f>'10_Allocation'!J32</f>
        <v/>
      </c>
      <c r="V30" s="87">
        <f>IF('01b_Pilotage'!$D$9="Effectif",E30,IF('01b_Pilotage'!$D$9="Nombre de classes",F30,G30))</f>
        <v/>
      </c>
    </row>
    <row r="31">
      <c r="A31" s="17">
        <f>'10_Allocation'!A33</f>
        <v/>
      </c>
      <c r="B31" s="45">
        <f>'10_Allocation'!B33</f>
        <v/>
      </c>
      <c r="C31" s="17">
        <f>'10_Allocation'!C33</f>
        <v/>
      </c>
      <c r="D31" s="45">
        <f>'10_Allocation'!D33</f>
        <v/>
      </c>
      <c r="E31" s="23">
        <f>'10_Allocation'!G33</f>
        <v/>
      </c>
      <c r="F31" s="23">
        <f>'10_Allocation'!H33</f>
        <v/>
      </c>
      <c r="G31" s="15">
        <f>'10_Allocation'!F33</f>
        <v/>
      </c>
      <c r="H31" s="15">
        <f>'10_Allocation'!I33</f>
        <v/>
      </c>
      <c r="I31" s="14">
        <f>G31-H31</f>
        <v/>
      </c>
      <c r="J31" s="15">
        <f>T31+U31</f>
        <v/>
      </c>
      <c r="K31" s="15">
        <f>H31+J31</f>
        <v/>
      </c>
      <c r="L31" s="14">
        <f>G31-K31</f>
        <v/>
      </c>
      <c r="M31" s="23">
        <f>IF(I31&lt;=0,"contrib≤0",ROUNDUP(J31/I31*E31,0))</f>
        <v/>
      </c>
      <c r="N31" s="16">
        <f>IF(I31&lt;=0,"—",1-J31/I31)</f>
        <v/>
      </c>
      <c r="O31" s="9" t="inlineStr">
        <is>
          <t>Garder</t>
        </is>
      </c>
      <c r="P31" s="15">
        <f>IF(O31="Fermer","—",(T31+IFERROR(SUMIFS($T$6:$T$63,$A$6:$A$63,A31,$B$6:$B$63,B31,$O$6:$O$63,"Fermer")*V31/SUMIFS($V$6:$V$63,$A$6:$A$63,A31,$B$6:$B$63,B31,$O$6:$O$63,"&lt;&gt;Fermer"),0))+(U31+IFERROR(SUMIFS($U$6:$U$63,$O$6:$O$63,"Fermer")*V31/SUMIFS($V$6:$V$63,$O$6:$O$63,"&lt;&gt;Fermer"),0)))</f>
        <v/>
      </c>
      <c r="Q31" s="14">
        <f>IF(O31="Fermer","—",G31-H31-P31)</f>
        <v/>
      </c>
      <c r="R31" s="15">
        <f>IF(O31="Fermer",-I31,0)</f>
        <v/>
      </c>
      <c r="S31" s="62">
        <f>IF(O31="Fermer","✖ Fermer = −"&amp;TEXT(I31,"# ##0")&amp;" € d'EBITDA (le fixe reste)",IF(AND(L31&gt;=0,Q31&lt;0),"⚠ BASCULE : saine → déficit à cause d'une fermeture voisine",IF(L31&lt;0,IF(I31&gt;0,"Déficit COMPLET mais contribution POSITIVE → NE PAS fermer (artefact d'allocation)","Contribution négative — vrai point dur"),"Rentable — point mort "&amp;TEXT(M31,"0")&amp;" étud., marge sécu "&amp;TEXT(N31,"0%"))))</f>
        <v/>
      </c>
      <c r="T31" s="86">
        <f>'10_Allocation'!K33</f>
        <v/>
      </c>
      <c r="U31" s="86">
        <f>'10_Allocation'!J33</f>
        <v/>
      </c>
      <c r="V31" s="87">
        <f>IF('01b_Pilotage'!$D$9="Effectif",E31,IF('01b_Pilotage'!$D$9="Nombre de classes",F31,G31))</f>
        <v/>
      </c>
    </row>
    <row r="32">
      <c r="A32" s="17">
        <f>'10_Allocation'!A34</f>
        <v/>
      </c>
      <c r="B32" s="45">
        <f>'10_Allocation'!B34</f>
        <v/>
      </c>
      <c r="C32" s="17">
        <f>'10_Allocation'!C34</f>
        <v/>
      </c>
      <c r="D32" s="45">
        <f>'10_Allocation'!D34</f>
        <v/>
      </c>
      <c r="E32" s="23">
        <f>'10_Allocation'!G34</f>
        <v/>
      </c>
      <c r="F32" s="23">
        <f>'10_Allocation'!H34</f>
        <v/>
      </c>
      <c r="G32" s="15">
        <f>'10_Allocation'!F34</f>
        <v/>
      </c>
      <c r="H32" s="15">
        <f>'10_Allocation'!I34</f>
        <v/>
      </c>
      <c r="I32" s="14">
        <f>G32-H32</f>
        <v/>
      </c>
      <c r="J32" s="15">
        <f>T32+U32</f>
        <v/>
      </c>
      <c r="K32" s="15">
        <f>H32+J32</f>
        <v/>
      </c>
      <c r="L32" s="14">
        <f>G32-K32</f>
        <v/>
      </c>
      <c r="M32" s="23">
        <f>IF(I32&lt;=0,"contrib≤0",ROUNDUP(J32/I32*E32,0))</f>
        <v/>
      </c>
      <c r="N32" s="16">
        <f>IF(I32&lt;=0,"—",1-J32/I32)</f>
        <v/>
      </c>
      <c r="O32" s="88" t="inlineStr">
        <is>
          <t>cohorte</t>
        </is>
      </c>
      <c r="P32" s="15">
        <f>IF(O32="Fermer","—",(T32+IFERROR(SUMIFS($T$6:$T$63,$A$6:$A$63,A32,$B$6:$B$63,B32,$O$6:$O$63,"Fermer")*V32/SUMIFS($V$6:$V$63,$A$6:$A$63,A32,$B$6:$B$63,B32,$O$6:$O$63,"&lt;&gt;Fermer"),0))+(U32+IFERROR(SUMIFS($U$6:$U$63,$O$6:$O$63,"Fermer")*V32/SUMIFS($V$6:$V$63,$O$6:$O$63,"&lt;&gt;Fermer"),0)))</f>
        <v/>
      </c>
      <c r="Q32" s="14">
        <f>IF(O32="Fermer","—",G32-H32-P32)</f>
        <v/>
      </c>
      <c r="R32" s="15">
        <f>IF(O32="Fermer",-I32,0)</f>
        <v/>
      </c>
      <c r="S32" s="62">
        <f>IF(O32="Fermer","✖ Fermer = −"&amp;TEXT(I32,"# ##0")&amp;" € d'EBITDA (le fixe reste)",IF(AND(L32&gt;=0,Q32&lt;0),"⚠ BASCULE : saine → déficit à cause d'une fermeture voisine",IF(L32&lt;0,IF(I32&gt;0,"Déficit COMPLET mais contribution POSITIVE → NE PAS fermer (artefact d'allocation)","Contribution négative — vrai point dur"),"Rentable — point mort "&amp;TEXT(M32,"0")&amp;" étud., marge sécu "&amp;TEXT(N32,"0%"))))</f>
        <v/>
      </c>
      <c r="T32" s="86">
        <f>'10_Allocation'!K34</f>
        <v/>
      </c>
      <c r="U32" s="86">
        <f>'10_Allocation'!J34</f>
        <v/>
      </c>
      <c r="V32" s="87">
        <f>IF('01b_Pilotage'!$D$9="Effectif",E32,IF('01b_Pilotage'!$D$9="Nombre de classes",F32,G32))</f>
        <v/>
      </c>
    </row>
    <row r="33">
      <c r="A33" s="17">
        <f>'10_Allocation'!A35</f>
        <v/>
      </c>
      <c r="B33" s="45">
        <f>'10_Allocation'!B35</f>
        <v/>
      </c>
      <c r="C33" s="17">
        <f>'10_Allocation'!C35</f>
        <v/>
      </c>
      <c r="D33" s="45">
        <f>'10_Allocation'!D35</f>
        <v/>
      </c>
      <c r="E33" s="23">
        <f>'10_Allocation'!G35</f>
        <v/>
      </c>
      <c r="F33" s="23">
        <f>'10_Allocation'!H35</f>
        <v/>
      </c>
      <c r="G33" s="15">
        <f>'10_Allocation'!F35</f>
        <v/>
      </c>
      <c r="H33" s="15">
        <f>'10_Allocation'!I35</f>
        <v/>
      </c>
      <c r="I33" s="14">
        <f>G33-H33</f>
        <v/>
      </c>
      <c r="J33" s="15">
        <f>T33+U33</f>
        <v/>
      </c>
      <c r="K33" s="15">
        <f>H33+J33</f>
        <v/>
      </c>
      <c r="L33" s="14">
        <f>G33-K33</f>
        <v/>
      </c>
      <c r="M33" s="23">
        <f>IF(I33&lt;=0,"contrib≤0",ROUNDUP(J33/I33*E33,0))</f>
        <v/>
      </c>
      <c r="N33" s="16">
        <f>IF(I33&lt;=0,"—",1-J33/I33)</f>
        <v/>
      </c>
      <c r="O33" s="88" t="inlineStr">
        <is>
          <t>cohorte</t>
        </is>
      </c>
      <c r="P33" s="15">
        <f>IF(O33="Fermer","—",(T33+IFERROR(SUMIFS($T$6:$T$63,$A$6:$A$63,A33,$B$6:$B$63,B33,$O$6:$O$63,"Fermer")*V33/SUMIFS($V$6:$V$63,$A$6:$A$63,A33,$B$6:$B$63,B33,$O$6:$O$63,"&lt;&gt;Fermer"),0))+(U33+IFERROR(SUMIFS($U$6:$U$63,$O$6:$O$63,"Fermer")*V33/SUMIFS($V$6:$V$63,$O$6:$O$63,"&lt;&gt;Fermer"),0)))</f>
        <v/>
      </c>
      <c r="Q33" s="14">
        <f>IF(O33="Fermer","—",G33-H33-P33)</f>
        <v/>
      </c>
      <c r="R33" s="15">
        <f>IF(O33="Fermer",-I33,0)</f>
        <v/>
      </c>
      <c r="S33" s="62">
        <f>IF(O33="Fermer","✖ Fermer = −"&amp;TEXT(I33,"# ##0")&amp;" € d'EBITDA (le fixe reste)",IF(AND(L33&gt;=0,Q33&lt;0),"⚠ BASCULE : saine → déficit à cause d'une fermeture voisine",IF(L33&lt;0,IF(I33&gt;0,"Déficit COMPLET mais contribution POSITIVE → NE PAS fermer (artefact d'allocation)","Contribution négative — vrai point dur"),"Rentable — point mort "&amp;TEXT(M33,"0")&amp;" étud., marge sécu "&amp;TEXT(N33,"0%"))))</f>
        <v/>
      </c>
      <c r="T33" s="86">
        <f>'10_Allocation'!K35</f>
        <v/>
      </c>
      <c r="U33" s="86">
        <f>'10_Allocation'!J35</f>
        <v/>
      </c>
      <c r="V33" s="87">
        <f>IF('01b_Pilotage'!$D$9="Effectif",E33,IF('01b_Pilotage'!$D$9="Nombre de classes",F33,G33))</f>
        <v/>
      </c>
    </row>
    <row r="34">
      <c r="A34" s="17">
        <f>'10_Allocation'!A36</f>
        <v/>
      </c>
      <c r="B34" s="45">
        <f>'10_Allocation'!B36</f>
        <v/>
      </c>
      <c r="C34" s="17">
        <f>'10_Allocation'!C36</f>
        <v/>
      </c>
      <c r="D34" s="45">
        <f>'10_Allocation'!D36</f>
        <v/>
      </c>
      <c r="E34" s="23">
        <f>'10_Allocation'!G36</f>
        <v/>
      </c>
      <c r="F34" s="23">
        <f>'10_Allocation'!H36</f>
        <v/>
      </c>
      <c r="G34" s="15">
        <f>'10_Allocation'!F36</f>
        <v/>
      </c>
      <c r="H34" s="15">
        <f>'10_Allocation'!I36</f>
        <v/>
      </c>
      <c r="I34" s="14">
        <f>G34-H34</f>
        <v/>
      </c>
      <c r="J34" s="15">
        <f>T34+U34</f>
        <v/>
      </c>
      <c r="K34" s="15">
        <f>H34+J34</f>
        <v/>
      </c>
      <c r="L34" s="14">
        <f>G34-K34</f>
        <v/>
      </c>
      <c r="M34" s="23">
        <f>IF(I34&lt;=0,"contrib≤0",ROUNDUP(J34/I34*E34,0))</f>
        <v/>
      </c>
      <c r="N34" s="16">
        <f>IF(I34&lt;=0,"—",1-J34/I34)</f>
        <v/>
      </c>
      <c r="O34" s="9" t="inlineStr">
        <is>
          <t>Garder</t>
        </is>
      </c>
      <c r="P34" s="15">
        <f>IF(O34="Fermer","—",(T34+IFERROR(SUMIFS($T$6:$T$63,$A$6:$A$63,A34,$B$6:$B$63,B34,$O$6:$O$63,"Fermer")*V34/SUMIFS($V$6:$V$63,$A$6:$A$63,A34,$B$6:$B$63,B34,$O$6:$O$63,"&lt;&gt;Fermer"),0))+(U34+IFERROR(SUMIFS($U$6:$U$63,$O$6:$O$63,"Fermer")*V34/SUMIFS($V$6:$V$63,$O$6:$O$63,"&lt;&gt;Fermer"),0)))</f>
        <v/>
      </c>
      <c r="Q34" s="14">
        <f>IF(O34="Fermer","—",G34-H34-P34)</f>
        <v/>
      </c>
      <c r="R34" s="15">
        <f>IF(O34="Fermer",-I34,0)</f>
        <v/>
      </c>
      <c r="S34" s="62">
        <f>IF(O34="Fermer","✖ Fermer = −"&amp;TEXT(I34,"# ##0")&amp;" € d'EBITDA (le fixe reste)",IF(AND(L34&gt;=0,Q34&lt;0),"⚠ BASCULE : saine → déficit à cause d'une fermeture voisine",IF(L34&lt;0,IF(I34&gt;0,"Déficit COMPLET mais contribution POSITIVE → NE PAS fermer (artefact d'allocation)","Contribution négative — vrai point dur"),"Rentable — point mort "&amp;TEXT(M34,"0")&amp;" étud., marge sécu "&amp;TEXT(N34,"0%"))))</f>
        <v/>
      </c>
      <c r="T34" s="86">
        <f>'10_Allocation'!K36</f>
        <v/>
      </c>
      <c r="U34" s="86">
        <f>'10_Allocation'!J36</f>
        <v/>
      </c>
      <c r="V34" s="87">
        <f>IF('01b_Pilotage'!$D$9="Effectif",E34,IF('01b_Pilotage'!$D$9="Nombre de classes",F34,G34))</f>
        <v/>
      </c>
    </row>
    <row r="35">
      <c r="A35" s="17">
        <f>'10_Allocation'!A37</f>
        <v/>
      </c>
      <c r="B35" s="45">
        <f>'10_Allocation'!B37</f>
        <v/>
      </c>
      <c r="C35" s="17">
        <f>'10_Allocation'!C37</f>
        <v/>
      </c>
      <c r="D35" s="45">
        <f>'10_Allocation'!D37</f>
        <v/>
      </c>
      <c r="E35" s="23">
        <f>'10_Allocation'!G37</f>
        <v/>
      </c>
      <c r="F35" s="23">
        <f>'10_Allocation'!H37</f>
        <v/>
      </c>
      <c r="G35" s="15">
        <f>'10_Allocation'!F37</f>
        <v/>
      </c>
      <c r="H35" s="15">
        <f>'10_Allocation'!I37</f>
        <v/>
      </c>
      <c r="I35" s="14">
        <f>G35-H35</f>
        <v/>
      </c>
      <c r="J35" s="15">
        <f>T35+U35</f>
        <v/>
      </c>
      <c r="K35" s="15">
        <f>H35+J35</f>
        <v/>
      </c>
      <c r="L35" s="14">
        <f>G35-K35</f>
        <v/>
      </c>
      <c r="M35" s="23">
        <f>IF(I35&lt;=0,"contrib≤0",ROUNDUP(J35/I35*E35,0))</f>
        <v/>
      </c>
      <c r="N35" s="16">
        <f>IF(I35&lt;=0,"—",1-J35/I35)</f>
        <v/>
      </c>
      <c r="O35" s="88" t="inlineStr">
        <is>
          <t>cohorte</t>
        </is>
      </c>
      <c r="P35" s="15">
        <f>IF(O35="Fermer","—",(T35+IFERROR(SUMIFS($T$6:$T$63,$A$6:$A$63,A35,$B$6:$B$63,B35,$O$6:$O$63,"Fermer")*V35/SUMIFS($V$6:$V$63,$A$6:$A$63,A35,$B$6:$B$63,B35,$O$6:$O$63,"&lt;&gt;Fermer"),0))+(U35+IFERROR(SUMIFS($U$6:$U$63,$O$6:$O$63,"Fermer")*V35/SUMIFS($V$6:$V$63,$O$6:$O$63,"&lt;&gt;Fermer"),0)))</f>
        <v/>
      </c>
      <c r="Q35" s="14">
        <f>IF(O35="Fermer","—",G35-H35-P35)</f>
        <v/>
      </c>
      <c r="R35" s="15">
        <f>IF(O35="Fermer",-I35,0)</f>
        <v/>
      </c>
      <c r="S35" s="62">
        <f>IF(O35="Fermer","✖ Fermer = −"&amp;TEXT(I35,"# ##0")&amp;" € d'EBITDA (le fixe reste)",IF(AND(L35&gt;=0,Q35&lt;0),"⚠ BASCULE : saine → déficit à cause d'une fermeture voisine",IF(L35&lt;0,IF(I35&gt;0,"Déficit COMPLET mais contribution POSITIVE → NE PAS fermer (artefact d'allocation)","Contribution négative — vrai point dur"),"Rentable — point mort "&amp;TEXT(M35,"0")&amp;" étud., marge sécu "&amp;TEXT(N35,"0%"))))</f>
        <v/>
      </c>
      <c r="T35" s="86">
        <f>'10_Allocation'!K37</f>
        <v/>
      </c>
      <c r="U35" s="86">
        <f>'10_Allocation'!J37</f>
        <v/>
      </c>
      <c r="V35" s="87">
        <f>IF('01b_Pilotage'!$D$9="Effectif",E35,IF('01b_Pilotage'!$D$9="Nombre de classes",F35,G35))</f>
        <v/>
      </c>
    </row>
    <row r="36">
      <c r="A36" s="17">
        <f>'10_Allocation'!A38</f>
        <v/>
      </c>
      <c r="B36" s="45">
        <f>'10_Allocation'!B38</f>
        <v/>
      </c>
      <c r="C36" s="17">
        <f>'10_Allocation'!C38</f>
        <v/>
      </c>
      <c r="D36" s="45">
        <f>'10_Allocation'!D38</f>
        <v/>
      </c>
      <c r="E36" s="23">
        <f>'10_Allocation'!G38</f>
        <v/>
      </c>
      <c r="F36" s="23">
        <f>'10_Allocation'!H38</f>
        <v/>
      </c>
      <c r="G36" s="15">
        <f>'10_Allocation'!F38</f>
        <v/>
      </c>
      <c r="H36" s="15">
        <f>'10_Allocation'!I38</f>
        <v/>
      </c>
      <c r="I36" s="14">
        <f>G36-H36</f>
        <v/>
      </c>
      <c r="J36" s="15">
        <f>T36+U36</f>
        <v/>
      </c>
      <c r="K36" s="15">
        <f>H36+J36</f>
        <v/>
      </c>
      <c r="L36" s="14">
        <f>G36-K36</f>
        <v/>
      </c>
      <c r="M36" s="23">
        <f>IF(I36&lt;=0,"contrib≤0",ROUNDUP(J36/I36*E36,0))</f>
        <v/>
      </c>
      <c r="N36" s="16">
        <f>IF(I36&lt;=0,"—",1-J36/I36)</f>
        <v/>
      </c>
      <c r="O36" s="9" t="inlineStr">
        <is>
          <t>Garder</t>
        </is>
      </c>
      <c r="P36" s="15">
        <f>IF(O36="Fermer","—",(T36+IFERROR(SUMIFS($T$6:$T$63,$A$6:$A$63,A36,$B$6:$B$63,B36,$O$6:$O$63,"Fermer")*V36/SUMIFS($V$6:$V$63,$A$6:$A$63,A36,$B$6:$B$63,B36,$O$6:$O$63,"&lt;&gt;Fermer"),0))+(U36+IFERROR(SUMIFS($U$6:$U$63,$O$6:$O$63,"Fermer")*V36/SUMIFS($V$6:$V$63,$O$6:$O$63,"&lt;&gt;Fermer"),0)))</f>
        <v/>
      </c>
      <c r="Q36" s="14">
        <f>IF(O36="Fermer","—",G36-H36-P36)</f>
        <v/>
      </c>
      <c r="R36" s="15">
        <f>IF(O36="Fermer",-I36,0)</f>
        <v/>
      </c>
      <c r="S36" s="62">
        <f>IF(O36="Fermer","✖ Fermer = −"&amp;TEXT(I36,"# ##0")&amp;" € d'EBITDA (le fixe reste)",IF(AND(L36&gt;=0,Q36&lt;0),"⚠ BASCULE : saine → déficit à cause d'une fermeture voisine",IF(L36&lt;0,IF(I36&gt;0,"Déficit COMPLET mais contribution POSITIVE → NE PAS fermer (artefact d'allocation)","Contribution négative — vrai point dur"),"Rentable — point mort "&amp;TEXT(M36,"0")&amp;" étud., marge sécu "&amp;TEXT(N36,"0%"))))</f>
        <v/>
      </c>
      <c r="T36" s="86">
        <f>'10_Allocation'!K38</f>
        <v/>
      </c>
      <c r="U36" s="86">
        <f>'10_Allocation'!J38</f>
        <v/>
      </c>
      <c r="V36" s="87">
        <f>IF('01b_Pilotage'!$D$9="Effectif",E36,IF('01b_Pilotage'!$D$9="Nombre de classes",F36,G36))</f>
        <v/>
      </c>
    </row>
    <row r="37">
      <c r="A37" s="17">
        <f>'10_Allocation'!A39</f>
        <v/>
      </c>
      <c r="B37" s="45">
        <f>'10_Allocation'!B39</f>
        <v/>
      </c>
      <c r="C37" s="17">
        <f>'10_Allocation'!C39</f>
        <v/>
      </c>
      <c r="D37" s="45">
        <f>'10_Allocation'!D39</f>
        <v/>
      </c>
      <c r="E37" s="23">
        <f>'10_Allocation'!G39</f>
        <v/>
      </c>
      <c r="F37" s="23">
        <f>'10_Allocation'!H39</f>
        <v/>
      </c>
      <c r="G37" s="15">
        <f>'10_Allocation'!F39</f>
        <v/>
      </c>
      <c r="H37" s="15">
        <f>'10_Allocation'!I39</f>
        <v/>
      </c>
      <c r="I37" s="14">
        <f>G37-H37</f>
        <v/>
      </c>
      <c r="J37" s="15">
        <f>T37+U37</f>
        <v/>
      </c>
      <c r="K37" s="15">
        <f>H37+J37</f>
        <v/>
      </c>
      <c r="L37" s="14">
        <f>G37-K37</f>
        <v/>
      </c>
      <c r="M37" s="23">
        <f>IF(I37&lt;=0,"contrib≤0",ROUNDUP(J37/I37*E37,0))</f>
        <v/>
      </c>
      <c r="N37" s="16">
        <f>IF(I37&lt;=0,"—",1-J37/I37)</f>
        <v/>
      </c>
      <c r="O37" s="88" t="inlineStr">
        <is>
          <t>cohorte</t>
        </is>
      </c>
      <c r="P37" s="15">
        <f>IF(O37="Fermer","—",(T37+IFERROR(SUMIFS($T$6:$T$63,$A$6:$A$63,A37,$B$6:$B$63,B37,$O$6:$O$63,"Fermer")*V37/SUMIFS($V$6:$V$63,$A$6:$A$63,A37,$B$6:$B$63,B37,$O$6:$O$63,"&lt;&gt;Fermer"),0))+(U37+IFERROR(SUMIFS($U$6:$U$63,$O$6:$O$63,"Fermer")*V37/SUMIFS($V$6:$V$63,$O$6:$O$63,"&lt;&gt;Fermer"),0)))</f>
        <v/>
      </c>
      <c r="Q37" s="14">
        <f>IF(O37="Fermer","—",G37-H37-P37)</f>
        <v/>
      </c>
      <c r="R37" s="15">
        <f>IF(O37="Fermer",-I37,0)</f>
        <v/>
      </c>
      <c r="S37" s="62">
        <f>IF(O37="Fermer","✖ Fermer = −"&amp;TEXT(I37,"# ##0")&amp;" € d'EBITDA (le fixe reste)",IF(AND(L37&gt;=0,Q37&lt;0),"⚠ BASCULE : saine → déficit à cause d'une fermeture voisine",IF(L37&lt;0,IF(I37&gt;0,"Déficit COMPLET mais contribution POSITIVE → NE PAS fermer (artefact d'allocation)","Contribution négative — vrai point dur"),"Rentable — point mort "&amp;TEXT(M37,"0")&amp;" étud., marge sécu "&amp;TEXT(N37,"0%"))))</f>
        <v/>
      </c>
      <c r="T37" s="86">
        <f>'10_Allocation'!K39</f>
        <v/>
      </c>
      <c r="U37" s="86">
        <f>'10_Allocation'!J39</f>
        <v/>
      </c>
      <c r="V37" s="87">
        <f>IF('01b_Pilotage'!$D$9="Effectif",E37,IF('01b_Pilotage'!$D$9="Nombre de classes",F37,G37))</f>
        <v/>
      </c>
    </row>
    <row r="38">
      <c r="A38" s="17">
        <f>'10_Allocation'!A40</f>
        <v/>
      </c>
      <c r="B38" s="45">
        <f>'10_Allocation'!B40</f>
        <v/>
      </c>
      <c r="C38" s="17">
        <f>'10_Allocation'!C40</f>
        <v/>
      </c>
      <c r="D38" s="45">
        <f>'10_Allocation'!D40</f>
        <v/>
      </c>
      <c r="E38" s="23">
        <f>'10_Allocation'!G40</f>
        <v/>
      </c>
      <c r="F38" s="23">
        <f>'10_Allocation'!H40</f>
        <v/>
      </c>
      <c r="G38" s="15">
        <f>'10_Allocation'!F40</f>
        <v/>
      </c>
      <c r="H38" s="15">
        <f>'10_Allocation'!I40</f>
        <v/>
      </c>
      <c r="I38" s="14">
        <f>G38-H38</f>
        <v/>
      </c>
      <c r="J38" s="15">
        <f>T38+U38</f>
        <v/>
      </c>
      <c r="K38" s="15">
        <f>H38+J38</f>
        <v/>
      </c>
      <c r="L38" s="14">
        <f>G38-K38</f>
        <v/>
      </c>
      <c r="M38" s="23">
        <f>IF(I38&lt;=0,"contrib≤0",ROUNDUP(J38/I38*E38,0))</f>
        <v/>
      </c>
      <c r="N38" s="16">
        <f>IF(I38&lt;=0,"—",1-J38/I38)</f>
        <v/>
      </c>
      <c r="O38" s="88" t="inlineStr">
        <is>
          <t>cohorte</t>
        </is>
      </c>
      <c r="P38" s="15">
        <f>IF(O38="Fermer","—",(T38+IFERROR(SUMIFS($T$6:$T$63,$A$6:$A$63,A38,$B$6:$B$63,B38,$O$6:$O$63,"Fermer")*V38/SUMIFS($V$6:$V$63,$A$6:$A$63,A38,$B$6:$B$63,B38,$O$6:$O$63,"&lt;&gt;Fermer"),0))+(U38+IFERROR(SUMIFS($U$6:$U$63,$O$6:$O$63,"Fermer")*V38/SUMIFS($V$6:$V$63,$O$6:$O$63,"&lt;&gt;Fermer"),0)))</f>
        <v/>
      </c>
      <c r="Q38" s="14">
        <f>IF(O38="Fermer","—",G38-H38-P38)</f>
        <v/>
      </c>
      <c r="R38" s="15">
        <f>IF(O38="Fermer",-I38,0)</f>
        <v/>
      </c>
      <c r="S38" s="62">
        <f>IF(O38="Fermer","✖ Fermer = −"&amp;TEXT(I38,"# ##0")&amp;" € d'EBITDA (le fixe reste)",IF(AND(L38&gt;=0,Q38&lt;0),"⚠ BASCULE : saine → déficit à cause d'une fermeture voisine",IF(L38&lt;0,IF(I38&gt;0,"Déficit COMPLET mais contribution POSITIVE → NE PAS fermer (artefact d'allocation)","Contribution négative — vrai point dur"),"Rentable — point mort "&amp;TEXT(M38,"0")&amp;" étud., marge sécu "&amp;TEXT(N38,"0%"))))</f>
        <v/>
      </c>
      <c r="T38" s="86">
        <f>'10_Allocation'!K40</f>
        <v/>
      </c>
      <c r="U38" s="86">
        <f>'10_Allocation'!J40</f>
        <v/>
      </c>
      <c r="V38" s="87">
        <f>IF('01b_Pilotage'!$D$9="Effectif",E38,IF('01b_Pilotage'!$D$9="Nombre de classes",F38,G38))</f>
        <v/>
      </c>
    </row>
    <row r="39">
      <c r="A39" s="17">
        <f>'10_Allocation'!A41</f>
        <v/>
      </c>
      <c r="B39" s="45">
        <f>'10_Allocation'!B41</f>
        <v/>
      </c>
      <c r="C39" s="17">
        <f>'10_Allocation'!C41</f>
        <v/>
      </c>
      <c r="D39" s="45">
        <f>'10_Allocation'!D41</f>
        <v/>
      </c>
      <c r="E39" s="23">
        <f>'10_Allocation'!G41</f>
        <v/>
      </c>
      <c r="F39" s="23">
        <f>'10_Allocation'!H41</f>
        <v/>
      </c>
      <c r="G39" s="15">
        <f>'10_Allocation'!F41</f>
        <v/>
      </c>
      <c r="H39" s="15">
        <f>'10_Allocation'!I41</f>
        <v/>
      </c>
      <c r="I39" s="14">
        <f>G39-H39</f>
        <v/>
      </c>
      <c r="J39" s="15">
        <f>T39+U39</f>
        <v/>
      </c>
      <c r="K39" s="15">
        <f>H39+J39</f>
        <v/>
      </c>
      <c r="L39" s="14">
        <f>G39-K39</f>
        <v/>
      </c>
      <c r="M39" s="23">
        <f>IF(I39&lt;=0,"contrib≤0",ROUNDUP(J39/I39*E39,0))</f>
        <v/>
      </c>
      <c r="N39" s="16">
        <f>IF(I39&lt;=0,"—",1-J39/I39)</f>
        <v/>
      </c>
      <c r="O39" s="9" t="inlineStr">
        <is>
          <t>Garder</t>
        </is>
      </c>
      <c r="P39" s="15">
        <f>IF(O39="Fermer","—",(T39+IFERROR(SUMIFS($T$6:$T$63,$A$6:$A$63,A39,$B$6:$B$63,B39,$O$6:$O$63,"Fermer")*V39/SUMIFS($V$6:$V$63,$A$6:$A$63,A39,$B$6:$B$63,B39,$O$6:$O$63,"&lt;&gt;Fermer"),0))+(U39+IFERROR(SUMIFS($U$6:$U$63,$O$6:$O$63,"Fermer")*V39/SUMIFS($V$6:$V$63,$O$6:$O$63,"&lt;&gt;Fermer"),0)))</f>
        <v/>
      </c>
      <c r="Q39" s="14">
        <f>IF(O39="Fermer","—",G39-H39-P39)</f>
        <v/>
      </c>
      <c r="R39" s="15">
        <f>IF(O39="Fermer",-I39,0)</f>
        <v/>
      </c>
      <c r="S39" s="62">
        <f>IF(O39="Fermer","✖ Fermer = −"&amp;TEXT(I39,"# ##0")&amp;" € d'EBITDA (le fixe reste)",IF(AND(L39&gt;=0,Q39&lt;0),"⚠ BASCULE : saine → déficit à cause d'une fermeture voisine",IF(L39&lt;0,IF(I39&gt;0,"Déficit COMPLET mais contribution POSITIVE → NE PAS fermer (artefact d'allocation)","Contribution négative — vrai point dur"),"Rentable — point mort "&amp;TEXT(M39,"0")&amp;" étud., marge sécu "&amp;TEXT(N39,"0%"))))</f>
        <v/>
      </c>
      <c r="T39" s="86">
        <f>'10_Allocation'!K41</f>
        <v/>
      </c>
      <c r="U39" s="86">
        <f>'10_Allocation'!J41</f>
        <v/>
      </c>
      <c r="V39" s="87">
        <f>IF('01b_Pilotage'!$D$9="Effectif",E39,IF('01b_Pilotage'!$D$9="Nombre de classes",F39,G39))</f>
        <v/>
      </c>
    </row>
    <row r="40">
      <c r="A40" s="17">
        <f>'10_Allocation'!A42</f>
        <v/>
      </c>
      <c r="B40" s="45">
        <f>'10_Allocation'!B42</f>
        <v/>
      </c>
      <c r="C40" s="17">
        <f>'10_Allocation'!C42</f>
        <v/>
      </c>
      <c r="D40" s="45">
        <f>'10_Allocation'!D42</f>
        <v/>
      </c>
      <c r="E40" s="23">
        <f>'10_Allocation'!G42</f>
        <v/>
      </c>
      <c r="F40" s="23">
        <f>'10_Allocation'!H42</f>
        <v/>
      </c>
      <c r="G40" s="15">
        <f>'10_Allocation'!F42</f>
        <v/>
      </c>
      <c r="H40" s="15">
        <f>'10_Allocation'!I42</f>
        <v/>
      </c>
      <c r="I40" s="14">
        <f>G40-H40</f>
        <v/>
      </c>
      <c r="J40" s="15">
        <f>T40+U40</f>
        <v/>
      </c>
      <c r="K40" s="15">
        <f>H40+J40</f>
        <v/>
      </c>
      <c r="L40" s="14">
        <f>G40-K40</f>
        <v/>
      </c>
      <c r="M40" s="23">
        <f>IF(I40&lt;=0,"contrib≤0",ROUNDUP(J40/I40*E40,0))</f>
        <v/>
      </c>
      <c r="N40" s="16">
        <f>IF(I40&lt;=0,"—",1-J40/I40)</f>
        <v/>
      </c>
      <c r="O40" s="88" t="inlineStr">
        <is>
          <t>cohorte</t>
        </is>
      </c>
      <c r="P40" s="15">
        <f>IF(O40="Fermer","—",(T40+IFERROR(SUMIFS($T$6:$T$63,$A$6:$A$63,A40,$B$6:$B$63,B40,$O$6:$O$63,"Fermer")*V40/SUMIFS($V$6:$V$63,$A$6:$A$63,A40,$B$6:$B$63,B40,$O$6:$O$63,"&lt;&gt;Fermer"),0))+(U40+IFERROR(SUMIFS($U$6:$U$63,$O$6:$O$63,"Fermer")*V40/SUMIFS($V$6:$V$63,$O$6:$O$63,"&lt;&gt;Fermer"),0)))</f>
        <v/>
      </c>
      <c r="Q40" s="14">
        <f>IF(O40="Fermer","—",G40-H40-P40)</f>
        <v/>
      </c>
      <c r="R40" s="15">
        <f>IF(O40="Fermer",-I40,0)</f>
        <v/>
      </c>
      <c r="S40" s="62">
        <f>IF(O40="Fermer","✖ Fermer = −"&amp;TEXT(I40,"# ##0")&amp;" € d'EBITDA (le fixe reste)",IF(AND(L40&gt;=0,Q40&lt;0),"⚠ BASCULE : saine → déficit à cause d'une fermeture voisine",IF(L40&lt;0,IF(I40&gt;0,"Déficit COMPLET mais contribution POSITIVE → NE PAS fermer (artefact d'allocation)","Contribution négative — vrai point dur"),"Rentable — point mort "&amp;TEXT(M40,"0")&amp;" étud., marge sécu "&amp;TEXT(N40,"0%"))))</f>
        <v/>
      </c>
      <c r="T40" s="86">
        <f>'10_Allocation'!K42</f>
        <v/>
      </c>
      <c r="U40" s="86">
        <f>'10_Allocation'!J42</f>
        <v/>
      </c>
      <c r="V40" s="87">
        <f>IF('01b_Pilotage'!$D$9="Effectif",E40,IF('01b_Pilotage'!$D$9="Nombre de classes",F40,G40))</f>
        <v/>
      </c>
    </row>
    <row r="41">
      <c r="A41" s="17">
        <f>'10_Allocation'!A43</f>
        <v/>
      </c>
      <c r="B41" s="45">
        <f>'10_Allocation'!B43</f>
        <v/>
      </c>
      <c r="C41" s="17">
        <f>'10_Allocation'!C43</f>
        <v/>
      </c>
      <c r="D41" s="45">
        <f>'10_Allocation'!D43</f>
        <v/>
      </c>
      <c r="E41" s="23">
        <f>'10_Allocation'!G43</f>
        <v/>
      </c>
      <c r="F41" s="23">
        <f>'10_Allocation'!H43</f>
        <v/>
      </c>
      <c r="G41" s="15">
        <f>'10_Allocation'!F43</f>
        <v/>
      </c>
      <c r="H41" s="15">
        <f>'10_Allocation'!I43</f>
        <v/>
      </c>
      <c r="I41" s="14">
        <f>G41-H41</f>
        <v/>
      </c>
      <c r="J41" s="15">
        <f>T41+U41</f>
        <v/>
      </c>
      <c r="K41" s="15">
        <f>H41+J41</f>
        <v/>
      </c>
      <c r="L41" s="14">
        <f>G41-K41</f>
        <v/>
      </c>
      <c r="M41" s="23">
        <f>IF(I41&lt;=0,"contrib≤0",ROUNDUP(J41/I41*E41,0))</f>
        <v/>
      </c>
      <c r="N41" s="16">
        <f>IF(I41&lt;=0,"—",1-J41/I41)</f>
        <v/>
      </c>
      <c r="O41" s="9" t="inlineStr">
        <is>
          <t>Garder</t>
        </is>
      </c>
      <c r="P41" s="15">
        <f>IF(O41="Fermer","—",(T41+IFERROR(SUMIFS($T$6:$T$63,$A$6:$A$63,A41,$B$6:$B$63,B41,$O$6:$O$63,"Fermer")*V41/SUMIFS($V$6:$V$63,$A$6:$A$63,A41,$B$6:$B$63,B41,$O$6:$O$63,"&lt;&gt;Fermer"),0))+(U41+IFERROR(SUMIFS($U$6:$U$63,$O$6:$O$63,"Fermer")*V41/SUMIFS($V$6:$V$63,$O$6:$O$63,"&lt;&gt;Fermer"),0)))</f>
        <v/>
      </c>
      <c r="Q41" s="14">
        <f>IF(O41="Fermer","—",G41-H41-P41)</f>
        <v/>
      </c>
      <c r="R41" s="15">
        <f>IF(O41="Fermer",-I41,0)</f>
        <v/>
      </c>
      <c r="S41" s="62">
        <f>IF(O41="Fermer","✖ Fermer = −"&amp;TEXT(I41,"# ##0")&amp;" € d'EBITDA (le fixe reste)",IF(AND(L41&gt;=0,Q41&lt;0),"⚠ BASCULE : saine → déficit à cause d'une fermeture voisine",IF(L41&lt;0,IF(I41&gt;0,"Déficit COMPLET mais contribution POSITIVE → NE PAS fermer (artefact d'allocation)","Contribution négative — vrai point dur"),"Rentable — point mort "&amp;TEXT(M41,"0")&amp;" étud., marge sécu "&amp;TEXT(N41,"0%"))))</f>
        <v/>
      </c>
      <c r="T41" s="86">
        <f>'10_Allocation'!K43</f>
        <v/>
      </c>
      <c r="U41" s="86">
        <f>'10_Allocation'!J43</f>
        <v/>
      </c>
      <c r="V41" s="87">
        <f>IF('01b_Pilotage'!$D$9="Effectif",E41,IF('01b_Pilotage'!$D$9="Nombre de classes",F41,G41))</f>
        <v/>
      </c>
    </row>
    <row r="42">
      <c r="A42" s="17">
        <f>'10_Allocation'!A44</f>
        <v/>
      </c>
      <c r="B42" s="45">
        <f>'10_Allocation'!B44</f>
        <v/>
      </c>
      <c r="C42" s="17">
        <f>'10_Allocation'!C44</f>
        <v/>
      </c>
      <c r="D42" s="45">
        <f>'10_Allocation'!D44</f>
        <v/>
      </c>
      <c r="E42" s="23">
        <f>'10_Allocation'!G44</f>
        <v/>
      </c>
      <c r="F42" s="23">
        <f>'10_Allocation'!H44</f>
        <v/>
      </c>
      <c r="G42" s="15">
        <f>'10_Allocation'!F44</f>
        <v/>
      </c>
      <c r="H42" s="15">
        <f>'10_Allocation'!I44</f>
        <v/>
      </c>
      <c r="I42" s="14">
        <f>G42-H42</f>
        <v/>
      </c>
      <c r="J42" s="15">
        <f>T42+U42</f>
        <v/>
      </c>
      <c r="K42" s="15">
        <f>H42+J42</f>
        <v/>
      </c>
      <c r="L42" s="14">
        <f>G42-K42</f>
        <v/>
      </c>
      <c r="M42" s="23">
        <f>IF(I42&lt;=0,"contrib≤0",ROUNDUP(J42/I42*E42,0))</f>
        <v/>
      </c>
      <c r="N42" s="16">
        <f>IF(I42&lt;=0,"—",1-J42/I42)</f>
        <v/>
      </c>
      <c r="O42" s="88" t="inlineStr">
        <is>
          <t>cohorte</t>
        </is>
      </c>
      <c r="P42" s="15">
        <f>IF(O42="Fermer","—",(T42+IFERROR(SUMIFS($T$6:$T$63,$A$6:$A$63,A42,$B$6:$B$63,B42,$O$6:$O$63,"Fermer")*V42/SUMIFS($V$6:$V$63,$A$6:$A$63,A42,$B$6:$B$63,B42,$O$6:$O$63,"&lt;&gt;Fermer"),0))+(U42+IFERROR(SUMIFS($U$6:$U$63,$O$6:$O$63,"Fermer")*V42/SUMIFS($V$6:$V$63,$O$6:$O$63,"&lt;&gt;Fermer"),0)))</f>
        <v/>
      </c>
      <c r="Q42" s="14">
        <f>IF(O42="Fermer","—",G42-H42-P42)</f>
        <v/>
      </c>
      <c r="R42" s="15">
        <f>IF(O42="Fermer",-I42,0)</f>
        <v/>
      </c>
      <c r="S42" s="62">
        <f>IF(O42="Fermer","✖ Fermer = −"&amp;TEXT(I42,"# ##0")&amp;" € d'EBITDA (le fixe reste)",IF(AND(L42&gt;=0,Q42&lt;0),"⚠ BASCULE : saine → déficit à cause d'une fermeture voisine",IF(L42&lt;0,IF(I42&gt;0,"Déficit COMPLET mais contribution POSITIVE → NE PAS fermer (artefact d'allocation)","Contribution négative — vrai point dur"),"Rentable — point mort "&amp;TEXT(M42,"0")&amp;" étud., marge sécu "&amp;TEXT(N42,"0%"))))</f>
        <v/>
      </c>
      <c r="T42" s="86">
        <f>'10_Allocation'!K44</f>
        <v/>
      </c>
      <c r="U42" s="86">
        <f>'10_Allocation'!J44</f>
        <v/>
      </c>
      <c r="V42" s="87">
        <f>IF('01b_Pilotage'!$D$9="Effectif",E42,IF('01b_Pilotage'!$D$9="Nombre de classes",F42,G42))</f>
        <v/>
      </c>
    </row>
    <row r="43">
      <c r="A43" s="17">
        <f>'10_Allocation'!A45</f>
        <v/>
      </c>
      <c r="B43" s="45">
        <f>'10_Allocation'!B45</f>
        <v/>
      </c>
      <c r="C43" s="17">
        <f>'10_Allocation'!C45</f>
        <v/>
      </c>
      <c r="D43" s="45">
        <f>'10_Allocation'!D45</f>
        <v/>
      </c>
      <c r="E43" s="23">
        <f>'10_Allocation'!G45</f>
        <v/>
      </c>
      <c r="F43" s="23">
        <f>'10_Allocation'!H45</f>
        <v/>
      </c>
      <c r="G43" s="15">
        <f>'10_Allocation'!F45</f>
        <v/>
      </c>
      <c r="H43" s="15">
        <f>'10_Allocation'!I45</f>
        <v/>
      </c>
      <c r="I43" s="14">
        <f>G43-H43</f>
        <v/>
      </c>
      <c r="J43" s="15">
        <f>T43+U43</f>
        <v/>
      </c>
      <c r="K43" s="15">
        <f>H43+J43</f>
        <v/>
      </c>
      <c r="L43" s="14">
        <f>G43-K43</f>
        <v/>
      </c>
      <c r="M43" s="23">
        <f>IF(I43&lt;=0,"contrib≤0",ROUNDUP(J43/I43*E43,0))</f>
        <v/>
      </c>
      <c r="N43" s="16">
        <f>IF(I43&lt;=0,"—",1-J43/I43)</f>
        <v/>
      </c>
      <c r="O43" s="88" t="inlineStr">
        <is>
          <t>cohorte</t>
        </is>
      </c>
      <c r="P43" s="15">
        <f>IF(O43="Fermer","—",(T43+IFERROR(SUMIFS($T$6:$T$63,$A$6:$A$63,A43,$B$6:$B$63,B43,$O$6:$O$63,"Fermer")*V43/SUMIFS($V$6:$V$63,$A$6:$A$63,A43,$B$6:$B$63,B43,$O$6:$O$63,"&lt;&gt;Fermer"),0))+(U43+IFERROR(SUMIFS($U$6:$U$63,$O$6:$O$63,"Fermer")*V43/SUMIFS($V$6:$V$63,$O$6:$O$63,"&lt;&gt;Fermer"),0)))</f>
        <v/>
      </c>
      <c r="Q43" s="14">
        <f>IF(O43="Fermer","—",G43-H43-P43)</f>
        <v/>
      </c>
      <c r="R43" s="15">
        <f>IF(O43="Fermer",-I43,0)</f>
        <v/>
      </c>
      <c r="S43" s="62">
        <f>IF(O43="Fermer","✖ Fermer = −"&amp;TEXT(I43,"# ##0")&amp;" € d'EBITDA (le fixe reste)",IF(AND(L43&gt;=0,Q43&lt;0),"⚠ BASCULE : saine → déficit à cause d'une fermeture voisine",IF(L43&lt;0,IF(I43&gt;0,"Déficit COMPLET mais contribution POSITIVE → NE PAS fermer (artefact d'allocation)","Contribution négative — vrai point dur"),"Rentable — point mort "&amp;TEXT(M43,"0")&amp;" étud., marge sécu "&amp;TEXT(N43,"0%"))))</f>
        <v/>
      </c>
      <c r="T43" s="86">
        <f>'10_Allocation'!K45</f>
        <v/>
      </c>
      <c r="U43" s="86">
        <f>'10_Allocation'!J45</f>
        <v/>
      </c>
      <c r="V43" s="87">
        <f>IF('01b_Pilotage'!$D$9="Effectif",E43,IF('01b_Pilotage'!$D$9="Nombre de classes",F43,G43))</f>
        <v/>
      </c>
    </row>
    <row r="44">
      <c r="A44" s="17">
        <f>'10_Allocation'!A46</f>
        <v/>
      </c>
      <c r="B44" s="45">
        <f>'10_Allocation'!B46</f>
        <v/>
      </c>
      <c r="C44" s="17">
        <f>'10_Allocation'!C46</f>
        <v/>
      </c>
      <c r="D44" s="45">
        <f>'10_Allocation'!D46</f>
        <v/>
      </c>
      <c r="E44" s="23">
        <f>'10_Allocation'!G46</f>
        <v/>
      </c>
      <c r="F44" s="23">
        <f>'10_Allocation'!H46</f>
        <v/>
      </c>
      <c r="G44" s="15">
        <f>'10_Allocation'!F46</f>
        <v/>
      </c>
      <c r="H44" s="15">
        <f>'10_Allocation'!I46</f>
        <v/>
      </c>
      <c r="I44" s="14">
        <f>G44-H44</f>
        <v/>
      </c>
      <c r="J44" s="15">
        <f>T44+U44</f>
        <v/>
      </c>
      <c r="K44" s="15">
        <f>H44+J44</f>
        <v/>
      </c>
      <c r="L44" s="14">
        <f>G44-K44</f>
        <v/>
      </c>
      <c r="M44" s="23">
        <f>IF(I44&lt;=0,"contrib≤0",ROUNDUP(J44/I44*E44,0))</f>
        <v/>
      </c>
      <c r="N44" s="16">
        <f>IF(I44&lt;=0,"—",1-J44/I44)</f>
        <v/>
      </c>
      <c r="O44" s="9" t="inlineStr">
        <is>
          <t>Garder</t>
        </is>
      </c>
      <c r="P44" s="15">
        <f>IF(O44="Fermer","—",(T44+IFERROR(SUMIFS($T$6:$T$63,$A$6:$A$63,A44,$B$6:$B$63,B44,$O$6:$O$63,"Fermer")*V44/SUMIFS($V$6:$V$63,$A$6:$A$63,A44,$B$6:$B$63,B44,$O$6:$O$63,"&lt;&gt;Fermer"),0))+(U44+IFERROR(SUMIFS($U$6:$U$63,$O$6:$O$63,"Fermer")*V44/SUMIFS($V$6:$V$63,$O$6:$O$63,"&lt;&gt;Fermer"),0)))</f>
        <v/>
      </c>
      <c r="Q44" s="14">
        <f>IF(O44="Fermer","—",G44-H44-P44)</f>
        <v/>
      </c>
      <c r="R44" s="15">
        <f>IF(O44="Fermer",-I44,0)</f>
        <v/>
      </c>
      <c r="S44" s="62">
        <f>IF(O44="Fermer","✖ Fermer = −"&amp;TEXT(I44,"# ##0")&amp;" € d'EBITDA (le fixe reste)",IF(AND(L44&gt;=0,Q44&lt;0),"⚠ BASCULE : saine → déficit à cause d'une fermeture voisine",IF(L44&lt;0,IF(I44&gt;0,"Déficit COMPLET mais contribution POSITIVE → NE PAS fermer (artefact d'allocation)","Contribution négative — vrai point dur"),"Rentable — point mort "&amp;TEXT(M44,"0")&amp;" étud., marge sécu "&amp;TEXT(N44,"0%"))))</f>
        <v/>
      </c>
      <c r="T44" s="86">
        <f>'10_Allocation'!K46</f>
        <v/>
      </c>
      <c r="U44" s="86">
        <f>'10_Allocation'!J46</f>
        <v/>
      </c>
      <c r="V44" s="87">
        <f>IF('01b_Pilotage'!$D$9="Effectif",E44,IF('01b_Pilotage'!$D$9="Nombre de classes",F44,G44))</f>
        <v/>
      </c>
    </row>
    <row r="45">
      <c r="A45" s="17">
        <f>'10_Allocation'!A47</f>
        <v/>
      </c>
      <c r="B45" s="45">
        <f>'10_Allocation'!B47</f>
        <v/>
      </c>
      <c r="C45" s="17">
        <f>'10_Allocation'!C47</f>
        <v/>
      </c>
      <c r="D45" s="45">
        <f>'10_Allocation'!D47</f>
        <v/>
      </c>
      <c r="E45" s="23">
        <f>'10_Allocation'!G47</f>
        <v/>
      </c>
      <c r="F45" s="23">
        <f>'10_Allocation'!H47</f>
        <v/>
      </c>
      <c r="G45" s="15">
        <f>'10_Allocation'!F47</f>
        <v/>
      </c>
      <c r="H45" s="15">
        <f>'10_Allocation'!I47</f>
        <v/>
      </c>
      <c r="I45" s="14">
        <f>G45-H45</f>
        <v/>
      </c>
      <c r="J45" s="15">
        <f>T45+U45</f>
        <v/>
      </c>
      <c r="K45" s="15">
        <f>H45+J45</f>
        <v/>
      </c>
      <c r="L45" s="14">
        <f>G45-K45</f>
        <v/>
      </c>
      <c r="M45" s="23">
        <f>IF(I45&lt;=0,"contrib≤0",ROUNDUP(J45/I45*E45,0))</f>
        <v/>
      </c>
      <c r="N45" s="16">
        <f>IF(I45&lt;=0,"—",1-J45/I45)</f>
        <v/>
      </c>
      <c r="O45" s="88" t="inlineStr">
        <is>
          <t>cohorte</t>
        </is>
      </c>
      <c r="P45" s="15">
        <f>IF(O45="Fermer","—",(T45+IFERROR(SUMIFS($T$6:$T$63,$A$6:$A$63,A45,$B$6:$B$63,B45,$O$6:$O$63,"Fermer")*V45/SUMIFS($V$6:$V$63,$A$6:$A$63,A45,$B$6:$B$63,B45,$O$6:$O$63,"&lt;&gt;Fermer"),0))+(U45+IFERROR(SUMIFS($U$6:$U$63,$O$6:$O$63,"Fermer")*V45/SUMIFS($V$6:$V$63,$O$6:$O$63,"&lt;&gt;Fermer"),0)))</f>
        <v/>
      </c>
      <c r="Q45" s="14">
        <f>IF(O45="Fermer","—",G45-H45-P45)</f>
        <v/>
      </c>
      <c r="R45" s="15">
        <f>IF(O45="Fermer",-I45,0)</f>
        <v/>
      </c>
      <c r="S45" s="62">
        <f>IF(O45="Fermer","✖ Fermer = −"&amp;TEXT(I45,"# ##0")&amp;" € d'EBITDA (le fixe reste)",IF(AND(L45&gt;=0,Q45&lt;0),"⚠ BASCULE : saine → déficit à cause d'une fermeture voisine",IF(L45&lt;0,IF(I45&gt;0,"Déficit COMPLET mais contribution POSITIVE → NE PAS fermer (artefact d'allocation)","Contribution négative — vrai point dur"),"Rentable — point mort "&amp;TEXT(M45,"0")&amp;" étud., marge sécu "&amp;TEXT(N45,"0%"))))</f>
        <v/>
      </c>
      <c r="T45" s="86">
        <f>'10_Allocation'!K47</f>
        <v/>
      </c>
      <c r="U45" s="86">
        <f>'10_Allocation'!J47</f>
        <v/>
      </c>
      <c r="V45" s="87">
        <f>IF('01b_Pilotage'!$D$9="Effectif",E45,IF('01b_Pilotage'!$D$9="Nombre de classes",F45,G45))</f>
        <v/>
      </c>
    </row>
    <row r="46">
      <c r="A46" s="17">
        <f>'10_Allocation'!A48</f>
        <v/>
      </c>
      <c r="B46" s="45">
        <f>'10_Allocation'!B48</f>
        <v/>
      </c>
      <c r="C46" s="17">
        <f>'10_Allocation'!C48</f>
        <v/>
      </c>
      <c r="D46" s="45">
        <f>'10_Allocation'!D48</f>
        <v/>
      </c>
      <c r="E46" s="23">
        <f>'10_Allocation'!G48</f>
        <v/>
      </c>
      <c r="F46" s="23">
        <f>'10_Allocation'!H48</f>
        <v/>
      </c>
      <c r="G46" s="15">
        <f>'10_Allocation'!F48</f>
        <v/>
      </c>
      <c r="H46" s="15">
        <f>'10_Allocation'!I48</f>
        <v/>
      </c>
      <c r="I46" s="14">
        <f>G46-H46</f>
        <v/>
      </c>
      <c r="J46" s="15">
        <f>T46+U46</f>
        <v/>
      </c>
      <c r="K46" s="15">
        <f>H46+J46</f>
        <v/>
      </c>
      <c r="L46" s="14">
        <f>G46-K46</f>
        <v/>
      </c>
      <c r="M46" s="23">
        <f>IF(I46&lt;=0,"contrib≤0",ROUNDUP(J46/I46*E46,0))</f>
        <v/>
      </c>
      <c r="N46" s="16">
        <f>IF(I46&lt;=0,"—",1-J46/I46)</f>
        <v/>
      </c>
      <c r="O46" s="88" t="inlineStr">
        <is>
          <t>cohorte</t>
        </is>
      </c>
      <c r="P46" s="15">
        <f>IF(O46="Fermer","—",(T46+IFERROR(SUMIFS($T$6:$T$63,$A$6:$A$63,A46,$B$6:$B$63,B46,$O$6:$O$63,"Fermer")*V46/SUMIFS($V$6:$V$63,$A$6:$A$63,A46,$B$6:$B$63,B46,$O$6:$O$63,"&lt;&gt;Fermer"),0))+(U46+IFERROR(SUMIFS($U$6:$U$63,$O$6:$O$63,"Fermer")*V46/SUMIFS($V$6:$V$63,$O$6:$O$63,"&lt;&gt;Fermer"),0)))</f>
        <v/>
      </c>
      <c r="Q46" s="14">
        <f>IF(O46="Fermer","—",G46-H46-P46)</f>
        <v/>
      </c>
      <c r="R46" s="15">
        <f>IF(O46="Fermer",-I46,0)</f>
        <v/>
      </c>
      <c r="S46" s="62">
        <f>IF(O46="Fermer","✖ Fermer = −"&amp;TEXT(I46,"# ##0")&amp;" € d'EBITDA (le fixe reste)",IF(AND(L46&gt;=0,Q46&lt;0),"⚠ BASCULE : saine → déficit à cause d'une fermeture voisine",IF(L46&lt;0,IF(I46&gt;0,"Déficit COMPLET mais contribution POSITIVE → NE PAS fermer (artefact d'allocation)","Contribution négative — vrai point dur"),"Rentable — point mort "&amp;TEXT(M46,"0")&amp;" étud., marge sécu "&amp;TEXT(N46,"0%"))))</f>
        <v/>
      </c>
      <c r="T46" s="86">
        <f>'10_Allocation'!K48</f>
        <v/>
      </c>
      <c r="U46" s="86">
        <f>'10_Allocation'!J48</f>
        <v/>
      </c>
      <c r="V46" s="87">
        <f>IF('01b_Pilotage'!$D$9="Effectif",E46,IF('01b_Pilotage'!$D$9="Nombre de classes",F46,G46))</f>
        <v/>
      </c>
    </row>
    <row r="47">
      <c r="A47" s="17">
        <f>'10_Allocation'!A49</f>
        <v/>
      </c>
      <c r="B47" s="45">
        <f>'10_Allocation'!B49</f>
        <v/>
      </c>
      <c r="C47" s="17">
        <f>'10_Allocation'!C49</f>
        <v/>
      </c>
      <c r="D47" s="45">
        <f>'10_Allocation'!D49</f>
        <v/>
      </c>
      <c r="E47" s="23">
        <f>'10_Allocation'!G49</f>
        <v/>
      </c>
      <c r="F47" s="23">
        <f>'10_Allocation'!H49</f>
        <v/>
      </c>
      <c r="G47" s="15">
        <f>'10_Allocation'!F49</f>
        <v/>
      </c>
      <c r="H47" s="15">
        <f>'10_Allocation'!I49</f>
        <v/>
      </c>
      <c r="I47" s="14">
        <f>G47-H47</f>
        <v/>
      </c>
      <c r="J47" s="15">
        <f>T47+U47</f>
        <v/>
      </c>
      <c r="K47" s="15">
        <f>H47+J47</f>
        <v/>
      </c>
      <c r="L47" s="14">
        <f>G47-K47</f>
        <v/>
      </c>
      <c r="M47" s="23">
        <f>IF(I47&lt;=0,"contrib≤0",ROUNDUP(J47/I47*E47,0))</f>
        <v/>
      </c>
      <c r="N47" s="16">
        <f>IF(I47&lt;=0,"—",1-J47/I47)</f>
        <v/>
      </c>
      <c r="O47" s="9" t="inlineStr">
        <is>
          <t>Garder</t>
        </is>
      </c>
      <c r="P47" s="15">
        <f>IF(O47="Fermer","—",(T47+IFERROR(SUMIFS($T$6:$T$63,$A$6:$A$63,A47,$B$6:$B$63,B47,$O$6:$O$63,"Fermer")*V47/SUMIFS($V$6:$V$63,$A$6:$A$63,A47,$B$6:$B$63,B47,$O$6:$O$63,"&lt;&gt;Fermer"),0))+(U47+IFERROR(SUMIFS($U$6:$U$63,$O$6:$O$63,"Fermer")*V47/SUMIFS($V$6:$V$63,$O$6:$O$63,"&lt;&gt;Fermer"),0)))</f>
        <v/>
      </c>
      <c r="Q47" s="14">
        <f>IF(O47="Fermer","—",G47-H47-P47)</f>
        <v/>
      </c>
      <c r="R47" s="15">
        <f>IF(O47="Fermer",-I47,0)</f>
        <v/>
      </c>
      <c r="S47" s="62">
        <f>IF(O47="Fermer","✖ Fermer = −"&amp;TEXT(I47,"# ##0")&amp;" € d'EBITDA (le fixe reste)",IF(AND(L47&gt;=0,Q47&lt;0),"⚠ BASCULE : saine → déficit à cause d'une fermeture voisine",IF(L47&lt;0,IF(I47&gt;0,"Déficit COMPLET mais contribution POSITIVE → NE PAS fermer (artefact d'allocation)","Contribution négative — vrai point dur"),"Rentable — point mort "&amp;TEXT(M47,"0")&amp;" étud., marge sécu "&amp;TEXT(N47,"0%"))))</f>
        <v/>
      </c>
      <c r="T47" s="86">
        <f>'10_Allocation'!K49</f>
        <v/>
      </c>
      <c r="U47" s="86">
        <f>'10_Allocation'!J49</f>
        <v/>
      </c>
      <c r="V47" s="87">
        <f>IF('01b_Pilotage'!$D$9="Effectif",E47,IF('01b_Pilotage'!$D$9="Nombre de classes",F47,G47))</f>
        <v/>
      </c>
    </row>
    <row r="48">
      <c r="A48" s="17">
        <f>'10_Allocation'!A50</f>
        <v/>
      </c>
      <c r="B48" s="45">
        <f>'10_Allocation'!B50</f>
        <v/>
      </c>
      <c r="C48" s="17">
        <f>'10_Allocation'!C50</f>
        <v/>
      </c>
      <c r="D48" s="45">
        <f>'10_Allocation'!D50</f>
        <v/>
      </c>
      <c r="E48" s="23">
        <f>'10_Allocation'!G50</f>
        <v/>
      </c>
      <c r="F48" s="23">
        <f>'10_Allocation'!H50</f>
        <v/>
      </c>
      <c r="G48" s="15">
        <f>'10_Allocation'!F50</f>
        <v/>
      </c>
      <c r="H48" s="15">
        <f>'10_Allocation'!I50</f>
        <v/>
      </c>
      <c r="I48" s="14">
        <f>G48-H48</f>
        <v/>
      </c>
      <c r="J48" s="15">
        <f>T48+U48</f>
        <v/>
      </c>
      <c r="K48" s="15">
        <f>H48+J48</f>
        <v/>
      </c>
      <c r="L48" s="14">
        <f>G48-K48</f>
        <v/>
      </c>
      <c r="M48" s="23">
        <f>IF(I48&lt;=0,"contrib≤0",ROUNDUP(J48/I48*E48,0))</f>
        <v/>
      </c>
      <c r="N48" s="16">
        <f>IF(I48&lt;=0,"—",1-J48/I48)</f>
        <v/>
      </c>
      <c r="O48" s="88" t="inlineStr">
        <is>
          <t>cohorte</t>
        </is>
      </c>
      <c r="P48" s="15">
        <f>IF(O48="Fermer","—",(T48+IFERROR(SUMIFS($T$6:$T$63,$A$6:$A$63,A48,$B$6:$B$63,B48,$O$6:$O$63,"Fermer")*V48/SUMIFS($V$6:$V$63,$A$6:$A$63,A48,$B$6:$B$63,B48,$O$6:$O$63,"&lt;&gt;Fermer"),0))+(U48+IFERROR(SUMIFS($U$6:$U$63,$O$6:$O$63,"Fermer")*V48/SUMIFS($V$6:$V$63,$O$6:$O$63,"&lt;&gt;Fermer"),0)))</f>
        <v/>
      </c>
      <c r="Q48" s="14">
        <f>IF(O48="Fermer","—",G48-H48-P48)</f>
        <v/>
      </c>
      <c r="R48" s="15">
        <f>IF(O48="Fermer",-I48,0)</f>
        <v/>
      </c>
      <c r="S48" s="62">
        <f>IF(O48="Fermer","✖ Fermer = −"&amp;TEXT(I48,"# ##0")&amp;" € d'EBITDA (le fixe reste)",IF(AND(L48&gt;=0,Q48&lt;0),"⚠ BASCULE : saine → déficit à cause d'une fermeture voisine",IF(L48&lt;0,IF(I48&gt;0,"Déficit COMPLET mais contribution POSITIVE → NE PAS fermer (artefact d'allocation)","Contribution négative — vrai point dur"),"Rentable — point mort "&amp;TEXT(M48,"0")&amp;" étud., marge sécu "&amp;TEXT(N48,"0%"))))</f>
        <v/>
      </c>
      <c r="T48" s="86">
        <f>'10_Allocation'!K50</f>
        <v/>
      </c>
      <c r="U48" s="86">
        <f>'10_Allocation'!J50</f>
        <v/>
      </c>
      <c r="V48" s="87">
        <f>IF('01b_Pilotage'!$D$9="Effectif",E48,IF('01b_Pilotage'!$D$9="Nombre de classes",F48,G48))</f>
        <v/>
      </c>
    </row>
    <row r="49">
      <c r="A49" s="17">
        <f>'10_Allocation'!A51</f>
        <v/>
      </c>
      <c r="B49" s="45">
        <f>'10_Allocation'!B51</f>
        <v/>
      </c>
      <c r="C49" s="17">
        <f>'10_Allocation'!C51</f>
        <v/>
      </c>
      <c r="D49" s="45">
        <f>'10_Allocation'!D51</f>
        <v/>
      </c>
      <c r="E49" s="23">
        <f>'10_Allocation'!G51</f>
        <v/>
      </c>
      <c r="F49" s="23">
        <f>'10_Allocation'!H51</f>
        <v/>
      </c>
      <c r="G49" s="15">
        <f>'10_Allocation'!F51</f>
        <v/>
      </c>
      <c r="H49" s="15">
        <f>'10_Allocation'!I51</f>
        <v/>
      </c>
      <c r="I49" s="14">
        <f>G49-H49</f>
        <v/>
      </c>
      <c r="J49" s="15">
        <f>T49+U49</f>
        <v/>
      </c>
      <c r="K49" s="15">
        <f>H49+J49</f>
        <v/>
      </c>
      <c r="L49" s="14">
        <f>G49-K49</f>
        <v/>
      </c>
      <c r="M49" s="23">
        <f>IF(I49&lt;=0,"contrib≤0",ROUNDUP(J49/I49*E49,0))</f>
        <v/>
      </c>
      <c r="N49" s="16">
        <f>IF(I49&lt;=0,"—",1-J49/I49)</f>
        <v/>
      </c>
      <c r="O49" s="88" t="inlineStr">
        <is>
          <t>cohorte</t>
        </is>
      </c>
      <c r="P49" s="15">
        <f>IF(O49="Fermer","—",(T49+IFERROR(SUMIFS($T$6:$T$63,$A$6:$A$63,A49,$B$6:$B$63,B49,$O$6:$O$63,"Fermer")*V49/SUMIFS($V$6:$V$63,$A$6:$A$63,A49,$B$6:$B$63,B49,$O$6:$O$63,"&lt;&gt;Fermer"),0))+(U49+IFERROR(SUMIFS($U$6:$U$63,$O$6:$O$63,"Fermer")*V49/SUMIFS($V$6:$V$63,$O$6:$O$63,"&lt;&gt;Fermer"),0)))</f>
        <v/>
      </c>
      <c r="Q49" s="14">
        <f>IF(O49="Fermer","—",G49-H49-P49)</f>
        <v/>
      </c>
      <c r="R49" s="15">
        <f>IF(O49="Fermer",-I49,0)</f>
        <v/>
      </c>
      <c r="S49" s="62">
        <f>IF(O49="Fermer","✖ Fermer = −"&amp;TEXT(I49,"# ##0")&amp;" € d'EBITDA (le fixe reste)",IF(AND(L49&gt;=0,Q49&lt;0),"⚠ BASCULE : saine → déficit à cause d'une fermeture voisine",IF(L49&lt;0,IF(I49&gt;0,"Déficit COMPLET mais contribution POSITIVE → NE PAS fermer (artefact d'allocation)","Contribution négative — vrai point dur"),"Rentable — point mort "&amp;TEXT(M49,"0")&amp;" étud., marge sécu "&amp;TEXT(N49,"0%"))))</f>
        <v/>
      </c>
      <c r="T49" s="86">
        <f>'10_Allocation'!K51</f>
        <v/>
      </c>
      <c r="U49" s="86">
        <f>'10_Allocation'!J51</f>
        <v/>
      </c>
      <c r="V49" s="87">
        <f>IF('01b_Pilotage'!$D$9="Effectif",E49,IF('01b_Pilotage'!$D$9="Nombre de classes",F49,G49))</f>
        <v/>
      </c>
    </row>
    <row r="50">
      <c r="A50" s="17">
        <f>'10_Allocation'!A52</f>
        <v/>
      </c>
      <c r="B50" s="45">
        <f>'10_Allocation'!B52</f>
        <v/>
      </c>
      <c r="C50" s="17">
        <f>'10_Allocation'!C52</f>
        <v/>
      </c>
      <c r="D50" s="45">
        <f>'10_Allocation'!D52</f>
        <v/>
      </c>
      <c r="E50" s="23">
        <f>'10_Allocation'!G52</f>
        <v/>
      </c>
      <c r="F50" s="23">
        <f>'10_Allocation'!H52</f>
        <v/>
      </c>
      <c r="G50" s="15">
        <f>'10_Allocation'!F52</f>
        <v/>
      </c>
      <c r="H50" s="15">
        <f>'10_Allocation'!I52</f>
        <v/>
      </c>
      <c r="I50" s="14">
        <f>G50-H50</f>
        <v/>
      </c>
      <c r="J50" s="15">
        <f>T50+U50</f>
        <v/>
      </c>
      <c r="K50" s="15">
        <f>H50+J50</f>
        <v/>
      </c>
      <c r="L50" s="14">
        <f>G50-K50</f>
        <v/>
      </c>
      <c r="M50" s="23">
        <f>IF(I50&lt;=0,"contrib≤0",ROUNDUP(J50/I50*E50,0))</f>
        <v/>
      </c>
      <c r="N50" s="16">
        <f>IF(I50&lt;=0,"—",1-J50/I50)</f>
        <v/>
      </c>
      <c r="O50" s="9" t="inlineStr">
        <is>
          <t>Garder</t>
        </is>
      </c>
      <c r="P50" s="15">
        <f>IF(O50="Fermer","—",(T50+IFERROR(SUMIFS($T$6:$T$63,$A$6:$A$63,A50,$B$6:$B$63,B50,$O$6:$O$63,"Fermer")*V50/SUMIFS($V$6:$V$63,$A$6:$A$63,A50,$B$6:$B$63,B50,$O$6:$O$63,"&lt;&gt;Fermer"),0))+(U50+IFERROR(SUMIFS($U$6:$U$63,$O$6:$O$63,"Fermer")*V50/SUMIFS($V$6:$V$63,$O$6:$O$63,"&lt;&gt;Fermer"),0)))</f>
        <v/>
      </c>
      <c r="Q50" s="14">
        <f>IF(O50="Fermer","—",G50-H50-P50)</f>
        <v/>
      </c>
      <c r="R50" s="15">
        <f>IF(O50="Fermer",-I50,0)</f>
        <v/>
      </c>
      <c r="S50" s="62">
        <f>IF(O50="Fermer","✖ Fermer = −"&amp;TEXT(I50,"# ##0")&amp;" € d'EBITDA (le fixe reste)",IF(AND(L50&gt;=0,Q50&lt;0),"⚠ BASCULE : saine → déficit à cause d'une fermeture voisine",IF(L50&lt;0,IF(I50&gt;0,"Déficit COMPLET mais contribution POSITIVE → NE PAS fermer (artefact d'allocation)","Contribution négative — vrai point dur"),"Rentable — point mort "&amp;TEXT(M50,"0")&amp;" étud., marge sécu "&amp;TEXT(N50,"0%"))))</f>
        <v/>
      </c>
      <c r="T50" s="86">
        <f>'10_Allocation'!K52</f>
        <v/>
      </c>
      <c r="U50" s="86">
        <f>'10_Allocation'!J52</f>
        <v/>
      </c>
      <c r="V50" s="87">
        <f>IF('01b_Pilotage'!$D$9="Effectif",E50,IF('01b_Pilotage'!$D$9="Nombre de classes",F50,G50))</f>
        <v/>
      </c>
    </row>
    <row r="51">
      <c r="A51" s="17">
        <f>'10_Allocation'!A53</f>
        <v/>
      </c>
      <c r="B51" s="45">
        <f>'10_Allocation'!B53</f>
        <v/>
      </c>
      <c r="C51" s="17">
        <f>'10_Allocation'!C53</f>
        <v/>
      </c>
      <c r="D51" s="45">
        <f>'10_Allocation'!D53</f>
        <v/>
      </c>
      <c r="E51" s="23">
        <f>'10_Allocation'!G53</f>
        <v/>
      </c>
      <c r="F51" s="23">
        <f>'10_Allocation'!H53</f>
        <v/>
      </c>
      <c r="G51" s="15">
        <f>'10_Allocation'!F53</f>
        <v/>
      </c>
      <c r="H51" s="15">
        <f>'10_Allocation'!I53</f>
        <v/>
      </c>
      <c r="I51" s="14">
        <f>G51-H51</f>
        <v/>
      </c>
      <c r="J51" s="15">
        <f>T51+U51</f>
        <v/>
      </c>
      <c r="K51" s="15">
        <f>H51+J51</f>
        <v/>
      </c>
      <c r="L51" s="14">
        <f>G51-K51</f>
        <v/>
      </c>
      <c r="M51" s="23">
        <f>IF(I51&lt;=0,"contrib≤0",ROUNDUP(J51/I51*E51,0))</f>
        <v/>
      </c>
      <c r="N51" s="16">
        <f>IF(I51&lt;=0,"—",1-J51/I51)</f>
        <v/>
      </c>
      <c r="O51" s="88" t="inlineStr">
        <is>
          <t>cohorte</t>
        </is>
      </c>
      <c r="P51" s="15">
        <f>IF(O51="Fermer","—",(T51+IFERROR(SUMIFS($T$6:$T$63,$A$6:$A$63,A51,$B$6:$B$63,B51,$O$6:$O$63,"Fermer")*V51/SUMIFS($V$6:$V$63,$A$6:$A$63,A51,$B$6:$B$63,B51,$O$6:$O$63,"&lt;&gt;Fermer"),0))+(U51+IFERROR(SUMIFS($U$6:$U$63,$O$6:$O$63,"Fermer")*V51/SUMIFS($V$6:$V$63,$O$6:$O$63,"&lt;&gt;Fermer"),0)))</f>
        <v/>
      </c>
      <c r="Q51" s="14">
        <f>IF(O51="Fermer","—",G51-H51-P51)</f>
        <v/>
      </c>
      <c r="R51" s="15">
        <f>IF(O51="Fermer",-I51,0)</f>
        <v/>
      </c>
      <c r="S51" s="62">
        <f>IF(O51="Fermer","✖ Fermer = −"&amp;TEXT(I51,"# ##0")&amp;" € d'EBITDA (le fixe reste)",IF(AND(L51&gt;=0,Q51&lt;0),"⚠ BASCULE : saine → déficit à cause d'une fermeture voisine",IF(L51&lt;0,IF(I51&gt;0,"Déficit COMPLET mais contribution POSITIVE → NE PAS fermer (artefact d'allocation)","Contribution négative — vrai point dur"),"Rentable — point mort "&amp;TEXT(M51,"0")&amp;" étud., marge sécu "&amp;TEXT(N51,"0%"))))</f>
        <v/>
      </c>
      <c r="T51" s="86">
        <f>'10_Allocation'!K53</f>
        <v/>
      </c>
      <c r="U51" s="86">
        <f>'10_Allocation'!J53</f>
        <v/>
      </c>
      <c r="V51" s="87">
        <f>IF('01b_Pilotage'!$D$9="Effectif",E51,IF('01b_Pilotage'!$D$9="Nombre de classes",F51,G51))</f>
        <v/>
      </c>
    </row>
    <row r="52">
      <c r="A52" s="17">
        <f>'10_Allocation'!A54</f>
        <v/>
      </c>
      <c r="B52" s="45">
        <f>'10_Allocation'!B54</f>
        <v/>
      </c>
      <c r="C52" s="17">
        <f>'10_Allocation'!C54</f>
        <v/>
      </c>
      <c r="D52" s="45">
        <f>'10_Allocation'!D54</f>
        <v/>
      </c>
      <c r="E52" s="23">
        <f>'10_Allocation'!G54</f>
        <v/>
      </c>
      <c r="F52" s="23">
        <f>'10_Allocation'!H54</f>
        <v/>
      </c>
      <c r="G52" s="15">
        <f>'10_Allocation'!F54</f>
        <v/>
      </c>
      <c r="H52" s="15">
        <f>'10_Allocation'!I54</f>
        <v/>
      </c>
      <c r="I52" s="14">
        <f>G52-H52</f>
        <v/>
      </c>
      <c r="J52" s="15">
        <f>T52+U52</f>
        <v/>
      </c>
      <c r="K52" s="15">
        <f>H52+J52</f>
        <v/>
      </c>
      <c r="L52" s="14">
        <f>G52-K52</f>
        <v/>
      </c>
      <c r="M52" s="23">
        <f>IF(I52&lt;=0,"contrib≤0",ROUNDUP(J52/I52*E52,0))</f>
        <v/>
      </c>
      <c r="N52" s="16">
        <f>IF(I52&lt;=0,"—",1-J52/I52)</f>
        <v/>
      </c>
      <c r="O52" s="9" t="inlineStr">
        <is>
          <t>Garder</t>
        </is>
      </c>
      <c r="P52" s="15">
        <f>IF(O52="Fermer","—",(T52+IFERROR(SUMIFS($T$6:$T$63,$A$6:$A$63,A52,$B$6:$B$63,B52,$O$6:$O$63,"Fermer")*V52/SUMIFS($V$6:$V$63,$A$6:$A$63,A52,$B$6:$B$63,B52,$O$6:$O$63,"&lt;&gt;Fermer"),0))+(U52+IFERROR(SUMIFS($U$6:$U$63,$O$6:$O$63,"Fermer")*V52/SUMIFS($V$6:$V$63,$O$6:$O$63,"&lt;&gt;Fermer"),0)))</f>
        <v/>
      </c>
      <c r="Q52" s="14">
        <f>IF(O52="Fermer","—",G52-H52-P52)</f>
        <v/>
      </c>
      <c r="R52" s="15">
        <f>IF(O52="Fermer",-I52,0)</f>
        <v/>
      </c>
      <c r="S52" s="62">
        <f>IF(O52="Fermer","✖ Fermer = −"&amp;TEXT(I52,"# ##0")&amp;" € d'EBITDA (le fixe reste)",IF(AND(L52&gt;=0,Q52&lt;0),"⚠ BASCULE : saine → déficit à cause d'une fermeture voisine",IF(L52&lt;0,IF(I52&gt;0,"Déficit COMPLET mais contribution POSITIVE → NE PAS fermer (artefact d'allocation)","Contribution négative — vrai point dur"),"Rentable — point mort "&amp;TEXT(M52,"0")&amp;" étud., marge sécu "&amp;TEXT(N52,"0%"))))</f>
        <v/>
      </c>
      <c r="T52" s="86">
        <f>'10_Allocation'!K54</f>
        <v/>
      </c>
      <c r="U52" s="86">
        <f>'10_Allocation'!J54</f>
        <v/>
      </c>
      <c r="V52" s="87">
        <f>IF('01b_Pilotage'!$D$9="Effectif",E52,IF('01b_Pilotage'!$D$9="Nombre de classes",F52,G52))</f>
        <v/>
      </c>
    </row>
    <row r="53">
      <c r="A53" s="17">
        <f>'10_Allocation'!A55</f>
        <v/>
      </c>
      <c r="B53" s="45">
        <f>'10_Allocation'!B55</f>
        <v/>
      </c>
      <c r="C53" s="17">
        <f>'10_Allocation'!C55</f>
        <v/>
      </c>
      <c r="D53" s="45">
        <f>'10_Allocation'!D55</f>
        <v/>
      </c>
      <c r="E53" s="23">
        <f>'10_Allocation'!G55</f>
        <v/>
      </c>
      <c r="F53" s="23">
        <f>'10_Allocation'!H55</f>
        <v/>
      </c>
      <c r="G53" s="15">
        <f>'10_Allocation'!F55</f>
        <v/>
      </c>
      <c r="H53" s="15">
        <f>'10_Allocation'!I55</f>
        <v/>
      </c>
      <c r="I53" s="14">
        <f>G53-H53</f>
        <v/>
      </c>
      <c r="J53" s="15">
        <f>T53+U53</f>
        <v/>
      </c>
      <c r="K53" s="15">
        <f>H53+J53</f>
        <v/>
      </c>
      <c r="L53" s="14">
        <f>G53-K53</f>
        <v/>
      </c>
      <c r="M53" s="23">
        <f>IF(I53&lt;=0,"contrib≤0",ROUNDUP(J53/I53*E53,0))</f>
        <v/>
      </c>
      <c r="N53" s="16">
        <f>IF(I53&lt;=0,"—",1-J53/I53)</f>
        <v/>
      </c>
      <c r="O53" s="88" t="inlineStr">
        <is>
          <t>cohorte</t>
        </is>
      </c>
      <c r="P53" s="15">
        <f>IF(O53="Fermer","—",(T53+IFERROR(SUMIFS($T$6:$T$63,$A$6:$A$63,A53,$B$6:$B$63,B53,$O$6:$O$63,"Fermer")*V53/SUMIFS($V$6:$V$63,$A$6:$A$63,A53,$B$6:$B$63,B53,$O$6:$O$63,"&lt;&gt;Fermer"),0))+(U53+IFERROR(SUMIFS($U$6:$U$63,$O$6:$O$63,"Fermer")*V53/SUMIFS($V$6:$V$63,$O$6:$O$63,"&lt;&gt;Fermer"),0)))</f>
        <v/>
      </c>
      <c r="Q53" s="14">
        <f>IF(O53="Fermer","—",G53-H53-P53)</f>
        <v/>
      </c>
      <c r="R53" s="15">
        <f>IF(O53="Fermer",-I53,0)</f>
        <v/>
      </c>
      <c r="S53" s="62">
        <f>IF(O53="Fermer","✖ Fermer = −"&amp;TEXT(I53,"# ##0")&amp;" € d'EBITDA (le fixe reste)",IF(AND(L53&gt;=0,Q53&lt;0),"⚠ BASCULE : saine → déficit à cause d'une fermeture voisine",IF(L53&lt;0,IF(I53&gt;0,"Déficit COMPLET mais contribution POSITIVE → NE PAS fermer (artefact d'allocation)","Contribution négative — vrai point dur"),"Rentable — point mort "&amp;TEXT(M53,"0")&amp;" étud., marge sécu "&amp;TEXT(N53,"0%"))))</f>
        <v/>
      </c>
      <c r="T53" s="86">
        <f>'10_Allocation'!K55</f>
        <v/>
      </c>
      <c r="U53" s="86">
        <f>'10_Allocation'!J55</f>
        <v/>
      </c>
      <c r="V53" s="87">
        <f>IF('01b_Pilotage'!$D$9="Effectif",E53,IF('01b_Pilotage'!$D$9="Nombre de classes",F53,G53))</f>
        <v/>
      </c>
    </row>
    <row r="54">
      <c r="A54" s="17">
        <f>'10_Allocation'!A56</f>
        <v/>
      </c>
      <c r="B54" s="45">
        <f>'10_Allocation'!B56</f>
        <v/>
      </c>
      <c r="C54" s="17">
        <f>'10_Allocation'!C56</f>
        <v/>
      </c>
      <c r="D54" s="45">
        <f>'10_Allocation'!D56</f>
        <v/>
      </c>
      <c r="E54" s="23">
        <f>'10_Allocation'!G56</f>
        <v/>
      </c>
      <c r="F54" s="23">
        <f>'10_Allocation'!H56</f>
        <v/>
      </c>
      <c r="G54" s="15">
        <f>'10_Allocation'!F56</f>
        <v/>
      </c>
      <c r="H54" s="15">
        <f>'10_Allocation'!I56</f>
        <v/>
      </c>
      <c r="I54" s="14">
        <f>G54-H54</f>
        <v/>
      </c>
      <c r="J54" s="15">
        <f>T54+U54</f>
        <v/>
      </c>
      <c r="K54" s="15">
        <f>H54+J54</f>
        <v/>
      </c>
      <c r="L54" s="14">
        <f>G54-K54</f>
        <v/>
      </c>
      <c r="M54" s="23">
        <f>IF(I54&lt;=0,"contrib≤0",ROUNDUP(J54/I54*E54,0))</f>
        <v/>
      </c>
      <c r="N54" s="16">
        <f>IF(I54&lt;=0,"—",1-J54/I54)</f>
        <v/>
      </c>
      <c r="O54" s="9" t="inlineStr">
        <is>
          <t>Garder</t>
        </is>
      </c>
      <c r="P54" s="15">
        <f>IF(O54="Fermer","—",(T54+IFERROR(SUMIFS($T$6:$T$63,$A$6:$A$63,A54,$B$6:$B$63,B54,$O$6:$O$63,"Fermer")*V54/SUMIFS($V$6:$V$63,$A$6:$A$63,A54,$B$6:$B$63,B54,$O$6:$O$63,"&lt;&gt;Fermer"),0))+(U54+IFERROR(SUMIFS($U$6:$U$63,$O$6:$O$63,"Fermer")*V54/SUMIFS($V$6:$V$63,$O$6:$O$63,"&lt;&gt;Fermer"),0)))</f>
        <v/>
      </c>
      <c r="Q54" s="14">
        <f>IF(O54="Fermer","—",G54-H54-P54)</f>
        <v/>
      </c>
      <c r="R54" s="15">
        <f>IF(O54="Fermer",-I54,0)</f>
        <v/>
      </c>
      <c r="S54" s="62">
        <f>IF(O54="Fermer","✖ Fermer = −"&amp;TEXT(I54,"# ##0")&amp;" € d'EBITDA (le fixe reste)",IF(AND(L54&gt;=0,Q54&lt;0),"⚠ BASCULE : saine → déficit à cause d'une fermeture voisine",IF(L54&lt;0,IF(I54&gt;0,"Déficit COMPLET mais contribution POSITIVE → NE PAS fermer (artefact d'allocation)","Contribution négative — vrai point dur"),"Rentable — point mort "&amp;TEXT(M54,"0")&amp;" étud., marge sécu "&amp;TEXT(N54,"0%"))))</f>
        <v/>
      </c>
      <c r="T54" s="86">
        <f>'10_Allocation'!K56</f>
        <v/>
      </c>
      <c r="U54" s="86">
        <f>'10_Allocation'!J56</f>
        <v/>
      </c>
      <c r="V54" s="87">
        <f>IF('01b_Pilotage'!$D$9="Effectif",E54,IF('01b_Pilotage'!$D$9="Nombre de classes",F54,G54))</f>
        <v/>
      </c>
    </row>
    <row r="55">
      <c r="A55" s="17">
        <f>'10_Allocation'!A57</f>
        <v/>
      </c>
      <c r="B55" s="45">
        <f>'10_Allocation'!B57</f>
        <v/>
      </c>
      <c r="C55" s="17">
        <f>'10_Allocation'!C57</f>
        <v/>
      </c>
      <c r="D55" s="45">
        <f>'10_Allocation'!D57</f>
        <v/>
      </c>
      <c r="E55" s="23">
        <f>'10_Allocation'!G57</f>
        <v/>
      </c>
      <c r="F55" s="23">
        <f>'10_Allocation'!H57</f>
        <v/>
      </c>
      <c r="G55" s="15">
        <f>'10_Allocation'!F57</f>
        <v/>
      </c>
      <c r="H55" s="15">
        <f>'10_Allocation'!I57</f>
        <v/>
      </c>
      <c r="I55" s="14">
        <f>G55-H55</f>
        <v/>
      </c>
      <c r="J55" s="15">
        <f>T55+U55</f>
        <v/>
      </c>
      <c r="K55" s="15">
        <f>H55+J55</f>
        <v/>
      </c>
      <c r="L55" s="14">
        <f>G55-K55</f>
        <v/>
      </c>
      <c r="M55" s="23">
        <f>IF(I55&lt;=0,"contrib≤0",ROUNDUP(J55/I55*E55,0))</f>
        <v/>
      </c>
      <c r="N55" s="16">
        <f>IF(I55&lt;=0,"—",1-J55/I55)</f>
        <v/>
      </c>
      <c r="O55" s="88" t="inlineStr">
        <is>
          <t>cohorte</t>
        </is>
      </c>
      <c r="P55" s="15">
        <f>IF(O55="Fermer","—",(T55+IFERROR(SUMIFS($T$6:$T$63,$A$6:$A$63,A55,$B$6:$B$63,B55,$O$6:$O$63,"Fermer")*V55/SUMIFS($V$6:$V$63,$A$6:$A$63,A55,$B$6:$B$63,B55,$O$6:$O$63,"&lt;&gt;Fermer"),0))+(U55+IFERROR(SUMIFS($U$6:$U$63,$O$6:$O$63,"Fermer")*V55/SUMIFS($V$6:$V$63,$O$6:$O$63,"&lt;&gt;Fermer"),0)))</f>
        <v/>
      </c>
      <c r="Q55" s="14">
        <f>IF(O55="Fermer","—",G55-H55-P55)</f>
        <v/>
      </c>
      <c r="R55" s="15">
        <f>IF(O55="Fermer",-I55,0)</f>
        <v/>
      </c>
      <c r="S55" s="62">
        <f>IF(O55="Fermer","✖ Fermer = −"&amp;TEXT(I55,"# ##0")&amp;" € d'EBITDA (le fixe reste)",IF(AND(L55&gt;=0,Q55&lt;0),"⚠ BASCULE : saine → déficit à cause d'une fermeture voisine",IF(L55&lt;0,IF(I55&gt;0,"Déficit COMPLET mais contribution POSITIVE → NE PAS fermer (artefact d'allocation)","Contribution négative — vrai point dur"),"Rentable — point mort "&amp;TEXT(M55,"0")&amp;" étud., marge sécu "&amp;TEXT(N55,"0%"))))</f>
        <v/>
      </c>
      <c r="T55" s="86">
        <f>'10_Allocation'!K57</f>
        <v/>
      </c>
      <c r="U55" s="86">
        <f>'10_Allocation'!J57</f>
        <v/>
      </c>
      <c r="V55" s="87">
        <f>IF('01b_Pilotage'!$D$9="Effectif",E55,IF('01b_Pilotage'!$D$9="Nombre de classes",F55,G55))</f>
        <v/>
      </c>
    </row>
    <row r="56">
      <c r="A56" s="17">
        <f>'10_Allocation'!A58</f>
        <v/>
      </c>
      <c r="B56" s="45">
        <f>'10_Allocation'!B58</f>
        <v/>
      </c>
      <c r="C56" s="17">
        <f>'10_Allocation'!C58</f>
        <v/>
      </c>
      <c r="D56" s="45">
        <f>'10_Allocation'!D58</f>
        <v/>
      </c>
      <c r="E56" s="23">
        <f>'10_Allocation'!G58</f>
        <v/>
      </c>
      <c r="F56" s="23">
        <f>'10_Allocation'!H58</f>
        <v/>
      </c>
      <c r="G56" s="15">
        <f>'10_Allocation'!F58</f>
        <v/>
      </c>
      <c r="H56" s="15">
        <f>'10_Allocation'!I58</f>
        <v/>
      </c>
      <c r="I56" s="14">
        <f>G56-H56</f>
        <v/>
      </c>
      <c r="J56" s="15">
        <f>T56+U56</f>
        <v/>
      </c>
      <c r="K56" s="15">
        <f>H56+J56</f>
        <v/>
      </c>
      <c r="L56" s="14">
        <f>G56-K56</f>
        <v/>
      </c>
      <c r="M56" s="23">
        <f>IF(I56&lt;=0,"contrib≤0",ROUNDUP(J56/I56*E56,0))</f>
        <v/>
      </c>
      <c r="N56" s="16">
        <f>IF(I56&lt;=0,"—",1-J56/I56)</f>
        <v/>
      </c>
      <c r="O56" s="9" t="inlineStr">
        <is>
          <t>Garder</t>
        </is>
      </c>
      <c r="P56" s="15">
        <f>IF(O56="Fermer","—",(T56+IFERROR(SUMIFS($T$6:$T$63,$A$6:$A$63,A56,$B$6:$B$63,B56,$O$6:$O$63,"Fermer")*V56/SUMIFS($V$6:$V$63,$A$6:$A$63,A56,$B$6:$B$63,B56,$O$6:$O$63,"&lt;&gt;Fermer"),0))+(U56+IFERROR(SUMIFS($U$6:$U$63,$O$6:$O$63,"Fermer")*V56/SUMIFS($V$6:$V$63,$O$6:$O$63,"&lt;&gt;Fermer"),0)))</f>
        <v/>
      </c>
      <c r="Q56" s="14">
        <f>IF(O56="Fermer","—",G56-H56-P56)</f>
        <v/>
      </c>
      <c r="R56" s="15">
        <f>IF(O56="Fermer",-I56,0)</f>
        <v/>
      </c>
      <c r="S56" s="62">
        <f>IF(O56="Fermer","✖ Fermer = −"&amp;TEXT(I56,"# ##0")&amp;" € d'EBITDA (le fixe reste)",IF(AND(L56&gt;=0,Q56&lt;0),"⚠ BASCULE : saine → déficit à cause d'une fermeture voisine",IF(L56&lt;0,IF(I56&gt;0,"Déficit COMPLET mais contribution POSITIVE → NE PAS fermer (artefact d'allocation)","Contribution négative — vrai point dur"),"Rentable — point mort "&amp;TEXT(M56,"0")&amp;" étud., marge sécu "&amp;TEXT(N56,"0%"))))</f>
        <v/>
      </c>
      <c r="T56" s="86">
        <f>'10_Allocation'!K58</f>
        <v/>
      </c>
      <c r="U56" s="86">
        <f>'10_Allocation'!J58</f>
        <v/>
      </c>
      <c r="V56" s="87">
        <f>IF('01b_Pilotage'!$D$9="Effectif",E56,IF('01b_Pilotage'!$D$9="Nombre de classes",F56,G56))</f>
        <v/>
      </c>
    </row>
    <row r="57">
      <c r="A57" s="17">
        <f>'10_Allocation'!A59</f>
        <v/>
      </c>
      <c r="B57" s="45">
        <f>'10_Allocation'!B59</f>
        <v/>
      </c>
      <c r="C57" s="17">
        <f>'10_Allocation'!C59</f>
        <v/>
      </c>
      <c r="D57" s="45">
        <f>'10_Allocation'!D59</f>
        <v/>
      </c>
      <c r="E57" s="23">
        <f>'10_Allocation'!G59</f>
        <v/>
      </c>
      <c r="F57" s="23">
        <f>'10_Allocation'!H59</f>
        <v/>
      </c>
      <c r="G57" s="15">
        <f>'10_Allocation'!F59</f>
        <v/>
      </c>
      <c r="H57" s="15">
        <f>'10_Allocation'!I59</f>
        <v/>
      </c>
      <c r="I57" s="14">
        <f>G57-H57</f>
        <v/>
      </c>
      <c r="J57" s="15">
        <f>T57+U57</f>
        <v/>
      </c>
      <c r="K57" s="15">
        <f>H57+J57</f>
        <v/>
      </c>
      <c r="L57" s="14">
        <f>G57-K57</f>
        <v/>
      </c>
      <c r="M57" s="23">
        <f>IF(I57&lt;=0,"contrib≤0",ROUNDUP(J57/I57*E57,0))</f>
        <v/>
      </c>
      <c r="N57" s="16">
        <f>IF(I57&lt;=0,"—",1-J57/I57)</f>
        <v/>
      </c>
      <c r="O57" s="88" t="inlineStr">
        <is>
          <t>cohorte</t>
        </is>
      </c>
      <c r="P57" s="15">
        <f>IF(O57="Fermer","—",(T57+IFERROR(SUMIFS($T$6:$T$63,$A$6:$A$63,A57,$B$6:$B$63,B57,$O$6:$O$63,"Fermer")*V57/SUMIFS($V$6:$V$63,$A$6:$A$63,A57,$B$6:$B$63,B57,$O$6:$O$63,"&lt;&gt;Fermer"),0))+(U57+IFERROR(SUMIFS($U$6:$U$63,$O$6:$O$63,"Fermer")*V57/SUMIFS($V$6:$V$63,$O$6:$O$63,"&lt;&gt;Fermer"),0)))</f>
        <v/>
      </c>
      <c r="Q57" s="14">
        <f>IF(O57="Fermer","—",G57-H57-P57)</f>
        <v/>
      </c>
      <c r="R57" s="15">
        <f>IF(O57="Fermer",-I57,0)</f>
        <v/>
      </c>
      <c r="S57" s="62">
        <f>IF(O57="Fermer","✖ Fermer = −"&amp;TEXT(I57,"# ##0")&amp;" € d'EBITDA (le fixe reste)",IF(AND(L57&gt;=0,Q57&lt;0),"⚠ BASCULE : saine → déficit à cause d'une fermeture voisine",IF(L57&lt;0,IF(I57&gt;0,"Déficit COMPLET mais contribution POSITIVE → NE PAS fermer (artefact d'allocation)","Contribution négative — vrai point dur"),"Rentable — point mort "&amp;TEXT(M57,"0")&amp;" étud., marge sécu "&amp;TEXT(N57,"0%"))))</f>
        <v/>
      </c>
      <c r="T57" s="86">
        <f>'10_Allocation'!K59</f>
        <v/>
      </c>
      <c r="U57" s="86">
        <f>'10_Allocation'!J59</f>
        <v/>
      </c>
      <c r="V57" s="87">
        <f>IF('01b_Pilotage'!$D$9="Effectif",E57,IF('01b_Pilotage'!$D$9="Nombre de classes",F57,G57))</f>
        <v/>
      </c>
    </row>
    <row r="58">
      <c r="A58" s="17">
        <f>'10_Allocation'!A60</f>
        <v/>
      </c>
      <c r="B58" s="45">
        <f>'10_Allocation'!B60</f>
        <v/>
      </c>
      <c r="C58" s="17">
        <f>'10_Allocation'!C60</f>
        <v/>
      </c>
      <c r="D58" s="45">
        <f>'10_Allocation'!D60</f>
        <v/>
      </c>
      <c r="E58" s="23">
        <f>'10_Allocation'!G60</f>
        <v/>
      </c>
      <c r="F58" s="23">
        <f>'10_Allocation'!H60</f>
        <v/>
      </c>
      <c r="G58" s="15">
        <f>'10_Allocation'!F60</f>
        <v/>
      </c>
      <c r="H58" s="15">
        <f>'10_Allocation'!I60</f>
        <v/>
      </c>
      <c r="I58" s="14">
        <f>G58-H58</f>
        <v/>
      </c>
      <c r="J58" s="15">
        <f>T58+U58</f>
        <v/>
      </c>
      <c r="K58" s="15">
        <f>H58+J58</f>
        <v/>
      </c>
      <c r="L58" s="14">
        <f>G58-K58</f>
        <v/>
      </c>
      <c r="M58" s="23">
        <f>IF(I58&lt;=0,"contrib≤0",ROUNDUP(J58/I58*E58,0))</f>
        <v/>
      </c>
      <c r="N58" s="16">
        <f>IF(I58&lt;=0,"—",1-J58/I58)</f>
        <v/>
      </c>
      <c r="O58" s="9" t="inlineStr">
        <is>
          <t>Garder</t>
        </is>
      </c>
      <c r="P58" s="15">
        <f>IF(O58="Fermer","—",(T58+IFERROR(SUMIFS($T$6:$T$63,$A$6:$A$63,A58,$B$6:$B$63,B58,$O$6:$O$63,"Fermer")*V58/SUMIFS($V$6:$V$63,$A$6:$A$63,A58,$B$6:$B$63,B58,$O$6:$O$63,"&lt;&gt;Fermer"),0))+(U58+IFERROR(SUMIFS($U$6:$U$63,$O$6:$O$63,"Fermer")*V58/SUMIFS($V$6:$V$63,$O$6:$O$63,"&lt;&gt;Fermer"),0)))</f>
        <v/>
      </c>
      <c r="Q58" s="14">
        <f>IF(O58="Fermer","—",G58-H58-P58)</f>
        <v/>
      </c>
      <c r="R58" s="15">
        <f>IF(O58="Fermer",-I58,0)</f>
        <v/>
      </c>
      <c r="S58" s="62">
        <f>IF(O58="Fermer","✖ Fermer = −"&amp;TEXT(I58,"# ##0")&amp;" € d'EBITDA (le fixe reste)",IF(AND(L58&gt;=0,Q58&lt;0),"⚠ BASCULE : saine → déficit à cause d'une fermeture voisine",IF(L58&lt;0,IF(I58&gt;0,"Déficit COMPLET mais contribution POSITIVE → NE PAS fermer (artefact d'allocation)","Contribution négative — vrai point dur"),"Rentable — point mort "&amp;TEXT(M58,"0")&amp;" étud., marge sécu "&amp;TEXT(N58,"0%"))))</f>
        <v/>
      </c>
      <c r="T58" s="86">
        <f>'10_Allocation'!K60</f>
        <v/>
      </c>
      <c r="U58" s="86">
        <f>'10_Allocation'!J60</f>
        <v/>
      </c>
      <c r="V58" s="87">
        <f>IF('01b_Pilotage'!$D$9="Effectif",E58,IF('01b_Pilotage'!$D$9="Nombre de classes",F58,G58))</f>
        <v/>
      </c>
    </row>
    <row r="59">
      <c r="A59" s="17">
        <f>'10_Allocation'!A61</f>
        <v/>
      </c>
      <c r="B59" s="45">
        <f>'10_Allocation'!B61</f>
        <v/>
      </c>
      <c r="C59" s="17">
        <f>'10_Allocation'!C61</f>
        <v/>
      </c>
      <c r="D59" s="45">
        <f>'10_Allocation'!D61</f>
        <v/>
      </c>
      <c r="E59" s="23">
        <f>'10_Allocation'!G61</f>
        <v/>
      </c>
      <c r="F59" s="23">
        <f>'10_Allocation'!H61</f>
        <v/>
      </c>
      <c r="G59" s="15">
        <f>'10_Allocation'!F61</f>
        <v/>
      </c>
      <c r="H59" s="15">
        <f>'10_Allocation'!I61</f>
        <v/>
      </c>
      <c r="I59" s="14">
        <f>G59-H59</f>
        <v/>
      </c>
      <c r="J59" s="15">
        <f>T59+U59</f>
        <v/>
      </c>
      <c r="K59" s="15">
        <f>H59+J59</f>
        <v/>
      </c>
      <c r="L59" s="14">
        <f>G59-K59</f>
        <v/>
      </c>
      <c r="M59" s="23">
        <f>IF(I59&lt;=0,"contrib≤0",ROUNDUP(J59/I59*E59,0))</f>
        <v/>
      </c>
      <c r="N59" s="16">
        <f>IF(I59&lt;=0,"—",1-J59/I59)</f>
        <v/>
      </c>
      <c r="O59" s="88" t="inlineStr">
        <is>
          <t>cohorte</t>
        </is>
      </c>
      <c r="P59" s="15">
        <f>IF(O59="Fermer","—",(T59+IFERROR(SUMIFS($T$6:$T$63,$A$6:$A$63,A59,$B$6:$B$63,B59,$O$6:$O$63,"Fermer")*V59/SUMIFS($V$6:$V$63,$A$6:$A$63,A59,$B$6:$B$63,B59,$O$6:$O$63,"&lt;&gt;Fermer"),0))+(U59+IFERROR(SUMIFS($U$6:$U$63,$O$6:$O$63,"Fermer")*V59/SUMIFS($V$6:$V$63,$O$6:$O$63,"&lt;&gt;Fermer"),0)))</f>
        <v/>
      </c>
      <c r="Q59" s="14">
        <f>IF(O59="Fermer","—",G59-H59-P59)</f>
        <v/>
      </c>
      <c r="R59" s="15">
        <f>IF(O59="Fermer",-I59,0)</f>
        <v/>
      </c>
      <c r="S59" s="62">
        <f>IF(O59="Fermer","✖ Fermer = −"&amp;TEXT(I59,"# ##0")&amp;" € d'EBITDA (le fixe reste)",IF(AND(L59&gt;=0,Q59&lt;0),"⚠ BASCULE : saine → déficit à cause d'une fermeture voisine",IF(L59&lt;0,IF(I59&gt;0,"Déficit COMPLET mais contribution POSITIVE → NE PAS fermer (artefact d'allocation)","Contribution négative — vrai point dur"),"Rentable — point mort "&amp;TEXT(M59,"0")&amp;" étud., marge sécu "&amp;TEXT(N59,"0%"))))</f>
        <v/>
      </c>
      <c r="T59" s="86">
        <f>'10_Allocation'!K61</f>
        <v/>
      </c>
      <c r="U59" s="86">
        <f>'10_Allocation'!J61</f>
        <v/>
      </c>
      <c r="V59" s="87">
        <f>IF('01b_Pilotage'!$D$9="Effectif",E59,IF('01b_Pilotage'!$D$9="Nombre de classes",F59,G59))</f>
        <v/>
      </c>
    </row>
    <row r="60">
      <c r="A60" s="17">
        <f>'10_Allocation'!A62</f>
        <v/>
      </c>
      <c r="B60" s="45">
        <f>'10_Allocation'!B62</f>
        <v/>
      </c>
      <c r="C60" s="17">
        <f>'10_Allocation'!C62</f>
        <v/>
      </c>
      <c r="D60" s="45">
        <f>'10_Allocation'!D62</f>
        <v/>
      </c>
      <c r="E60" s="23">
        <f>'10_Allocation'!G62</f>
        <v/>
      </c>
      <c r="F60" s="23">
        <f>'10_Allocation'!H62</f>
        <v/>
      </c>
      <c r="G60" s="15">
        <f>'10_Allocation'!F62</f>
        <v/>
      </c>
      <c r="H60" s="15">
        <f>'10_Allocation'!I62</f>
        <v/>
      </c>
      <c r="I60" s="14">
        <f>G60-H60</f>
        <v/>
      </c>
      <c r="J60" s="15">
        <f>T60+U60</f>
        <v/>
      </c>
      <c r="K60" s="15">
        <f>H60+J60</f>
        <v/>
      </c>
      <c r="L60" s="14">
        <f>G60-K60</f>
        <v/>
      </c>
      <c r="M60" s="23">
        <f>IF(I60&lt;=0,"contrib≤0",ROUNDUP(J60/I60*E60,0))</f>
        <v/>
      </c>
      <c r="N60" s="16">
        <f>IF(I60&lt;=0,"—",1-J60/I60)</f>
        <v/>
      </c>
      <c r="O60" s="88" t="inlineStr">
        <is>
          <t>cohorte</t>
        </is>
      </c>
      <c r="P60" s="15">
        <f>IF(O60="Fermer","—",(T60+IFERROR(SUMIFS($T$6:$T$63,$A$6:$A$63,A60,$B$6:$B$63,B60,$O$6:$O$63,"Fermer")*V60/SUMIFS($V$6:$V$63,$A$6:$A$63,A60,$B$6:$B$63,B60,$O$6:$O$63,"&lt;&gt;Fermer"),0))+(U60+IFERROR(SUMIFS($U$6:$U$63,$O$6:$O$63,"Fermer")*V60/SUMIFS($V$6:$V$63,$O$6:$O$63,"&lt;&gt;Fermer"),0)))</f>
        <v/>
      </c>
      <c r="Q60" s="14">
        <f>IF(O60="Fermer","—",G60-H60-P60)</f>
        <v/>
      </c>
      <c r="R60" s="15">
        <f>IF(O60="Fermer",-I60,0)</f>
        <v/>
      </c>
      <c r="S60" s="62">
        <f>IF(O60="Fermer","✖ Fermer = −"&amp;TEXT(I60,"# ##0")&amp;" € d'EBITDA (le fixe reste)",IF(AND(L60&gt;=0,Q60&lt;0),"⚠ BASCULE : saine → déficit à cause d'une fermeture voisine",IF(L60&lt;0,IF(I60&gt;0,"Déficit COMPLET mais contribution POSITIVE → NE PAS fermer (artefact d'allocation)","Contribution négative — vrai point dur"),"Rentable — point mort "&amp;TEXT(M60,"0")&amp;" étud., marge sécu "&amp;TEXT(N60,"0%"))))</f>
        <v/>
      </c>
      <c r="T60" s="86">
        <f>'10_Allocation'!K62</f>
        <v/>
      </c>
      <c r="U60" s="86">
        <f>'10_Allocation'!J62</f>
        <v/>
      </c>
      <c r="V60" s="87">
        <f>IF('01b_Pilotage'!$D$9="Effectif",E60,IF('01b_Pilotage'!$D$9="Nombre de classes",F60,G60))</f>
        <v/>
      </c>
    </row>
    <row r="61">
      <c r="A61" s="17">
        <f>'10_Allocation'!A63</f>
        <v/>
      </c>
      <c r="B61" s="45">
        <f>'10_Allocation'!B63</f>
        <v/>
      </c>
      <c r="C61" s="17">
        <f>'10_Allocation'!C63</f>
        <v/>
      </c>
      <c r="D61" s="45">
        <f>'10_Allocation'!D63</f>
        <v/>
      </c>
      <c r="E61" s="23">
        <f>'10_Allocation'!G63</f>
        <v/>
      </c>
      <c r="F61" s="23">
        <f>'10_Allocation'!H63</f>
        <v/>
      </c>
      <c r="G61" s="15">
        <f>'10_Allocation'!F63</f>
        <v/>
      </c>
      <c r="H61" s="15">
        <f>'10_Allocation'!I63</f>
        <v/>
      </c>
      <c r="I61" s="14">
        <f>G61-H61</f>
        <v/>
      </c>
      <c r="J61" s="15">
        <f>T61+U61</f>
        <v/>
      </c>
      <c r="K61" s="15">
        <f>H61+J61</f>
        <v/>
      </c>
      <c r="L61" s="14">
        <f>G61-K61</f>
        <v/>
      </c>
      <c r="M61" s="23">
        <f>IF(I61&lt;=0,"contrib≤0",ROUNDUP(J61/I61*E61,0))</f>
        <v/>
      </c>
      <c r="N61" s="16">
        <f>IF(I61&lt;=0,"—",1-J61/I61)</f>
        <v/>
      </c>
      <c r="O61" s="9" t="inlineStr">
        <is>
          <t>Garder</t>
        </is>
      </c>
      <c r="P61" s="15">
        <f>IF(O61="Fermer","—",(T61+IFERROR(SUMIFS($T$6:$T$63,$A$6:$A$63,A61,$B$6:$B$63,B61,$O$6:$O$63,"Fermer")*V61/SUMIFS($V$6:$V$63,$A$6:$A$63,A61,$B$6:$B$63,B61,$O$6:$O$63,"&lt;&gt;Fermer"),0))+(U61+IFERROR(SUMIFS($U$6:$U$63,$O$6:$O$63,"Fermer")*V61/SUMIFS($V$6:$V$63,$O$6:$O$63,"&lt;&gt;Fermer"),0)))</f>
        <v/>
      </c>
      <c r="Q61" s="14">
        <f>IF(O61="Fermer","—",G61-H61-P61)</f>
        <v/>
      </c>
      <c r="R61" s="15">
        <f>IF(O61="Fermer",-I61,0)</f>
        <v/>
      </c>
      <c r="S61" s="62">
        <f>IF(O61="Fermer","✖ Fermer = −"&amp;TEXT(I61,"# ##0")&amp;" € d'EBITDA (le fixe reste)",IF(AND(L61&gt;=0,Q61&lt;0),"⚠ BASCULE : saine → déficit à cause d'une fermeture voisine",IF(L61&lt;0,IF(I61&gt;0,"Déficit COMPLET mais contribution POSITIVE → NE PAS fermer (artefact d'allocation)","Contribution négative — vrai point dur"),"Rentable — point mort "&amp;TEXT(M61,"0")&amp;" étud., marge sécu "&amp;TEXT(N61,"0%"))))</f>
        <v/>
      </c>
      <c r="T61" s="86">
        <f>'10_Allocation'!K63</f>
        <v/>
      </c>
      <c r="U61" s="86">
        <f>'10_Allocation'!J63</f>
        <v/>
      </c>
      <c r="V61" s="87">
        <f>IF('01b_Pilotage'!$D$9="Effectif",E61,IF('01b_Pilotage'!$D$9="Nombre de classes",F61,G61))</f>
        <v/>
      </c>
    </row>
    <row r="62">
      <c r="A62" s="17">
        <f>'10_Allocation'!A64</f>
        <v/>
      </c>
      <c r="B62" s="45">
        <f>'10_Allocation'!B64</f>
        <v/>
      </c>
      <c r="C62" s="17">
        <f>'10_Allocation'!C64</f>
        <v/>
      </c>
      <c r="D62" s="45">
        <f>'10_Allocation'!D64</f>
        <v/>
      </c>
      <c r="E62" s="23">
        <f>'10_Allocation'!G64</f>
        <v/>
      </c>
      <c r="F62" s="23">
        <f>'10_Allocation'!H64</f>
        <v/>
      </c>
      <c r="G62" s="15">
        <f>'10_Allocation'!F64</f>
        <v/>
      </c>
      <c r="H62" s="15">
        <f>'10_Allocation'!I64</f>
        <v/>
      </c>
      <c r="I62" s="14">
        <f>G62-H62</f>
        <v/>
      </c>
      <c r="J62" s="15">
        <f>T62+U62</f>
        <v/>
      </c>
      <c r="K62" s="15">
        <f>H62+J62</f>
        <v/>
      </c>
      <c r="L62" s="14">
        <f>G62-K62</f>
        <v/>
      </c>
      <c r="M62" s="23">
        <f>IF(I62&lt;=0,"contrib≤0",ROUNDUP(J62/I62*E62,0))</f>
        <v/>
      </c>
      <c r="N62" s="16">
        <f>IF(I62&lt;=0,"—",1-J62/I62)</f>
        <v/>
      </c>
      <c r="O62" s="88" t="inlineStr">
        <is>
          <t>cohorte</t>
        </is>
      </c>
      <c r="P62" s="15">
        <f>IF(O62="Fermer","—",(T62+IFERROR(SUMIFS($T$6:$T$63,$A$6:$A$63,A62,$B$6:$B$63,B62,$O$6:$O$63,"Fermer")*V62/SUMIFS($V$6:$V$63,$A$6:$A$63,A62,$B$6:$B$63,B62,$O$6:$O$63,"&lt;&gt;Fermer"),0))+(U62+IFERROR(SUMIFS($U$6:$U$63,$O$6:$O$63,"Fermer")*V62/SUMIFS($V$6:$V$63,$O$6:$O$63,"&lt;&gt;Fermer"),0)))</f>
        <v/>
      </c>
      <c r="Q62" s="14">
        <f>IF(O62="Fermer","—",G62-H62-P62)</f>
        <v/>
      </c>
      <c r="R62" s="15">
        <f>IF(O62="Fermer",-I62,0)</f>
        <v/>
      </c>
      <c r="S62" s="62">
        <f>IF(O62="Fermer","✖ Fermer = −"&amp;TEXT(I62,"# ##0")&amp;" € d'EBITDA (le fixe reste)",IF(AND(L62&gt;=0,Q62&lt;0),"⚠ BASCULE : saine → déficit à cause d'une fermeture voisine",IF(L62&lt;0,IF(I62&gt;0,"Déficit COMPLET mais contribution POSITIVE → NE PAS fermer (artefact d'allocation)","Contribution négative — vrai point dur"),"Rentable — point mort "&amp;TEXT(M62,"0")&amp;" étud., marge sécu "&amp;TEXT(N62,"0%"))))</f>
        <v/>
      </c>
      <c r="T62" s="86">
        <f>'10_Allocation'!K64</f>
        <v/>
      </c>
      <c r="U62" s="86">
        <f>'10_Allocation'!J64</f>
        <v/>
      </c>
      <c r="V62" s="87">
        <f>IF('01b_Pilotage'!$D$9="Effectif",E62,IF('01b_Pilotage'!$D$9="Nombre de classes",F62,G62))</f>
        <v/>
      </c>
    </row>
    <row r="63">
      <c r="A63" s="17">
        <f>'10_Allocation'!A65</f>
        <v/>
      </c>
      <c r="B63" s="45">
        <f>'10_Allocation'!B65</f>
        <v/>
      </c>
      <c r="C63" s="17">
        <f>'10_Allocation'!C65</f>
        <v/>
      </c>
      <c r="D63" s="45">
        <f>'10_Allocation'!D65</f>
        <v/>
      </c>
      <c r="E63" s="23">
        <f>'10_Allocation'!G65</f>
        <v/>
      </c>
      <c r="F63" s="23">
        <f>'10_Allocation'!H65</f>
        <v/>
      </c>
      <c r="G63" s="15">
        <f>'10_Allocation'!F65</f>
        <v/>
      </c>
      <c r="H63" s="15">
        <f>'10_Allocation'!I65</f>
        <v/>
      </c>
      <c r="I63" s="14">
        <f>G63-H63</f>
        <v/>
      </c>
      <c r="J63" s="15">
        <f>T63+U63</f>
        <v/>
      </c>
      <c r="K63" s="15">
        <f>H63+J63</f>
        <v/>
      </c>
      <c r="L63" s="14">
        <f>G63-K63</f>
        <v/>
      </c>
      <c r="M63" s="23">
        <f>IF(I63&lt;=0,"contrib≤0",ROUNDUP(J63/I63*E63,0))</f>
        <v/>
      </c>
      <c r="N63" s="16">
        <f>IF(I63&lt;=0,"—",1-J63/I63)</f>
        <v/>
      </c>
      <c r="O63" s="88" t="inlineStr">
        <is>
          <t>cohorte</t>
        </is>
      </c>
      <c r="P63" s="15">
        <f>IF(O63="Fermer","—",(T63+IFERROR(SUMIFS($T$6:$T$63,$A$6:$A$63,A63,$B$6:$B$63,B63,$O$6:$O$63,"Fermer")*V63/SUMIFS($V$6:$V$63,$A$6:$A$63,A63,$B$6:$B$63,B63,$O$6:$O$63,"&lt;&gt;Fermer"),0))+(U63+IFERROR(SUMIFS($U$6:$U$63,$O$6:$O$63,"Fermer")*V63/SUMIFS($V$6:$V$63,$O$6:$O$63,"&lt;&gt;Fermer"),0)))</f>
        <v/>
      </c>
      <c r="Q63" s="14">
        <f>IF(O63="Fermer","—",G63-H63-P63)</f>
        <v/>
      </c>
      <c r="R63" s="15">
        <f>IF(O63="Fermer",-I63,0)</f>
        <v/>
      </c>
      <c r="S63" s="62">
        <f>IF(O63="Fermer","✖ Fermer = −"&amp;TEXT(I63,"# ##0")&amp;" € d'EBITDA (le fixe reste)",IF(AND(L63&gt;=0,Q63&lt;0),"⚠ BASCULE : saine → déficit à cause d'une fermeture voisine",IF(L63&lt;0,IF(I63&gt;0,"Déficit COMPLET mais contribution POSITIVE → NE PAS fermer (artefact d'allocation)","Contribution négative — vrai point dur"),"Rentable — point mort "&amp;TEXT(M63,"0")&amp;" étud., marge sécu "&amp;TEXT(N63,"0%"))))</f>
        <v/>
      </c>
      <c r="T63" s="86">
        <f>'10_Allocation'!K65</f>
        <v/>
      </c>
      <c r="U63" s="86">
        <f>'10_Allocation'!J65</f>
        <v/>
      </c>
      <c r="V63" s="87">
        <f>IF('01b_Pilotage'!$D$9="Effectif",E63,IF('01b_Pilotage'!$D$9="Nombre de classes",F63,G63))</f>
        <v/>
      </c>
    </row>
    <row r="64">
      <c r="A64" s="51" t="inlineStr">
        <is>
          <t>TOTAL</t>
        </is>
      </c>
      <c r="B64" s="52" t="inlineStr">
        <is>
          <t> </t>
        </is>
      </c>
      <c r="C64" s="52" t="inlineStr">
        <is>
          <t> </t>
        </is>
      </c>
      <c r="D64" s="52" t="inlineStr">
        <is>
          <t> </t>
        </is>
      </c>
      <c r="E64" s="53">
        <f>SUM(E6:E63)</f>
        <v/>
      </c>
      <c r="F64" s="53">
        <f>SUM(F6:F63)</f>
        <v/>
      </c>
      <c r="G64" s="50">
        <f>SUM(G6:G63)</f>
        <v/>
      </c>
      <c r="H64" s="50">
        <f>SUM(H6:H63)</f>
        <v/>
      </c>
      <c r="I64" s="50">
        <f>SUM(I6:I63)</f>
        <v/>
      </c>
      <c r="J64" s="50">
        <f>SUM(J6:J63)</f>
        <v/>
      </c>
      <c r="K64" s="50">
        <f>SUM(K6:K63)</f>
        <v/>
      </c>
      <c r="L64" s="50">
        <f>SUM(L6:L63)</f>
        <v/>
      </c>
      <c r="M64" s="52" t="inlineStr">
        <is>
          <t> </t>
        </is>
      </c>
      <c r="N64" s="52" t="inlineStr">
        <is>
          <t> </t>
        </is>
      </c>
      <c r="O64" s="52" t="inlineStr">
        <is>
          <t> </t>
        </is>
      </c>
      <c r="P64" s="52" t="inlineStr">
        <is>
          <t> </t>
        </is>
      </c>
      <c r="Q64" s="52" t="inlineStr">
        <is>
          <t> </t>
        </is>
      </c>
      <c r="R64" s="50">
        <f>SUM(R6:R63)</f>
        <v/>
      </c>
      <c r="S64" s="52" t="inlineStr">
        <is>
          <t> </t>
        </is>
      </c>
    </row>
    <row r="66" ht="20" customHeight="1">
      <c r="A66" s="3" t="inlineStr">
        <is>
          <t>Impact des fermetures — Δ EBITDA &amp; effet domino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8" t="inlineStr">
        <is>
          <t>EBITDA de référence :</t>
        </is>
      </c>
      <c r="D67" s="14">
        <f>('10_Allocation'!F66-'10_Allocation'!L66)</f>
        <v/>
      </c>
      <c r="E67" s="8" t="inlineStr">
        <is>
          <t>Classes fermées :</t>
        </is>
      </c>
      <c r="F67" s="83">
        <f>COUNTIF($O$6:$O$63,"Fermer")</f>
        <v/>
      </c>
    </row>
    <row r="68">
      <c r="A68" s="8" t="inlineStr">
        <is>
          <t>Δ EBITDA (contributions perdues) :</t>
        </is>
      </c>
      <c r="D68" s="14">
        <f>R64</f>
        <v/>
      </c>
      <c r="E68" s="8" t="inlineStr">
        <is>
          <t>Déficits « coût complet » AVANT :</t>
        </is>
      </c>
      <c r="F68" s="89">
        <f>COUNTIF(L6:L63,"&lt;0")</f>
        <v/>
      </c>
    </row>
    <row r="69">
      <c r="A69" s="8" t="inlineStr">
        <is>
          <t>EBITDA après fermetures :</t>
        </is>
      </c>
      <c r="D69" s="69">
        <f>('10_Allocation'!F66-'10_Allocation'!L66)+R64</f>
        <v/>
      </c>
      <c r="E69" s="8" t="inlineStr">
        <is>
          <t>Classes basculées PAR les fermetures (domino) :</t>
        </is>
      </c>
      <c r="F69" s="83">
        <f>SUMPRODUCT(--(L6:L63&gt;=0),--(Q6:Q63&lt;0))</f>
        <v/>
      </c>
    </row>
    <row r="71" ht="52" customHeight="1">
      <c r="A71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2"/>
    <row r="74" ht="20" customHeight="1">
      <c r="A74" s="3" t="inlineStr">
        <is>
          <t>OUVRIR — capter la demande PROJETÉE non servie : ouvrir une section si le surplus couvre son point mort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</row>
    <row r="75" ht="32" customHeight="1">
      <c r="A75" s="7" t="inlineStr">
        <is>
          <t>Effectif projeté = funnel du moteur (leads → candidatures → inscrits + cohorte). Surplus = projeté − capacité actuelle. On n'ouvre que si ce surplus couvre le POINT MORT d'une section (sinon file d'attente / on absorbe). Réagit au scénario : plus le moteur projette de croissance, plus il y a d'ouvertures.</t>
        </is>
      </c>
    </row>
    <row r="76"/>
    <row r="77" ht="30" customHeight="1">
      <c r="A77" s="11" t="inlineStr">
        <is>
          <t>Marque</t>
        </is>
      </c>
      <c r="B77" s="11" t="inlineStr">
        <is>
          <t>Ville</t>
        </is>
      </c>
      <c r="C77" s="11" t="inlineStr">
        <is>
          <t>Programme</t>
        </is>
      </c>
      <c r="D77" s="11" t="inlineStr">
        <is>
          <t>Eff. projeté</t>
        </is>
      </c>
      <c r="E77" s="11" t="inlineStr">
        <is>
          <t>Capacité</t>
        </is>
      </c>
      <c r="F77" s="11" t="inlineStr">
        <is>
          <t>Surplus</t>
        </is>
      </c>
      <c r="G77" s="11" t="inlineStr">
        <is>
          <t>Pt mort/sect.</t>
        </is>
      </c>
      <c r="H77" s="11" t="inlineStr">
        <is>
          <t>Recommandation</t>
        </is>
      </c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</row>
    <row r="78">
      <c r="A78" s="17" t="inlineStr">
        <is>
          <t>MBway</t>
        </is>
      </c>
      <c r="B78" s="45" t="inlineStr">
        <is>
          <t>Paris</t>
        </is>
      </c>
      <c r="C78" s="17" t="inlineStr">
        <is>
          <t>Mastère Management M1</t>
        </is>
      </c>
      <c r="D78" s="23">
        <f>'04_Moteur'!Y7</f>
        <v/>
      </c>
      <c r="E78" s="23">
        <f>F9*26</f>
        <v/>
      </c>
      <c r="F78" s="22">
        <f>D78-E78</f>
        <v/>
      </c>
      <c r="G78" s="23">
        <f>IF(I9&lt;=0,"—",ROUNDUP(J9/I9*E9/F9,0))</f>
        <v/>
      </c>
      <c r="H78" s="62">
        <f>IF(I9&lt;=0,"— contribution négative, pas d'ouverture",IF(F78&gt;=26,"🟢 OUVRIR — la demande remplit une section entière (+"&amp;TEXT(F78,"0")&amp;" pour "&amp;26&amp;" places)",IF(F78&gt;=G78,"🟠 OUVRIR sous réserve — viable mais sous-remplie (+"&amp;TEXT(F78,"0")&amp;" vs point mort "&amp;TEXT(G78,"0")&amp;")",IF(F78&gt;0,"🕐 File d'attente — surplus +"&amp;TEXT(F78,"0")&amp;" &lt; point mort "&amp;TEXT(G78,"0")&amp;" d'une section","— Capacité suffisante"))))</f>
        <v/>
      </c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</row>
    <row r="79">
      <c r="A79" s="17" t="inlineStr">
        <is>
          <t>MBway</t>
        </is>
      </c>
      <c r="B79" s="45" t="inlineStr">
        <is>
          <t>Bordeaux</t>
        </is>
      </c>
      <c r="C79" s="17" t="inlineStr">
        <is>
          <t>Mastère Management M1</t>
        </is>
      </c>
      <c r="D79" s="23">
        <f>'04_Moteur'!Y22</f>
        <v/>
      </c>
      <c r="E79" s="23">
        <f>F24*26</f>
        <v/>
      </c>
      <c r="F79" s="22">
        <f>D79-E79</f>
        <v/>
      </c>
      <c r="G79" s="23">
        <f>IF(I24&lt;=0,"—",ROUNDUP(J24/I24*E24/F24,0))</f>
        <v/>
      </c>
      <c r="H79" s="62">
        <f>IF(I24&lt;=0,"— contribution négative, pas d'ouverture",IF(F79&gt;=26,"🟢 OUVRIR — la demande remplit une section entière (+"&amp;TEXT(F79,"0")&amp;" pour "&amp;26&amp;" places)",IF(F79&gt;=G79,"🟠 OUVRIR sous réserve — viable mais sous-remplie (+"&amp;TEXT(F79,"0")&amp;" vs point mort "&amp;TEXT(G79,"0")&amp;")",IF(F79&gt;0,"🕐 File d'attente — surplus +"&amp;TEXT(F79,"0")&amp;" &lt; point mort "&amp;TEXT(G79,"0")&amp;" d'une section","— Capacité suffisante"))))</f>
        <v/>
      </c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</row>
    <row r="80">
      <c r="A80" s="17" t="inlineStr">
        <is>
          <t>ISCOM</t>
        </is>
      </c>
      <c r="B80" s="45" t="inlineStr">
        <is>
          <t>Lille</t>
        </is>
      </c>
      <c r="C80" s="17" t="inlineStr">
        <is>
          <t>Mastère Communication M1</t>
        </is>
      </c>
      <c r="D80" s="23">
        <f>'04_Moteur'!Y32</f>
        <v/>
      </c>
      <c r="E80" s="23">
        <f>F34*26</f>
        <v/>
      </c>
      <c r="F80" s="22">
        <f>D80-E80</f>
        <v/>
      </c>
      <c r="G80" s="23">
        <f>IF(I34&lt;=0,"—",ROUNDUP(J34/I34*E34/F34,0))</f>
        <v/>
      </c>
      <c r="H80" s="62">
        <f>IF(I34&lt;=0,"— contribution négative, pas d'ouverture",IF(F80&gt;=26,"🟢 OUVRIR — la demande remplit une section entière (+"&amp;TEXT(F80,"0")&amp;" pour "&amp;26&amp;" places)",IF(F80&gt;=G80,"🟠 OUVRIR sous réserve — viable mais sous-remplie (+"&amp;TEXT(F80,"0")&amp;" vs point mort "&amp;TEXT(G80,"0")&amp;")",IF(F80&gt;0,"🕐 File d'attente — surplus +"&amp;TEXT(F80,"0")&amp;" &lt; point mort "&amp;TEXT(G80,"0")&amp;" d'une section","— Capacité suffisante"))))</f>
        <v/>
      </c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</row>
    <row r="81">
      <c r="A81" s="17" t="inlineStr">
        <is>
          <t>MBway</t>
        </is>
      </c>
      <c r="B81" s="45" t="inlineStr">
        <is>
          <t>Nantes</t>
        </is>
      </c>
      <c r="C81" s="17" t="inlineStr">
        <is>
          <t>Bachelor Management B1</t>
        </is>
      </c>
      <c r="D81" s="23">
        <f>'04_Moteur'!Y14</f>
        <v/>
      </c>
      <c r="E81" s="23">
        <f>F16*32</f>
        <v/>
      </c>
      <c r="F81" s="22">
        <f>D81-E81</f>
        <v/>
      </c>
      <c r="G81" s="23">
        <f>IF(I16&lt;=0,"—",ROUNDUP(J16/I16*E16/F16,0))</f>
        <v/>
      </c>
      <c r="H81" s="62">
        <f>IF(I16&lt;=0,"— contribution négative, pas d'ouverture",IF(F81&gt;=32,"🟢 OUVRIR — la demande remplit une section entière (+"&amp;TEXT(F81,"0")&amp;" pour "&amp;32&amp;" places)",IF(F81&gt;=G81,"🟠 OUVRIR sous réserve — viable mais sous-remplie (+"&amp;TEXT(F81,"0")&amp;" vs point mort "&amp;TEXT(G81,"0")&amp;")",IF(F81&gt;0,"🕐 File d'attente — surplus +"&amp;TEXT(F81,"0")&amp;" &lt; point mort "&amp;TEXT(G81,"0")&amp;" d'une section","— Capacité suffisante"))))</f>
        <v/>
      </c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7" t="n"/>
    </row>
    <row r="82">
      <c r="A82" s="17" t="inlineStr">
        <is>
          <t>ISCOM</t>
        </is>
      </c>
      <c r="B82" s="45" t="inlineStr">
        <is>
          <t>Paris</t>
        </is>
      </c>
      <c r="C82" s="17" t="inlineStr">
        <is>
          <t>Mastère Communication M1</t>
        </is>
      </c>
      <c r="D82" s="23">
        <f>'04_Moteur'!Y27</f>
        <v/>
      </c>
      <c r="E82" s="23">
        <f>F29*26</f>
        <v/>
      </c>
      <c r="F82" s="22">
        <f>D82-E82</f>
        <v/>
      </c>
      <c r="G82" s="23">
        <f>IF(I29&lt;=0,"—",ROUNDUP(J29/I29*E29/F29,0))</f>
        <v/>
      </c>
      <c r="H82" s="62">
        <f>IF(I29&lt;=0,"— contribution négative, pas d'ouverture",IF(F82&gt;=26,"🟢 OUVRIR — la demande remplit une section entière (+"&amp;TEXT(F82,"0")&amp;" pour "&amp;26&amp;" places)",IF(F82&gt;=G82,"🟠 OUVRIR sous réserve — viable mais sous-remplie (+"&amp;TEXT(F82,"0")&amp;" vs point mort "&amp;TEXT(G82,"0")&amp;")",IF(F82&gt;0,"🕐 File d'attente — surplus +"&amp;TEXT(F82,"0")&amp;" &lt; point mort "&amp;TEXT(G82,"0")&amp;" d'une section","— Capacité suffisante"))))</f>
        <v/>
      </c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7" t="n"/>
    </row>
    <row r="83">
      <c r="A83" s="17" t="inlineStr">
        <is>
          <t>ISCOM</t>
        </is>
      </c>
      <c r="B83" s="45" t="inlineStr">
        <is>
          <t>Toulouse</t>
        </is>
      </c>
      <c r="C83" s="17" t="inlineStr">
        <is>
          <t>Mastère Communication M1</t>
        </is>
      </c>
      <c r="D83" s="23">
        <f>'04_Moteur'!Y37</f>
        <v/>
      </c>
      <c r="E83" s="23">
        <f>F39*26</f>
        <v/>
      </c>
      <c r="F83" s="22">
        <f>D83-E83</f>
        <v/>
      </c>
      <c r="G83" s="23">
        <f>IF(I39&lt;=0,"—",ROUNDUP(J39/I39*E39/F39,0))</f>
        <v/>
      </c>
      <c r="H83" s="62">
        <f>IF(I39&lt;=0,"— contribution négative, pas d'ouverture",IF(F83&gt;=26,"🟢 OUVRIR — la demande remplit une section entière (+"&amp;TEXT(F83,"0")&amp;" pour "&amp;26&amp;" places)",IF(F83&gt;=G83,"🟠 OUVRIR sous réserve — viable mais sous-remplie (+"&amp;TEXT(F83,"0")&amp;" vs point mort "&amp;TEXT(G83,"0")&amp;")",IF(F83&gt;0,"🕐 File d'attente — surplus +"&amp;TEXT(F83,"0")&amp;" &lt; point mort "&amp;TEXT(G83,"0")&amp;" d'une section","— Capacité suffisante"))))</f>
        <v/>
      </c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7" t="n"/>
    </row>
    <row r="84">
      <c r="A84" s="17" t="inlineStr">
        <is>
          <t>MBway</t>
        </is>
      </c>
      <c r="B84" s="45" t="inlineStr">
        <is>
          <t>Lyon</t>
        </is>
      </c>
      <c r="C84" s="17" t="inlineStr">
        <is>
          <t>Mastère Management M1</t>
        </is>
      </c>
      <c r="D84" s="23">
        <f>'04_Moteur'!Y12</f>
        <v/>
      </c>
      <c r="E84" s="23">
        <f>F14*26</f>
        <v/>
      </c>
      <c r="F84" s="22">
        <f>D84-E84</f>
        <v/>
      </c>
      <c r="G84" s="23">
        <f>IF(I14&lt;=0,"—",ROUNDUP(J14/I14*E14/F14,0))</f>
        <v/>
      </c>
      <c r="H84" s="62">
        <f>IF(I14&lt;=0,"— contribution négative, pas d'ouverture",IF(F84&gt;=26,"🟢 OUVRIR — la demande remplit une section entière (+"&amp;TEXT(F84,"0")&amp;" pour "&amp;26&amp;" places)",IF(F84&gt;=G84,"🟠 OUVRIR sous réserve — viable mais sous-remplie (+"&amp;TEXT(F84,"0")&amp;" vs point mort "&amp;TEXT(G84,"0")&amp;")",IF(F84&gt;0,"🕐 File d'attente — surplus +"&amp;TEXT(F84,"0")&amp;" &lt; point mort "&amp;TEXT(G84,"0")&amp;" d'une section","— Capacité suffisante"))))</f>
        <v/>
      </c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7" t="n"/>
    </row>
    <row r="85">
      <c r="A85" s="17" t="inlineStr">
        <is>
          <t>MBway</t>
        </is>
      </c>
      <c r="B85" s="45" t="inlineStr">
        <is>
          <t>Paris</t>
        </is>
      </c>
      <c r="C85" s="17" t="inlineStr">
        <is>
          <t>Bachelor Management B1</t>
        </is>
      </c>
      <c r="D85" s="23">
        <f>'04_Moteur'!Y4</f>
        <v/>
      </c>
      <c r="E85" s="23">
        <f>F6*32</f>
        <v/>
      </c>
      <c r="F85" s="22">
        <f>D85-E85</f>
        <v/>
      </c>
      <c r="G85" s="23">
        <f>IF(I6&lt;=0,"—",ROUNDUP(J6/I6*E6/F6,0))</f>
        <v/>
      </c>
      <c r="H85" s="62">
        <f>IF(I6&lt;=0,"— contribution négative, pas d'ouverture",IF(F85&gt;=32,"🟢 OUVRIR — la demande remplit une section entière (+"&amp;TEXT(F85,"0")&amp;" pour "&amp;32&amp;" places)",IF(F85&gt;=G85,"🟠 OUVRIR sous réserve — viable mais sous-remplie (+"&amp;TEXT(F85,"0")&amp;" vs point mort "&amp;TEXT(G85,"0")&amp;")",IF(F85&gt;0,"🕐 File d'attente — surplus +"&amp;TEXT(F85,"0")&amp;" &lt; point mort "&amp;TEXT(G85,"0")&amp;" d'une section","— Capacité suffisante"))))</f>
        <v/>
      </c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7" t="n"/>
    </row>
    <row r="86">
      <c r="A86" s="17" t="inlineStr">
        <is>
          <t>MBway</t>
        </is>
      </c>
      <c r="B86" s="45" t="inlineStr">
        <is>
          <t>Bordeaux</t>
        </is>
      </c>
      <c r="C86" s="17" t="inlineStr">
        <is>
          <t>Bachelor Management B1</t>
        </is>
      </c>
      <c r="D86" s="23">
        <f>'04_Moteur'!Y19</f>
        <v/>
      </c>
      <c r="E86" s="23">
        <f>F21*32</f>
        <v/>
      </c>
      <c r="F86" s="22">
        <f>D86-E86</f>
        <v/>
      </c>
      <c r="G86" s="23">
        <f>IF(I21&lt;=0,"—",ROUNDUP(J21/I21*E21/F21,0))</f>
        <v/>
      </c>
      <c r="H86" s="62">
        <f>IF(I21&lt;=0,"— contribution négative, pas d'ouverture",IF(F86&gt;=32,"🟢 OUVRIR — la demande remplit une section entière (+"&amp;TEXT(F86,"0")&amp;" pour "&amp;32&amp;" places)",IF(F86&gt;=G86,"🟠 OUVRIR sous réserve — viable mais sous-remplie (+"&amp;TEXT(F86,"0")&amp;" vs point mort "&amp;TEXT(G86,"0")&amp;")",IF(F86&gt;0,"🕐 File d'attente — surplus +"&amp;TEXT(F86,"0")&amp;" &lt; point mort "&amp;TEXT(G86,"0")&amp;" d'une section","— Capacité suffisante"))))</f>
        <v/>
      </c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7" t="n"/>
    </row>
    <row r="87">
      <c r="A87" s="17" t="inlineStr">
        <is>
          <t>ISCOM</t>
        </is>
      </c>
      <c r="B87" s="45" t="inlineStr">
        <is>
          <t>Lille</t>
        </is>
      </c>
      <c r="C87" s="17" t="inlineStr">
        <is>
          <t>Bachelor Communication B1</t>
        </is>
      </c>
      <c r="D87" s="23">
        <f>'04_Moteur'!Y29</f>
        <v/>
      </c>
      <c r="E87" s="23">
        <f>F31*32</f>
        <v/>
      </c>
      <c r="F87" s="22">
        <f>D87-E87</f>
        <v/>
      </c>
      <c r="G87" s="23">
        <f>IF(I31&lt;=0,"—",ROUNDUP(J31/I31*E31/F31,0))</f>
        <v/>
      </c>
      <c r="H87" s="62">
        <f>IF(I31&lt;=0,"— contribution négative, pas d'ouverture",IF(F87&gt;=32,"🟢 OUVRIR — la demande remplit une section entière (+"&amp;TEXT(F87,"0")&amp;" pour "&amp;32&amp;" places)",IF(F87&gt;=G87,"🟠 OUVRIR sous réserve — viable mais sous-remplie (+"&amp;TEXT(F87,"0")&amp;" vs point mort "&amp;TEXT(G87,"0")&amp;")",IF(F87&gt;0,"🕐 File d'attente — surplus +"&amp;TEXT(F87,"0")&amp;" &lt; point mort "&amp;TEXT(G87,"0")&amp;" d'une section","— Capacité suffisante"))))</f>
        <v/>
      </c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7" t="n"/>
    </row>
    <row r="88">
      <c r="A88" s="17" t="inlineStr">
        <is>
          <t>Ipac Bachelor Factory</t>
        </is>
      </c>
      <c r="B88" s="45" t="inlineStr">
        <is>
          <t>Nantes</t>
        </is>
      </c>
      <c r="C88" s="17" t="inlineStr">
        <is>
          <t>Bachelor Commerce B1</t>
        </is>
      </c>
      <c r="D88" s="23">
        <f>'04_Moteur'!Y39</f>
        <v/>
      </c>
      <c r="E88" s="23">
        <f>F41*32</f>
        <v/>
      </c>
      <c r="F88" s="22">
        <f>D88-E88</f>
        <v/>
      </c>
      <c r="G88" s="23">
        <f>IF(I41&lt;=0,"—",ROUNDUP(J41/I41*E41/F41,0))</f>
        <v/>
      </c>
      <c r="H88" s="62">
        <f>IF(I41&lt;=0,"— contribution négative, pas d'ouverture",IF(F88&gt;=32,"🟢 OUVRIR — la demande remplit une section entière (+"&amp;TEXT(F88,"0")&amp;" pour "&amp;32&amp;" places)",IF(F88&gt;=G88,"🟠 OUVRIR sous réserve — viable mais sous-remplie (+"&amp;TEXT(F88,"0")&amp;" vs point mort "&amp;TEXT(G88,"0")&amp;")",IF(F88&gt;0,"🕐 File d'attente — surplus +"&amp;TEXT(F88,"0")&amp;" &lt; point mort "&amp;TEXT(G88,"0")&amp;" d'une section","— Capacité suffisante"))))</f>
        <v/>
      </c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7" t="n"/>
    </row>
    <row r="89">
      <c r="A89" s="17" t="inlineStr">
        <is>
          <t>MBway</t>
        </is>
      </c>
      <c r="B89" s="45" t="inlineStr">
        <is>
          <t>Nantes</t>
        </is>
      </c>
      <c r="C89" s="17" t="inlineStr">
        <is>
          <t>Mastère Management M1</t>
        </is>
      </c>
      <c r="D89" s="23">
        <f>'04_Moteur'!Y17</f>
        <v/>
      </c>
      <c r="E89" s="23">
        <f>F19*26</f>
        <v/>
      </c>
      <c r="F89" s="22">
        <f>D89-E89</f>
        <v/>
      </c>
      <c r="G89" s="23">
        <f>IF(I19&lt;=0,"—",ROUNDUP(J19/I19*E19/F19,0))</f>
        <v/>
      </c>
      <c r="H89" s="62">
        <f>IF(I19&lt;=0,"— contribution négative, pas d'ouverture",IF(F89&gt;=26,"🟢 OUVRIR — la demande remplit une section entière (+"&amp;TEXT(F89,"0")&amp;" pour "&amp;26&amp;" places)",IF(F89&gt;=G89,"🟠 OUVRIR sous réserve — viable mais sous-remplie (+"&amp;TEXT(F89,"0")&amp;" vs point mort "&amp;TEXT(G89,"0")&amp;")",IF(F89&gt;0,"🕐 File d'attente — surplus +"&amp;TEXT(F89,"0")&amp;" &lt; point mort "&amp;TEXT(G89,"0")&amp;" d'une section","— Capacité suffisante"))))</f>
        <v/>
      </c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7" t="n"/>
    </row>
    <row r="90">
      <c r="A90" s="17" t="inlineStr">
        <is>
          <t>Pigier</t>
        </is>
      </c>
      <c r="B90" s="45" t="inlineStr">
        <is>
          <t>Lyon</t>
        </is>
      </c>
      <c r="C90" s="17" t="inlineStr">
        <is>
          <t>BTS Gestion 1</t>
        </is>
      </c>
      <c r="D90" s="23">
        <f>'04_Moteur'!Y48</f>
        <v/>
      </c>
      <c r="E90" s="23">
        <f>F50*30</f>
        <v/>
      </c>
      <c r="F90" s="22">
        <f>D90-E90</f>
        <v/>
      </c>
      <c r="G90" s="23">
        <f>IF(I50&lt;=0,"—",ROUNDUP(J50/I50*E50/F50,0))</f>
        <v/>
      </c>
      <c r="H90" s="62">
        <f>IF(I50&lt;=0,"— contribution négative, pas d'ouverture",IF(F90&gt;=30,"🟢 OUVRIR — la demande remplit une section entière (+"&amp;TEXT(F90,"0")&amp;" pour "&amp;30&amp;" places)",IF(F90&gt;=G90,"🟠 OUVRIR sous réserve — viable mais sous-remplie (+"&amp;TEXT(F90,"0")&amp;" vs point mort "&amp;TEXT(G90,"0")&amp;")",IF(F90&gt;0,"🕐 File d'attente — surplus +"&amp;TEXT(F90,"0")&amp;" &lt; point mort "&amp;TEXT(G90,"0")&amp;" d'une section","— Capacité suffisante"))))</f>
        <v/>
      </c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7" t="n"/>
    </row>
    <row r="91">
      <c r="A91" s="17" t="inlineStr">
        <is>
          <t>ISCOM</t>
        </is>
      </c>
      <c r="B91" s="45" t="inlineStr">
        <is>
          <t>Paris</t>
        </is>
      </c>
      <c r="C91" s="17" t="inlineStr">
        <is>
          <t>Bachelor Communication B1</t>
        </is>
      </c>
      <c r="D91" s="23">
        <f>'04_Moteur'!Y24</f>
        <v/>
      </c>
      <c r="E91" s="23">
        <f>F26*32</f>
        <v/>
      </c>
      <c r="F91" s="22">
        <f>D91-E91</f>
        <v/>
      </c>
      <c r="G91" s="23">
        <f>IF(I26&lt;=0,"—",ROUNDUP(J26/I26*E26/F26,0))</f>
        <v/>
      </c>
      <c r="H91" s="62">
        <f>IF(I26&lt;=0,"— contribution négative, pas d'ouverture",IF(F91&gt;=32,"🟢 OUVRIR — la demande remplit une section entière (+"&amp;TEXT(F91,"0")&amp;" pour "&amp;32&amp;" places)",IF(F91&gt;=G91,"🟠 OUVRIR sous réserve — viable mais sous-remplie (+"&amp;TEXT(F91,"0")&amp;" vs point mort "&amp;TEXT(G91,"0")&amp;")",IF(F91&gt;0,"🕐 File d'attente — surplus +"&amp;TEXT(F91,"0")&amp;" &lt; point mort "&amp;TEXT(G91,"0")&amp;" d'une section","— Capacité suffisante"))))</f>
        <v/>
      </c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7" t="n"/>
    </row>
    <row r="92">
      <c r="A92" s="17" t="inlineStr">
        <is>
          <t>ISCOM</t>
        </is>
      </c>
      <c r="B92" s="45" t="inlineStr">
        <is>
          <t>Toulouse</t>
        </is>
      </c>
      <c r="C92" s="17" t="inlineStr">
        <is>
          <t>Bachelor Communication B1</t>
        </is>
      </c>
      <c r="D92" s="23">
        <f>'04_Moteur'!Y34</f>
        <v/>
      </c>
      <c r="E92" s="23">
        <f>F36*32</f>
        <v/>
      </c>
      <c r="F92" s="22">
        <f>D92-E92</f>
        <v/>
      </c>
      <c r="G92" s="23">
        <f>IF(I36&lt;=0,"—",ROUNDUP(J36/I36*E36/F36,0))</f>
        <v/>
      </c>
      <c r="H92" s="62">
        <f>IF(I36&lt;=0,"— contribution négative, pas d'ouverture",IF(F92&gt;=32,"🟢 OUVRIR — la demande remplit une section entière (+"&amp;TEXT(F92,"0")&amp;" pour "&amp;32&amp;" places)",IF(F92&gt;=G92,"🟠 OUVRIR sous réserve — viable mais sous-remplie (+"&amp;TEXT(F92,"0")&amp;" vs point mort "&amp;TEXT(G92,"0")&amp;")",IF(F92&gt;0,"🕐 File d'attente — surplus +"&amp;TEXT(F92,"0")&amp;" &lt; point mort "&amp;TEXT(G92,"0")&amp;" d'une section","— Capacité suffisante"))))</f>
        <v/>
      </c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7" t="n"/>
    </row>
    <row r="93">
      <c r="A93" s="17" t="inlineStr">
        <is>
          <t>Tunon</t>
        </is>
      </c>
      <c r="B93" s="45" t="inlineStr">
        <is>
          <t>Paris</t>
        </is>
      </c>
      <c r="C93" s="17" t="inlineStr">
        <is>
          <t>Bachelor Tourisme B1</t>
        </is>
      </c>
      <c r="D93" s="23">
        <f>'04_Moteur'!Y56</f>
        <v/>
      </c>
      <c r="E93" s="23">
        <f>F58*32</f>
        <v/>
      </c>
      <c r="F93" s="22">
        <f>D93-E93</f>
        <v/>
      </c>
      <c r="G93" s="23">
        <f>IF(I58&lt;=0,"—",ROUNDUP(J58/I58*E58/F58,0))</f>
        <v/>
      </c>
      <c r="H93" s="62">
        <f>IF(I58&lt;=0,"— contribution négative, pas d'ouverture",IF(F93&gt;=32,"🟢 OUVRIR — la demande remplit une section entière (+"&amp;TEXT(F93,"0")&amp;" pour "&amp;32&amp;" places)",IF(F93&gt;=G93,"🟠 OUVRIR sous réserve — viable mais sous-remplie (+"&amp;TEXT(F93,"0")&amp;" vs point mort "&amp;TEXT(G93,"0")&amp;")",IF(F93&gt;0,"🕐 File d'attente — surplus +"&amp;TEXT(F93,"0")&amp;" &lt; point mort "&amp;TEXT(G93,"0")&amp;" d'une section","— Capacité suffisante"))))</f>
        <v/>
      </c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7" t="n"/>
    </row>
    <row r="94">
      <c r="A94" s="17" t="inlineStr">
        <is>
          <t>Pigier</t>
        </is>
      </c>
      <c r="B94" s="45" t="inlineStr">
        <is>
          <t>Lyon</t>
        </is>
      </c>
      <c r="C94" s="17" t="inlineStr">
        <is>
          <t>Bachelor RH B1</t>
        </is>
      </c>
      <c r="D94" s="23">
        <f>'04_Moteur'!Y50</f>
        <v/>
      </c>
      <c r="E94" s="23">
        <f>F52*32</f>
        <v/>
      </c>
      <c r="F94" s="22">
        <f>D94-E94</f>
        <v/>
      </c>
      <c r="G94" s="23">
        <f>IF(I52&lt;=0,"—",ROUNDUP(J52/I52*E52/F52,0))</f>
        <v/>
      </c>
      <c r="H94" s="62">
        <f>IF(I52&lt;=0,"— contribution négative, pas d'ouverture",IF(F94&gt;=32,"🟢 OUVRIR — la demande remplit une section entière (+"&amp;TEXT(F94,"0")&amp;" pour "&amp;32&amp;" places)",IF(F94&gt;=G94,"🟠 OUVRIR sous réserve — viable mais sous-remplie (+"&amp;TEXT(F94,"0")&amp;" vs point mort "&amp;TEXT(G94,"0")&amp;")",IF(F94&gt;0,"🕐 File d'attente — surplus +"&amp;TEXT(F94,"0")&amp;" &lt; point mort "&amp;TEXT(G94,"0")&amp;" d'une section","— Capacité suffisante"))))</f>
        <v/>
      </c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7" t="n"/>
    </row>
    <row r="95">
      <c r="A95" s="17" t="inlineStr">
        <is>
          <t>MBway</t>
        </is>
      </c>
      <c r="B95" s="45" t="inlineStr">
        <is>
          <t>Lyon</t>
        </is>
      </c>
      <c r="C95" s="17" t="inlineStr">
        <is>
          <t>Bachelor Management B1</t>
        </is>
      </c>
      <c r="D95" s="23">
        <f>'04_Moteur'!Y9</f>
        <v/>
      </c>
      <c r="E95" s="23">
        <f>F11*32</f>
        <v/>
      </c>
      <c r="F95" s="22">
        <f>D95-E95</f>
        <v/>
      </c>
      <c r="G95" s="23">
        <f>IF(I11&lt;=0,"—",ROUNDUP(J11/I11*E11/F11,0))</f>
        <v/>
      </c>
      <c r="H95" s="62">
        <f>IF(I11&lt;=0,"— contribution négative, pas d'ouverture",IF(F95&gt;=32,"🟢 OUVRIR — la demande remplit une section entière (+"&amp;TEXT(F95,"0")&amp;" pour "&amp;32&amp;" places)",IF(F95&gt;=G95,"🟠 OUVRIR sous réserve — viable mais sous-remplie (+"&amp;TEXT(F95,"0")&amp;" vs point mort "&amp;TEXT(G95,"0")&amp;")",IF(F95&gt;0,"🕐 File d'attente — surplus +"&amp;TEXT(F95,"0")&amp;" &lt; point mort "&amp;TEXT(G95,"0")&amp;" d'une section","— Capacité suffisante"))))</f>
        <v/>
      </c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7" t="n"/>
    </row>
    <row r="96">
      <c r="A96" s="17" t="inlineStr">
        <is>
          <t>Ipac Bachelor Factory</t>
        </is>
      </c>
      <c r="B96" s="45" t="inlineStr">
        <is>
          <t>Rennes</t>
        </is>
      </c>
      <c r="C96" s="17" t="inlineStr">
        <is>
          <t>Bachelor Commerce B1</t>
        </is>
      </c>
      <c r="D96" s="23">
        <f>'04_Moteur'!Y42</f>
        <v/>
      </c>
      <c r="E96" s="23">
        <f>F44*32</f>
        <v/>
      </c>
      <c r="F96" s="22">
        <f>D96-E96</f>
        <v/>
      </c>
      <c r="G96" s="23">
        <f>IF(I44&lt;=0,"—",ROUNDUP(J44/I44*E44/F44,0))</f>
        <v/>
      </c>
      <c r="H96" s="62">
        <f>IF(I44&lt;=0,"— contribution négative, pas d'ouverture",IF(F96&gt;=32,"🟢 OUVRIR — la demande remplit une section entière (+"&amp;TEXT(F96,"0")&amp;" pour "&amp;32&amp;" places)",IF(F96&gt;=G96,"🟠 OUVRIR sous réserve — viable mais sous-remplie (+"&amp;TEXT(F96,"0")&amp;" vs point mort "&amp;TEXT(G96,"0")&amp;")",IF(F96&gt;0,"🕐 File d'attente — surplus +"&amp;TEXT(F96,"0")&amp;" &lt; point mort "&amp;TEXT(G96,"0")&amp;" d'une section","— Capacité suffisante"))))</f>
        <v/>
      </c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7" t="n"/>
    </row>
    <row r="97">
      <c r="A97" s="17" t="inlineStr">
        <is>
          <t>Ipac Bachelor Factory</t>
        </is>
      </c>
      <c r="B97" s="45" t="inlineStr">
        <is>
          <t>Montpellier</t>
        </is>
      </c>
      <c r="C97" s="17" t="inlineStr">
        <is>
          <t>Bachelor Commerce B1</t>
        </is>
      </c>
      <c r="D97" s="23">
        <f>'04_Moteur'!Y45</f>
        <v/>
      </c>
      <c r="E97" s="23">
        <f>F47*32</f>
        <v/>
      </c>
      <c r="F97" s="22">
        <f>D97-E97</f>
        <v/>
      </c>
      <c r="G97" s="23">
        <f>IF(I47&lt;=0,"—",ROUNDUP(J47/I47*E47/F47,0))</f>
        <v/>
      </c>
      <c r="H97" s="62">
        <f>IF(I47&lt;=0,"— contribution négative, pas d'ouverture",IF(F97&gt;=32,"🟢 OUVRIR — la demande remplit une section entière (+"&amp;TEXT(F97,"0")&amp;" pour "&amp;32&amp;" places)",IF(F97&gt;=G97,"🟠 OUVRIR sous réserve — viable mais sous-remplie (+"&amp;TEXT(F97,"0")&amp;" vs point mort "&amp;TEXT(G97,"0")&amp;")",IF(F97&gt;0,"🕐 File d'attente — surplus +"&amp;TEXT(F97,"0")&amp;" &lt; point mort "&amp;TEXT(G97,"0")&amp;" d'une section","— Capacité suffisante"))))</f>
        <v/>
      </c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7" t="n"/>
    </row>
    <row r="98">
      <c r="A98" s="17" t="inlineStr">
        <is>
          <t>Tunon</t>
        </is>
      </c>
      <c r="B98" s="45" t="inlineStr">
        <is>
          <t>Lyon</t>
        </is>
      </c>
      <c r="C98" s="17" t="inlineStr">
        <is>
          <t>Bachelor Tourisme B1</t>
        </is>
      </c>
      <c r="D98" s="23">
        <f>'04_Moteur'!Y59</f>
        <v/>
      </c>
      <c r="E98" s="23">
        <f>F61*32</f>
        <v/>
      </c>
      <c r="F98" s="22">
        <f>D98-E98</f>
        <v/>
      </c>
      <c r="G98" s="23">
        <f>IF(I61&lt;=0,"—",ROUNDUP(J61/I61*E61/F61,0))</f>
        <v/>
      </c>
      <c r="H98" s="62">
        <f>IF(I61&lt;=0,"— contribution négative, pas d'ouverture",IF(F98&gt;=32,"🟢 OUVRIR — la demande remplit une section entière (+"&amp;TEXT(F98,"0")&amp;" pour "&amp;32&amp;" places)",IF(F98&gt;=G98,"🟠 OUVRIR sous réserve — viable mais sous-remplie (+"&amp;TEXT(F98,"0")&amp;" vs point mort "&amp;TEXT(G98,"0")&amp;")",IF(F98&gt;0,"🕐 File d'attente — surplus +"&amp;TEXT(F98,"0")&amp;" &lt; point mort "&amp;TEXT(G98,"0")&amp;" d'une section","— Capacité suffisante"))))</f>
        <v/>
      </c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7" t="n"/>
    </row>
    <row r="99">
      <c r="A99" s="17" t="inlineStr">
        <is>
          <t>Pigier</t>
        </is>
      </c>
      <c r="B99" s="45" t="inlineStr">
        <is>
          <t>Bordeaux</t>
        </is>
      </c>
      <c r="C99" s="17" t="inlineStr">
        <is>
          <t>BTS Gestion 1</t>
        </is>
      </c>
      <c r="D99" s="23">
        <f>'04_Moteur'!Y52</f>
        <v/>
      </c>
      <c r="E99" s="23">
        <f>F54*30</f>
        <v/>
      </c>
      <c r="F99" s="22">
        <f>D99-E99</f>
        <v/>
      </c>
      <c r="G99" s="23">
        <f>IF(I54&lt;=0,"—",ROUNDUP(J54/I54*E54/F54,0))</f>
        <v/>
      </c>
      <c r="H99" s="62">
        <f>IF(I54&lt;=0,"— contribution négative, pas d'ouverture",IF(F99&gt;=30,"🟢 OUVRIR — la demande remplit une section entière (+"&amp;TEXT(F99,"0")&amp;" pour "&amp;30&amp;" places)",IF(F99&gt;=G99,"🟠 OUVRIR sous réserve — viable mais sous-remplie (+"&amp;TEXT(F99,"0")&amp;" vs point mort "&amp;TEXT(G99,"0")&amp;")",IF(F99&gt;0,"🕐 File d'attente — surplus +"&amp;TEXT(F99,"0")&amp;" &lt; point mort "&amp;TEXT(G99,"0")&amp;" d'une section","— Capacité suffisante"))))</f>
        <v/>
      </c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7" t="n"/>
    </row>
    <row r="100">
      <c r="A100" s="17" t="inlineStr">
        <is>
          <t>Pigier</t>
        </is>
      </c>
      <c r="B100" s="45" t="inlineStr">
        <is>
          <t>Bordeaux</t>
        </is>
      </c>
      <c r="C100" s="17" t="inlineStr">
        <is>
          <t>Bachelor RH B1</t>
        </is>
      </c>
      <c r="D100" s="23">
        <f>'04_Moteur'!Y54</f>
        <v/>
      </c>
      <c r="E100" s="23">
        <f>F56*32</f>
        <v/>
      </c>
      <c r="F100" s="22">
        <f>D100-E100</f>
        <v/>
      </c>
      <c r="G100" s="23">
        <f>IF(I56&lt;=0,"—",ROUNDUP(J56/I56*E56/F56,0))</f>
        <v/>
      </c>
      <c r="H100" s="62">
        <f>IF(I56&lt;=0,"— contribution négative, pas d'ouverture",IF(F100&gt;=32,"🟢 OUVRIR — la demande remplit une section entière (+"&amp;TEXT(F100,"0")&amp;" pour "&amp;32&amp;" places)",IF(F100&gt;=G100,"🟠 OUVRIR sous réserve — viable mais sous-remplie (+"&amp;TEXT(F100,"0")&amp;" vs point mort "&amp;TEXT(G100,"0")&amp;")",IF(F100&gt;0,"🕐 File d'attente — surplus +"&amp;TEXT(F100,"0")&amp;" &lt; point mort "&amp;TEXT(G100,"0")&amp;" d'une section","— Capacité suffisante"))))</f>
        <v/>
      </c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7" t="n"/>
    </row>
    <row r="102" ht="44" customHeight="1">
      <c r="A102" s="7" t="inlineStr">
        <is>
          <t>Règle : OUVRIR si le surplus ≥ la capacité d'une section (la demande remplit une classe de plus) · OUVRIR sous réserve si le surplus couvre au moins le point mort d'une section (viable mais démarre sous-remplie — pari sur la montée en charge) · sinon file d'attente / on absorbe. L'ouverture ne présume aucun « +30 » : elle lit le surplus RÉEL projeté par le moteur, et le point mort qu'il doit franchir.</t>
        </is>
      </c>
    </row>
    <row r="103"/>
    <row r="105" ht="20" customHeight="1">
      <c r="A105" s="3" t="inlineStr">
        <is>
          <t>Pourquoi ces déficits ? Le coût de STRUCTURE par classe n'est pas le même partout</t>
        </is>
      </c>
      <c r="B105" s="4" t="n"/>
      <c r="C105" s="4" t="n"/>
      <c r="D105" s="4" t="n"/>
      <c r="E105" s="4" t="n"/>
      <c r="F105" s="4" t="n"/>
      <c r="G105" s="4" t="n"/>
      <c r="H105" s="4" t="n"/>
    </row>
    <row r="106" ht="30" customHeight="1">
      <c r="A106" s="11" t="inlineStr">
        <is>
          <t>Ville</t>
        </is>
      </c>
      <c r="B106" s="11" t="inlineStr">
        <is>
          <t>Indice coût (immo+salaires)</t>
        </is>
      </c>
      <c r="C106" s="11" t="inlineStr">
        <is>
          <t>Structure / classe (moyenne)</t>
        </is>
      </c>
      <c r="D106" s="11" t="inlineStr">
        <is>
          <t>CA / classe (moyenne)</t>
        </is>
      </c>
      <c r="E106" s="11" t="inlineStr">
        <is>
          <t>Lecture</t>
        </is>
      </c>
    </row>
    <row r="107">
      <c r="A107" s="17" t="inlineStr">
        <is>
          <t>Paris</t>
        </is>
      </c>
      <c r="B107" s="90" t="n">
        <v>1.62</v>
      </c>
      <c r="C107" s="15">
        <f>IFERROR((SUMIFS('10_Allocation'!$K$8:$K$65,'10_Allocation'!$B$8:$B$65,A107)+SUMIFS('10_Allocation'!$J$8:$J$65,'10_Allocation'!$B$8:$B$65,A107))/SUMIFS('10_Allocation'!$H$8:$H$65,'10_Allocation'!$B$8:$B$65,A107),0)</f>
        <v/>
      </c>
      <c r="D107" s="15">
        <f>IFERROR(SUMIFS('10_Allocation'!$F$8:$F$65,'10_Allocation'!$B$8:$B$65,A107)/SUMIFS('10_Allocation'!$H$8:$H$65,'10_Allocation'!$B$8:$B$65,A107),0)</f>
        <v/>
      </c>
      <c r="E107" s="62">
        <f>IF(B107&gt;1.2,"ville chère — loyer/salaires lourds → classes fragiles",IF(B107&lt;0.95,"ville éco — structure légère","dans la moyenne"))</f>
        <v/>
      </c>
    </row>
    <row r="108">
      <c r="A108" s="17" t="inlineStr">
        <is>
          <t>Lyon</t>
        </is>
      </c>
      <c r="B108" s="90" t="n">
        <v>1.12</v>
      </c>
      <c r="C108" s="15">
        <f>IFERROR((SUMIFS('10_Allocation'!$K$8:$K$65,'10_Allocation'!$B$8:$B$65,A108)+SUMIFS('10_Allocation'!$J$8:$J$65,'10_Allocation'!$B$8:$B$65,A108))/SUMIFS('10_Allocation'!$H$8:$H$65,'10_Allocation'!$B$8:$B$65,A108),0)</f>
        <v/>
      </c>
      <c r="D108" s="15">
        <f>IFERROR(SUMIFS('10_Allocation'!$F$8:$F$65,'10_Allocation'!$B$8:$B$65,A108)/SUMIFS('10_Allocation'!$H$8:$H$65,'10_Allocation'!$B$8:$B$65,A108),0)</f>
        <v/>
      </c>
      <c r="E108" s="62">
        <f>IF(B108&gt;1.2,"ville chère — loyer/salaires lourds → classes fragiles",IF(B108&lt;0.95,"ville éco — structure légère","dans la moyenne"))</f>
        <v/>
      </c>
    </row>
    <row r="109">
      <c r="A109" s="17" t="inlineStr">
        <is>
          <t>Bordeaux</t>
        </is>
      </c>
      <c r="B109" s="90" t="n">
        <v>1.05</v>
      </c>
      <c r="C109" s="15">
        <f>IFERROR((SUMIFS('10_Allocation'!$K$8:$K$65,'10_Allocation'!$B$8:$B$65,A109)+SUMIFS('10_Allocation'!$J$8:$J$65,'10_Allocation'!$B$8:$B$65,A109))/SUMIFS('10_Allocation'!$H$8:$H$65,'10_Allocation'!$B$8:$B$65,A109),0)</f>
        <v/>
      </c>
      <c r="D109" s="15">
        <f>IFERROR(SUMIFS('10_Allocation'!$F$8:$F$65,'10_Allocation'!$B$8:$B$65,A109)/SUMIFS('10_Allocation'!$H$8:$H$65,'10_Allocation'!$B$8:$B$65,A109),0)</f>
        <v/>
      </c>
      <c r="E109" s="62">
        <f>IF(B109&gt;1.2,"ville chère — loyer/salaires lourds → classes fragiles",IF(B109&lt;0.95,"ville éco — structure légère","dans la moyenne"))</f>
        <v/>
      </c>
    </row>
    <row r="110">
      <c r="A110" s="17" t="inlineStr">
        <is>
          <t>Nantes</t>
        </is>
      </c>
      <c r="B110" s="90" t="n">
        <v>1</v>
      </c>
      <c r="C110" s="15">
        <f>IFERROR((SUMIFS('10_Allocation'!$K$8:$K$65,'10_Allocation'!$B$8:$B$65,A110)+SUMIFS('10_Allocation'!$J$8:$J$65,'10_Allocation'!$B$8:$B$65,A110))/SUMIFS('10_Allocation'!$H$8:$H$65,'10_Allocation'!$B$8:$B$65,A110),0)</f>
        <v/>
      </c>
      <c r="D110" s="15">
        <f>IFERROR(SUMIFS('10_Allocation'!$F$8:$F$65,'10_Allocation'!$B$8:$B$65,A110)/SUMIFS('10_Allocation'!$H$8:$H$65,'10_Allocation'!$B$8:$B$65,A110),0)</f>
        <v/>
      </c>
      <c r="E110" s="62">
        <f>IF(B110&gt;1.2,"ville chère — loyer/salaires lourds → classes fragiles",IF(B110&lt;0.95,"ville éco — structure légère","dans la moyenne"))</f>
        <v/>
      </c>
    </row>
    <row r="111">
      <c r="A111" s="17" t="inlineStr">
        <is>
          <t>Lille</t>
        </is>
      </c>
      <c r="B111" s="90" t="n">
        <v>0.92</v>
      </c>
      <c r="C111" s="15">
        <f>IFERROR((SUMIFS('10_Allocation'!$K$8:$K$65,'10_Allocation'!$B$8:$B$65,A111)+SUMIFS('10_Allocation'!$J$8:$J$65,'10_Allocation'!$B$8:$B$65,A111))/SUMIFS('10_Allocation'!$H$8:$H$65,'10_Allocation'!$B$8:$B$65,A111),0)</f>
        <v/>
      </c>
      <c r="D111" s="15">
        <f>IFERROR(SUMIFS('10_Allocation'!$F$8:$F$65,'10_Allocation'!$B$8:$B$65,A111)/SUMIFS('10_Allocation'!$H$8:$H$65,'10_Allocation'!$B$8:$B$65,A111),0)</f>
        <v/>
      </c>
      <c r="E111" s="62">
        <f>IF(B111&gt;1.2,"ville chère — loyer/salaires lourds → classes fragiles",IF(B111&lt;0.95,"ville éco — structure légère","dans la moyenne"))</f>
        <v/>
      </c>
    </row>
    <row r="112">
      <c r="A112" s="17" t="inlineStr">
        <is>
          <t>Toulouse</t>
        </is>
      </c>
      <c r="B112" s="90" t="n">
        <v>0.9</v>
      </c>
      <c r="C112" s="15">
        <f>IFERROR((SUMIFS('10_Allocation'!$K$8:$K$65,'10_Allocation'!$B$8:$B$65,A112)+SUMIFS('10_Allocation'!$J$8:$J$65,'10_Allocation'!$B$8:$B$65,A112))/SUMIFS('10_Allocation'!$H$8:$H$65,'10_Allocation'!$B$8:$B$65,A112),0)</f>
        <v/>
      </c>
      <c r="D112" s="15">
        <f>IFERROR(SUMIFS('10_Allocation'!$F$8:$F$65,'10_Allocation'!$B$8:$B$65,A112)/SUMIFS('10_Allocation'!$H$8:$H$65,'10_Allocation'!$B$8:$B$65,A112),0)</f>
        <v/>
      </c>
      <c r="E112" s="62">
        <f>IF(B112&gt;1.2,"ville chère — loyer/salaires lourds → classes fragiles",IF(B112&lt;0.95,"ville éco — structure légère","dans la moyenne"))</f>
        <v/>
      </c>
    </row>
    <row r="113">
      <c r="A113" s="17" t="inlineStr">
        <is>
          <t>Rennes</t>
        </is>
      </c>
      <c r="B113" s="90" t="n">
        <v>0.88</v>
      </c>
      <c r="C113" s="15">
        <f>IFERROR((SUMIFS('10_Allocation'!$K$8:$K$65,'10_Allocation'!$B$8:$B$65,A113)+SUMIFS('10_Allocation'!$J$8:$J$65,'10_Allocation'!$B$8:$B$65,A113))/SUMIFS('10_Allocation'!$H$8:$H$65,'10_Allocation'!$B$8:$B$65,A113),0)</f>
        <v/>
      </c>
      <c r="D113" s="15">
        <f>IFERROR(SUMIFS('10_Allocation'!$F$8:$F$65,'10_Allocation'!$B$8:$B$65,A113)/SUMIFS('10_Allocation'!$H$8:$H$65,'10_Allocation'!$B$8:$B$65,A113),0)</f>
        <v/>
      </c>
      <c r="E113" s="62">
        <f>IF(B113&gt;1.2,"ville chère — loyer/salaires lourds → classes fragiles",IF(B113&lt;0.95,"ville éco — structure légère","dans la moyenne"))</f>
        <v/>
      </c>
    </row>
    <row r="114">
      <c r="A114" s="17" t="inlineStr">
        <is>
          <t>Montpellier</t>
        </is>
      </c>
      <c r="B114" s="90" t="n">
        <v>0.88</v>
      </c>
      <c r="C114" s="15">
        <f>IFERROR((SUMIFS('10_Allocation'!$K$8:$K$65,'10_Allocation'!$B$8:$B$65,A114)+SUMIFS('10_Allocation'!$J$8:$J$65,'10_Allocation'!$B$8:$B$65,A114))/SUMIFS('10_Allocation'!$H$8:$H$65,'10_Allocation'!$B$8:$B$65,A114),0)</f>
        <v/>
      </c>
      <c r="D114" s="15">
        <f>IFERROR(SUMIFS('10_Allocation'!$F$8:$F$65,'10_Allocation'!$B$8:$B$65,A114)/SUMIFS('10_Allocation'!$H$8:$H$65,'10_Allocation'!$B$8:$B$65,A114),0)</f>
        <v/>
      </c>
      <c r="E114" s="62">
        <f>IF(B114&gt;1.2,"ville chère — loyer/salaires lourds → classes fragiles",IF(B114&lt;0.95,"ville éco — structure légère","dans la moyenne"))</f>
        <v/>
      </c>
    </row>
    <row r="116" ht="40" customHeight="1">
      <c r="A116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117"/>
    <row r="119" ht="20" customHeight="1">
      <c r="A119" s="3" t="inlineStr">
        <is>
          <t>Rappel — on ferme le ROBINET (l'entrée), la cohorte suit</t>
        </is>
      </c>
      <c r="B119" s="4" t="n"/>
      <c r="C119" s="4" t="n"/>
      <c r="D119" s="4" t="n"/>
      <c r="E119" s="4" t="n"/>
      <c r="F119" s="4" t="n"/>
      <c r="G119" s="4" t="n"/>
      <c r="H119" s="4" t="n"/>
    </row>
    <row r="120" ht="34" customHeight="1">
      <c r="A120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121"/>
    <row r="123" ht="20" customHeight="1">
      <c r="A123" s="3" t="inlineStr">
        <is>
          <t>Composition des coûts — et pourquoi l'enseignement se répartit par HEURES</t>
        </is>
      </c>
      <c r="B123" s="4" t="n"/>
      <c r="C123" s="4" t="n"/>
      <c r="D123" s="4" t="n"/>
      <c r="E123" s="4" t="n"/>
      <c r="F123" s="4" t="n"/>
      <c r="G123" s="4" t="n"/>
      <c r="H123" s="4" t="n"/>
    </row>
    <row r="124" ht="40" customHeight="1">
      <c r="A124" s="5" t="inlineStr">
        <is>
          <t>Variable (évitable)</t>
        </is>
      </c>
      <c r="B124" s="36" t="n"/>
      <c r="C124" s="37" t="n"/>
      <c r="D124" s="6" t="inlineStr">
        <is>
          <t>Vacataires (par HEURES) + sous-traitance + fournitures pédago + marketing d'acquisition. Disparaît si la classe ferme → base de la CONTRIBUTION.</t>
        </is>
      </c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7" t="n"/>
    </row>
    <row r="125" ht="28" customHeight="1">
      <c r="A125" s="5" t="inlineStr">
        <is>
          <t>Structure (reste)</t>
        </is>
      </c>
      <c r="B125" s="36" t="n"/>
      <c r="C125" s="37" t="n"/>
      <c r="D125" s="6" t="inlineStr">
        <is>
          <t>Permanents (par HEURES) + loyer + administratif + charges sociales + siège. Ne disparaît pas : se réalloue sur les voisines.</t>
        </is>
      </c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7" t="n"/>
    </row>
    <row r="126" ht="40" customHeight="1">
      <c r="A126" s="5" t="inlineStr">
        <is>
          <t>Enseignement = coût de SECTION</t>
        </is>
      </c>
      <c r="B126" s="36" t="n"/>
      <c r="C126" s="37" t="n"/>
      <c r="D126" s="6" t="inlineStr">
        <is>
          <t>Vacataires (variable) + permanents (fixe). Piloté par les HEURES = sections × volume horaire. L'INITIAL a plus d'heures que l'ALTERNANCE (l'alternant est en entreprise) : Bachelor 600 h (init) vs 480 h (alt), Mastère 520/420, BTS 1000/700. D'où un coût d'enseignement par section différencié — visible colonne « Heures/an » de 10_Allocation.</t>
        </is>
      </c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7" t="n"/>
    </row>
  </sheetData>
  <mergeCells count="48">
    <mergeCell ref="H83:S83"/>
    <mergeCell ref="A102:S103"/>
    <mergeCell ref="H89:S89"/>
    <mergeCell ref="H98:S98"/>
    <mergeCell ref="H94:S94"/>
    <mergeCell ref="H79:S79"/>
    <mergeCell ref="H85:S85"/>
    <mergeCell ref="H88:S88"/>
    <mergeCell ref="A123:H123"/>
    <mergeCell ref="A119:H119"/>
    <mergeCell ref="F3:G3"/>
    <mergeCell ref="H100:S100"/>
    <mergeCell ref="H81:S81"/>
    <mergeCell ref="H99:S99"/>
    <mergeCell ref="A75:S76"/>
    <mergeCell ref="H90:S90"/>
    <mergeCell ref="A126:C126"/>
    <mergeCell ref="H80:S80"/>
    <mergeCell ref="H84:S84"/>
    <mergeCell ref="A66:H66"/>
    <mergeCell ref="A71:S72"/>
    <mergeCell ref="H87:S87"/>
    <mergeCell ref="H96:S96"/>
    <mergeCell ref="A125:C125"/>
    <mergeCell ref="H3:S3"/>
    <mergeCell ref="A3:E3"/>
    <mergeCell ref="H77:S77"/>
    <mergeCell ref="A68:C68"/>
    <mergeCell ref="H95:S95"/>
    <mergeCell ref="A105:H105"/>
    <mergeCell ref="H86:S86"/>
    <mergeCell ref="A120:S121"/>
    <mergeCell ref="A1:S1"/>
    <mergeCell ref="A67:C67"/>
    <mergeCell ref="H97:S97"/>
    <mergeCell ref="H92:S92"/>
    <mergeCell ref="D124:S124"/>
    <mergeCell ref="H82:S82"/>
    <mergeCell ref="H91:S91"/>
    <mergeCell ref="A116:S117"/>
    <mergeCell ref="H78:S78"/>
    <mergeCell ref="A74:S74"/>
    <mergeCell ref="D126:S126"/>
    <mergeCell ref="H93:S93"/>
    <mergeCell ref="A124:C124"/>
    <mergeCell ref="A69:C69"/>
    <mergeCell ref="D125:S125"/>
    <mergeCell ref="A2:S2"/>
  </mergeCells>
  <conditionalFormatting sqref="L6:L63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N6:N63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Q6:Q63">
    <cfRule type="colorScale" priority="3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F78:F100">
    <cfRule type="colorScale" priority="4">
      <colorScale>
        <cfvo type="num" val="0"/>
        <cfvo type="num" val="0"/>
        <cfvo type="max"/>
        <color rgb="00F8F8F8"/>
        <color rgb="00FFEB84"/>
        <color rgb="0063BE7B"/>
      </colorScale>
    </cfRule>
  </conditionalFormatting>
  <dataValidations count="1">
    <dataValidation sqref="O6 O9 O11 O14 O16 O19 O21 O24 O26 O29 O31 O34 O36 O39 O41 O44 O47 O50 O52 O54 O56 O58 O61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M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4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B1" s="1" t="inlineStr">
        <is>
          <t>OBJECTIFS — atteinte des cibles, pont EBITDA &amp; trajectoire</t>
        </is>
      </c>
    </row>
    <row r="2">
      <c r="B2" s="31" t="inlineStr">
        <is>
          <t>Construit vs 🎯 cible vs référence · le pont montre d'où vient l'EBITDA · les chiffres sont liés à l'onglet 01_Cadrage (vivant).</t>
        </is>
      </c>
    </row>
    <row r="4" ht="20" customHeight="1">
      <c r="B4" s="3" t="inlineStr">
        <is>
          <t>① Atteinte des objectifs</t>
        </is>
      </c>
      <c r="C4" s="4" t="n"/>
      <c r="D4" s="4" t="n"/>
      <c r="E4" s="4" t="n"/>
      <c r="F4" s="4" t="n"/>
      <c r="G4" s="4" t="n"/>
    </row>
    <row r="5">
      <c r="B5" s="11" t="inlineStr">
        <is>
          <t>Indicateur</t>
        </is>
      </c>
      <c r="C5" s="11" t="inlineStr">
        <is>
          <t>Référence</t>
        </is>
      </c>
      <c r="D5" s="11" t="inlineStr">
        <is>
          <t>🎯 Cible</t>
        </is>
      </c>
      <c r="E5" s="11" t="inlineStr">
        <is>
          <t>🔧 Construit</t>
        </is>
      </c>
      <c r="F5" s="11" t="inlineStr">
        <is>
          <t>Écart</t>
        </is>
      </c>
      <c r="G5" s="11" t="inlineStr">
        <is>
          <t>Statut</t>
        </is>
      </c>
    </row>
    <row r="6">
      <c r="B6" s="12" t="inlineStr">
        <is>
          <t>Chiffre d'affaires</t>
        </is>
      </c>
      <c r="C6" s="15">
        <f>'01_Cadrage'!C7</f>
        <v/>
      </c>
      <c r="D6" s="15">
        <f>'01_Cadrage'!D7</f>
        <v/>
      </c>
      <c r="E6" s="14">
        <f>'01_Cadrage'!E7</f>
        <v/>
      </c>
      <c r="F6" s="15">
        <f>E6-D6</f>
        <v/>
      </c>
      <c r="G6" s="46">
        <f>IF(E6&gt;=D6,"✓ atteinte","sous la cible")</f>
        <v/>
      </c>
    </row>
    <row r="7">
      <c r="B7" s="12" t="inlineStr">
        <is>
          <t>EBITDA</t>
        </is>
      </c>
      <c r="C7" s="15">
        <f>'01_Cadrage'!C8</f>
        <v/>
      </c>
      <c r="D7" s="15">
        <f>'01_Cadrage'!D8</f>
        <v/>
      </c>
      <c r="E7" s="14">
        <f>'01_Cadrage'!E8</f>
        <v/>
      </c>
      <c r="F7" s="15">
        <f>E7-D7</f>
        <v/>
      </c>
      <c r="G7" s="46">
        <f>IF(E7&gt;=D7,"✓ atteinte","sous la cible")</f>
        <v/>
      </c>
    </row>
    <row r="8">
      <c r="B8" s="12" t="inlineStr">
        <is>
          <t>Marge EBITDA %</t>
        </is>
      </c>
      <c r="C8" s="16">
        <f>'01_Cadrage'!C9</f>
        <v/>
      </c>
      <c r="D8" s="16">
        <f>'01_Cadrage'!D9</f>
        <v/>
      </c>
      <c r="E8" s="20">
        <f>'01_Cadrage'!E9</f>
        <v/>
      </c>
      <c r="F8" s="16">
        <f>E8-D8</f>
        <v/>
      </c>
      <c r="G8" s="46">
        <f>IF(E8&gt;=D8,"✓ atteinte","sous la cible")</f>
        <v/>
      </c>
    </row>
    <row r="9">
      <c r="B9" s="12" t="inlineStr">
        <is>
          <t>Effectif total</t>
        </is>
      </c>
      <c r="C9" s="23">
        <f>'01_Cadrage'!C10</f>
        <v/>
      </c>
      <c r="D9" s="23">
        <f>'01_Cadrage'!D10</f>
        <v/>
      </c>
      <c r="E9" s="22">
        <f>'01_Cadrage'!E10</f>
        <v/>
      </c>
      <c r="F9" s="23">
        <f>E9-D9</f>
        <v/>
      </c>
      <c r="G9" s="46">
        <f>IF(E9&gt;=D9,"✓ atteinte","sous la cible")</f>
        <v/>
      </c>
    </row>
    <row r="12" ht="20" customHeight="1">
      <c r="B12" s="3" t="inlineStr">
        <is>
          <t>② Pont EBITDA — référence → construit</t>
        </is>
      </c>
      <c r="C12" s="4" t="n"/>
      <c r="D12" s="4" t="n"/>
      <c r="E12" s="4" t="n"/>
    </row>
    <row r="13">
      <c r="B13" s="91" t="inlineStr">
        <is>
          <t>Étape</t>
        </is>
      </c>
      <c r="C13" s="11" t="inlineStr">
        <is>
          <t>Base</t>
        </is>
      </c>
      <c r="D13" s="11" t="inlineStr">
        <is>
          <t>Hausse</t>
        </is>
      </c>
      <c r="E13" s="11" t="inlineStr">
        <is>
          <t>Baisse</t>
        </is>
      </c>
    </row>
    <row r="14">
      <c r="B14" s="17" t="inlineStr">
        <is>
          <t>EBITDA réf.</t>
        </is>
      </c>
      <c r="C14" s="15" t="n">
        <v>0</v>
      </c>
      <c r="D14" s="15" t="n">
        <v>3291530</v>
      </c>
      <c r="E14" s="15" t="n">
        <v>0</v>
      </c>
    </row>
    <row r="15">
      <c r="B15" s="17" t="inlineStr">
        <is>
          <t>Acquisition</t>
        </is>
      </c>
      <c r="C15" s="15" t="n">
        <v>3291530</v>
      </c>
      <c r="D15" s="15" t="n">
        <v>172210</v>
      </c>
      <c r="E15" s="15" t="n">
        <v>0</v>
      </c>
    </row>
    <row r="16">
      <c r="B16" s="17" t="inlineStr">
        <is>
          <t>Marque</t>
        </is>
      </c>
      <c r="C16" s="15" t="n">
        <v>3463740</v>
      </c>
      <c r="D16" s="15" t="n">
        <v>108149</v>
      </c>
      <c r="E16" s="15" t="n">
        <v>0</v>
      </c>
    </row>
    <row r="17">
      <c r="B17" s="17" t="inlineStr">
        <is>
          <t>Prix</t>
        </is>
      </c>
      <c r="C17" s="15" t="n">
        <v>3571889</v>
      </c>
      <c r="D17" s="15" t="n">
        <v>563617</v>
      </c>
      <c r="E17" s="15" t="n">
        <v>0</v>
      </c>
    </row>
    <row r="18">
      <c r="B18" s="17" t="inlineStr">
        <is>
          <t>Conversion</t>
        </is>
      </c>
      <c r="C18" s="15" t="n">
        <v>4135506</v>
      </c>
      <c r="D18" s="15" t="n">
        <v>542135</v>
      </c>
      <c r="E18" s="15" t="n">
        <v>0</v>
      </c>
    </row>
    <row r="19">
      <c r="B19" s="17" t="inlineStr">
        <is>
          <t>Passage</t>
        </is>
      </c>
      <c r="C19" s="15" t="n">
        <v>4677641</v>
      </c>
      <c r="D19" s="15" t="n">
        <v>59347</v>
      </c>
      <c r="E19" s="15" t="n">
        <v>0</v>
      </c>
    </row>
    <row r="20">
      <c r="B20" s="17" t="inlineStr">
        <is>
          <t>Coûts*</t>
        </is>
      </c>
      <c r="C20" s="15" t="n">
        <v>3991250</v>
      </c>
      <c r="D20" s="15" t="n">
        <v>0</v>
      </c>
      <c r="E20" s="15" t="n">
        <v>745738</v>
      </c>
    </row>
    <row r="21">
      <c r="B21" s="17" t="inlineStr">
        <is>
          <t>EBITDA constr.</t>
        </is>
      </c>
      <c r="C21" s="15" t="n">
        <v>0</v>
      </c>
      <c r="D21" s="15" t="n">
        <v>3991250</v>
      </c>
      <c r="E21" s="15" t="n">
        <v>0</v>
      </c>
    </row>
    <row r="22">
      <c r="B22" s="31" t="inlineStr">
        <is>
          <t>* Coûts = inflation charges + salaires + effectifs permanents + productivité</t>
        </is>
      </c>
    </row>
    <row r="24" ht="20" customHeight="1">
      <c r="B24" s="3" t="inlineStr">
        <is>
          <t>③ Trajectoire — 2024 → 2027</t>
        </is>
      </c>
      <c r="C24" s="4" t="n"/>
      <c r="D24" s="4" t="n"/>
      <c r="E24" s="4" t="n"/>
    </row>
    <row r="25">
      <c r="B25" s="91" t="inlineStr">
        <is>
          <t>Année</t>
        </is>
      </c>
      <c r="C25" s="11" t="inlineStr">
        <is>
          <t>CA</t>
        </is>
      </c>
      <c r="D25" s="11" t="inlineStr">
        <is>
          <t>Marge EBITDA</t>
        </is>
      </c>
    </row>
    <row r="26">
      <c r="B26" s="45" t="inlineStr">
        <is>
          <t>2024</t>
        </is>
      </c>
      <c r="C26" s="15" t="n">
        <v>20064725</v>
      </c>
      <c r="D26" s="16" t="n">
        <v>0.132</v>
      </c>
    </row>
    <row r="27">
      <c r="B27" s="45" t="inlineStr">
        <is>
          <t>2025</t>
        </is>
      </c>
      <c r="C27" s="15" t="n">
        <v>21268606</v>
      </c>
      <c r="D27" s="16" t="n">
        <v>0.14</v>
      </c>
    </row>
    <row r="28">
      <c r="B28" s="45" t="inlineStr">
        <is>
          <t>2026</t>
        </is>
      </c>
      <c r="C28" s="15" t="n">
        <v>22544725</v>
      </c>
      <c r="D28" s="16" t="n">
        <v>0.146</v>
      </c>
    </row>
    <row r="29">
      <c r="B29" s="45" t="inlineStr">
        <is>
          <t>2027</t>
        </is>
      </c>
      <c r="C29" s="15" t="n">
        <v>24251927</v>
      </c>
      <c r="D29" s="16" t="n">
        <v>0.165</v>
      </c>
    </row>
  </sheetData>
  <mergeCells count="6">
    <mergeCell ref="B2:M2"/>
    <mergeCell ref="B12:E12"/>
    <mergeCell ref="B4:G4"/>
    <mergeCell ref="B24:E24"/>
    <mergeCell ref="B1:M1"/>
    <mergeCell ref="B22:E2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I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15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4" customHeight="1">
      <c r="B1" s="1" t="inlineStr">
        <is>
          <t>SENSIBILITÉ — quel levier compte le plus pour l'EBITDA ?</t>
        </is>
      </c>
    </row>
    <row r="2">
      <c r="B2" s="31" t="inlineStr">
        <is>
          <t>Impact sur l'EBITDA de chaque hypothèse, sur sa plage réaliste Prudent ↔ Optimiste (projection moteur).</t>
        </is>
      </c>
    </row>
    <row r="4" ht="20" customHeight="1">
      <c r="B4" s="3" t="inlineStr">
        <is>
          <t>① Tornado — impact EBITDA</t>
        </is>
      </c>
      <c r="C4" s="4" t="n"/>
      <c r="D4" s="4" t="n"/>
    </row>
    <row r="5">
      <c r="B5" s="91" t="inlineStr">
        <is>
          <t>Levier</t>
        </is>
      </c>
      <c r="C5" s="11" t="inlineStr">
        <is>
          <t>Vers Prudent</t>
        </is>
      </c>
      <c r="D5" s="11" t="inlineStr">
        <is>
          <t>Vers Optimiste</t>
        </is>
      </c>
    </row>
    <row r="6">
      <c r="B6" s="17" t="inlineStr">
        <is>
          <t>Taux de passage</t>
        </is>
      </c>
      <c r="C6" s="15" t="n">
        <v>-178040</v>
      </c>
      <c r="D6" s="15" t="n">
        <v>118694</v>
      </c>
    </row>
    <row r="7">
      <c r="B7" s="17" t="inlineStr">
        <is>
          <t>Budget marque</t>
        </is>
      </c>
      <c r="C7" s="15" t="n">
        <v>-180723</v>
      </c>
      <c r="D7" s="15" t="n">
        <v>111510</v>
      </c>
    </row>
    <row r="8">
      <c r="B8" s="17" t="inlineStr">
        <is>
          <t>Prix</t>
        </is>
      </c>
      <c r="C8" s="15" t="n">
        <v>-116080</v>
      </c>
      <c r="D8" s="15" t="n">
        <v>232160</v>
      </c>
    </row>
    <row r="9">
      <c r="B9" s="17" t="inlineStr">
        <is>
          <t>Budget acquisition</t>
        </is>
      </c>
      <c r="C9" s="15" t="n">
        <v>-310468</v>
      </c>
      <c r="D9" s="15" t="n">
        <v>159384</v>
      </c>
    </row>
    <row r="10">
      <c r="B10" s="17" t="inlineStr">
        <is>
          <t>Conversion lead→inscrit</t>
        </is>
      </c>
      <c r="C10" s="15" t="n">
        <v>-542135</v>
      </c>
      <c r="D10" s="15" t="n">
        <v>625540</v>
      </c>
    </row>
    <row r="11">
      <c r="B11" s="17" t="inlineStr">
        <is>
          <t>Coûts (inflation, salaires…)</t>
        </is>
      </c>
      <c r="C11" s="15" t="n">
        <v>-642976</v>
      </c>
      <c r="D11" s="15" t="n">
        <v>642976</v>
      </c>
    </row>
    <row r="21" ht="20" customHeight="1">
      <c r="B21" s="3" t="inlineStr">
        <is>
          <t>② Croissance CA par scénario</t>
        </is>
      </c>
      <c r="C21" s="4" t="n"/>
      <c r="D21" s="4" t="n"/>
    </row>
    <row r="22">
      <c r="B22" s="91" t="inlineStr">
        <is>
          <t>Scénario</t>
        </is>
      </c>
      <c r="C22" s="11" t="inlineStr">
        <is>
          <t>Croissance CA</t>
        </is>
      </c>
    </row>
    <row r="23">
      <c r="B23" s="17" t="inlineStr">
        <is>
          <t>Cadrage</t>
        </is>
      </c>
      <c r="C23" s="16" t="n">
        <v>0.076</v>
      </c>
    </row>
    <row r="24">
      <c r="B24" s="17" t="inlineStr">
        <is>
          <t>Optimiste</t>
        </is>
      </c>
      <c r="C24" s="16" t="n">
        <v>0.134</v>
      </c>
    </row>
    <row r="25">
      <c r="B25" s="17" t="inlineStr">
        <is>
          <t>Prudent</t>
        </is>
      </c>
      <c r="C25" s="16" t="n">
        <v>0.005</v>
      </c>
    </row>
    <row r="27" ht="40" customHeight="1">
      <c r="B27" s="7" t="inlineStr">
        <is>
          <t>La table complète des leviers par scénario est dans l'onglet 01_Cadrage. Message clé : les deux plus gros leviers EBITDA sont les COÛTS et la CONVERSION — bien avant le prix ou le marketing.</t>
        </is>
      </c>
    </row>
    <row r="28"/>
  </sheetData>
  <mergeCells count="5">
    <mergeCell ref="B2:I2"/>
    <mergeCell ref="B4:D4"/>
    <mergeCell ref="B21:D21"/>
    <mergeCell ref="B1:I1"/>
    <mergeCell ref="B27:I2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2026-08-20T07:39:52Z</dcterms:created>
  <dcterms:modified xsi:type="dcterms:W3CDTF">2026-08-20T07:39:53Z</dcterms:modified>
</cp:coreProperties>
</file>