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Notice" sheetId="1" state="visible" r:id="rId1"/>
    <sheet name="01_Cadrage" sheetId="2" state="visible" r:id="rId2"/>
    <sheet name="02_Base" sheetId="3" state="visible" r:id="rId3"/>
    <sheet name="02_CRM" sheetId="4" state="visible" r:id="rId4"/>
    <sheet name="03_Campagnes" sheetId="5" state="visible" r:id="rId5"/>
    <sheet name="04_Moteur" sheetId="6" state="visible" r:id="rId6"/>
    <sheet name="05_Plan_Comptable" sheetId="7" state="visible" r:id="rId7"/>
    <sheet name="06_Compta" sheetId="8" state="visible" r:id="rId8"/>
    <sheet name="07_Pn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;(0.0%);&quot;-&quot;"/>
    <numFmt numFmtId="165" formatCode="#,##0&quot; €&quot;;(#,##0)&quot; €&quot;;&quot;-&quot;"/>
    <numFmt numFmtId="166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0000FF"/>
    </font>
    <font>
      <name val="Arial"/>
      <color rgb="00008000"/>
    </font>
    <font>
      <name val="Arial"/>
      <b val="1"/>
      <color rgb="00000000"/>
    </font>
    <font>
      <name val="Arial"/>
      <color rgb="00000000"/>
    </font>
    <font>
      <name val="Arial"/>
      <color rgb="000000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2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2" fontId="6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0" fillId="6" borderId="1" pivotButton="0" quotePrefix="0" xfId="0"/>
    <xf numFmtId="166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165" fontId="9" fillId="7" borderId="1" applyAlignment="1" pivotButton="0" quotePrefix="0" xfId="0">
      <alignment horizontal="right" vertical="center"/>
    </xf>
    <xf numFmtId="0" fontId="8" fillId="6" borderId="1" pivotButton="0" quotePrefix="0" xfId="0"/>
    <xf numFmtId="165" fontId="8" fillId="7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80" customWidth="1" min="3" max="3"/>
  </cols>
  <sheetData>
    <row r="2" ht="30" customHeight="1">
      <c r="B2" s="1" t="inlineStr">
        <is>
          <t>EDUSERVICES — Modèle de CA (v3, budget-driven, leads observés)</t>
        </is>
      </c>
    </row>
    <row r="3">
      <c r="B3" s="2" t="inlineStr">
        <is>
          <t>Budget marketing → leads (CRM, socle organique + payant) → funnel mesuré → inscrits → CA. Revenu et taux différenciés alternance / initial.</t>
        </is>
      </c>
    </row>
    <row r="5" ht="20" customHeight="1">
      <c r="B5" s="3" t="inlineStr">
        <is>
          <t>Les feuilles (périmètre : CA → EBITDA)</t>
        </is>
      </c>
      <c r="C5" s="4" t="n"/>
    </row>
    <row r="6" ht="46" customHeight="1">
      <c r="B6" s="5" t="inlineStr">
        <is>
          <t>01_Cadrage</t>
        </is>
      </c>
      <c r="C6" s="6" t="inlineStr">
        <is>
          <t>POSTE DE COMMANDE CFO : objectif CA &amp; EBITDA (calculé), scénarios, 9 leviers (CA + coûts), coefficients prix par marque×ville.</t>
        </is>
      </c>
    </row>
    <row r="7" ht="46" customHeight="1">
      <c r="B7" s="5" t="inlineStr">
        <is>
          <t>02_Base</t>
        </is>
      </c>
      <c r="C7" s="6" t="inlineStr">
        <is>
          <t>BASE DE RÉFÉRENCE (version unique) : fusion historique + paramètres. LEADS OBSERVÉS (CRM) et taux de funnel MESURÉS (lead→cand, cand→admis, admis→inscrit), différenciés par modalité.</t>
        </is>
      </c>
    </row>
    <row r="8" ht="46" customHeight="1">
      <c r="B8" s="5" t="inlineStr">
        <is>
          <t>02_CRM</t>
        </is>
      </c>
      <c r="C8" s="6" t="inlineStr">
        <is>
          <t>HISTORIQUE MULTISOURCE (format long) : leads organiques/payants + dépense marketing par campus × 3 exercices. Sert à MESURER CPL, rendement et part organique.</t>
        </is>
      </c>
    </row>
    <row r="9" ht="46" customHeight="1">
      <c r="B9" s="5" t="inlineStr">
        <is>
          <t>03_Campagnes</t>
        </is>
      </c>
      <c r="C9" s="6" t="inlineStr">
        <is>
          <t>MOTEUR D'ACQUISITION (campus) : CPL, rendement, part organique MESURÉS depuis le CRM, puis budget → leads (socle organique + part payante à rendement décroissant).</t>
        </is>
      </c>
    </row>
    <row r="10" ht="46" customHeight="1">
      <c r="B10" s="5" t="inlineStr">
        <is>
          <t>04_Moteur</t>
        </is>
      </c>
      <c r="C10" s="6" t="inlineStr">
        <is>
          <t>MOTEUR DE CA (cellule) : répartition des leads (mix réel) → funnel mesuré → effectif (+cohorte) → CA.</t>
        </is>
      </c>
    </row>
    <row r="12" ht="20" customHeight="1">
      <c r="B12" s="3" t="inlineStr">
        <is>
          <t>Principe d'ancrage</t>
        </is>
      </c>
      <c r="C12" s="4" t="n"/>
    </row>
    <row r="13" ht="46" customHeight="1">
      <c r="B13" s="7" t="inlineStr">
        <is>
          <t>Au budget de référence, tous leviers à 0, le moteur reproduit l'historique. Les taux ne sont pas supposés : ils sont mesurés depuis les leads observés. Seul l'écart au budget de référence fait varier les volumes (part payante × courbe ^r).</t>
        </is>
      </c>
    </row>
  </sheetData>
  <mergeCells count="5">
    <mergeCell ref="B13:C13"/>
    <mergeCell ref="B2:C2"/>
    <mergeCell ref="B3:C3"/>
    <mergeCell ref="B5:C5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8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2" customWidth="1" min="9" max="9"/>
    <col width="16" customWidth="1" min="10" max="10"/>
    <col width="11" customWidth="1" min="11" max="11"/>
    <col width="11" customWidth="1" min="12" max="12"/>
    <col width="16" customWidth="1" min="13" max="13"/>
  </cols>
  <sheetData>
    <row r="1" ht="28" customHeight="1">
      <c r="B1" s="1" t="inlineStr">
        <is>
          <t>POSTE DE COMMANDE CFO — Cadrage CA &amp; EBITDA</t>
        </is>
      </c>
    </row>
    <row r="3">
      <c r="B3" s="8" t="inlineStr">
        <is>
          <t>Scénario actif :</t>
        </is>
      </c>
      <c r="D3" s="9" t="inlineStr">
        <is>
          <t>Cadrage</t>
        </is>
      </c>
      <c r="E3" s="8" t="inlineStr">
        <is>
          <t>🎯 Croissance CA cible :</t>
        </is>
      </c>
      <c r="F3" s="10" t="n">
        <v>0.05</v>
      </c>
      <c r="G3" s="8" t="inlineStr">
        <is>
          <t>Marge EBITDA cible :</t>
        </is>
      </c>
      <c r="H3" s="10" t="n">
        <v>0.15</v>
      </c>
    </row>
    <row r="5" ht="20" customHeight="1">
      <c r="B5" s="3" t="inlineStr">
        <is>
          <t>① Réconciliation — Référence · 🎯 Cible (top-down) · 🔧 Construit (bottom-up) · Écart</t>
        </is>
      </c>
      <c r="C5" s="4" t="n"/>
      <c r="D5" s="4" t="n"/>
      <c r="E5" s="4" t="n"/>
      <c r="F5" s="4" t="n"/>
      <c r="G5" s="4" t="n"/>
      <c r="J5" s="3" t="inlineStr">
        <is>
          <t>Coefficients prix (marque × ville)</t>
        </is>
      </c>
      <c r="K5" s="4" t="n"/>
      <c r="L5" s="4" t="n"/>
      <c r="M5" s="4" t="n"/>
    </row>
    <row r="6">
      <c r="B6" s="11" t="inlineStr">
        <is>
          <t>Indicateur</t>
        </is>
      </c>
      <c r="C6" s="11" t="inlineStr">
        <is>
          <t>Référence</t>
        </is>
      </c>
      <c r="D6" s="11" t="inlineStr">
        <is>
          <t>🎯 Cible</t>
        </is>
      </c>
      <c r="E6" s="11" t="inlineStr">
        <is>
          <t>🔧 Construit</t>
        </is>
      </c>
      <c r="F6" s="11" t="inlineStr">
        <is>
          <t>Écart</t>
        </is>
      </c>
      <c r="G6" s="11" t="inlineStr">
        <is>
          <t>Écart %</t>
        </is>
      </c>
      <c r="J6" s="11" t="inlineStr">
        <is>
          <t>Marque</t>
        </is>
      </c>
      <c r="K6" s="11" t="inlineStr">
        <is>
          <t>Ville</t>
        </is>
      </c>
      <c r="L6" s="11" t="inlineStr">
        <is>
          <t>Coeff prix</t>
        </is>
      </c>
      <c r="M6" s="11" t="inlineStr">
        <is>
          <t>clé</t>
        </is>
      </c>
    </row>
    <row r="7">
      <c r="B7" s="12" t="inlineStr">
        <is>
          <t>Chiffre d'affaires</t>
        </is>
      </c>
      <c r="C7" s="13" t="n">
        <v>21936350</v>
      </c>
      <c r="D7" s="14">
        <f>21936350*(1+F3)</f>
        <v/>
      </c>
      <c r="E7" s="15">
        <f>'04_Moteur'!$AA$62</f>
        <v/>
      </c>
      <c r="F7" s="16">
        <f>E7-D7</f>
        <v/>
      </c>
      <c r="G7" s="17">
        <f>IFERROR(E7/D7-1,0)</f>
        <v/>
      </c>
      <c r="J7" s="18" t="inlineStr">
        <is>
          <t>MBway</t>
        </is>
      </c>
      <c r="K7" s="19" t="inlineStr">
        <is>
          <t>Paris</t>
        </is>
      </c>
      <c r="L7" s="20" t="n">
        <v>1.15</v>
      </c>
      <c r="M7" s="21">
        <f>J7&amp;"|"&amp;K7</f>
        <v/>
      </c>
    </row>
    <row r="8">
      <c r="B8" s="12" t="inlineStr">
        <is>
          <t>EBITDA  (calculé)</t>
        </is>
      </c>
      <c r="C8" s="15">
        <f>'07_PnL'!$F$33</f>
        <v/>
      </c>
      <c r="D8" s="14">
        <f>D7*H3</f>
        <v/>
      </c>
      <c r="E8" s="15">
        <f>'07_PnL'!$G$33</f>
        <v/>
      </c>
      <c r="F8" s="16">
        <f>E8-D8</f>
        <v/>
      </c>
      <c r="G8" s="17">
        <f>IFERROR(E8/D8-1,0)</f>
        <v/>
      </c>
      <c r="J8" s="18" t="inlineStr">
        <is>
          <t>MBway</t>
        </is>
      </c>
      <c r="K8" s="19" t="inlineStr">
        <is>
          <t>Lyon</t>
        </is>
      </c>
      <c r="L8" s="20" t="n">
        <v>1.05</v>
      </c>
      <c r="M8" s="21">
        <f>J8&amp;"|"&amp;K8</f>
        <v/>
      </c>
    </row>
    <row r="9">
      <c r="B9" s="22" t="inlineStr">
        <is>
          <t>Marge EBITDA %</t>
        </is>
      </c>
      <c r="C9" s="17">
        <f>IFERROR(C8/C7,0)</f>
        <v/>
      </c>
      <c r="D9" s="17">
        <f>H3</f>
        <v/>
      </c>
      <c r="E9" s="23">
        <f>IFERROR(E8/E7,0)</f>
        <v/>
      </c>
      <c r="G9" s="17">
        <f>IFERROR(E9-D9,0)</f>
        <v/>
      </c>
      <c r="J9" s="18" t="inlineStr">
        <is>
          <t>MBway</t>
        </is>
      </c>
      <c r="K9" s="19" t="inlineStr">
        <is>
          <t>Nantes</t>
        </is>
      </c>
      <c r="L9" s="20" t="n">
        <v>1</v>
      </c>
      <c r="M9" s="21">
        <f>J9&amp;"|"&amp;K9</f>
        <v/>
      </c>
    </row>
    <row r="10">
      <c r="B10" s="12" t="inlineStr">
        <is>
          <t>Effectif total</t>
        </is>
      </c>
      <c r="C10" s="24" t="n">
        <v>2952</v>
      </c>
      <c r="D10" s="25">
        <f>'04_Moteur'!$AJ$62</f>
        <v/>
      </c>
      <c r="E10" s="26">
        <f>'04_Moteur'!$Y$62</f>
        <v/>
      </c>
      <c r="F10" s="27">
        <f>E10-D10</f>
        <v/>
      </c>
      <c r="G10" s="17">
        <f>IFERROR(E10/D10-1,0)</f>
        <v/>
      </c>
      <c r="J10" s="18" t="inlineStr">
        <is>
          <t>MBway</t>
        </is>
      </c>
      <c r="K10" s="19" t="inlineStr">
        <is>
          <t>Bordeaux</t>
        </is>
      </c>
      <c r="L10" s="20" t="n">
        <v>0.95</v>
      </c>
      <c r="M10" s="21">
        <f>J10&amp;"|"&amp;K10</f>
        <v/>
      </c>
    </row>
    <row r="11">
      <c r="J11" s="18" t="inlineStr">
        <is>
          <t>ISCOM</t>
        </is>
      </c>
      <c r="K11" s="19" t="inlineStr">
        <is>
          <t>Paris</t>
        </is>
      </c>
      <c r="L11" s="20" t="n">
        <v>1.15</v>
      </c>
      <c r="M11" s="21">
        <f>J11&amp;"|"&amp;K11</f>
        <v/>
      </c>
    </row>
    <row r="12">
      <c r="B12" s="8" t="inlineStr">
        <is>
          <t>RESTE À TROUVER — CA :</t>
        </is>
      </c>
      <c r="D12" s="28">
        <f>IF(D7-E7&gt;0,D7-E7,0)</f>
        <v/>
      </c>
      <c r="E12" s="8" t="inlineStr">
        <is>
          <t>EBITDA :</t>
        </is>
      </c>
      <c r="F12" s="28">
        <f>IF(D8-E8&gt;0,D8-E8,0)</f>
        <v/>
      </c>
      <c r="J12" s="18" t="inlineStr">
        <is>
          <t>ISCOM</t>
        </is>
      </c>
      <c r="K12" s="19" t="inlineStr">
        <is>
          <t>Lille</t>
        </is>
      </c>
      <c r="L12" s="20" t="n">
        <v>1</v>
      </c>
      <c r="M12" s="21">
        <f>J12&amp;"|"&amp;K12</f>
        <v/>
      </c>
    </row>
    <row r="13">
      <c r="J13" s="18" t="inlineStr">
        <is>
          <t>ISCOM</t>
        </is>
      </c>
      <c r="K13" s="19" t="inlineStr">
        <is>
          <t>Toulouse</t>
        </is>
      </c>
      <c r="L13" s="20" t="n">
        <v>0.95</v>
      </c>
      <c r="M13" s="21">
        <f>J13&amp;"|"&amp;K13</f>
        <v/>
      </c>
    </row>
    <row r="14" ht="20" customHeight="1">
      <c r="B14" s="3" t="inlineStr">
        <is>
          <t>② Leviers — bascule par scénario (colonne ACTIF)</t>
        </is>
      </c>
      <c r="C14" s="4" t="n"/>
      <c r="D14" s="4" t="n"/>
      <c r="E14" s="4" t="n"/>
      <c r="F14" s="4" t="n"/>
      <c r="G14" s="4" t="n"/>
      <c r="H14" s="4" t="n"/>
      <c r="J14" s="18" t="inlineStr">
        <is>
          <t>Ipac Bachelor Factory</t>
        </is>
      </c>
      <c r="K14" s="19" t="inlineStr">
        <is>
          <t>Nantes</t>
        </is>
      </c>
      <c r="L14" s="20" t="n">
        <v>1</v>
      </c>
      <c r="M14" s="21">
        <f>J14&amp;"|"&amp;K14</f>
        <v/>
      </c>
    </row>
    <row r="15">
      <c r="B15" s="11" t="inlineStr">
        <is>
          <t>Paramètre</t>
        </is>
      </c>
      <c r="C15" s="11" t="inlineStr">
        <is>
          <t>Unité</t>
        </is>
      </c>
      <c r="D15" s="11" t="inlineStr">
        <is>
          <t>Référence</t>
        </is>
      </c>
      <c r="E15" s="11" t="inlineStr">
        <is>
          <t>Cadrage</t>
        </is>
      </c>
      <c r="F15" s="11" t="inlineStr">
        <is>
          <t>Optimiste</t>
        </is>
      </c>
      <c r="G15" s="11" t="inlineStr">
        <is>
          <t>Prudent</t>
        </is>
      </c>
      <c r="H15" s="11" t="inlineStr">
        <is>
          <t>ACTIF</t>
        </is>
      </c>
      <c r="J15" s="18" t="inlineStr">
        <is>
          <t>Ipac Bachelor Factory</t>
        </is>
      </c>
      <c r="K15" s="19" t="inlineStr">
        <is>
          <t>Rennes</t>
        </is>
      </c>
      <c r="L15" s="20" t="n">
        <v>0.9</v>
      </c>
      <c r="M15" s="21">
        <f>J15&amp;"|"&amp;K15</f>
        <v/>
      </c>
    </row>
    <row r="16">
      <c r="B16" s="29" t="inlineStr">
        <is>
          <t>Variation du budget marketing (→ leads payants)</t>
        </is>
      </c>
      <c r="C16" s="30" t="inlineStr">
        <is>
          <t>%</t>
        </is>
      </c>
      <c r="D16" s="31" t="n">
        <v>0</v>
      </c>
      <c r="E16" s="32" t="n">
        <v>0.08</v>
      </c>
      <c r="F16" s="32" t="n">
        <v>0.15</v>
      </c>
      <c r="G16" s="32" t="n">
        <v>-0.05</v>
      </c>
      <c r="H16" s="33">
        <f>INDEX(D16:G16,MATCH($D$3,$D$15:$G$15,0))</f>
        <v/>
      </c>
      <c r="J16" s="18" t="inlineStr">
        <is>
          <t>Ipac Bachelor Factory</t>
        </is>
      </c>
      <c r="K16" s="19" t="inlineStr">
        <is>
          <t>Montpellier</t>
        </is>
      </c>
      <c r="L16" s="20" t="n">
        <v>0.9</v>
      </c>
      <c r="M16" s="21">
        <f>J16&amp;"|"&amp;K16</f>
        <v/>
      </c>
    </row>
    <row r="17">
      <c r="B17" s="29" t="inlineStr">
        <is>
          <t>Hausse tarifaire (prix)</t>
        </is>
      </c>
      <c r="C17" s="30" t="inlineStr">
        <is>
          <t>%</t>
        </is>
      </c>
      <c r="D17" s="31" t="n">
        <v>0</v>
      </c>
      <c r="E17" s="32" t="n">
        <v>0.025</v>
      </c>
      <c r="F17" s="32" t="n">
        <v>0.035</v>
      </c>
      <c r="G17" s="32" t="n">
        <v>0.02</v>
      </c>
      <c r="H17" s="33">
        <f>INDEX(D17:G17,MATCH($D$3,$D$15:$G$15,0))</f>
        <v/>
      </c>
      <c r="J17" s="18" t="inlineStr">
        <is>
          <t>Pigier</t>
        </is>
      </c>
      <c r="K17" s="19" t="inlineStr">
        <is>
          <t>Lyon</t>
        </is>
      </c>
      <c r="L17" s="20" t="n">
        <v>1.05</v>
      </c>
      <c r="M17" s="21">
        <f>J17&amp;"|"&amp;K17</f>
        <v/>
      </c>
    </row>
    <row r="18">
      <c r="B18" s="29" t="inlineStr">
        <is>
          <t>Gain taux lead → candidature</t>
        </is>
      </c>
      <c r="C18" s="30" t="inlineStr">
        <is>
          <t>pts</t>
        </is>
      </c>
      <c r="D18" s="31" t="n">
        <v>0</v>
      </c>
      <c r="E18" s="32" t="n">
        <v>0.01</v>
      </c>
      <c r="F18" s="32" t="n">
        <v>0.03</v>
      </c>
      <c r="G18" s="32" t="n">
        <v>0</v>
      </c>
      <c r="H18" s="33">
        <f>INDEX(D18:G18,MATCH($D$3,$D$15:$G$15,0))</f>
        <v/>
      </c>
      <c r="J18" s="18" t="inlineStr">
        <is>
          <t>Pigier</t>
        </is>
      </c>
      <c r="K18" s="19" t="inlineStr">
        <is>
          <t>Bordeaux</t>
        </is>
      </c>
      <c r="L18" s="20" t="n">
        <v>0.95</v>
      </c>
      <c r="M18" s="21">
        <f>J18&amp;"|"&amp;K18</f>
        <v/>
      </c>
    </row>
    <row r="19">
      <c r="B19" s="29" t="inlineStr">
        <is>
          <t>Gain conversion admis → inscrit</t>
        </is>
      </c>
      <c r="C19" s="30" t="inlineStr">
        <is>
          <t>pts</t>
        </is>
      </c>
      <c r="D19" s="31" t="n">
        <v>0</v>
      </c>
      <c r="E19" s="32" t="n">
        <v>0.01</v>
      </c>
      <c r="F19" s="32" t="n">
        <v>0.025</v>
      </c>
      <c r="G19" s="32" t="n">
        <v>0</v>
      </c>
      <c r="H19" s="33">
        <f>INDEX(D19:G19,MATCH($D$3,$D$15:$G$15,0))</f>
        <v/>
      </c>
      <c r="J19" s="18" t="inlineStr">
        <is>
          <t>Tunon</t>
        </is>
      </c>
      <c r="K19" s="19" t="inlineStr">
        <is>
          <t>Paris</t>
        </is>
      </c>
      <c r="L19" s="20" t="n">
        <v>1.15</v>
      </c>
      <c r="M19" s="21">
        <f>J19&amp;"|"&amp;K19</f>
        <v/>
      </c>
    </row>
    <row r="20">
      <c r="B20" s="29" t="inlineStr">
        <is>
          <t>Amélioration du taux de passage</t>
        </is>
      </c>
      <c r="C20" s="30" t="inlineStr">
        <is>
          <t>pts</t>
        </is>
      </c>
      <c r="D20" s="31" t="n">
        <v>0</v>
      </c>
      <c r="E20" s="32" t="n">
        <v>0.005</v>
      </c>
      <c r="F20" s="32" t="n">
        <v>0.015</v>
      </c>
      <c r="G20" s="32" t="n">
        <v>-0.01</v>
      </c>
      <c r="H20" s="33">
        <f>INDEX(D20:G20,MATCH($D$3,$D$15:$G$15,0))</f>
        <v/>
      </c>
      <c r="J20" s="18" t="inlineStr">
        <is>
          <t>Tunon</t>
        </is>
      </c>
      <c r="K20" s="19" t="inlineStr">
        <is>
          <t>Lyon</t>
        </is>
      </c>
      <c r="L20" s="20" t="n">
        <v>1.05</v>
      </c>
      <c r="M20" s="21">
        <f>J20&amp;"|"&amp;K20</f>
        <v/>
      </c>
    </row>
    <row r="21">
      <c r="B21" s="29" t="inlineStr">
        <is>
          <t>Inflation des charges externes</t>
        </is>
      </c>
      <c r="C21" s="30" t="inlineStr">
        <is>
          <t>%</t>
        </is>
      </c>
      <c r="D21" s="31" t="n">
        <v>0</v>
      </c>
      <c r="E21" s="32" t="n">
        <v>0.02</v>
      </c>
      <c r="F21" s="32" t="n">
        <v>0.015</v>
      </c>
      <c r="G21" s="32" t="n">
        <v>0.03</v>
      </c>
      <c r="H21" s="33">
        <f>INDEX(D21:G21,MATCH($D$3,$D$15:$G$15,0))</f>
        <v/>
      </c>
    </row>
    <row r="22" ht="20" customHeight="1">
      <c r="B22" s="29" t="inlineStr">
        <is>
          <t>Politique salariale (masse permanente)</t>
        </is>
      </c>
      <c r="C22" s="30" t="inlineStr">
        <is>
          <t>%</t>
        </is>
      </c>
      <c r="D22" s="31" t="n">
        <v>0</v>
      </c>
      <c r="E22" s="32" t="n">
        <v>0.025</v>
      </c>
      <c r="F22" s="32" t="n">
        <v>0.02</v>
      </c>
      <c r="G22" s="32" t="n">
        <v>0.03</v>
      </c>
      <c r="H22" s="33">
        <f>INDEX(D22:G22,MATCH($D$3,$D$15:$G$15,0))</f>
        <v/>
      </c>
      <c r="J22" s="3" t="inlineStr">
        <is>
          <t>Cap stratégique par marque</t>
        </is>
      </c>
      <c r="K22" s="4" t="n"/>
      <c r="L22" s="4" t="n"/>
      <c r="M22" s="4" t="n"/>
    </row>
    <row r="23">
      <c r="B23" s="29" t="inlineStr">
        <is>
          <t>Variation des effectifs permanents</t>
        </is>
      </c>
      <c r="C23" s="30" t="inlineStr">
        <is>
          <t>%</t>
        </is>
      </c>
      <c r="D23" s="31" t="n">
        <v>0</v>
      </c>
      <c r="E23" s="32" t="n">
        <v>0.04</v>
      </c>
      <c r="F23" s="32" t="n">
        <v>0.03</v>
      </c>
      <c r="G23" s="32" t="n">
        <v>0.05</v>
      </c>
      <c r="H23" s="33">
        <f>INDEX(D23:G23,MATCH($D$3,$D$15:$G$15,0))</f>
        <v/>
      </c>
      <c r="J23" s="11" t="inlineStr">
        <is>
          <t>Marque</t>
        </is>
      </c>
      <c r="K23" s="11" t="inlineStr">
        <is>
          <t>Poids CA réf</t>
        </is>
      </c>
      <c r="L23" s="11" t="inlineStr">
        <is>
          <t>🔵 Cap</t>
        </is>
      </c>
      <c r="M23" s="11" t="inlineStr">
        <is>
          <t>Poids norm.</t>
        </is>
      </c>
    </row>
    <row r="24">
      <c r="B24" s="29" t="inlineStr">
        <is>
          <t>Effort de productivité (achats &amp; structure)</t>
        </is>
      </c>
      <c r="C24" s="30" t="inlineStr">
        <is>
          <t>%</t>
        </is>
      </c>
      <c r="D24" s="31" t="n">
        <v>0</v>
      </c>
      <c r="E24" s="32" t="n">
        <v>0.01</v>
      </c>
      <c r="F24" s="32" t="n">
        <v>0.03</v>
      </c>
      <c r="G24" s="32" t="n">
        <v>0</v>
      </c>
      <c r="H24" s="33">
        <f>INDEX(D24:G24,MATCH($D$3,$D$15:$G$15,0))</f>
        <v/>
      </c>
      <c r="J24" s="18" t="inlineStr">
        <is>
          <t>MBway</t>
        </is>
      </c>
      <c r="K24" s="34" t="n">
        <v>0.4254</v>
      </c>
      <c r="L24" s="35" t="n">
        <v>1</v>
      </c>
      <c r="M24" s="34">
        <f>IFERROR(K24*L24/SUMPRODUCT($K$24:$K$28,$L$24:$L$28),0)</f>
        <v/>
      </c>
    </row>
    <row r="25">
      <c r="B25" s="36" t="inlineStr">
        <is>
          <t>Leviers 1-5 → CA (moteur) · leviers 6-9 → coûts (P&amp;L Budget → EBITDA). « Référence » remet tout à 0 = atterrissage.</t>
        </is>
      </c>
      <c r="J25" s="18" t="inlineStr">
        <is>
          <t>ISCOM</t>
        </is>
      </c>
      <c r="K25" s="34" t="n">
        <v>0.2795</v>
      </c>
      <c r="L25" s="35" t="n">
        <v>1</v>
      </c>
      <c r="M25" s="34">
        <f>IFERROR(K25*L25/SUMPRODUCT($K$24:$K$28,$L$24:$L$28),0)</f>
        <v/>
      </c>
    </row>
    <row r="26" ht="20" customHeight="1">
      <c r="B26" s="3" t="inlineStr">
        <is>
          <t>③ Constante — frais de dossier (décision)</t>
        </is>
      </c>
      <c r="C26" s="4" t="n"/>
      <c r="D26" s="4" t="n"/>
      <c r="E26" s="4" t="n"/>
      <c r="F26" s="4" t="n"/>
      <c r="G26" s="4" t="n"/>
      <c r="H26" s="4" t="n"/>
      <c r="J26" s="18" t="inlineStr">
        <is>
          <t>Ipac Bachelor Factory</t>
        </is>
      </c>
      <c r="K26" s="34" t="n">
        <v>0.1131</v>
      </c>
      <c r="L26" s="35" t="n">
        <v>1</v>
      </c>
      <c r="M26" s="34">
        <f>IFERROR(K26*L26/SUMPRODUCT($K$24:$K$28,$L$24:$L$28),0)</f>
        <v/>
      </c>
    </row>
    <row r="27">
      <c r="B27" s="11" t="inlineStr">
        <is>
          <t>Paramètre</t>
        </is>
      </c>
      <c r="C27" s="11" t="inlineStr">
        <is>
          <t>Unité</t>
        </is>
      </c>
      <c r="D27" s="11" t="inlineStr">
        <is>
          <t>Référence</t>
        </is>
      </c>
      <c r="E27" s="11" t="inlineStr">
        <is>
          <t>Cadrage</t>
        </is>
      </c>
      <c r="F27" s="11" t="inlineStr">
        <is>
          <t>Optimiste</t>
        </is>
      </c>
      <c r="G27" s="11" t="inlineStr">
        <is>
          <t>Prudent</t>
        </is>
      </c>
      <c r="H27" s="11" t="inlineStr">
        <is>
          <t>ACTIF</t>
        </is>
      </c>
      <c r="J27" s="18" t="inlineStr">
        <is>
          <t>Pigier</t>
        </is>
      </c>
      <c r="K27" s="34" t="n">
        <v>0.09660000000000001</v>
      </c>
      <c r="L27" s="35" t="n">
        <v>1</v>
      </c>
      <c r="M27" s="34">
        <f>IFERROR(K27*L27/SUMPRODUCT($K$24:$K$28,$L$24:$L$28),0)</f>
        <v/>
      </c>
    </row>
    <row r="28">
      <c r="B28" s="29" t="inlineStr">
        <is>
          <t>Frais de dossier / nouvel inscrit</t>
        </is>
      </c>
      <c r="C28" s="30" t="inlineStr">
        <is>
          <t>€</t>
        </is>
      </c>
      <c r="D28" s="37" t="n">
        <v>90</v>
      </c>
      <c r="E28" s="38" t="n">
        <v>90</v>
      </c>
      <c r="F28" s="38" t="n">
        <v>90</v>
      </c>
      <c r="G28" s="38" t="n">
        <v>90</v>
      </c>
      <c r="H28" s="39">
        <f>INDEX(D28:G28,MATCH($D$3,$D$15:$G$15,0))</f>
        <v/>
      </c>
      <c r="J28" s="18" t="inlineStr">
        <is>
          <t>Tunon</t>
        </is>
      </c>
      <c r="K28" s="34" t="n">
        <v>0.0854</v>
      </c>
      <c r="L28" s="35" t="n">
        <v>1</v>
      </c>
      <c r="M28" s="34">
        <f>IFERROR(K28*L28/SUMPRODUCT($K$24:$K$28,$L$24:$L$28),0)</f>
        <v/>
      </c>
    </row>
    <row r="30" ht="28" customHeight="1">
      <c r="B30" s="36" t="inlineStr">
        <is>
          <t>Rendement, CPL et part organique ne sont pas saisis : ils sont MESURÉS depuis le CRM (voir 03_Campagnes).</t>
        </is>
      </c>
      <c r="J30" s="36" t="inlineStr">
        <is>
          <t>Cap = 1 partout → répartition proportionnelle au CA réf. Cap &gt; 1 = pousser la marque (la cible se redistribue, total inchangé).</t>
        </is>
      </c>
    </row>
    <row r="31"/>
  </sheetData>
  <mergeCells count="10">
    <mergeCell ref="B14:H14"/>
    <mergeCell ref="J22:M22"/>
    <mergeCell ref="B26:H26"/>
    <mergeCell ref="B1:H1"/>
    <mergeCell ref="B5:G5"/>
    <mergeCell ref="J30:M31"/>
    <mergeCell ref="B30:H30"/>
    <mergeCell ref="B25:H25"/>
    <mergeCell ref="J5:M5"/>
    <mergeCell ref="B12:C12"/>
  </mergeCells>
  <dataValidations count="1">
    <dataValidation sqref="D3" showDropDown="0" showInputMessage="0" showErrorMessage="0" allowBlank="0" type="list">
      <formula1>"Référence,Cadrage,Optimiste,Prudent"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6" customWidth="1" min="4" max="4"/>
    <col width="6" customWidth="1" min="5" max="5"/>
    <col width="7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1" customWidth="1" min="14" max="14"/>
    <col width="9" customWidth="1" min="15" max="15"/>
    <col width="12" customWidth="1" min="16" max="16"/>
    <col width="10" customWidth="1" min="17" max="17"/>
    <col width="11" customWidth="1" min="18" max="18"/>
    <col width="11" customWidth="1" min="19" max="19"/>
    <col width="12" customWidth="1" min="20" max="20"/>
  </cols>
  <sheetData>
    <row r="1" ht="22" customHeight="1">
      <c r="A1" s="1" t="inlineStr">
        <is>
          <t>BASE DE RÉFÉRENCE — version unique · fusion historique + paramètres · leads observés (CRM) &amp; taux mesurés</t>
        </is>
      </c>
    </row>
    <row r="2" ht="16" customHeight="1">
      <c r="A2" s="7" t="inlineStr">
        <is>
          <t>Une ligne = marque × ville × programme × année × modalité. Leads = donnée observée (CRM). Taux = mesurés (aval÷amont). Revenu différencié alternance (OPCO) / initial (étudiant).</t>
        </is>
      </c>
    </row>
    <row r="3" ht="30" customHeight="1">
      <c r="A3" s="11" t="inlineStr">
        <is>
          <t>Marque</t>
        </is>
      </c>
      <c r="B3" s="11" t="inlineStr">
        <is>
          <t>Ville</t>
        </is>
      </c>
      <c r="C3" s="11" t="inlineStr">
        <is>
          <t>Programme</t>
        </is>
      </c>
      <c r="D3" s="11" t="inlineStr">
        <is>
          <t>Cycle</t>
        </is>
      </c>
      <c r="E3" s="11" t="inlineStr">
        <is>
          <t>Année</t>
        </is>
      </c>
      <c r="F3" s="11" t="inlineStr">
        <is>
          <t>Modalité</t>
        </is>
      </c>
      <c r="G3" s="11" t="inlineStr">
        <is>
          <t>Entrée</t>
        </is>
      </c>
      <c r="H3" s="11" t="inlineStr">
        <is>
          <t>Leads hist</t>
        </is>
      </c>
      <c r="I3" s="11" t="inlineStr">
        <is>
          <t>Cand hist</t>
        </is>
      </c>
      <c r="J3" s="11" t="inlineStr">
        <is>
          <t>Admis hist</t>
        </is>
      </c>
      <c r="K3" s="11" t="inlineStr">
        <is>
          <t>Nouv hist</t>
        </is>
      </c>
      <c r="L3" s="11" t="inlineStr">
        <is>
          <t>Réins hist</t>
        </is>
      </c>
      <c r="M3" s="11" t="inlineStr">
        <is>
          <t>Effectif hist</t>
        </is>
      </c>
      <c r="N3" s="11" t="inlineStr">
        <is>
          <t>Eff. année inf.</t>
        </is>
      </c>
      <c r="O3" s="11" t="inlineStr">
        <is>
          <t>Classes hist</t>
        </is>
      </c>
      <c r="P3" s="11" t="inlineStr">
        <is>
          <t>Revenu/étudiant</t>
        </is>
      </c>
      <c r="Q3" s="11" t="inlineStr">
        <is>
          <t>Taux passage</t>
        </is>
      </c>
      <c r="R3" s="11" t="inlineStr">
        <is>
          <t>Taux lead→cand</t>
        </is>
      </c>
      <c r="S3" s="11" t="inlineStr">
        <is>
          <t>Taux cand→admis</t>
        </is>
      </c>
      <c r="T3" s="11" t="inlineStr">
        <is>
          <t>Yield admis→inscrit</t>
        </is>
      </c>
    </row>
    <row r="4">
      <c r="A4" s="18" t="inlineStr">
        <is>
          <t>MBway</t>
        </is>
      </c>
      <c r="B4" s="18" t="inlineStr">
        <is>
          <t>Paris</t>
        </is>
      </c>
      <c r="C4" s="18" t="inlineStr">
        <is>
          <t>Bachelor Management</t>
        </is>
      </c>
      <c r="D4" s="18" t="inlineStr">
        <is>
          <t>BAC</t>
        </is>
      </c>
      <c r="E4" s="18" t="inlineStr">
        <is>
          <t>B1</t>
        </is>
      </c>
      <c r="F4" s="18" t="inlineStr">
        <is>
          <t>Initial</t>
        </is>
      </c>
      <c r="G4" s="40" t="n">
        <v>1</v>
      </c>
      <c r="H4" s="40" t="n">
        <v>646</v>
      </c>
      <c r="I4" s="40" t="n">
        <v>181</v>
      </c>
      <c r="J4" s="40" t="n">
        <v>130</v>
      </c>
      <c r="K4" s="40" t="n">
        <v>78</v>
      </c>
      <c r="L4" s="40" t="n">
        <v>0</v>
      </c>
      <c r="M4" s="40" t="n">
        <v>78</v>
      </c>
      <c r="N4" s="40" t="n">
        <v>0</v>
      </c>
      <c r="O4" s="40" t="n">
        <v>3</v>
      </c>
      <c r="P4" s="41" t="n">
        <v>8400</v>
      </c>
      <c r="Q4" s="42" t="n">
        <v>0</v>
      </c>
      <c r="R4" s="42" t="n">
        <v>0.2802</v>
      </c>
      <c r="S4" s="42" t="n">
        <v>0.7181999999999999</v>
      </c>
      <c r="T4" s="42" t="n">
        <v>0.6</v>
      </c>
    </row>
    <row r="5">
      <c r="A5" s="18" t="inlineStr">
        <is>
          <t>MBway</t>
        </is>
      </c>
      <c r="B5" s="18" t="inlineStr">
        <is>
          <t>Paris</t>
        </is>
      </c>
      <c r="C5" s="18" t="inlineStr">
        <is>
          <t>Bachelor Management</t>
        </is>
      </c>
      <c r="D5" s="18" t="inlineStr">
        <is>
          <t>BAC</t>
        </is>
      </c>
      <c r="E5" s="18" t="inlineStr">
        <is>
          <t>B2</t>
        </is>
      </c>
      <c r="F5" s="18" t="inlineStr">
        <is>
          <t>Alternance</t>
        </is>
      </c>
      <c r="G5" s="40" t="n">
        <v>0</v>
      </c>
      <c r="H5" s="40" t="n">
        <v>0</v>
      </c>
      <c r="I5" s="40" t="n">
        <v>0</v>
      </c>
      <c r="J5" s="40" t="n">
        <v>0</v>
      </c>
      <c r="K5" s="40" t="n">
        <v>0</v>
      </c>
      <c r="L5" s="40" t="n">
        <v>73</v>
      </c>
      <c r="M5" s="40" t="n">
        <v>73</v>
      </c>
      <c r="N5" s="40" t="n">
        <v>78</v>
      </c>
      <c r="O5" s="40" t="n">
        <v>3</v>
      </c>
      <c r="P5" s="41" t="n">
        <v>7840</v>
      </c>
      <c r="Q5" s="42" t="n">
        <v>0.93</v>
      </c>
      <c r="R5" s="42" t="n">
        <v>0</v>
      </c>
      <c r="S5" s="42" t="n">
        <v>0</v>
      </c>
      <c r="T5" s="42" t="n">
        <v>0</v>
      </c>
    </row>
    <row r="6">
      <c r="A6" s="18" t="inlineStr">
        <is>
          <t>MBway</t>
        </is>
      </c>
      <c r="B6" s="18" t="inlineStr">
        <is>
          <t>Paris</t>
        </is>
      </c>
      <c r="C6" s="18" t="inlineStr">
        <is>
          <t>Bachelor Management</t>
        </is>
      </c>
      <c r="D6" s="18" t="inlineStr">
        <is>
          <t>BAC</t>
        </is>
      </c>
      <c r="E6" s="18" t="inlineStr">
        <is>
          <t>B3</t>
        </is>
      </c>
      <c r="F6" s="18" t="inlineStr">
        <is>
          <t>Alternance</t>
        </is>
      </c>
      <c r="G6" s="40" t="n">
        <v>0</v>
      </c>
      <c r="H6" s="40" t="n">
        <v>0</v>
      </c>
      <c r="I6" s="40" t="n">
        <v>0</v>
      </c>
      <c r="J6" s="40" t="n">
        <v>0</v>
      </c>
      <c r="K6" s="40" t="n">
        <v>0</v>
      </c>
      <c r="L6" s="40" t="n">
        <v>69</v>
      </c>
      <c r="M6" s="40" t="n">
        <v>69</v>
      </c>
      <c r="N6" s="40" t="n">
        <v>73</v>
      </c>
      <c r="O6" s="40" t="n">
        <v>3</v>
      </c>
      <c r="P6" s="41" t="n">
        <v>7840</v>
      </c>
      <c r="Q6" s="42" t="n">
        <v>0.95</v>
      </c>
      <c r="R6" s="42" t="n">
        <v>0</v>
      </c>
      <c r="S6" s="42" t="n">
        <v>0</v>
      </c>
      <c r="T6" s="42" t="n">
        <v>0</v>
      </c>
    </row>
    <row r="7">
      <c r="A7" s="18" t="inlineStr">
        <is>
          <t>MBway</t>
        </is>
      </c>
      <c r="B7" s="18" t="inlineStr">
        <is>
          <t>Paris</t>
        </is>
      </c>
      <c r="C7" s="18" t="inlineStr">
        <is>
          <t>Mastère Management</t>
        </is>
      </c>
      <c r="D7" s="18" t="inlineStr">
        <is>
          <t>MAST</t>
        </is>
      </c>
      <c r="E7" s="18" t="inlineStr">
        <is>
          <t>M1</t>
        </is>
      </c>
      <c r="F7" s="18" t="inlineStr">
        <is>
          <t>Alternance</t>
        </is>
      </c>
      <c r="G7" s="40" t="n">
        <v>1</v>
      </c>
      <c r="H7" s="40" t="n">
        <v>1330</v>
      </c>
      <c r="I7" s="40" t="n">
        <v>266</v>
      </c>
      <c r="J7" s="40" t="n">
        <v>186</v>
      </c>
      <c r="K7" s="40" t="n">
        <v>78</v>
      </c>
      <c r="L7" s="40" t="n">
        <v>0</v>
      </c>
      <c r="M7" s="40" t="n">
        <v>78</v>
      </c>
      <c r="N7" s="40" t="n">
        <v>0</v>
      </c>
      <c r="O7" s="40" t="n">
        <v>3</v>
      </c>
      <c r="P7" s="41" t="n">
        <v>8400</v>
      </c>
      <c r="Q7" s="42" t="n">
        <v>0</v>
      </c>
      <c r="R7" s="42" t="n">
        <v>0.2</v>
      </c>
      <c r="S7" s="42" t="n">
        <v>0.6992</v>
      </c>
      <c r="T7" s="42" t="n">
        <v>0.4194</v>
      </c>
    </row>
    <row r="8">
      <c r="A8" s="18" t="inlineStr">
        <is>
          <t>MBway</t>
        </is>
      </c>
      <c r="B8" s="18" t="inlineStr">
        <is>
          <t>Paris</t>
        </is>
      </c>
      <c r="C8" s="18" t="inlineStr">
        <is>
          <t>Mastère Management</t>
        </is>
      </c>
      <c r="D8" s="18" t="inlineStr">
        <is>
          <t>MAST</t>
        </is>
      </c>
      <c r="E8" s="18" t="inlineStr">
        <is>
          <t>M2</t>
        </is>
      </c>
      <c r="F8" s="18" t="inlineStr">
        <is>
          <t>Alternance</t>
        </is>
      </c>
      <c r="G8" s="40" t="n">
        <v>0</v>
      </c>
      <c r="H8" s="40" t="n">
        <v>0</v>
      </c>
      <c r="I8" s="40" t="n">
        <v>0</v>
      </c>
      <c r="J8" s="40" t="n">
        <v>0</v>
      </c>
      <c r="K8" s="40" t="n">
        <v>0</v>
      </c>
      <c r="L8" s="40" t="n">
        <v>75</v>
      </c>
      <c r="M8" s="40" t="n">
        <v>75</v>
      </c>
      <c r="N8" s="40" t="n">
        <v>78</v>
      </c>
      <c r="O8" s="40" t="n">
        <v>3</v>
      </c>
      <c r="P8" s="41" t="n">
        <v>8400</v>
      </c>
      <c r="Q8" s="42" t="n">
        <v>0.96</v>
      </c>
      <c r="R8" s="42" t="n">
        <v>0</v>
      </c>
      <c r="S8" s="42" t="n">
        <v>0</v>
      </c>
      <c r="T8" s="42" t="n">
        <v>0</v>
      </c>
    </row>
    <row r="9">
      <c r="A9" s="18" t="inlineStr">
        <is>
          <t>MBway</t>
        </is>
      </c>
      <c r="B9" s="18" t="inlineStr">
        <is>
          <t>Lyon</t>
        </is>
      </c>
      <c r="C9" s="18" t="inlineStr">
        <is>
          <t>Bachelor Management</t>
        </is>
      </c>
      <c r="D9" s="18" t="inlineStr">
        <is>
          <t>BAC</t>
        </is>
      </c>
      <c r="E9" s="18" t="inlineStr">
        <is>
          <t>B1</t>
        </is>
      </c>
      <c r="F9" s="18" t="inlineStr">
        <is>
          <t>Initial</t>
        </is>
      </c>
      <c r="G9" s="40" t="n">
        <v>1</v>
      </c>
      <c r="H9" s="40" t="n">
        <v>546</v>
      </c>
      <c r="I9" s="40" t="n">
        <v>153</v>
      </c>
      <c r="J9" s="40" t="n">
        <v>110</v>
      </c>
      <c r="K9" s="40" t="n">
        <v>66</v>
      </c>
      <c r="L9" s="40" t="n">
        <v>0</v>
      </c>
      <c r="M9" s="40" t="n">
        <v>66</v>
      </c>
      <c r="N9" s="40" t="n">
        <v>0</v>
      </c>
      <c r="O9" s="40" t="n">
        <v>3</v>
      </c>
      <c r="P9" s="41" t="n">
        <v>7875</v>
      </c>
      <c r="Q9" s="42" t="n">
        <v>0</v>
      </c>
      <c r="R9" s="42" t="n">
        <v>0.2802</v>
      </c>
      <c r="S9" s="42" t="n">
        <v>0.719</v>
      </c>
      <c r="T9" s="42" t="n">
        <v>0.6</v>
      </c>
    </row>
    <row r="10">
      <c r="A10" s="18" t="inlineStr">
        <is>
          <t>MBway</t>
        </is>
      </c>
      <c r="B10" s="18" t="inlineStr">
        <is>
          <t>Lyon</t>
        </is>
      </c>
      <c r="C10" s="18" t="inlineStr">
        <is>
          <t>Bachelor Management</t>
        </is>
      </c>
      <c r="D10" s="18" t="inlineStr">
        <is>
          <t>BAC</t>
        </is>
      </c>
      <c r="E10" s="18" t="inlineStr">
        <is>
          <t>B2</t>
        </is>
      </c>
      <c r="F10" s="18" t="inlineStr">
        <is>
          <t>Alternance</t>
        </is>
      </c>
      <c r="G10" s="40" t="n">
        <v>0</v>
      </c>
      <c r="H10" s="40" t="n">
        <v>0</v>
      </c>
      <c r="I10" s="40" t="n">
        <v>0</v>
      </c>
      <c r="J10" s="40" t="n">
        <v>0</v>
      </c>
      <c r="K10" s="40" t="n">
        <v>0</v>
      </c>
      <c r="L10" s="40" t="n">
        <v>61</v>
      </c>
      <c r="M10" s="40" t="n">
        <v>61</v>
      </c>
      <c r="N10" s="40" t="n">
        <v>66</v>
      </c>
      <c r="O10" s="40" t="n">
        <v>2</v>
      </c>
      <c r="P10" s="41" t="n">
        <v>7350</v>
      </c>
      <c r="Q10" s="42" t="n">
        <v>0.93</v>
      </c>
      <c r="R10" s="42" t="n">
        <v>0</v>
      </c>
      <c r="S10" s="42" t="n">
        <v>0</v>
      </c>
      <c r="T10" s="42" t="n">
        <v>0</v>
      </c>
    </row>
    <row r="11">
      <c r="A11" s="18" t="inlineStr">
        <is>
          <t>MBway</t>
        </is>
      </c>
      <c r="B11" s="18" t="inlineStr">
        <is>
          <t>Lyon</t>
        </is>
      </c>
      <c r="C11" s="18" t="inlineStr">
        <is>
          <t>Bachelor Management</t>
        </is>
      </c>
      <c r="D11" s="18" t="inlineStr">
        <is>
          <t>BAC</t>
        </is>
      </c>
      <c r="E11" s="18" t="inlineStr">
        <is>
          <t>B3</t>
        </is>
      </c>
      <c r="F11" s="18" t="inlineStr">
        <is>
          <t>Alternance</t>
        </is>
      </c>
      <c r="G11" s="40" t="n">
        <v>0</v>
      </c>
      <c r="H11" s="40" t="n">
        <v>0</v>
      </c>
      <c r="I11" s="40" t="n">
        <v>0</v>
      </c>
      <c r="J11" s="40" t="n">
        <v>0</v>
      </c>
      <c r="K11" s="40" t="n">
        <v>0</v>
      </c>
      <c r="L11" s="40" t="n">
        <v>58</v>
      </c>
      <c r="M11" s="40" t="n">
        <v>58</v>
      </c>
      <c r="N11" s="40" t="n">
        <v>61</v>
      </c>
      <c r="O11" s="40" t="n">
        <v>2</v>
      </c>
      <c r="P11" s="41" t="n">
        <v>7350</v>
      </c>
      <c r="Q11" s="42" t="n">
        <v>0.95</v>
      </c>
      <c r="R11" s="42" t="n">
        <v>0</v>
      </c>
      <c r="S11" s="42" t="n">
        <v>0</v>
      </c>
      <c r="T11" s="42" t="n">
        <v>0</v>
      </c>
    </row>
    <row r="12">
      <c r="A12" s="18" t="inlineStr">
        <is>
          <t>MBway</t>
        </is>
      </c>
      <c r="B12" s="18" t="inlineStr">
        <is>
          <t>Lyon</t>
        </is>
      </c>
      <c r="C12" s="18" t="inlineStr">
        <is>
          <t>Mastère Management</t>
        </is>
      </c>
      <c r="D12" s="18" t="inlineStr">
        <is>
          <t>MAST</t>
        </is>
      </c>
      <c r="E12" s="18" t="inlineStr">
        <is>
          <t>M1</t>
        </is>
      </c>
      <c r="F12" s="18" t="inlineStr">
        <is>
          <t>Alternance</t>
        </is>
      </c>
      <c r="G12" s="40" t="n">
        <v>1</v>
      </c>
      <c r="H12" s="40" t="n">
        <v>1120</v>
      </c>
      <c r="I12" s="40" t="n">
        <v>224</v>
      </c>
      <c r="J12" s="40" t="n">
        <v>157</v>
      </c>
      <c r="K12" s="40" t="n">
        <v>66</v>
      </c>
      <c r="L12" s="40" t="n">
        <v>0</v>
      </c>
      <c r="M12" s="40" t="n">
        <v>66</v>
      </c>
      <c r="N12" s="40" t="n">
        <v>0</v>
      </c>
      <c r="O12" s="40" t="n">
        <v>3</v>
      </c>
      <c r="P12" s="41" t="n">
        <v>7875</v>
      </c>
      <c r="Q12" s="42" t="n">
        <v>0</v>
      </c>
      <c r="R12" s="42" t="n">
        <v>0.2</v>
      </c>
      <c r="S12" s="42" t="n">
        <v>0.7009</v>
      </c>
      <c r="T12" s="42" t="n">
        <v>0.4204</v>
      </c>
    </row>
    <row r="13">
      <c r="A13" s="18" t="inlineStr">
        <is>
          <t>MBway</t>
        </is>
      </c>
      <c r="B13" s="18" t="inlineStr">
        <is>
          <t>Lyon</t>
        </is>
      </c>
      <c r="C13" s="18" t="inlineStr">
        <is>
          <t>Mastère Management</t>
        </is>
      </c>
      <c r="D13" s="18" t="inlineStr">
        <is>
          <t>MAST</t>
        </is>
      </c>
      <c r="E13" s="18" t="inlineStr">
        <is>
          <t>M2</t>
        </is>
      </c>
      <c r="F13" s="18" t="inlineStr">
        <is>
          <t>Alternance</t>
        </is>
      </c>
      <c r="G13" s="40" t="n">
        <v>0</v>
      </c>
      <c r="H13" s="40" t="n">
        <v>0</v>
      </c>
      <c r="I13" s="40" t="n">
        <v>0</v>
      </c>
      <c r="J13" s="40" t="n">
        <v>0</v>
      </c>
      <c r="K13" s="40" t="n">
        <v>0</v>
      </c>
      <c r="L13" s="40" t="n">
        <v>63</v>
      </c>
      <c r="M13" s="40" t="n">
        <v>63</v>
      </c>
      <c r="N13" s="40" t="n">
        <v>66</v>
      </c>
      <c r="O13" s="40" t="n">
        <v>3</v>
      </c>
      <c r="P13" s="41" t="n">
        <v>7875</v>
      </c>
      <c r="Q13" s="42" t="n">
        <v>0.96</v>
      </c>
      <c r="R13" s="42" t="n">
        <v>0</v>
      </c>
      <c r="S13" s="42" t="n">
        <v>0</v>
      </c>
      <c r="T13" s="42" t="n">
        <v>0</v>
      </c>
    </row>
    <row r="14">
      <c r="A14" s="18" t="inlineStr">
        <is>
          <t>MBway</t>
        </is>
      </c>
      <c r="B14" s="18" t="inlineStr">
        <is>
          <t>Nantes</t>
        </is>
      </c>
      <c r="C14" s="18" t="inlineStr">
        <is>
          <t>Bachelor Management</t>
        </is>
      </c>
      <c r="D14" s="18" t="inlineStr">
        <is>
          <t>BAC</t>
        </is>
      </c>
      <c r="E14" s="18" t="inlineStr">
        <is>
          <t>B1</t>
        </is>
      </c>
      <c r="F14" s="18" t="inlineStr">
        <is>
          <t>Initial</t>
        </is>
      </c>
      <c r="G14" s="40" t="n">
        <v>1</v>
      </c>
      <c r="H14" s="40" t="n">
        <v>496</v>
      </c>
      <c r="I14" s="40" t="n">
        <v>139</v>
      </c>
      <c r="J14" s="40" t="n">
        <v>100</v>
      </c>
      <c r="K14" s="40" t="n">
        <v>60</v>
      </c>
      <c r="L14" s="40" t="n">
        <v>0</v>
      </c>
      <c r="M14" s="40" t="n">
        <v>60</v>
      </c>
      <c r="N14" s="40" t="n">
        <v>0</v>
      </c>
      <c r="O14" s="40" t="n">
        <v>2</v>
      </c>
      <c r="P14" s="41" t="n">
        <v>7500</v>
      </c>
      <c r="Q14" s="42" t="n">
        <v>0</v>
      </c>
      <c r="R14" s="42" t="n">
        <v>0.2802</v>
      </c>
      <c r="S14" s="42" t="n">
        <v>0.7194</v>
      </c>
      <c r="T14" s="42" t="n">
        <v>0.6</v>
      </c>
    </row>
    <row r="15">
      <c r="A15" s="18" t="inlineStr">
        <is>
          <t>MBway</t>
        </is>
      </c>
      <c r="B15" s="18" t="inlineStr">
        <is>
          <t>Nantes</t>
        </is>
      </c>
      <c r="C15" s="18" t="inlineStr">
        <is>
          <t>Bachelor Management</t>
        </is>
      </c>
      <c r="D15" s="18" t="inlineStr">
        <is>
          <t>BAC</t>
        </is>
      </c>
      <c r="E15" s="18" t="inlineStr">
        <is>
          <t>B2</t>
        </is>
      </c>
      <c r="F15" s="18" t="inlineStr">
        <is>
          <t>Alternance</t>
        </is>
      </c>
      <c r="G15" s="40" t="n">
        <v>0</v>
      </c>
      <c r="H15" s="40" t="n">
        <v>0</v>
      </c>
      <c r="I15" s="40" t="n">
        <v>0</v>
      </c>
      <c r="J15" s="40" t="n">
        <v>0</v>
      </c>
      <c r="K15" s="40" t="n">
        <v>0</v>
      </c>
      <c r="L15" s="40" t="n">
        <v>56</v>
      </c>
      <c r="M15" s="40" t="n">
        <v>56</v>
      </c>
      <c r="N15" s="40" t="n">
        <v>60</v>
      </c>
      <c r="O15" s="40" t="n">
        <v>2</v>
      </c>
      <c r="P15" s="41" t="n">
        <v>7000</v>
      </c>
      <c r="Q15" s="42" t="n">
        <v>0.93</v>
      </c>
      <c r="R15" s="42" t="n">
        <v>0</v>
      </c>
      <c r="S15" s="42" t="n">
        <v>0</v>
      </c>
      <c r="T15" s="42" t="n">
        <v>0</v>
      </c>
    </row>
    <row r="16">
      <c r="A16" s="18" t="inlineStr">
        <is>
          <t>MBway</t>
        </is>
      </c>
      <c r="B16" s="18" t="inlineStr">
        <is>
          <t>Nantes</t>
        </is>
      </c>
      <c r="C16" s="18" t="inlineStr">
        <is>
          <t>Bachelor Management</t>
        </is>
      </c>
      <c r="D16" s="18" t="inlineStr">
        <is>
          <t>BAC</t>
        </is>
      </c>
      <c r="E16" s="18" t="inlineStr">
        <is>
          <t>B3</t>
        </is>
      </c>
      <c r="F16" s="18" t="inlineStr">
        <is>
          <t>Alternance</t>
        </is>
      </c>
      <c r="G16" s="40" t="n">
        <v>0</v>
      </c>
      <c r="H16" s="40" t="n">
        <v>0</v>
      </c>
      <c r="I16" s="40" t="n">
        <v>0</v>
      </c>
      <c r="J16" s="40" t="n">
        <v>0</v>
      </c>
      <c r="K16" s="40" t="n">
        <v>0</v>
      </c>
      <c r="L16" s="40" t="n">
        <v>53</v>
      </c>
      <c r="M16" s="40" t="n">
        <v>53</v>
      </c>
      <c r="N16" s="40" t="n">
        <v>56</v>
      </c>
      <c r="O16" s="40" t="n">
        <v>2</v>
      </c>
      <c r="P16" s="41" t="n">
        <v>7000</v>
      </c>
      <c r="Q16" s="42" t="n">
        <v>0.95</v>
      </c>
      <c r="R16" s="42" t="n">
        <v>0</v>
      </c>
      <c r="S16" s="42" t="n">
        <v>0</v>
      </c>
      <c r="T16" s="42" t="n">
        <v>0</v>
      </c>
    </row>
    <row r="17">
      <c r="A17" s="18" t="inlineStr">
        <is>
          <t>MBway</t>
        </is>
      </c>
      <c r="B17" s="18" t="inlineStr">
        <is>
          <t>Nantes</t>
        </is>
      </c>
      <c r="C17" s="18" t="inlineStr">
        <is>
          <t>Mastère Management</t>
        </is>
      </c>
      <c r="D17" s="18" t="inlineStr">
        <is>
          <t>MAST</t>
        </is>
      </c>
      <c r="E17" s="18" t="inlineStr">
        <is>
          <t>M1</t>
        </is>
      </c>
      <c r="F17" s="18" t="inlineStr">
        <is>
          <t>Alternance</t>
        </is>
      </c>
      <c r="G17" s="40" t="n">
        <v>1</v>
      </c>
      <c r="H17" s="40" t="n">
        <v>1020</v>
      </c>
      <c r="I17" s="40" t="n">
        <v>204</v>
      </c>
      <c r="J17" s="40" t="n">
        <v>143</v>
      </c>
      <c r="K17" s="40" t="n">
        <v>60</v>
      </c>
      <c r="L17" s="40" t="n">
        <v>0</v>
      </c>
      <c r="M17" s="40" t="n">
        <v>60</v>
      </c>
      <c r="N17" s="40" t="n">
        <v>0</v>
      </c>
      <c r="O17" s="40" t="n">
        <v>3</v>
      </c>
      <c r="P17" s="41" t="n">
        <v>7500</v>
      </c>
      <c r="Q17" s="42" t="n">
        <v>0</v>
      </c>
      <c r="R17" s="42" t="n">
        <v>0.2</v>
      </c>
      <c r="S17" s="42" t="n">
        <v>0.701</v>
      </c>
      <c r="T17" s="42" t="n">
        <v>0.4196</v>
      </c>
    </row>
    <row r="18">
      <c r="A18" s="18" t="inlineStr">
        <is>
          <t>MBway</t>
        </is>
      </c>
      <c r="B18" s="18" t="inlineStr">
        <is>
          <t>Nantes</t>
        </is>
      </c>
      <c r="C18" s="18" t="inlineStr">
        <is>
          <t>Mastère Management</t>
        </is>
      </c>
      <c r="D18" s="18" t="inlineStr">
        <is>
          <t>MAST</t>
        </is>
      </c>
      <c r="E18" s="18" t="inlineStr">
        <is>
          <t>M2</t>
        </is>
      </c>
      <c r="F18" s="18" t="inlineStr">
        <is>
          <t>Alternance</t>
        </is>
      </c>
      <c r="G18" s="40" t="n">
        <v>0</v>
      </c>
      <c r="H18" s="40" t="n">
        <v>0</v>
      </c>
      <c r="I18" s="40" t="n">
        <v>0</v>
      </c>
      <c r="J18" s="40" t="n">
        <v>0</v>
      </c>
      <c r="K18" s="40" t="n">
        <v>0</v>
      </c>
      <c r="L18" s="40" t="n">
        <v>58</v>
      </c>
      <c r="M18" s="40" t="n">
        <v>58</v>
      </c>
      <c r="N18" s="40" t="n">
        <v>60</v>
      </c>
      <c r="O18" s="40" t="n">
        <v>3</v>
      </c>
      <c r="P18" s="41" t="n">
        <v>7500</v>
      </c>
      <c r="Q18" s="42" t="n">
        <v>0.96</v>
      </c>
      <c r="R18" s="42" t="n">
        <v>0</v>
      </c>
      <c r="S18" s="42" t="n">
        <v>0</v>
      </c>
      <c r="T18" s="42" t="n">
        <v>0</v>
      </c>
    </row>
    <row r="19">
      <c r="A19" s="18" t="inlineStr">
        <is>
          <t>MBway</t>
        </is>
      </c>
      <c r="B19" s="18" t="inlineStr">
        <is>
          <t>Bordeaux</t>
        </is>
      </c>
      <c r="C19" s="18" t="inlineStr">
        <is>
          <t>Bachelor Management</t>
        </is>
      </c>
      <c r="D19" s="18" t="inlineStr">
        <is>
          <t>BAC</t>
        </is>
      </c>
      <c r="E19" s="18" t="inlineStr">
        <is>
          <t>B1</t>
        </is>
      </c>
      <c r="F19" s="18" t="inlineStr">
        <is>
          <t>Initial</t>
        </is>
      </c>
      <c r="G19" s="40" t="n">
        <v>1</v>
      </c>
      <c r="H19" s="40" t="n">
        <v>421</v>
      </c>
      <c r="I19" s="40" t="n">
        <v>118</v>
      </c>
      <c r="J19" s="40" t="n">
        <v>85</v>
      </c>
      <c r="K19" s="40" t="n">
        <v>51</v>
      </c>
      <c r="L19" s="40" t="n">
        <v>0</v>
      </c>
      <c r="M19" s="40" t="n">
        <v>51</v>
      </c>
      <c r="N19" s="40" t="n">
        <v>0</v>
      </c>
      <c r="O19" s="40" t="n">
        <v>2</v>
      </c>
      <c r="P19" s="41" t="n">
        <v>7275</v>
      </c>
      <c r="Q19" s="42" t="n">
        <v>0</v>
      </c>
      <c r="R19" s="42" t="n">
        <v>0.2803</v>
      </c>
      <c r="S19" s="42" t="n">
        <v>0.7203000000000001</v>
      </c>
      <c r="T19" s="42" t="n">
        <v>0.6</v>
      </c>
    </row>
    <row r="20">
      <c r="A20" s="18" t="inlineStr">
        <is>
          <t>MBway</t>
        </is>
      </c>
      <c r="B20" s="18" t="inlineStr">
        <is>
          <t>Bordeaux</t>
        </is>
      </c>
      <c r="C20" s="18" t="inlineStr">
        <is>
          <t>Bachelor Management</t>
        </is>
      </c>
      <c r="D20" s="18" t="inlineStr">
        <is>
          <t>BAC</t>
        </is>
      </c>
      <c r="E20" s="18" t="inlineStr">
        <is>
          <t>B2</t>
        </is>
      </c>
      <c r="F20" s="18" t="inlineStr">
        <is>
          <t>Alternance</t>
        </is>
      </c>
      <c r="G20" s="40" t="n">
        <v>0</v>
      </c>
      <c r="H20" s="40" t="n">
        <v>0</v>
      </c>
      <c r="I20" s="40" t="n">
        <v>0</v>
      </c>
      <c r="J20" s="40" t="n">
        <v>0</v>
      </c>
      <c r="K20" s="40" t="n">
        <v>0</v>
      </c>
      <c r="L20" s="40" t="n">
        <v>47</v>
      </c>
      <c r="M20" s="40" t="n">
        <v>47</v>
      </c>
      <c r="N20" s="40" t="n">
        <v>51</v>
      </c>
      <c r="O20" s="40" t="n">
        <v>2</v>
      </c>
      <c r="P20" s="41" t="n">
        <v>6790</v>
      </c>
      <c r="Q20" s="42" t="n">
        <v>0.93</v>
      </c>
      <c r="R20" s="42" t="n">
        <v>0</v>
      </c>
      <c r="S20" s="42" t="n">
        <v>0</v>
      </c>
      <c r="T20" s="42" t="n">
        <v>0</v>
      </c>
    </row>
    <row r="21">
      <c r="A21" s="18" t="inlineStr">
        <is>
          <t>MBway</t>
        </is>
      </c>
      <c r="B21" s="18" t="inlineStr">
        <is>
          <t>Bordeaux</t>
        </is>
      </c>
      <c r="C21" s="18" t="inlineStr">
        <is>
          <t>Bachelor Management</t>
        </is>
      </c>
      <c r="D21" s="18" t="inlineStr">
        <is>
          <t>BAC</t>
        </is>
      </c>
      <c r="E21" s="18" t="inlineStr">
        <is>
          <t>B3</t>
        </is>
      </c>
      <c r="F21" s="18" t="inlineStr">
        <is>
          <t>Alternance</t>
        </is>
      </c>
      <c r="G21" s="40" t="n">
        <v>0</v>
      </c>
      <c r="H21" s="40" t="n">
        <v>0</v>
      </c>
      <c r="I21" s="40" t="n">
        <v>0</v>
      </c>
      <c r="J21" s="40" t="n">
        <v>0</v>
      </c>
      <c r="K21" s="40" t="n">
        <v>0</v>
      </c>
      <c r="L21" s="40" t="n">
        <v>45</v>
      </c>
      <c r="M21" s="40" t="n">
        <v>45</v>
      </c>
      <c r="N21" s="40" t="n">
        <v>47</v>
      </c>
      <c r="O21" s="40" t="n">
        <v>2</v>
      </c>
      <c r="P21" s="41" t="n">
        <v>6790</v>
      </c>
      <c r="Q21" s="42" t="n">
        <v>0.95</v>
      </c>
      <c r="R21" s="42" t="n">
        <v>0</v>
      </c>
      <c r="S21" s="42" t="n">
        <v>0</v>
      </c>
      <c r="T21" s="42" t="n">
        <v>0</v>
      </c>
    </row>
    <row r="22">
      <c r="A22" s="18" t="inlineStr">
        <is>
          <t>MBway</t>
        </is>
      </c>
      <c r="B22" s="18" t="inlineStr">
        <is>
          <t>Bordeaux</t>
        </is>
      </c>
      <c r="C22" s="18" t="inlineStr">
        <is>
          <t>Mastère Management</t>
        </is>
      </c>
      <c r="D22" s="18" t="inlineStr">
        <is>
          <t>MAST</t>
        </is>
      </c>
      <c r="E22" s="18" t="inlineStr">
        <is>
          <t>M1</t>
        </is>
      </c>
      <c r="F22" s="18" t="inlineStr">
        <is>
          <t>Alternance</t>
        </is>
      </c>
      <c r="G22" s="40" t="n">
        <v>1</v>
      </c>
      <c r="H22" s="40" t="n">
        <v>865</v>
      </c>
      <c r="I22" s="40" t="n">
        <v>173</v>
      </c>
      <c r="J22" s="40" t="n">
        <v>121</v>
      </c>
      <c r="K22" s="40" t="n">
        <v>51</v>
      </c>
      <c r="L22" s="40" t="n">
        <v>0</v>
      </c>
      <c r="M22" s="40" t="n">
        <v>51</v>
      </c>
      <c r="N22" s="40" t="n">
        <v>0</v>
      </c>
      <c r="O22" s="40" t="n">
        <v>2</v>
      </c>
      <c r="P22" s="41" t="n">
        <v>7275</v>
      </c>
      <c r="Q22" s="42" t="n">
        <v>0</v>
      </c>
      <c r="R22" s="42" t="n">
        <v>0.2</v>
      </c>
      <c r="S22" s="42" t="n">
        <v>0.6994</v>
      </c>
      <c r="T22" s="42" t="n">
        <v>0.4215</v>
      </c>
    </row>
    <row r="23">
      <c r="A23" s="18" t="inlineStr">
        <is>
          <t>MBway</t>
        </is>
      </c>
      <c r="B23" s="18" t="inlineStr">
        <is>
          <t>Bordeaux</t>
        </is>
      </c>
      <c r="C23" s="18" t="inlineStr">
        <is>
          <t>Mastère Management</t>
        </is>
      </c>
      <c r="D23" s="18" t="inlineStr">
        <is>
          <t>MAST</t>
        </is>
      </c>
      <c r="E23" s="18" t="inlineStr">
        <is>
          <t>M2</t>
        </is>
      </c>
      <c r="F23" s="18" t="inlineStr">
        <is>
          <t>Alternance</t>
        </is>
      </c>
      <c r="G23" s="40" t="n">
        <v>0</v>
      </c>
      <c r="H23" s="40" t="n">
        <v>0</v>
      </c>
      <c r="I23" s="40" t="n">
        <v>0</v>
      </c>
      <c r="J23" s="40" t="n">
        <v>0</v>
      </c>
      <c r="K23" s="40" t="n">
        <v>0</v>
      </c>
      <c r="L23" s="40" t="n">
        <v>49</v>
      </c>
      <c r="M23" s="40" t="n">
        <v>49</v>
      </c>
      <c r="N23" s="40" t="n">
        <v>51</v>
      </c>
      <c r="O23" s="40" t="n">
        <v>2</v>
      </c>
      <c r="P23" s="41" t="n">
        <v>7275</v>
      </c>
      <c r="Q23" s="42" t="n">
        <v>0.96</v>
      </c>
      <c r="R23" s="42" t="n">
        <v>0</v>
      </c>
      <c r="S23" s="42" t="n">
        <v>0</v>
      </c>
      <c r="T23" s="42" t="n">
        <v>0</v>
      </c>
    </row>
    <row r="24">
      <c r="A24" s="18" t="inlineStr">
        <is>
          <t>ISCOM</t>
        </is>
      </c>
      <c r="B24" s="18" t="inlineStr">
        <is>
          <t>Paris</t>
        </is>
      </c>
      <c r="C24" s="18" t="inlineStr">
        <is>
          <t>Bachelor Communication</t>
        </is>
      </c>
      <c r="D24" s="18" t="inlineStr">
        <is>
          <t>BAC</t>
        </is>
      </c>
      <c r="E24" s="18" t="inlineStr">
        <is>
          <t>B1</t>
        </is>
      </c>
      <c r="F24" s="18" t="inlineStr">
        <is>
          <t>Initial</t>
        </is>
      </c>
      <c r="G24" s="40" t="n">
        <v>1</v>
      </c>
      <c r="H24" s="40" t="n">
        <v>596</v>
      </c>
      <c r="I24" s="40" t="n">
        <v>167</v>
      </c>
      <c r="J24" s="40" t="n">
        <v>120</v>
      </c>
      <c r="K24" s="40" t="n">
        <v>72</v>
      </c>
      <c r="L24" s="40" t="n">
        <v>0</v>
      </c>
      <c r="M24" s="40" t="n">
        <v>72</v>
      </c>
      <c r="N24" s="40" t="n">
        <v>0</v>
      </c>
      <c r="O24" s="40" t="n">
        <v>3</v>
      </c>
      <c r="P24" s="41" t="n">
        <v>8400</v>
      </c>
      <c r="Q24" s="42" t="n">
        <v>0</v>
      </c>
      <c r="R24" s="42" t="n">
        <v>0.2802</v>
      </c>
      <c r="S24" s="42" t="n">
        <v>0.7186</v>
      </c>
      <c r="T24" s="42" t="n">
        <v>0.6</v>
      </c>
    </row>
    <row r="25">
      <c r="A25" s="18" t="inlineStr">
        <is>
          <t>ISCOM</t>
        </is>
      </c>
      <c r="B25" s="18" t="inlineStr">
        <is>
          <t>Paris</t>
        </is>
      </c>
      <c r="C25" s="18" t="inlineStr">
        <is>
          <t>Bachelor Communication</t>
        </is>
      </c>
      <c r="D25" s="18" t="inlineStr">
        <is>
          <t>BAC</t>
        </is>
      </c>
      <c r="E25" s="18" t="inlineStr">
        <is>
          <t>B2</t>
        </is>
      </c>
      <c r="F25" s="18" t="inlineStr">
        <is>
          <t>Alternance</t>
        </is>
      </c>
      <c r="G25" s="40" t="n">
        <v>0</v>
      </c>
      <c r="H25" s="40" t="n">
        <v>0</v>
      </c>
      <c r="I25" s="40" t="n">
        <v>0</v>
      </c>
      <c r="J25" s="40" t="n">
        <v>0</v>
      </c>
      <c r="K25" s="40" t="n">
        <v>0</v>
      </c>
      <c r="L25" s="40" t="n">
        <v>67</v>
      </c>
      <c r="M25" s="40" t="n">
        <v>67</v>
      </c>
      <c r="N25" s="40" t="n">
        <v>72</v>
      </c>
      <c r="O25" s="40" t="n">
        <v>3</v>
      </c>
      <c r="P25" s="41" t="n">
        <v>7840</v>
      </c>
      <c r="Q25" s="42" t="n">
        <v>0.93</v>
      </c>
      <c r="R25" s="42" t="n">
        <v>0</v>
      </c>
      <c r="S25" s="42" t="n">
        <v>0</v>
      </c>
      <c r="T25" s="42" t="n">
        <v>0</v>
      </c>
    </row>
    <row r="26">
      <c r="A26" s="18" t="inlineStr">
        <is>
          <t>ISCOM</t>
        </is>
      </c>
      <c r="B26" s="18" t="inlineStr">
        <is>
          <t>Paris</t>
        </is>
      </c>
      <c r="C26" s="18" t="inlineStr">
        <is>
          <t>Bachelor Communication</t>
        </is>
      </c>
      <c r="D26" s="18" t="inlineStr">
        <is>
          <t>BAC</t>
        </is>
      </c>
      <c r="E26" s="18" t="inlineStr">
        <is>
          <t>B3</t>
        </is>
      </c>
      <c r="F26" s="18" t="inlineStr">
        <is>
          <t>Alternance</t>
        </is>
      </c>
      <c r="G26" s="40" t="n">
        <v>0</v>
      </c>
      <c r="H26" s="40" t="n">
        <v>0</v>
      </c>
      <c r="I26" s="40" t="n">
        <v>0</v>
      </c>
      <c r="J26" s="40" t="n">
        <v>0</v>
      </c>
      <c r="K26" s="40" t="n">
        <v>0</v>
      </c>
      <c r="L26" s="40" t="n">
        <v>64</v>
      </c>
      <c r="M26" s="40" t="n">
        <v>64</v>
      </c>
      <c r="N26" s="40" t="n">
        <v>67</v>
      </c>
      <c r="O26" s="40" t="n">
        <v>2</v>
      </c>
      <c r="P26" s="41" t="n">
        <v>7840</v>
      </c>
      <c r="Q26" s="42" t="n">
        <v>0.95</v>
      </c>
      <c r="R26" s="42" t="n">
        <v>0</v>
      </c>
      <c r="S26" s="42" t="n">
        <v>0</v>
      </c>
      <c r="T26" s="42" t="n">
        <v>0</v>
      </c>
    </row>
    <row r="27">
      <c r="A27" s="18" t="inlineStr">
        <is>
          <t>ISCOM</t>
        </is>
      </c>
      <c r="B27" s="18" t="inlineStr">
        <is>
          <t>Paris</t>
        </is>
      </c>
      <c r="C27" s="18" t="inlineStr">
        <is>
          <t>Mastère Communication</t>
        </is>
      </c>
      <c r="D27" s="18" t="inlineStr">
        <is>
          <t>MAST</t>
        </is>
      </c>
      <c r="E27" s="18" t="inlineStr">
        <is>
          <t>M1</t>
        </is>
      </c>
      <c r="F27" s="18" t="inlineStr">
        <is>
          <t>Alternance</t>
        </is>
      </c>
      <c r="G27" s="40" t="n">
        <v>1</v>
      </c>
      <c r="H27" s="40" t="n">
        <v>1220</v>
      </c>
      <c r="I27" s="40" t="n">
        <v>244</v>
      </c>
      <c r="J27" s="40" t="n">
        <v>171</v>
      </c>
      <c r="K27" s="40" t="n">
        <v>72</v>
      </c>
      <c r="L27" s="40" t="n">
        <v>0</v>
      </c>
      <c r="M27" s="40" t="n">
        <v>72</v>
      </c>
      <c r="N27" s="40" t="n">
        <v>0</v>
      </c>
      <c r="O27" s="40" t="n">
        <v>3</v>
      </c>
      <c r="P27" s="41" t="n">
        <v>8400</v>
      </c>
      <c r="Q27" s="42" t="n">
        <v>0</v>
      </c>
      <c r="R27" s="42" t="n">
        <v>0.2</v>
      </c>
      <c r="S27" s="42" t="n">
        <v>0.7008</v>
      </c>
      <c r="T27" s="42" t="n">
        <v>0.4211</v>
      </c>
    </row>
    <row r="28">
      <c r="A28" s="18" t="inlineStr">
        <is>
          <t>ISCOM</t>
        </is>
      </c>
      <c r="B28" s="18" t="inlineStr">
        <is>
          <t>Paris</t>
        </is>
      </c>
      <c r="C28" s="18" t="inlineStr">
        <is>
          <t>Mastère Communication</t>
        </is>
      </c>
      <c r="D28" s="18" t="inlineStr">
        <is>
          <t>MAST</t>
        </is>
      </c>
      <c r="E28" s="18" t="inlineStr">
        <is>
          <t>M2</t>
        </is>
      </c>
      <c r="F28" s="18" t="inlineStr">
        <is>
          <t>Alternance</t>
        </is>
      </c>
      <c r="G28" s="40" t="n">
        <v>0</v>
      </c>
      <c r="H28" s="40" t="n">
        <v>0</v>
      </c>
      <c r="I28" s="40" t="n">
        <v>0</v>
      </c>
      <c r="J28" s="40" t="n">
        <v>0</v>
      </c>
      <c r="K28" s="40" t="n">
        <v>0</v>
      </c>
      <c r="L28" s="40" t="n">
        <v>69</v>
      </c>
      <c r="M28" s="40" t="n">
        <v>69</v>
      </c>
      <c r="N28" s="40" t="n">
        <v>72</v>
      </c>
      <c r="O28" s="40" t="n">
        <v>3</v>
      </c>
      <c r="P28" s="41" t="n">
        <v>8400</v>
      </c>
      <c r="Q28" s="42" t="n">
        <v>0.96</v>
      </c>
      <c r="R28" s="42" t="n">
        <v>0</v>
      </c>
      <c r="S28" s="42" t="n">
        <v>0</v>
      </c>
      <c r="T28" s="42" t="n">
        <v>0</v>
      </c>
    </row>
    <row r="29">
      <c r="A29" s="18" t="inlineStr">
        <is>
          <t>ISCOM</t>
        </is>
      </c>
      <c r="B29" s="18" t="inlineStr">
        <is>
          <t>Lille</t>
        </is>
      </c>
      <c r="C29" s="18" t="inlineStr">
        <is>
          <t>Bachelor Communication</t>
        </is>
      </c>
      <c r="D29" s="18" t="inlineStr">
        <is>
          <t>BAC</t>
        </is>
      </c>
      <c r="E29" s="18" t="inlineStr">
        <is>
          <t>B1</t>
        </is>
      </c>
      <c r="F29" s="18" t="inlineStr">
        <is>
          <t>Initial</t>
        </is>
      </c>
      <c r="G29" s="40" t="n">
        <v>1</v>
      </c>
      <c r="H29" s="40" t="n">
        <v>411</v>
      </c>
      <c r="I29" s="40" t="n">
        <v>115</v>
      </c>
      <c r="J29" s="40" t="n">
        <v>83</v>
      </c>
      <c r="K29" s="40" t="n">
        <v>50</v>
      </c>
      <c r="L29" s="40" t="n">
        <v>0</v>
      </c>
      <c r="M29" s="40" t="n">
        <v>50</v>
      </c>
      <c r="N29" s="40" t="n">
        <v>0</v>
      </c>
      <c r="O29" s="40" t="n">
        <v>2</v>
      </c>
      <c r="P29" s="41" t="n">
        <v>7350</v>
      </c>
      <c r="Q29" s="42" t="n">
        <v>0</v>
      </c>
      <c r="R29" s="42" t="n">
        <v>0.2798</v>
      </c>
      <c r="S29" s="42" t="n">
        <v>0.7217</v>
      </c>
      <c r="T29" s="42" t="n">
        <v>0.6024</v>
      </c>
    </row>
    <row r="30">
      <c r="A30" s="18" t="inlineStr">
        <is>
          <t>ISCOM</t>
        </is>
      </c>
      <c r="B30" s="18" t="inlineStr">
        <is>
          <t>Lille</t>
        </is>
      </c>
      <c r="C30" s="18" t="inlineStr">
        <is>
          <t>Bachelor Communication</t>
        </is>
      </c>
      <c r="D30" s="18" t="inlineStr">
        <is>
          <t>BAC</t>
        </is>
      </c>
      <c r="E30" s="18" t="inlineStr">
        <is>
          <t>B2</t>
        </is>
      </c>
      <c r="F30" s="18" t="inlineStr">
        <is>
          <t>Alternance</t>
        </is>
      </c>
      <c r="G30" s="40" t="n">
        <v>0</v>
      </c>
      <c r="H30" s="40" t="n">
        <v>0</v>
      </c>
      <c r="I30" s="40" t="n">
        <v>0</v>
      </c>
      <c r="J30" s="40" t="n">
        <v>0</v>
      </c>
      <c r="K30" s="40" t="n">
        <v>0</v>
      </c>
      <c r="L30" s="40" t="n">
        <v>46</v>
      </c>
      <c r="M30" s="40" t="n">
        <v>46</v>
      </c>
      <c r="N30" s="40" t="n">
        <v>50</v>
      </c>
      <c r="O30" s="40" t="n">
        <v>2</v>
      </c>
      <c r="P30" s="41" t="n">
        <v>6860</v>
      </c>
      <c r="Q30" s="42" t="n">
        <v>0.93</v>
      </c>
      <c r="R30" s="42" t="n">
        <v>0</v>
      </c>
      <c r="S30" s="42" t="n">
        <v>0</v>
      </c>
      <c r="T30" s="42" t="n">
        <v>0</v>
      </c>
    </row>
    <row r="31">
      <c r="A31" s="18" t="inlineStr">
        <is>
          <t>ISCOM</t>
        </is>
      </c>
      <c r="B31" s="18" t="inlineStr">
        <is>
          <t>Lille</t>
        </is>
      </c>
      <c r="C31" s="18" t="inlineStr">
        <is>
          <t>Bachelor Communication</t>
        </is>
      </c>
      <c r="D31" s="18" t="inlineStr">
        <is>
          <t>BAC</t>
        </is>
      </c>
      <c r="E31" s="18" t="inlineStr">
        <is>
          <t>B3</t>
        </is>
      </c>
      <c r="F31" s="18" t="inlineStr">
        <is>
          <t>Alternance</t>
        </is>
      </c>
      <c r="G31" s="40" t="n">
        <v>0</v>
      </c>
      <c r="H31" s="40" t="n">
        <v>0</v>
      </c>
      <c r="I31" s="40" t="n">
        <v>0</v>
      </c>
      <c r="J31" s="40" t="n">
        <v>0</v>
      </c>
      <c r="K31" s="40" t="n">
        <v>0</v>
      </c>
      <c r="L31" s="40" t="n">
        <v>44</v>
      </c>
      <c r="M31" s="40" t="n">
        <v>44</v>
      </c>
      <c r="N31" s="40" t="n">
        <v>46</v>
      </c>
      <c r="O31" s="40" t="n">
        <v>2</v>
      </c>
      <c r="P31" s="41" t="n">
        <v>6860</v>
      </c>
      <c r="Q31" s="42" t="n">
        <v>0.95</v>
      </c>
      <c r="R31" s="42" t="n">
        <v>0</v>
      </c>
      <c r="S31" s="42" t="n">
        <v>0</v>
      </c>
      <c r="T31" s="42" t="n">
        <v>0</v>
      </c>
    </row>
    <row r="32">
      <c r="A32" s="18" t="inlineStr">
        <is>
          <t>ISCOM</t>
        </is>
      </c>
      <c r="B32" s="18" t="inlineStr">
        <is>
          <t>Lille</t>
        </is>
      </c>
      <c r="C32" s="18" t="inlineStr">
        <is>
          <t>Mastère Communication</t>
        </is>
      </c>
      <c r="D32" s="18" t="inlineStr">
        <is>
          <t>MAST</t>
        </is>
      </c>
      <c r="E32" s="18" t="inlineStr">
        <is>
          <t>M1</t>
        </is>
      </c>
      <c r="F32" s="18" t="inlineStr">
        <is>
          <t>Alternance</t>
        </is>
      </c>
      <c r="G32" s="40" t="n">
        <v>1</v>
      </c>
      <c r="H32" s="40" t="n">
        <v>850</v>
      </c>
      <c r="I32" s="40" t="n">
        <v>170</v>
      </c>
      <c r="J32" s="40" t="n">
        <v>119</v>
      </c>
      <c r="K32" s="40" t="n">
        <v>50</v>
      </c>
      <c r="L32" s="40" t="n">
        <v>0</v>
      </c>
      <c r="M32" s="40" t="n">
        <v>50</v>
      </c>
      <c r="N32" s="40" t="n">
        <v>0</v>
      </c>
      <c r="O32" s="40" t="n">
        <v>2</v>
      </c>
      <c r="P32" s="41" t="n">
        <v>7350</v>
      </c>
      <c r="Q32" s="42" t="n">
        <v>0</v>
      </c>
      <c r="R32" s="42" t="n">
        <v>0.2</v>
      </c>
      <c r="S32" s="42" t="n">
        <v>0.7</v>
      </c>
      <c r="T32" s="42" t="n">
        <v>0.4202</v>
      </c>
    </row>
    <row r="33">
      <c r="A33" s="18" t="inlineStr">
        <is>
          <t>ISCOM</t>
        </is>
      </c>
      <c r="B33" s="18" t="inlineStr">
        <is>
          <t>Lille</t>
        </is>
      </c>
      <c r="C33" s="18" t="inlineStr">
        <is>
          <t>Mastère Communication</t>
        </is>
      </c>
      <c r="D33" s="18" t="inlineStr">
        <is>
          <t>MAST</t>
        </is>
      </c>
      <c r="E33" s="18" t="inlineStr">
        <is>
          <t>M2</t>
        </is>
      </c>
      <c r="F33" s="18" t="inlineStr">
        <is>
          <t>Alternance</t>
        </is>
      </c>
      <c r="G33" s="40" t="n">
        <v>0</v>
      </c>
      <c r="H33" s="40" t="n">
        <v>0</v>
      </c>
      <c r="I33" s="40" t="n">
        <v>0</v>
      </c>
      <c r="J33" s="40" t="n">
        <v>0</v>
      </c>
      <c r="K33" s="40" t="n">
        <v>0</v>
      </c>
      <c r="L33" s="40" t="n">
        <v>48</v>
      </c>
      <c r="M33" s="40" t="n">
        <v>48</v>
      </c>
      <c r="N33" s="40" t="n">
        <v>50</v>
      </c>
      <c r="O33" s="40" t="n">
        <v>2</v>
      </c>
      <c r="P33" s="41" t="n">
        <v>7350</v>
      </c>
      <c r="Q33" s="42" t="n">
        <v>0.96</v>
      </c>
      <c r="R33" s="42" t="n">
        <v>0</v>
      </c>
      <c r="S33" s="42" t="n">
        <v>0</v>
      </c>
      <c r="T33" s="42" t="n">
        <v>0</v>
      </c>
    </row>
    <row r="34">
      <c r="A34" s="18" t="inlineStr">
        <is>
          <t>ISCOM</t>
        </is>
      </c>
      <c r="B34" s="18" t="inlineStr">
        <is>
          <t>Toulouse</t>
        </is>
      </c>
      <c r="C34" s="18" t="inlineStr">
        <is>
          <t>Bachelor Communication</t>
        </is>
      </c>
      <c r="D34" s="18" t="inlineStr">
        <is>
          <t>BAC</t>
        </is>
      </c>
      <c r="E34" s="18" t="inlineStr">
        <is>
          <t>B1</t>
        </is>
      </c>
      <c r="F34" s="18" t="inlineStr">
        <is>
          <t>Initial</t>
        </is>
      </c>
      <c r="G34" s="40" t="n">
        <v>1</v>
      </c>
      <c r="H34" s="40" t="n">
        <v>386</v>
      </c>
      <c r="I34" s="40" t="n">
        <v>108</v>
      </c>
      <c r="J34" s="40" t="n">
        <v>78</v>
      </c>
      <c r="K34" s="40" t="n">
        <v>47</v>
      </c>
      <c r="L34" s="40" t="n">
        <v>0</v>
      </c>
      <c r="M34" s="40" t="n">
        <v>47</v>
      </c>
      <c r="N34" s="40" t="n">
        <v>0</v>
      </c>
      <c r="O34" s="40" t="n">
        <v>2</v>
      </c>
      <c r="P34" s="41" t="n">
        <v>7200</v>
      </c>
      <c r="Q34" s="42" t="n">
        <v>0</v>
      </c>
      <c r="R34" s="42" t="n">
        <v>0.2798</v>
      </c>
      <c r="S34" s="42" t="n">
        <v>0.7222</v>
      </c>
      <c r="T34" s="42" t="n">
        <v>0.6026</v>
      </c>
    </row>
    <row r="35">
      <c r="A35" s="18" t="inlineStr">
        <is>
          <t>ISCOM</t>
        </is>
      </c>
      <c r="B35" s="18" t="inlineStr">
        <is>
          <t>Toulouse</t>
        </is>
      </c>
      <c r="C35" s="18" t="inlineStr">
        <is>
          <t>Bachelor Communication</t>
        </is>
      </c>
      <c r="D35" s="18" t="inlineStr">
        <is>
          <t>BAC</t>
        </is>
      </c>
      <c r="E35" s="18" t="inlineStr">
        <is>
          <t>B2</t>
        </is>
      </c>
      <c r="F35" s="18" t="inlineStr">
        <is>
          <t>Alternance</t>
        </is>
      </c>
      <c r="G35" s="40" t="n">
        <v>0</v>
      </c>
      <c r="H35" s="40" t="n">
        <v>0</v>
      </c>
      <c r="I35" s="40" t="n">
        <v>0</v>
      </c>
      <c r="J35" s="40" t="n">
        <v>0</v>
      </c>
      <c r="K35" s="40" t="n">
        <v>0</v>
      </c>
      <c r="L35" s="40" t="n">
        <v>44</v>
      </c>
      <c r="M35" s="40" t="n">
        <v>44</v>
      </c>
      <c r="N35" s="40" t="n">
        <v>47</v>
      </c>
      <c r="O35" s="40" t="n">
        <v>2</v>
      </c>
      <c r="P35" s="41" t="n">
        <v>6720</v>
      </c>
      <c r="Q35" s="42" t="n">
        <v>0.93</v>
      </c>
      <c r="R35" s="42" t="n">
        <v>0</v>
      </c>
      <c r="S35" s="42" t="n">
        <v>0</v>
      </c>
      <c r="T35" s="42" t="n">
        <v>0</v>
      </c>
    </row>
    <row r="36">
      <c r="A36" s="18" t="inlineStr">
        <is>
          <t>ISCOM</t>
        </is>
      </c>
      <c r="B36" s="18" t="inlineStr">
        <is>
          <t>Toulouse</t>
        </is>
      </c>
      <c r="C36" s="18" t="inlineStr">
        <is>
          <t>Bachelor Communication</t>
        </is>
      </c>
      <c r="D36" s="18" t="inlineStr">
        <is>
          <t>BAC</t>
        </is>
      </c>
      <c r="E36" s="18" t="inlineStr">
        <is>
          <t>B3</t>
        </is>
      </c>
      <c r="F36" s="18" t="inlineStr">
        <is>
          <t>Alternance</t>
        </is>
      </c>
      <c r="G36" s="40" t="n">
        <v>0</v>
      </c>
      <c r="H36" s="40" t="n">
        <v>0</v>
      </c>
      <c r="I36" s="40" t="n">
        <v>0</v>
      </c>
      <c r="J36" s="40" t="n">
        <v>0</v>
      </c>
      <c r="K36" s="40" t="n">
        <v>0</v>
      </c>
      <c r="L36" s="40" t="n">
        <v>42</v>
      </c>
      <c r="M36" s="40" t="n">
        <v>42</v>
      </c>
      <c r="N36" s="40" t="n">
        <v>44</v>
      </c>
      <c r="O36" s="40" t="n">
        <v>2</v>
      </c>
      <c r="P36" s="41" t="n">
        <v>6720</v>
      </c>
      <c r="Q36" s="42" t="n">
        <v>0.95</v>
      </c>
      <c r="R36" s="42" t="n">
        <v>0</v>
      </c>
      <c r="S36" s="42" t="n">
        <v>0</v>
      </c>
      <c r="T36" s="42" t="n">
        <v>0</v>
      </c>
    </row>
    <row r="37">
      <c r="A37" s="18" t="inlineStr">
        <is>
          <t>ISCOM</t>
        </is>
      </c>
      <c r="B37" s="18" t="inlineStr">
        <is>
          <t>Toulouse</t>
        </is>
      </c>
      <c r="C37" s="18" t="inlineStr">
        <is>
          <t>Mastère Communication</t>
        </is>
      </c>
      <c r="D37" s="18" t="inlineStr">
        <is>
          <t>MAST</t>
        </is>
      </c>
      <c r="E37" s="18" t="inlineStr">
        <is>
          <t>M1</t>
        </is>
      </c>
      <c r="F37" s="18" t="inlineStr">
        <is>
          <t>Alternance</t>
        </is>
      </c>
      <c r="G37" s="40" t="n">
        <v>1</v>
      </c>
      <c r="H37" s="40" t="n">
        <v>800</v>
      </c>
      <c r="I37" s="40" t="n">
        <v>160</v>
      </c>
      <c r="J37" s="40" t="n">
        <v>112</v>
      </c>
      <c r="K37" s="40" t="n">
        <v>47</v>
      </c>
      <c r="L37" s="40" t="n">
        <v>0</v>
      </c>
      <c r="M37" s="40" t="n">
        <v>47</v>
      </c>
      <c r="N37" s="40" t="n">
        <v>0</v>
      </c>
      <c r="O37" s="40" t="n">
        <v>2</v>
      </c>
      <c r="P37" s="41" t="n">
        <v>7200</v>
      </c>
      <c r="Q37" s="42" t="n">
        <v>0</v>
      </c>
      <c r="R37" s="42" t="n">
        <v>0.2</v>
      </c>
      <c r="S37" s="42" t="n">
        <v>0.7</v>
      </c>
      <c r="T37" s="42" t="n">
        <v>0.4196</v>
      </c>
    </row>
    <row r="38">
      <c r="A38" s="18" t="inlineStr">
        <is>
          <t>ISCOM</t>
        </is>
      </c>
      <c r="B38" s="18" t="inlineStr">
        <is>
          <t>Toulouse</t>
        </is>
      </c>
      <c r="C38" s="18" t="inlineStr">
        <is>
          <t>Mastère Communication</t>
        </is>
      </c>
      <c r="D38" s="18" t="inlineStr">
        <is>
          <t>MAST</t>
        </is>
      </c>
      <c r="E38" s="18" t="inlineStr">
        <is>
          <t>M2</t>
        </is>
      </c>
      <c r="F38" s="18" t="inlineStr">
        <is>
          <t>Alternance</t>
        </is>
      </c>
      <c r="G38" s="40" t="n">
        <v>0</v>
      </c>
      <c r="H38" s="40" t="n">
        <v>0</v>
      </c>
      <c r="I38" s="40" t="n">
        <v>0</v>
      </c>
      <c r="J38" s="40" t="n">
        <v>0</v>
      </c>
      <c r="K38" s="40" t="n">
        <v>0</v>
      </c>
      <c r="L38" s="40" t="n">
        <v>45</v>
      </c>
      <c r="M38" s="40" t="n">
        <v>45</v>
      </c>
      <c r="N38" s="40" t="n">
        <v>47</v>
      </c>
      <c r="O38" s="40" t="n">
        <v>2</v>
      </c>
      <c r="P38" s="41" t="n">
        <v>7200</v>
      </c>
      <c r="Q38" s="42" t="n">
        <v>0.96</v>
      </c>
      <c r="R38" s="42" t="n">
        <v>0</v>
      </c>
      <c r="S38" s="42" t="n">
        <v>0</v>
      </c>
      <c r="T38" s="42" t="n">
        <v>0</v>
      </c>
    </row>
    <row r="39">
      <c r="A39" s="18" t="inlineStr">
        <is>
          <t>Ipac Bachelor Factory</t>
        </is>
      </c>
      <c r="B39" s="18" t="inlineStr">
        <is>
          <t>Nantes</t>
        </is>
      </c>
      <c r="C39" s="18" t="inlineStr">
        <is>
          <t>Bachelor Commerce</t>
        </is>
      </c>
      <c r="D39" s="18" t="inlineStr">
        <is>
          <t>BAC</t>
        </is>
      </c>
      <c r="E39" s="18" t="inlineStr">
        <is>
          <t>B1</t>
        </is>
      </c>
      <c r="F39" s="18" t="inlineStr">
        <is>
          <t>Alternance</t>
        </is>
      </c>
      <c r="G39" s="40" t="n">
        <v>1</v>
      </c>
      <c r="H39" s="40" t="n">
        <v>850</v>
      </c>
      <c r="I39" s="40" t="n">
        <v>170</v>
      </c>
      <c r="J39" s="40" t="n">
        <v>119</v>
      </c>
      <c r="K39" s="40" t="n">
        <v>50</v>
      </c>
      <c r="L39" s="40" t="n">
        <v>0</v>
      </c>
      <c r="M39" s="40" t="n">
        <v>50</v>
      </c>
      <c r="N39" s="40" t="n">
        <v>0</v>
      </c>
      <c r="O39" s="40" t="n">
        <v>2</v>
      </c>
      <c r="P39" s="41" t="n">
        <v>7000</v>
      </c>
      <c r="Q39" s="42" t="n">
        <v>0</v>
      </c>
      <c r="R39" s="42" t="n">
        <v>0.2</v>
      </c>
      <c r="S39" s="42" t="n">
        <v>0.7</v>
      </c>
      <c r="T39" s="42" t="n">
        <v>0.4202</v>
      </c>
    </row>
    <row r="40">
      <c r="A40" s="18" t="inlineStr">
        <is>
          <t>Ipac Bachelor Factory</t>
        </is>
      </c>
      <c r="B40" s="18" t="inlineStr">
        <is>
          <t>Nantes</t>
        </is>
      </c>
      <c r="C40" s="18" t="inlineStr">
        <is>
          <t>Bachelor Commerce</t>
        </is>
      </c>
      <c r="D40" s="18" t="inlineStr">
        <is>
          <t>BAC</t>
        </is>
      </c>
      <c r="E40" s="18" t="inlineStr">
        <is>
          <t>B2</t>
        </is>
      </c>
      <c r="F40" s="18" t="inlineStr">
        <is>
          <t>Alternance</t>
        </is>
      </c>
      <c r="G40" s="40" t="n">
        <v>0</v>
      </c>
      <c r="H40" s="40" t="n">
        <v>0</v>
      </c>
      <c r="I40" s="40" t="n">
        <v>0</v>
      </c>
      <c r="J40" s="40" t="n">
        <v>0</v>
      </c>
      <c r="K40" s="40" t="n">
        <v>0</v>
      </c>
      <c r="L40" s="40" t="n">
        <v>46</v>
      </c>
      <c r="M40" s="40" t="n">
        <v>46</v>
      </c>
      <c r="N40" s="40" t="n">
        <v>50</v>
      </c>
      <c r="O40" s="40" t="n">
        <v>2</v>
      </c>
      <c r="P40" s="41" t="n">
        <v>7000</v>
      </c>
      <c r="Q40" s="42" t="n">
        <v>0.93</v>
      </c>
      <c r="R40" s="42" t="n">
        <v>0</v>
      </c>
      <c r="S40" s="42" t="n">
        <v>0</v>
      </c>
      <c r="T40" s="42" t="n">
        <v>0</v>
      </c>
    </row>
    <row r="41">
      <c r="A41" s="18" t="inlineStr">
        <is>
          <t>Ipac Bachelor Factory</t>
        </is>
      </c>
      <c r="B41" s="18" t="inlineStr">
        <is>
          <t>Nantes</t>
        </is>
      </c>
      <c r="C41" s="18" t="inlineStr">
        <is>
          <t>Bachelor Commerce</t>
        </is>
      </c>
      <c r="D41" s="18" t="inlineStr">
        <is>
          <t>BAC</t>
        </is>
      </c>
      <c r="E41" s="18" t="inlineStr">
        <is>
          <t>B3</t>
        </is>
      </c>
      <c r="F41" s="18" t="inlineStr">
        <is>
          <t>Alternance</t>
        </is>
      </c>
      <c r="G41" s="40" t="n">
        <v>0</v>
      </c>
      <c r="H41" s="40" t="n">
        <v>0</v>
      </c>
      <c r="I41" s="40" t="n">
        <v>0</v>
      </c>
      <c r="J41" s="40" t="n">
        <v>0</v>
      </c>
      <c r="K41" s="40" t="n">
        <v>0</v>
      </c>
      <c r="L41" s="40" t="n">
        <v>44</v>
      </c>
      <c r="M41" s="40" t="n">
        <v>44</v>
      </c>
      <c r="N41" s="40" t="n">
        <v>46</v>
      </c>
      <c r="O41" s="40" t="n">
        <v>2</v>
      </c>
      <c r="P41" s="41" t="n">
        <v>7000</v>
      </c>
      <c r="Q41" s="42" t="n">
        <v>0.95</v>
      </c>
      <c r="R41" s="42" t="n">
        <v>0</v>
      </c>
      <c r="S41" s="42" t="n">
        <v>0</v>
      </c>
      <c r="T41" s="42" t="n">
        <v>0</v>
      </c>
    </row>
    <row r="42">
      <c r="A42" s="18" t="inlineStr">
        <is>
          <t>Ipac Bachelor Factory</t>
        </is>
      </c>
      <c r="B42" s="18" t="inlineStr">
        <is>
          <t>Rennes</t>
        </is>
      </c>
      <c r="C42" s="18" t="inlineStr">
        <is>
          <t>Bachelor Commerce</t>
        </is>
      </c>
      <c r="D42" s="18" t="inlineStr">
        <is>
          <t>BAC</t>
        </is>
      </c>
      <c r="E42" s="18" t="inlineStr">
        <is>
          <t>B1</t>
        </is>
      </c>
      <c r="F42" s="18" t="inlineStr">
        <is>
          <t>Alternance</t>
        </is>
      </c>
      <c r="G42" s="40" t="n">
        <v>1</v>
      </c>
      <c r="H42" s="40" t="n">
        <v>680</v>
      </c>
      <c r="I42" s="40" t="n">
        <v>136</v>
      </c>
      <c r="J42" s="40" t="n">
        <v>95</v>
      </c>
      <c r="K42" s="40" t="n">
        <v>40</v>
      </c>
      <c r="L42" s="40" t="n">
        <v>0</v>
      </c>
      <c r="M42" s="40" t="n">
        <v>40</v>
      </c>
      <c r="N42" s="40" t="n">
        <v>0</v>
      </c>
      <c r="O42" s="40" t="n">
        <v>2</v>
      </c>
      <c r="P42" s="41" t="n">
        <v>6650</v>
      </c>
      <c r="Q42" s="42" t="n">
        <v>0</v>
      </c>
      <c r="R42" s="42" t="n">
        <v>0.2</v>
      </c>
      <c r="S42" s="42" t="n">
        <v>0.6985</v>
      </c>
      <c r="T42" s="42" t="n">
        <v>0.4211</v>
      </c>
    </row>
    <row r="43">
      <c r="A43" s="18" t="inlineStr">
        <is>
          <t>Ipac Bachelor Factory</t>
        </is>
      </c>
      <c r="B43" s="18" t="inlineStr">
        <is>
          <t>Rennes</t>
        </is>
      </c>
      <c r="C43" s="18" t="inlineStr">
        <is>
          <t>Bachelor Commerce</t>
        </is>
      </c>
      <c r="D43" s="18" t="inlineStr">
        <is>
          <t>BAC</t>
        </is>
      </c>
      <c r="E43" s="18" t="inlineStr">
        <is>
          <t>B2</t>
        </is>
      </c>
      <c r="F43" s="18" t="inlineStr">
        <is>
          <t>Alternance</t>
        </is>
      </c>
      <c r="G43" s="40" t="n">
        <v>0</v>
      </c>
      <c r="H43" s="40" t="n">
        <v>0</v>
      </c>
      <c r="I43" s="40" t="n">
        <v>0</v>
      </c>
      <c r="J43" s="40" t="n">
        <v>0</v>
      </c>
      <c r="K43" s="40" t="n">
        <v>0</v>
      </c>
      <c r="L43" s="40" t="n">
        <v>37</v>
      </c>
      <c r="M43" s="40" t="n">
        <v>37</v>
      </c>
      <c r="N43" s="40" t="n">
        <v>40</v>
      </c>
      <c r="O43" s="40" t="n">
        <v>2</v>
      </c>
      <c r="P43" s="41" t="n">
        <v>6650</v>
      </c>
      <c r="Q43" s="42" t="n">
        <v>0.93</v>
      </c>
      <c r="R43" s="42" t="n">
        <v>0</v>
      </c>
      <c r="S43" s="42" t="n">
        <v>0</v>
      </c>
      <c r="T43" s="42" t="n">
        <v>0</v>
      </c>
    </row>
    <row r="44">
      <c r="A44" s="18" t="inlineStr">
        <is>
          <t>Ipac Bachelor Factory</t>
        </is>
      </c>
      <c r="B44" s="18" t="inlineStr">
        <is>
          <t>Rennes</t>
        </is>
      </c>
      <c r="C44" s="18" t="inlineStr">
        <is>
          <t>Bachelor Commerce</t>
        </is>
      </c>
      <c r="D44" s="18" t="inlineStr">
        <is>
          <t>BAC</t>
        </is>
      </c>
      <c r="E44" s="18" t="inlineStr">
        <is>
          <t>B3</t>
        </is>
      </c>
      <c r="F44" s="18" t="inlineStr">
        <is>
          <t>Alternance</t>
        </is>
      </c>
      <c r="G44" s="40" t="n">
        <v>0</v>
      </c>
      <c r="H44" s="40" t="n">
        <v>0</v>
      </c>
      <c r="I44" s="40" t="n">
        <v>0</v>
      </c>
      <c r="J44" s="40" t="n">
        <v>0</v>
      </c>
      <c r="K44" s="40" t="n">
        <v>0</v>
      </c>
      <c r="L44" s="40" t="n">
        <v>35</v>
      </c>
      <c r="M44" s="40" t="n">
        <v>35</v>
      </c>
      <c r="N44" s="40" t="n">
        <v>37</v>
      </c>
      <c r="O44" s="40" t="n">
        <v>2</v>
      </c>
      <c r="P44" s="41" t="n">
        <v>6650</v>
      </c>
      <c r="Q44" s="42" t="n">
        <v>0.95</v>
      </c>
      <c r="R44" s="42" t="n">
        <v>0</v>
      </c>
      <c r="S44" s="42" t="n">
        <v>0</v>
      </c>
      <c r="T44" s="42" t="n">
        <v>0</v>
      </c>
    </row>
    <row r="45">
      <c r="A45" s="18" t="inlineStr">
        <is>
          <t>Ipac Bachelor Factory</t>
        </is>
      </c>
      <c r="B45" s="18" t="inlineStr">
        <is>
          <t>Montpellier</t>
        </is>
      </c>
      <c r="C45" s="18" t="inlineStr">
        <is>
          <t>Bachelor Commerce</t>
        </is>
      </c>
      <c r="D45" s="18" t="inlineStr">
        <is>
          <t>BAC</t>
        </is>
      </c>
      <c r="E45" s="18" t="inlineStr">
        <is>
          <t>B1</t>
        </is>
      </c>
      <c r="F45" s="18" t="inlineStr">
        <is>
          <t>Alternance</t>
        </is>
      </c>
      <c r="G45" s="40" t="n">
        <v>1</v>
      </c>
      <c r="H45" s="40" t="n">
        <v>680</v>
      </c>
      <c r="I45" s="40" t="n">
        <v>136</v>
      </c>
      <c r="J45" s="40" t="n">
        <v>95</v>
      </c>
      <c r="K45" s="40" t="n">
        <v>40</v>
      </c>
      <c r="L45" s="40" t="n">
        <v>0</v>
      </c>
      <c r="M45" s="40" t="n">
        <v>40</v>
      </c>
      <c r="N45" s="40" t="n">
        <v>0</v>
      </c>
      <c r="O45" s="40" t="n">
        <v>2</v>
      </c>
      <c r="P45" s="41" t="n">
        <v>6650</v>
      </c>
      <c r="Q45" s="42" t="n">
        <v>0</v>
      </c>
      <c r="R45" s="42" t="n">
        <v>0.2</v>
      </c>
      <c r="S45" s="42" t="n">
        <v>0.6985</v>
      </c>
      <c r="T45" s="42" t="n">
        <v>0.4211</v>
      </c>
    </row>
    <row r="46">
      <c r="A46" s="18" t="inlineStr">
        <is>
          <t>Ipac Bachelor Factory</t>
        </is>
      </c>
      <c r="B46" s="18" t="inlineStr">
        <is>
          <t>Montpellier</t>
        </is>
      </c>
      <c r="C46" s="18" t="inlineStr">
        <is>
          <t>Bachelor Commerce</t>
        </is>
      </c>
      <c r="D46" s="18" t="inlineStr">
        <is>
          <t>BAC</t>
        </is>
      </c>
      <c r="E46" s="18" t="inlineStr">
        <is>
          <t>B2</t>
        </is>
      </c>
      <c r="F46" s="18" t="inlineStr">
        <is>
          <t>Alternance</t>
        </is>
      </c>
      <c r="G46" s="40" t="n">
        <v>0</v>
      </c>
      <c r="H46" s="40" t="n">
        <v>0</v>
      </c>
      <c r="I46" s="40" t="n">
        <v>0</v>
      </c>
      <c r="J46" s="40" t="n">
        <v>0</v>
      </c>
      <c r="K46" s="40" t="n">
        <v>0</v>
      </c>
      <c r="L46" s="40" t="n">
        <v>37</v>
      </c>
      <c r="M46" s="40" t="n">
        <v>37</v>
      </c>
      <c r="N46" s="40" t="n">
        <v>40</v>
      </c>
      <c r="O46" s="40" t="n">
        <v>2</v>
      </c>
      <c r="P46" s="41" t="n">
        <v>6650</v>
      </c>
      <c r="Q46" s="42" t="n">
        <v>0.93</v>
      </c>
      <c r="R46" s="42" t="n">
        <v>0</v>
      </c>
      <c r="S46" s="42" t="n">
        <v>0</v>
      </c>
      <c r="T46" s="42" t="n">
        <v>0</v>
      </c>
    </row>
    <row r="47">
      <c r="A47" s="18" t="inlineStr">
        <is>
          <t>Ipac Bachelor Factory</t>
        </is>
      </c>
      <c r="B47" s="18" t="inlineStr">
        <is>
          <t>Montpellier</t>
        </is>
      </c>
      <c r="C47" s="18" t="inlineStr">
        <is>
          <t>Bachelor Commerce</t>
        </is>
      </c>
      <c r="D47" s="18" t="inlineStr">
        <is>
          <t>BAC</t>
        </is>
      </c>
      <c r="E47" s="18" t="inlineStr">
        <is>
          <t>B3</t>
        </is>
      </c>
      <c r="F47" s="18" t="inlineStr">
        <is>
          <t>Alternance</t>
        </is>
      </c>
      <c r="G47" s="40" t="n">
        <v>0</v>
      </c>
      <c r="H47" s="40" t="n">
        <v>0</v>
      </c>
      <c r="I47" s="40" t="n">
        <v>0</v>
      </c>
      <c r="J47" s="40" t="n">
        <v>0</v>
      </c>
      <c r="K47" s="40" t="n">
        <v>0</v>
      </c>
      <c r="L47" s="40" t="n">
        <v>35</v>
      </c>
      <c r="M47" s="40" t="n">
        <v>35</v>
      </c>
      <c r="N47" s="40" t="n">
        <v>37</v>
      </c>
      <c r="O47" s="40" t="n">
        <v>2</v>
      </c>
      <c r="P47" s="41" t="n">
        <v>6650</v>
      </c>
      <c r="Q47" s="42" t="n">
        <v>0.95</v>
      </c>
      <c r="R47" s="42" t="n">
        <v>0</v>
      </c>
      <c r="S47" s="42" t="n">
        <v>0</v>
      </c>
      <c r="T47" s="42" t="n">
        <v>0</v>
      </c>
    </row>
    <row r="48">
      <c r="A48" s="18" t="inlineStr">
        <is>
          <t>Pigier</t>
        </is>
      </c>
      <c r="B48" s="18" t="inlineStr">
        <is>
          <t>Lyon</t>
        </is>
      </c>
      <c r="C48" s="18" t="inlineStr">
        <is>
          <t>BTS Gestion</t>
        </is>
      </c>
      <c r="D48" s="18" t="inlineStr">
        <is>
          <t>BTS</t>
        </is>
      </c>
      <c r="E48" s="18" t="inlineStr">
        <is>
          <t>1</t>
        </is>
      </c>
      <c r="F48" s="18" t="inlineStr">
        <is>
          <t>Alternance</t>
        </is>
      </c>
      <c r="G48" s="40" t="n">
        <v>1</v>
      </c>
      <c r="H48" s="40" t="n">
        <v>785</v>
      </c>
      <c r="I48" s="40" t="n">
        <v>157</v>
      </c>
      <c r="J48" s="40" t="n">
        <v>110</v>
      </c>
      <c r="K48" s="40" t="n">
        <v>46</v>
      </c>
      <c r="L48" s="40" t="n">
        <v>0</v>
      </c>
      <c r="M48" s="40" t="n">
        <v>46</v>
      </c>
      <c r="N48" s="40" t="n">
        <v>0</v>
      </c>
      <c r="O48" s="40" t="n">
        <v>2</v>
      </c>
      <c r="P48" s="41" t="n">
        <v>6300</v>
      </c>
      <c r="Q48" s="42" t="n">
        <v>0</v>
      </c>
      <c r="R48" s="42" t="n">
        <v>0.2</v>
      </c>
      <c r="S48" s="42" t="n">
        <v>0.7006</v>
      </c>
      <c r="T48" s="42" t="n">
        <v>0.4182</v>
      </c>
    </row>
    <row r="49">
      <c r="A49" s="18" t="inlineStr">
        <is>
          <t>Pigier</t>
        </is>
      </c>
      <c r="B49" s="18" t="inlineStr">
        <is>
          <t>Lyon</t>
        </is>
      </c>
      <c r="C49" s="18" t="inlineStr">
        <is>
          <t>BTS Gestion</t>
        </is>
      </c>
      <c r="D49" s="18" t="inlineStr">
        <is>
          <t>BTS</t>
        </is>
      </c>
      <c r="E49" s="18" t="inlineStr">
        <is>
          <t>2</t>
        </is>
      </c>
      <c r="F49" s="18" t="inlineStr">
        <is>
          <t>Alternance</t>
        </is>
      </c>
      <c r="G49" s="40" t="n">
        <v>0</v>
      </c>
      <c r="H49" s="40" t="n">
        <v>0</v>
      </c>
      <c r="I49" s="40" t="n">
        <v>0</v>
      </c>
      <c r="J49" s="40" t="n">
        <v>0</v>
      </c>
      <c r="K49" s="40" t="n">
        <v>0</v>
      </c>
      <c r="L49" s="40" t="n">
        <v>43</v>
      </c>
      <c r="M49" s="40" t="n">
        <v>43</v>
      </c>
      <c r="N49" s="40" t="n">
        <v>46</v>
      </c>
      <c r="O49" s="40" t="n">
        <v>2</v>
      </c>
      <c r="P49" s="41" t="n">
        <v>6300</v>
      </c>
      <c r="Q49" s="42" t="n">
        <v>0.9399999999999999</v>
      </c>
      <c r="R49" s="42" t="n">
        <v>0</v>
      </c>
      <c r="S49" s="42" t="n">
        <v>0</v>
      </c>
      <c r="T49" s="42" t="n">
        <v>0</v>
      </c>
    </row>
    <row r="50">
      <c r="A50" s="18" t="inlineStr">
        <is>
          <t>Pigier</t>
        </is>
      </c>
      <c r="B50" s="18" t="inlineStr">
        <is>
          <t>Lyon</t>
        </is>
      </c>
      <c r="C50" s="18" t="inlineStr">
        <is>
          <t>Bachelor RH</t>
        </is>
      </c>
      <c r="D50" s="18" t="inlineStr">
        <is>
          <t>BAC</t>
        </is>
      </c>
      <c r="E50" s="18" t="inlineStr">
        <is>
          <t>B1</t>
        </is>
      </c>
      <c r="F50" s="18" t="inlineStr">
        <is>
          <t>Alternance</t>
        </is>
      </c>
      <c r="G50" s="40" t="n">
        <v>1</v>
      </c>
      <c r="H50" s="40" t="n">
        <v>785</v>
      </c>
      <c r="I50" s="40" t="n">
        <v>157</v>
      </c>
      <c r="J50" s="40" t="n">
        <v>110</v>
      </c>
      <c r="K50" s="40" t="n">
        <v>46</v>
      </c>
      <c r="L50" s="40" t="n">
        <v>0</v>
      </c>
      <c r="M50" s="40" t="n">
        <v>46</v>
      </c>
      <c r="N50" s="40" t="n">
        <v>0</v>
      </c>
      <c r="O50" s="40" t="n">
        <v>2</v>
      </c>
      <c r="P50" s="41" t="n">
        <v>7350</v>
      </c>
      <c r="Q50" s="42" t="n">
        <v>0</v>
      </c>
      <c r="R50" s="42" t="n">
        <v>0.2</v>
      </c>
      <c r="S50" s="42" t="n">
        <v>0.7006</v>
      </c>
      <c r="T50" s="42" t="n">
        <v>0.4182</v>
      </c>
    </row>
    <row r="51">
      <c r="A51" s="18" t="inlineStr">
        <is>
          <t>Pigier</t>
        </is>
      </c>
      <c r="B51" s="18" t="inlineStr">
        <is>
          <t>Lyon</t>
        </is>
      </c>
      <c r="C51" s="18" t="inlineStr">
        <is>
          <t>Bachelor RH</t>
        </is>
      </c>
      <c r="D51" s="18" t="inlineStr">
        <is>
          <t>BAC</t>
        </is>
      </c>
      <c r="E51" s="18" t="inlineStr">
        <is>
          <t>B3</t>
        </is>
      </c>
      <c r="F51" s="18" t="inlineStr">
        <is>
          <t>Alternance</t>
        </is>
      </c>
      <c r="G51" s="40" t="n">
        <v>0</v>
      </c>
      <c r="H51" s="40" t="n">
        <v>0</v>
      </c>
      <c r="I51" s="40" t="n">
        <v>0</v>
      </c>
      <c r="J51" s="40" t="n">
        <v>0</v>
      </c>
      <c r="K51" s="40" t="n">
        <v>0</v>
      </c>
      <c r="L51" s="40" t="n">
        <v>44</v>
      </c>
      <c r="M51" s="40" t="n">
        <v>44</v>
      </c>
      <c r="N51" s="40" t="n">
        <v>46</v>
      </c>
      <c r="O51" s="40" t="n">
        <v>2</v>
      </c>
      <c r="P51" s="41" t="n">
        <v>7350</v>
      </c>
      <c r="Q51" s="42" t="n">
        <v>0.95</v>
      </c>
      <c r="R51" s="42" t="n">
        <v>0</v>
      </c>
      <c r="S51" s="42" t="n">
        <v>0</v>
      </c>
      <c r="T51" s="42" t="n">
        <v>0</v>
      </c>
    </row>
    <row r="52">
      <c r="A52" s="18" t="inlineStr">
        <is>
          <t>Pigier</t>
        </is>
      </c>
      <c r="B52" s="18" t="inlineStr">
        <is>
          <t>Bordeaux</t>
        </is>
      </c>
      <c r="C52" s="18" t="inlineStr">
        <is>
          <t>BTS Gestion</t>
        </is>
      </c>
      <c r="D52" s="18" t="inlineStr">
        <is>
          <t>BTS</t>
        </is>
      </c>
      <c r="E52" s="18" t="inlineStr">
        <is>
          <t>1</t>
        </is>
      </c>
      <c r="F52" s="18" t="inlineStr">
        <is>
          <t>Alternance</t>
        </is>
      </c>
      <c r="G52" s="40" t="n">
        <v>1</v>
      </c>
      <c r="H52" s="40" t="n">
        <v>615</v>
      </c>
      <c r="I52" s="40" t="n">
        <v>123</v>
      </c>
      <c r="J52" s="40" t="n">
        <v>86</v>
      </c>
      <c r="K52" s="40" t="n">
        <v>36</v>
      </c>
      <c r="L52" s="40" t="n">
        <v>0</v>
      </c>
      <c r="M52" s="40" t="n">
        <v>36</v>
      </c>
      <c r="N52" s="40" t="n">
        <v>0</v>
      </c>
      <c r="O52" s="40" t="n">
        <v>2</v>
      </c>
      <c r="P52" s="41" t="n">
        <v>5820</v>
      </c>
      <c r="Q52" s="42" t="n">
        <v>0</v>
      </c>
      <c r="R52" s="42" t="n">
        <v>0.2</v>
      </c>
      <c r="S52" s="42" t="n">
        <v>0.6992</v>
      </c>
      <c r="T52" s="42" t="n">
        <v>0.4186</v>
      </c>
    </row>
    <row r="53">
      <c r="A53" s="18" t="inlineStr">
        <is>
          <t>Pigier</t>
        </is>
      </c>
      <c r="B53" s="18" t="inlineStr">
        <is>
          <t>Bordeaux</t>
        </is>
      </c>
      <c r="C53" s="18" t="inlineStr">
        <is>
          <t>BTS Gestion</t>
        </is>
      </c>
      <c r="D53" s="18" t="inlineStr">
        <is>
          <t>BTS</t>
        </is>
      </c>
      <c r="E53" s="18" t="inlineStr">
        <is>
          <t>2</t>
        </is>
      </c>
      <c r="F53" s="18" t="inlineStr">
        <is>
          <t>Alternance</t>
        </is>
      </c>
      <c r="G53" s="40" t="n">
        <v>0</v>
      </c>
      <c r="H53" s="40" t="n">
        <v>0</v>
      </c>
      <c r="I53" s="40" t="n">
        <v>0</v>
      </c>
      <c r="J53" s="40" t="n">
        <v>0</v>
      </c>
      <c r="K53" s="40" t="n">
        <v>0</v>
      </c>
      <c r="L53" s="40" t="n">
        <v>34</v>
      </c>
      <c r="M53" s="40" t="n">
        <v>34</v>
      </c>
      <c r="N53" s="40" t="n">
        <v>36</v>
      </c>
      <c r="O53" s="40" t="n">
        <v>2</v>
      </c>
      <c r="P53" s="41" t="n">
        <v>5820</v>
      </c>
      <c r="Q53" s="42" t="n">
        <v>0.9399999999999999</v>
      </c>
      <c r="R53" s="42" t="n">
        <v>0</v>
      </c>
      <c r="S53" s="42" t="n">
        <v>0</v>
      </c>
      <c r="T53" s="42" t="n">
        <v>0</v>
      </c>
    </row>
    <row r="54">
      <c r="A54" s="18" t="inlineStr">
        <is>
          <t>Pigier</t>
        </is>
      </c>
      <c r="B54" s="18" t="inlineStr">
        <is>
          <t>Bordeaux</t>
        </is>
      </c>
      <c r="C54" s="18" t="inlineStr">
        <is>
          <t>Bachelor RH</t>
        </is>
      </c>
      <c r="D54" s="18" t="inlineStr">
        <is>
          <t>BAC</t>
        </is>
      </c>
      <c r="E54" s="18" t="inlineStr">
        <is>
          <t>B1</t>
        </is>
      </c>
      <c r="F54" s="18" t="inlineStr">
        <is>
          <t>Alternance</t>
        </is>
      </c>
      <c r="G54" s="40" t="n">
        <v>1</v>
      </c>
      <c r="H54" s="40" t="n">
        <v>615</v>
      </c>
      <c r="I54" s="40" t="n">
        <v>123</v>
      </c>
      <c r="J54" s="40" t="n">
        <v>86</v>
      </c>
      <c r="K54" s="40" t="n">
        <v>36</v>
      </c>
      <c r="L54" s="40" t="n">
        <v>0</v>
      </c>
      <c r="M54" s="40" t="n">
        <v>36</v>
      </c>
      <c r="N54" s="40" t="n">
        <v>0</v>
      </c>
      <c r="O54" s="40" t="n">
        <v>2</v>
      </c>
      <c r="P54" s="41" t="n">
        <v>6790</v>
      </c>
      <c r="Q54" s="42" t="n">
        <v>0</v>
      </c>
      <c r="R54" s="42" t="n">
        <v>0.2</v>
      </c>
      <c r="S54" s="42" t="n">
        <v>0.6992</v>
      </c>
      <c r="T54" s="42" t="n">
        <v>0.4186</v>
      </c>
    </row>
    <row r="55">
      <c r="A55" s="18" t="inlineStr">
        <is>
          <t>Pigier</t>
        </is>
      </c>
      <c r="B55" s="18" t="inlineStr">
        <is>
          <t>Bordeaux</t>
        </is>
      </c>
      <c r="C55" s="18" t="inlineStr">
        <is>
          <t>Bachelor RH</t>
        </is>
      </c>
      <c r="D55" s="18" t="inlineStr">
        <is>
          <t>BAC</t>
        </is>
      </c>
      <c r="E55" s="18" t="inlineStr">
        <is>
          <t>B3</t>
        </is>
      </c>
      <c r="F55" s="18" t="inlineStr">
        <is>
          <t>Alternance</t>
        </is>
      </c>
      <c r="G55" s="40" t="n">
        <v>0</v>
      </c>
      <c r="H55" s="40" t="n">
        <v>0</v>
      </c>
      <c r="I55" s="40" t="n">
        <v>0</v>
      </c>
      <c r="J55" s="40" t="n">
        <v>0</v>
      </c>
      <c r="K55" s="40" t="n">
        <v>0</v>
      </c>
      <c r="L55" s="40" t="n">
        <v>34</v>
      </c>
      <c r="M55" s="40" t="n">
        <v>34</v>
      </c>
      <c r="N55" s="40" t="n">
        <v>36</v>
      </c>
      <c r="O55" s="40" t="n">
        <v>2</v>
      </c>
      <c r="P55" s="41" t="n">
        <v>6790</v>
      </c>
      <c r="Q55" s="42" t="n">
        <v>0.95</v>
      </c>
      <c r="R55" s="42" t="n">
        <v>0</v>
      </c>
      <c r="S55" s="42" t="n">
        <v>0</v>
      </c>
      <c r="T55" s="42" t="n">
        <v>0</v>
      </c>
    </row>
    <row r="56">
      <c r="A56" s="18" t="inlineStr">
        <is>
          <t>Tunon</t>
        </is>
      </c>
      <c r="B56" s="18" t="inlineStr">
        <is>
          <t>Paris</t>
        </is>
      </c>
      <c r="C56" s="18" t="inlineStr">
        <is>
          <t>Bachelor Tourisme</t>
        </is>
      </c>
      <c r="D56" s="18" t="inlineStr">
        <is>
          <t>BAC</t>
        </is>
      </c>
      <c r="E56" s="18" t="inlineStr">
        <is>
          <t>B1</t>
        </is>
      </c>
      <c r="F56" s="18" t="inlineStr">
        <is>
          <t>Alternance</t>
        </is>
      </c>
      <c r="G56" s="40" t="n">
        <v>1</v>
      </c>
      <c r="H56" s="40" t="n">
        <v>800</v>
      </c>
      <c r="I56" s="40" t="n">
        <v>160</v>
      </c>
      <c r="J56" s="40" t="n">
        <v>112</v>
      </c>
      <c r="K56" s="40" t="n">
        <v>47</v>
      </c>
      <c r="L56" s="40" t="n">
        <v>0</v>
      </c>
      <c r="M56" s="40" t="n">
        <v>47</v>
      </c>
      <c r="N56" s="40" t="n">
        <v>0</v>
      </c>
      <c r="O56" s="40" t="n">
        <v>2</v>
      </c>
      <c r="P56" s="41" t="n">
        <v>7840</v>
      </c>
      <c r="Q56" s="42" t="n">
        <v>0</v>
      </c>
      <c r="R56" s="42" t="n">
        <v>0.2</v>
      </c>
      <c r="S56" s="42" t="n">
        <v>0.7</v>
      </c>
      <c r="T56" s="42" t="n">
        <v>0.4196</v>
      </c>
    </row>
    <row r="57">
      <c r="A57" s="18" t="inlineStr">
        <is>
          <t>Tunon</t>
        </is>
      </c>
      <c r="B57" s="18" t="inlineStr">
        <is>
          <t>Paris</t>
        </is>
      </c>
      <c r="C57" s="18" t="inlineStr">
        <is>
          <t>Bachelor Tourisme</t>
        </is>
      </c>
      <c r="D57" s="18" t="inlineStr">
        <is>
          <t>BAC</t>
        </is>
      </c>
      <c r="E57" s="18" t="inlineStr">
        <is>
          <t>B2</t>
        </is>
      </c>
      <c r="F57" s="18" t="inlineStr">
        <is>
          <t>Alternance</t>
        </is>
      </c>
      <c r="G57" s="40" t="n">
        <v>0</v>
      </c>
      <c r="H57" s="40" t="n">
        <v>0</v>
      </c>
      <c r="I57" s="40" t="n">
        <v>0</v>
      </c>
      <c r="J57" s="40" t="n">
        <v>0</v>
      </c>
      <c r="K57" s="40" t="n">
        <v>0</v>
      </c>
      <c r="L57" s="40" t="n">
        <v>44</v>
      </c>
      <c r="M57" s="40" t="n">
        <v>44</v>
      </c>
      <c r="N57" s="40" t="n">
        <v>47</v>
      </c>
      <c r="O57" s="40" t="n">
        <v>2</v>
      </c>
      <c r="P57" s="41" t="n">
        <v>7840</v>
      </c>
      <c r="Q57" s="42" t="n">
        <v>0.93</v>
      </c>
      <c r="R57" s="42" t="n">
        <v>0</v>
      </c>
      <c r="S57" s="42" t="n">
        <v>0</v>
      </c>
      <c r="T57" s="42" t="n">
        <v>0</v>
      </c>
    </row>
    <row r="58">
      <c r="A58" s="18" t="inlineStr">
        <is>
          <t>Tunon</t>
        </is>
      </c>
      <c r="B58" s="18" t="inlineStr">
        <is>
          <t>Paris</t>
        </is>
      </c>
      <c r="C58" s="18" t="inlineStr">
        <is>
          <t>Bachelor Tourisme</t>
        </is>
      </c>
      <c r="D58" s="18" t="inlineStr">
        <is>
          <t>BAC</t>
        </is>
      </c>
      <c r="E58" s="18" t="inlineStr">
        <is>
          <t>B3</t>
        </is>
      </c>
      <c r="F58" s="18" t="inlineStr">
        <is>
          <t>Alternance</t>
        </is>
      </c>
      <c r="G58" s="40" t="n">
        <v>0</v>
      </c>
      <c r="H58" s="40" t="n">
        <v>0</v>
      </c>
      <c r="I58" s="40" t="n">
        <v>0</v>
      </c>
      <c r="J58" s="40" t="n">
        <v>0</v>
      </c>
      <c r="K58" s="40" t="n">
        <v>0</v>
      </c>
      <c r="L58" s="40" t="n">
        <v>42</v>
      </c>
      <c r="M58" s="40" t="n">
        <v>42</v>
      </c>
      <c r="N58" s="40" t="n">
        <v>44</v>
      </c>
      <c r="O58" s="40" t="n">
        <v>2</v>
      </c>
      <c r="P58" s="41" t="n">
        <v>7840</v>
      </c>
      <c r="Q58" s="42" t="n">
        <v>0.95</v>
      </c>
      <c r="R58" s="42" t="n">
        <v>0</v>
      </c>
      <c r="S58" s="42" t="n">
        <v>0</v>
      </c>
      <c r="T58" s="42" t="n">
        <v>0</v>
      </c>
    </row>
    <row r="59">
      <c r="A59" s="18" t="inlineStr">
        <is>
          <t>Tunon</t>
        </is>
      </c>
      <c r="B59" s="18" t="inlineStr">
        <is>
          <t>Lyon</t>
        </is>
      </c>
      <c r="C59" s="18" t="inlineStr">
        <is>
          <t>Bachelor Tourisme</t>
        </is>
      </c>
      <c r="D59" s="18" t="inlineStr">
        <is>
          <t>BAC</t>
        </is>
      </c>
      <c r="E59" s="18" t="inlineStr">
        <is>
          <t>B1</t>
        </is>
      </c>
      <c r="F59" s="18" t="inlineStr">
        <is>
          <t>Alternance</t>
        </is>
      </c>
      <c r="G59" s="40" t="n">
        <v>1</v>
      </c>
      <c r="H59" s="40" t="n">
        <v>680</v>
      </c>
      <c r="I59" s="40" t="n">
        <v>136</v>
      </c>
      <c r="J59" s="40" t="n">
        <v>95</v>
      </c>
      <c r="K59" s="40" t="n">
        <v>40</v>
      </c>
      <c r="L59" s="40" t="n">
        <v>0</v>
      </c>
      <c r="M59" s="40" t="n">
        <v>40</v>
      </c>
      <c r="N59" s="40" t="n">
        <v>0</v>
      </c>
      <c r="O59" s="40" t="n">
        <v>2</v>
      </c>
      <c r="P59" s="41" t="n">
        <v>7350</v>
      </c>
      <c r="Q59" s="42" t="n">
        <v>0</v>
      </c>
      <c r="R59" s="42" t="n">
        <v>0.2</v>
      </c>
      <c r="S59" s="42" t="n">
        <v>0.6985</v>
      </c>
      <c r="T59" s="42" t="n">
        <v>0.4211</v>
      </c>
    </row>
    <row r="60">
      <c r="A60" s="18" t="inlineStr">
        <is>
          <t>Tunon</t>
        </is>
      </c>
      <c r="B60" s="18" t="inlineStr">
        <is>
          <t>Lyon</t>
        </is>
      </c>
      <c r="C60" s="18" t="inlineStr">
        <is>
          <t>Bachelor Tourisme</t>
        </is>
      </c>
      <c r="D60" s="18" t="inlineStr">
        <is>
          <t>BAC</t>
        </is>
      </c>
      <c r="E60" s="18" t="inlineStr">
        <is>
          <t>B2</t>
        </is>
      </c>
      <c r="F60" s="18" t="inlineStr">
        <is>
          <t>Alternance</t>
        </is>
      </c>
      <c r="G60" s="40" t="n">
        <v>0</v>
      </c>
      <c r="H60" s="40" t="n">
        <v>0</v>
      </c>
      <c r="I60" s="40" t="n">
        <v>0</v>
      </c>
      <c r="J60" s="40" t="n">
        <v>0</v>
      </c>
      <c r="K60" s="40" t="n">
        <v>0</v>
      </c>
      <c r="L60" s="40" t="n">
        <v>37</v>
      </c>
      <c r="M60" s="40" t="n">
        <v>37</v>
      </c>
      <c r="N60" s="40" t="n">
        <v>40</v>
      </c>
      <c r="O60" s="40" t="n">
        <v>2</v>
      </c>
      <c r="P60" s="41" t="n">
        <v>7350</v>
      </c>
      <c r="Q60" s="42" t="n">
        <v>0.93</v>
      </c>
      <c r="R60" s="42" t="n">
        <v>0</v>
      </c>
      <c r="S60" s="42" t="n">
        <v>0</v>
      </c>
      <c r="T60" s="42" t="n">
        <v>0</v>
      </c>
    </row>
    <row r="61">
      <c r="A61" s="18" t="inlineStr">
        <is>
          <t>Tunon</t>
        </is>
      </c>
      <c r="B61" s="18" t="inlineStr">
        <is>
          <t>Lyon</t>
        </is>
      </c>
      <c r="C61" s="18" t="inlineStr">
        <is>
          <t>Bachelor Tourisme</t>
        </is>
      </c>
      <c r="D61" s="18" t="inlineStr">
        <is>
          <t>BAC</t>
        </is>
      </c>
      <c r="E61" s="18" t="inlineStr">
        <is>
          <t>B3</t>
        </is>
      </c>
      <c r="F61" s="18" t="inlineStr">
        <is>
          <t>Alternance</t>
        </is>
      </c>
      <c r="G61" s="40" t="n">
        <v>0</v>
      </c>
      <c r="H61" s="40" t="n">
        <v>0</v>
      </c>
      <c r="I61" s="40" t="n">
        <v>0</v>
      </c>
      <c r="J61" s="40" t="n">
        <v>0</v>
      </c>
      <c r="K61" s="40" t="n">
        <v>0</v>
      </c>
      <c r="L61" s="40" t="n">
        <v>35</v>
      </c>
      <c r="M61" s="40" t="n">
        <v>35</v>
      </c>
      <c r="N61" s="40" t="n">
        <v>37</v>
      </c>
      <c r="O61" s="40" t="n">
        <v>2</v>
      </c>
      <c r="P61" s="41" t="n">
        <v>7350</v>
      </c>
      <c r="Q61" s="42" t="n">
        <v>0.95</v>
      </c>
      <c r="R61" s="42" t="n">
        <v>0</v>
      </c>
      <c r="S61" s="42" t="n">
        <v>0</v>
      </c>
      <c r="T61" s="42" t="n">
        <v>0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0" customWidth="1" min="4" max="4"/>
    <col width="15" customWidth="1" min="5" max="5"/>
    <col width="14" customWidth="1" min="6" max="6"/>
    <col width="13" customWidth="1" min="7" max="7"/>
    <col width="15" customWidth="1" min="8" max="8"/>
  </cols>
  <sheetData>
    <row r="1" ht="22" customHeight="1">
      <c r="A1" s="1" t="inlineStr">
        <is>
          <t>CRM &amp; MARKETING — historique multisource (format long, par année) : leads organiques/payants + dépense</t>
        </is>
      </c>
    </row>
    <row r="2" ht="22" customHeight="1">
      <c r="A2" s="7" t="inlineStr">
        <is>
          <t>Source : CRM (leads, tag organique/payant) + compta (dépense). 3 années réelles (2024·2025·2026). 03_Campagnes MESURE le CPL, le rendement et la part organique depuis cet historique — rien n'est saisi.</t>
        </is>
      </c>
    </row>
    <row r="3">
      <c r="A3" s="11" t="inlineStr">
        <is>
          <t>Marque</t>
        </is>
      </c>
      <c r="B3" s="11" t="inlineStr">
        <is>
          <t>Ville</t>
        </is>
      </c>
      <c r="C3" s="11" t="inlineStr">
        <is>
          <t>clé</t>
        </is>
      </c>
      <c r="D3" s="11" t="inlineStr">
        <is>
          <t>Année</t>
        </is>
      </c>
      <c r="E3" s="11" t="inlineStr">
        <is>
          <t>Leads organiques</t>
        </is>
      </c>
      <c r="F3" s="11" t="inlineStr">
        <is>
          <t>Leads payants</t>
        </is>
      </c>
      <c r="G3" s="11" t="inlineStr">
        <is>
          <t>Leads totaux</t>
        </is>
      </c>
      <c r="H3" s="11" t="inlineStr">
        <is>
          <t>Dépense marketing</t>
        </is>
      </c>
    </row>
    <row r="4">
      <c r="A4" s="18" t="inlineStr">
        <is>
          <t>MBway</t>
        </is>
      </c>
      <c r="B4" s="19" t="inlineStr">
        <is>
          <t>Paris</t>
        </is>
      </c>
      <c r="C4" s="21">
        <f>A4&amp;"|"&amp;B4</f>
        <v/>
      </c>
      <c r="D4" s="19" t="n">
        <v>2024</v>
      </c>
      <c r="E4" s="24" t="n">
        <v>645</v>
      </c>
      <c r="F4" s="24" t="n">
        <v>1158</v>
      </c>
      <c r="G4" s="27">
        <f>E4+F4</f>
        <v/>
      </c>
      <c r="H4" s="13" t="n">
        <v>56438</v>
      </c>
    </row>
    <row r="5">
      <c r="A5" s="18" t="inlineStr">
        <is>
          <t>MBway</t>
        </is>
      </c>
      <c r="B5" s="19" t="inlineStr">
        <is>
          <t>Paris</t>
        </is>
      </c>
      <c r="C5" s="21">
        <f>A5&amp;"|"&amp;B5</f>
        <v/>
      </c>
      <c r="D5" s="19" t="n">
        <v>2025</v>
      </c>
      <c r="E5" s="24" t="n">
        <v>677</v>
      </c>
      <c r="F5" s="24" t="n">
        <v>1210</v>
      </c>
      <c r="G5" s="27">
        <f>E5+F5</f>
        <v/>
      </c>
      <c r="H5" s="13" t="n">
        <v>62082</v>
      </c>
    </row>
    <row r="6">
      <c r="A6" s="18" t="inlineStr">
        <is>
          <t>MBway</t>
        </is>
      </c>
      <c r="B6" s="19" t="inlineStr">
        <is>
          <t>Paris</t>
        </is>
      </c>
      <c r="C6" s="21">
        <f>A6&amp;"|"&amp;B6</f>
        <v/>
      </c>
      <c r="D6" s="19" t="n">
        <v>2026</v>
      </c>
      <c r="E6" s="24" t="n">
        <v>711</v>
      </c>
      <c r="F6" s="24" t="n">
        <v>1265</v>
      </c>
      <c r="G6" s="27">
        <f>E6+F6</f>
        <v/>
      </c>
      <c r="H6" s="13" t="n">
        <v>68291</v>
      </c>
    </row>
    <row r="7">
      <c r="A7" s="18" t="inlineStr">
        <is>
          <t>MBway</t>
        </is>
      </c>
      <c r="B7" s="19" t="inlineStr">
        <is>
          <t>Lyon</t>
        </is>
      </c>
      <c r="C7" s="21">
        <f>A7&amp;"|"&amp;B7</f>
        <v/>
      </c>
      <c r="D7" s="19" t="n">
        <v>2024</v>
      </c>
      <c r="E7" s="24" t="n">
        <v>650</v>
      </c>
      <c r="F7" s="24" t="n">
        <v>863</v>
      </c>
      <c r="G7" s="27">
        <f>E7+F7</f>
        <v/>
      </c>
      <c r="H7" s="13" t="n">
        <v>34532</v>
      </c>
    </row>
    <row r="8">
      <c r="A8" s="18" t="inlineStr">
        <is>
          <t>MBway</t>
        </is>
      </c>
      <c r="B8" s="19" t="inlineStr">
        <is>
          <t>Lyon</t>
        </is>
      </c>
      <c r="C8" s="21">
        <f>A8&amp;"|"&amp;B8</f>
        <v/>
      </c>
      <c r="D8" s="19" t="n">
        <v>2025</v>
      </c>
      <c r="E8" s="24" t="n">
        <v>682</v>
      </c>
      <c r="F8" s="24" t="n">
        <v>905</v>
      </c>
      <c r="G8" s="27">
        <f>E8+F8</f>
        <v/>
      </c>
      <c r="H8" s="13" t="n">
        <v>37985</v>
      </c>
    </row>
    <row r="9">
      <c r="A9" s="18" t="inlineStr">
        <is>
          <t>MBway</t>
        </is>
      </c>
      <c r="B9" s="19" t="inlineStr">
        <is>
          <t>Lyon</t>
        </is>
      </c>
      <c r="C9" s="21">
        <f>A9&amp;"|"&amp;B9</f>
        <v/>
      </c>
      <c r="D9" s="19" t="n">
        <v>2026</v>
      </c>
      <c r="E9" s="24" t="n">
        <v>716</v>
      </c>
      <c r="F9" s="24" t="n">
        <v>950</v>
      </c>
      <c r="G9" s="27">
        <f>E9+F9</f>
        <v/>
      </c>
      <c r="H9" s="13" t="n">
        <v>41783</v>
      </c>
    </row>
    <row r="10">
      <c r="A10" s="18" t="inlineStr">
        <is>
          <t>MBway</t>
        </is>
      </c>
      <c r="B10" s="19" t="inlineStr">
        <is>
          <t>Nantes</t>
        </is>
      </c>
      <c r="C10" s="21">
        <f>A10&amp;"|"&amp;B10</f>
        <v/>
      </c>
      <c r="D10" s="19" t="n">
        <v>2024</v>
      </c>
      <c r="E10" s="24" t="n">
        <v>660</v>
      </c>
      <c r="F10" s="24" t="n">
        <v>713</v>
      </c>
      <c r="G10" s="27">
        <f>E10+F10</f>
        <v/>
      </c>
      <c r="H10" s="13" t="n">
        <v>26060</v>
      </c>
    </row>
    <row r="11">
      <c r="A11" s="18" t="inlineStr">
        <is>
          <t>MBway</t>
        </is>
      </c>
      <c r="B11" s="19" t="inlineStr">
        <is>
          <t>Nantes</t>
        </is>
      </c>
      <c r="C11" s="21">
        <f>A11&amp;"|"&amp;B11</f>
        <v/>
      </c>
      <c r="D11" s="19" t="n">
        <v>2025</v>
      </c>
      <c r="E11" s="24" t="n">
        <v>693</v>
      </c>
      <c r="F11" s="24" t="n">
        <v>749</v>
      </c>
      <c r="G11" s="27">
        <f>E11+F11</f>
        <v/>
      </c>
      <c r="H11" s="13" t="n">
        <v>28666</v>
      </c>
    </row>
    <row r="12">
      <c r="A12" s="18" t="inlineStr">
        <is>
          <t>MBway</t>
        </is>
      </c>
      <c r="B12" s="19" t="inlineStr">
        <is>
          <t>Nantes</t>
        </is>
      </c>
      <c r="C12" s="21">
        <f>A12&amp;"|"&amp;B12</f>
        <v/>
      </c>
      <c r="D12" s="19" t="n">
        <v>2026</v>
      </c>
      <c r="E12" s="24" t="n">
        <v>728</v>
      </c>
      <c r="F12" s="24" t="n">
        <v>788</v>
      </c>
      <c r="G12" s="27">
        <f>E12+F12</f>
        <v/>
      </c>
      <c r="H12" s="13" t="n">
        <v>31533</v>
      </c>
    </row>
    <row r="13">
      <c r="A13" s="18" t="inlineStr">
        <is>
          <t>MBway</t>
        </is>
      </c>
      <c r="B13" s="19" t="inlineStr">
        <is>
          <t>Bordeaux</t>
        </is>
      </c>
      <c r="C13" s="21">
        <f>A13&amp;"|"&amp;B13</f>
        <v/>
      </c>
      <c r="D13" s="19" t="n">
        <v>2024</v>
      </c>
      <c r="E13" s="24" t="n">
        <v>572</v>
      </c>
      <c r="F13" s="24" t="n">
        <v>592</v>
      </c>
      <c r="G13" s="27">
        <f>E13+F13</f>
        <v/>
      </c>
      <c r="H13" s="13" t="n">
        <v>20597</v>
      </c>
    </row>
    <row r="14">
      <c r="A14" s="18" t="inlineStr">
        <is>
          <t>MBway</t>
        </is>
      </c>
      <c r="B14" s="19" t="inlineStr">
        <is>
          <t>Bordeaux</t>
        </is>
      </c>
      <c r="C14" s="21">
        <f>A14&amp;"|"&amp;B14</f>
        <v/>
      </c>
      <c r="D14" s="19" t="n">
        <v>2025</v>
      </c>
      <c r="E14" s="24" t="n">
        <v>600</v>
      </c>
      <c r="F14" s="24" t="n">
        <v>623</v>
      </c>
      <c r="G14" s="27">
        <f>E14+F14</f>
        <v/>
      </c>
      <c r="H14" s="13" t="n">
        <v>22657</v>
      </c>
    </row>
    <row r="15">
      <c r="A15" s="18" t="inlineStr">
        <is>
          <t>MBway</t>
        </is>
      </c>
      <c r="B15" s="19" t="inlineStr">
        <is>
          <t>Bordeaux</t>
        </is>
      </c>
      <c r="C15" s="21">
        <f>A15&amp;"|"&amp;B15</f>
        <v/>
      </c>
      <c r="D15" s="19" t="n">
        <v>2026</v>
      </c>
      <c r="E15" s="24" t="n">
        <v>630</v>
      </c>
      <c r="F15" s="24" t="n">
        <v>656</v>
      </c>
      <c r="G15" s="27">
        <f>E15+F15</f>
        <v/>
      </c>
      <c r="H15" s="13" t="n">
        <v>24923</v>
      </c>
    </row>
    <row r="16">
      <c r="A16" s="18" t="inlineStr">
        <is>
          <t>ISCOM</t>
        </is>
      </c>
      <c r="B16" s="19" t="inlineStr">
        <is>
          <t>Paris</t>
        </is>
      </c>
      <c r="C16" s="21">
        <f>A16&amp;"|"&amp;B16</f>
        <v/>
      </c>
      <c r="D16" s="19" t="n">
        <v>2024</v>
      </c>
      <c r="E16" s="24" t="n">
        <v>626</v>
      </c>
      <c r="F16" s="24" t="n">
        <v>1035</v>
      </c>
      <c r="G16" s="27">
        <f>E16+F16</f>
        <v/>
      </c>
      <c r="H16" s="13" t="n">
        <v>50248</v>
      </c>
    </row>
    <row r="17">
      <c r="A17" s="18" t="inlineStr">
        <is>
          <t>ISCOM</t>
        </is>
      </c>
      <c r="B17" s="19" t="inlineStr">
        <is>
          <t>Paris</t>
        </is>
      </c>
      <c r="C17" s="21">
        <f>A17&amp;"|"&amp;B17</f>
        <v/>
      </c>
      <c r="D17" s="19" t="n">
        <v>2025</v>
      </c>
      <c r="E17" s="24" t="n">
        <v>657</v>
      </c>
      <c r="F17" s="24" t="n">
        <v>1080</v>
      </c>
      <c r="G17" s="27">
        <f>E17+F17</f>
        <v/>
      </c>
      <c r="H17" s="13" t="n">
        <v>55272</v>
      </c>
    </row>
    <row r="18">
      <c r="A18" s="18" t="inlineStr">
        <is>
          <t>ISCOM</t>
        </is>
      </c>
      <c r="B18" s="19" t="inlineStr">
        <is>
          <t>Paris</t>
        </is>
      </c>
      <c r="C18" s="21">
        <f>A18&amp;"|"&amp;B18</f>
        <v/>
      </c>
      <c r="D18" s="19" t="n">
        <v>2026</v>
      </c>
      <c r="E18" s="24" t="n">
        <v>690</v>
      </c>
      <c r="F18" s="24" t="n">
        <v>1126</v>
      </c>
      <c r="G18" s="27">
        <f>E18+F18</f>
        <v/>
      </c>
      <c r="H18" s="13" t="n">
        <v>60800</v>
      </c>
    </row>
    <row r="19">
      <c r="A19" s="18" t="inlineStr">
        <is>
          <t>ISCOM</t>
        </is>
      </c>
      <c r="B19" s="19" t="inlineStr">
        <is>
          <t>Lille</t>
        </is>
      </c>
      <c r="C19" s="21">
        <f>A19&amp;"|"&amp;B19</f>
        <v/>
      </c>
      <c r="D19" s="19" t="n">
        <v>2024</v>
      </c>
      <c r="E19" s="24" t="n">
        <v>572</v>
      </c>
      <c r="F19" s="24" t="n">
        <v>571</v>
      </c>
      <c r="G19" s="27">
        <f>E19+F19</f>
        <v/>
      </c>
      <c r="H19" s="13" t="n">
        <v>20843</v>
      </c>
    </row>
    <row r="20">
      <c r="A20" s="18" t="inlineStr">
        <is>
          <t>ISCOM</t>
        </is>
      </c>
      <c r="B20" s="19" t="inlineStr">
        <is>
          <t>Lille</t>
        </is>
      </c>
      <c r="C20" s="21">
        <f>A20&amp;"|"&amp;B20</f>
        <v/>
      </c>
      <c r="D20" s="19" t="n">
        <v>2025</v>
      </c>
      <c r="E20" s="24" t="n">
        <v>600</v>
      </c>
      <c r="F20" s="24" t="n">
        <v>600</v>
      </c>
      <c r="G20" s="27">
        <f>E20+F20</f>
        <v/>
      </c>
      <c r="H20" s="13" t="n">
        <v>22927</v>
      </c>
    </row>
    <row r="21">
      <c r="A21" s="18" t="inlineStr">
        <is>
          <t>ISCOM</t>
        </is>
      </c>
      <c r="B21" s="19" t="inlineStr">
        <is>
          <t>Lille</t>
        </is>
      </c>
      <c r="C21" s="21">
        <f>A21&amp;"|"&amp;B21</f>
        <v/>
      </c>
      <c r="D21" s="19" t="n">
        <v>2026</v>
      </c>
      <c r="E21" s="24" t="n">
        <v>630</v>
      </c>
      <c r="F21" s="24" t="n">
        <v>630</v>
      </c>
      <c r="G21" s="27">
        <f>E21+F21</f>
        <v/>
      </c>
      <c r="H21" s="13" t="n">
        <v>25220</v>
      </c>
    </row>
    <row r="22">
      <c r="A22" s="18" t="inlineStr">
        <is>
          <t>ISCOM</t>
        </is>
      </c>
      <c r="B22" s="19" t="inlineStr">
        <is>
          <t>Toulouse</t>
        </is>
      </c>
      <c r="C22" s="21">
        <f>A22&amp;"|"&amp;B22</f>
        <v/>
      </c>
      <c r="D22" s="19" t="n">
        <v>2024</v>
      </c>
      <c r="E22" s="24" t="n">
        <v>549</v>
      </c>
      <c r="F22" s="24" t="n">
        <v>526</v>
      </c>
      <c r="G22" s="27">
        <f>E22+F22</f>
        <v/>
      </c>
      <c r="H22" s="13" t="n">
        <v>18251</v>
      </c>
    </row>
    <row r="23">
      <c r="A23" s="18" t="inlineStr">
        <is>
          <t>ISCOM</t>
        </is>
      </c>
      <c r="B23" s="19" t="inlineStr">
        <is>
          <t>Toulouse</t>
        </is>
      </c>
      <c r="C23" s="21">
        <f>A23&amp;"|"&amp;B23</f>
        <v/>
      </c>
      <c r="D23" s="19" t="n">
        <v>2025</v>
      </c>
      <c r="E23" s="24" t="n">
        <v>576</v>
      </c>
      <c r="F23" s="24" t="n">
        <v>553</v>
      </c>
      <c r="G23" s="27">
        <f>E23+F23</f>
        <v/>
      </c>
      <c r="H23" s="13" t="n">
        <v>20076</v>
      </c>
    </row>
    <row r="24">
      <c r="A24" s="18" t="inlineStr">
        <is>
          <t>ISCOM</t>
        </is>
      </c>
      <c r="B24" s="19" t="inlineStr">
        <is>
          <t>Toulouse</t>
        </is>
      </c>
      <c r="C24" s="21">
        <f>A24&amp;"|"&amp;B24</f>
        <v/>
      </c>
      <c r="D24" s="19" t="n">
        <v>2026</v>
      </c>
      <c r="E24" s="24" t="n">
        <v>605</v>
      </c>
      <c r="F24" s="24" t="n">
        <v>581</v>
      </c>
      <c r="G24" s="27">
        <f>E24+F24</f>
        <v/>
      </c>
      <c r="H24" s="13" t="n">
        <v>22083</v>
      </c>
    </row>
    <row r="25">
      <c r="A25" s="18" t="inlineStr">
        <is>
          <t>Ipac Bachelor Factory</t>
        </is>
      </c>
      <c r="B25" s="19" t="inlineStr">
        <is>
          <t>Nantes</t>
        </is>
      </c>
      <c r="C25" s="21">
        <f>A25&amp;"|"&amp;B25</f>
        <v/>
      </c>
      <c r="D25" s="19" t="n">
        <v>2024</v>
      </c>
      <c r="E25" s="24" t="n">
        <v>278</v>
      </c>
      <c r="F25" s="24" t="n">
        <v>489</v>
      </c>
      <c r="G25" s="27">
        <f>E25+F25</f>
        <v/>
      </c>
      <c r="H25" s="13" t="n">
        <v>17983</v>
      </c>
    </row>
    <row r="26">
      <c r="A26" s="18" t="inlineStr">
        <is>
          <t>Ipac Bachelor Factory</t>
        </is>
      </c>
      <c r="B26" s="19" t="inlineStr">
        <is>
          <t>Nantes</t>
        </is>
      </c>
      <c r="C26" s="21">
        <f>A26&amp;"|"&amp;B26</f>
        <v/>
      </c>
      <c r="D26" s="19" t="n">
        <v>2025</v>
      </c>
      <c r="E26" s="24" t="n">
        <v>291</v>
      </c>
      <c r="F26" s="24" t="n">
        <v>516</v>
      </c>
      <c r="G26" s="27">
        <f>E26+F26</f>
        <v/>
      </c>
      <c r="H26" s="13" t="n">
        <v>19782</v>
      </c>
    </row>
    <row r="27">
      <c r="A27" s="18" t="inlineStr">
        <is>
          <t>Ipac Bachelor Factory</t>
        </is>
      </c>
      <c r="B27" s="19" t="inlineStr">
        <is>
          <t>Nantes</t>
        </is>
      </c>
      <c r="C27" s="21">
        <f>A27&amp;"|"&amp;B27</f>
        <v/>
      </c>
      <c r="D27" s="19" t="n">
        <v>2026</v>
      </c>
      <c r="E27" s="24" t="n">
        <v>306</v>
      </c>
      <c r="F27" s="24" t="n">
        <v>544</v>
      </c>
      <c r="G27" s="27">
        <f>E27+F27</f>
        <v/>
      </c>
      <c r="H27" s="13" t="n">
        <v>21760</v>
      </c>
    </row>
    <row r="28">
      <c r="A28" s="18" t="inlineStr">
        <is>
          <t>Ipac Bachelor Factory</t>
        </is>
      </c>
      <c r="B28" s="19" t="inlineStr">
        <is>
          <t>Rennes</t>
        </is>
      </c>
      <c r="C28" s="21">
        <f>A28&amp;"|"&amp;B28</f>
        <v/>
      </c>
      <c r="D28" s="19" t="n">
        <v>2024</v>
      </c>
      <c r="E28" s="24" t="n">
        <v>241</v>
      </c>
      <c r="F28" s="24" t="n">
        <v>371</v>
      </c>
      <c r="G28" s="27">
        <f>E28+F28</f>
        <v/>
      </c>
      <c r="H28" s="13" t="n">
        <v>12341</v>
      </c>
    </row>
    <row r="29">
      <c r="A29" s="18" t="inlineStr">
        <is>
          <t>Ipac Bachelor Factory</t>
        </is>
      </c>
      <c r="B29" s="19" t="inlineStr">
        <is>
          <t>Rennes</t>
        </is>
      </c>
      <c r="C29" s="21">
        <f>A29&amp;"|"&amp;B29</f>
        <v/>
      </c>
      <c r="D29" s="19" t="n">
        <v>2025</v>
      </c>
      <c r="E29" s="24" t="n">
        <v>253</v>
      </c>
      <c r="F29" s="24" t="n">
        <v>392</v>
      </c>
      <c r="G29" s="27">
        <f>E29+F29</f>
        <v/>
      </c>
      <c r="H29" s="13" t="n">
        <v>13575</v>
      </c>
    </row>
    <row r="30">
      <c r="A30" s="18" t="inlineStr">
        <is>
          <t>Ipac Bachelor Factory</t>
        </is>
      </c>
      <c r="B30" s="19" t="inlineStr">
        <is>
          <t>Rennes</t>
        </is>
      </c>
      <c r="C30" s="21">
        <f>A30&amp;"|"&amp;B30</f>
        <v/>
      </c>
      <c r="D30" s="19" t="n">
        <v>2026</v>
      </c>
      <c r="E30" s="24" t="n">
        <v>265</v>
      </c>
      <c r="F30" s="24" t="n">
        <v>415</v>
      </c>
      <c r="G30" s="27">
        <f>E30+F30</f>
        <v/>
      </c>
      <c r="H30" s="13" t="n">
        <v>14933</v>
      </c>
    </row>
    <row r="31">
      <c r="A31" s="18" t="inlineStr">
        <is>
          <t>Ipac Bachelor Factory</t>
        </is>
      </c>
      <c r="B31" s="19" t="inlineStr">
        <is>
          <t>Montpellier</t>
        </is>
      </c>
      <c r="C31" s="21">
        <f>A31&amp;"|"&amp;B31</f>
        <v/>
      </c>
      <c r="D31" s="19" t="n">
        <v>2024</v>
      </c>
      <c r="E31" s="24" t="n">
        <v>234</v>
      </c>
      <c r="F31" s="24" t="n">
        <v>377</v>
      </c>
      <c r="G31" s="27">
        <f>E31+F31</f>
        <v/>
      </c>
      <c r="H31" s="13" t="n">
        <v>12543</v>
      </c>
    </row>
    <row r="32">
      <c r="A32" s="18" t="inlineStr">
        <is>
          <t>Ipac Bachelor Factory</t>
        </is>
      </c>
      <c r="B32" s="19" t="inlineStr">
        <is>
          <t>Montpellier</t>
        </is>
      </c>
      <c r="C32" s="21">
        <f>A32&amp;"|"&amp;B32</f>
        <v/>
      </c>
      <c r="D32" s="19" t="n">
        <v>2025</v>
      </c>
      <c r="E32" s="24" t="n">
        <v>246</v>
      </c>
      <c r="F32" s="24" t="n">
        <v>399</v>
      </c>
      <c r="G32" s="27">
        <f>E32+F32</f>
        <v/>
      </c>
      <c r="H32" s="13" t="n">
        <v>13798</v>
      </c>
    </row>
    <row r="33">
      <c r="A33" s="18" t="inlineStr">
        <is>
          <t>Ipac Bachelor Factory</t>
        </is>
      </c>
      <c r="B33" s="19" t="inlineStr">
        <is>
          <t>Montpellier</t>
        </is>
      </c>
      <c r="C33" s="21">
        <f>A33&amp;"|"&amp;B33</f>
        <v/>
      </c>
      <c r="D33" s="19" t="n">
        <v>2026</v>
      </c>
      <c r="E33" s="24" t="n">
        <v>258</v>
      </c>
      <c r="F33" s="24" t="n">
        <v>422</v>
      </c>
      <c r="G33" s="27">
        <f>E33+F33</f>
        <v/>
      </c>
      <c r="H33" s="13" t="n">
        <v>15178</v>
      </c>
    </row>
    <row r="34">
      <c r="A34" s="18" t="inlineStr">
        <is>
          <t>Pigier</t>
        </is>
      </c>
      <c r="B34" s="19" t="inlineStr">
        <is>
          <t>Lyon</t>
        </is>
      </c>
      <c r="C34" s="21">
        <f>A34&amp;"|"&amp;B34</f>
        <v/>
      </c>
      <c r="D34" s="19" t="n">
        <v>2024</v>
      </c>
      <c r="E34" s="24" t="n">
        <v>669</v>
      </c>
      <c r="F34" s="24" t="n">
        <v>765</v>
      </c>
      <c r="G34" s="27">
        <f>E34+F34</f>
        <v/>
      </c>
      <c r="H34" s="13" t="n">
        <v>30258</v>
      </c>
    </row>
    <row r="35">
      <c r="A35" s="18" t="inlineStr">
        <is>
          <t>Pigier</t>
        </is>
      </c>
      <c r="B35" s="19" t="inlineStr">
        <is>
          <t>Lyon</t>
        </is>
      </c>
      <c r="C35" s="21">
        <f>A35&amp;"|"&amp;B35</f>
        <v/>
      </c>
      <c r="D35" s="19" t="n">
        <v>2025</v>
      </c>
      <c r="E35" s="24" t="n">
        <v>703</v>
      </c>
      <c r="F35" s="24" t="n">
        <v>798</v>
      </c>
      <c r="G35" s="27">
        <f>E35+F35</f>
        <v/>
      </c>
      <c r="H35" s="13" t="n">
        <v>33284</v>
      </c>
    </row>
    <row r="36">
      <c r="A36" s="18" t="inlineStr">
        <is>
          <t>Pigier</t>
        </is>
      </c>
      <c r="B36" s="19" t="inlineStr">
        <is>
          <t>Lyon</t>
        </is>
      </c>
      <c r="C36" s="21">
        <f>A36&amp;"|"&amp;B36</f>
        <v/>
      </c>
      <c r="D36" s="19" t="n">
        <v>2026</v>
      </c>
      <c r="E36" s="24" t="n">
        <v>738</v>
      </c>
      <c r="F36" s="24" t="n">
        <v>832</v>
      </c>
      <c r="G36" s="27">
        <f>E36+F36</f>
        <v/>
      </c>
      <c r="H36" s="13" t="n">
        <v>36612</v>
      </c>
    </row>
    <row r="37">
      <c r="A37" s="18" t="inlineStr">
        <is>
          <t>Pigier</t>
        </is>
      </c>
      <c r="B37" s="19" t="inlineStr">
        <is>
          <t>Bordeaux</t>
        </is>
      </c>
      <c r="C37" s="21">
        <f>A37&amp;"|"&amp;B37</f>
        <v/>
      </c>
      <c r="D37" s="19" t="n">
        <v>2024</v>
      </c>
      <c r="E37" s="24" t="n">
        <v>591</v>
      </c>
      <c r="F37" s="24" t="n">
        <v>528</v>
      </c>
      <c r="G37" s="27">
        <f>E37+F37</f>
        <v/>
      </c>
      <c r="H37" s="13" t="n">
        <v>18155</v>
      </c>
    </row>
    <row r="38">
      <c r="A38" s="18" t="inlineStr">
        <is>
          <t>Pigier</t>
        </is>
      </c>
      <c r="B38" s="19" t="inlineStr">
        <is>
          <t>Bordeaux</t>
        </is>
      </c>
      <c r="C38" s="21">
        <f>A38&amp;"|"&amp;B38</f>
        <v/>
      </c>
      <c r="D38" s="19" t="n">
        <v>2025</v>
      </c>
      <c r="E38" s="24" t="n">
        <v>621</v>
      </c>
      <c r="F38" s="24" t="n">
        <v>552</v>
      </c>
      <c r="G38" s="27">
        <f>E38+F38</f>
        <v/>
      </c>
      <c r="H38" s="13" t="n">
        <v>19971</v>
      </c>
    </row>
    <row r="39">
      <c r="A39" s="18" t="inlineStr">
        <is>
          <t>Pigier</t>
        </is>
      </c>
      <c r="B39" s="19" t="inlineStr">
        <is>
          <t>Bordeaux</t>
        </is>
      </c>
      <c r="C39" s="21">
        <f>A39&amp;"|"&amp;B39</f>
        <v/>
      </c>
      <c r="D39" s="19" t="n">
        <v>2026</v>
      </c>
      <c r="E39" s="24" t="n">
        <v>652</v>
      </c>
      <c r="F39" s="24" t="n">
        <v>578</v>
      </c>
      <c r="G39" s="27">
        <f>E39+F39</f>
        <v/>
      </c>
      <c r="H39" s="13" t="n">
        <v>21968</v>
      </c>
    </row>
    <row r="40">
      <c r="A40" s="18" t="inlineStr">
        <is>
          <t>Tunon</t>
        </is>
      </c>
      <c r="B40" s="19" t="inlineStr">
        <is>
          <t>Paris</t>
        </is>
      </c>
      <c r="C40" s="21">
        <f>A40&amp;"|"&amp;B40</f>
        <v/>
      </c>
      <c r="D40" s="19" t="n">
        <v>2024</v>
      </c>
      <c r="E40" s="24" t="n">
        <v>218</v>
      </c>
      <c r="F40" s="24" t="n">
        <v>517</v>
      </c>
      <c r="G40" s="27">
        <f>E40+F40</f>
        <v/>
      </c>
      <c r="H40" s="13" t="n">
        <v>24992</v>
      </c>
    </row>
    <row r="41">
      <c r="A41" s="18" t="inlineStr">
        <is>
          <t>Tunon</t>
        </is>
      </c>
      <c r="B41" s="19" t="inlineStr">
        <is>
          <t>Paris</t>
        </is>
      </c>
      <c r="C41" s="21">
        <f>A41&amp;"|"&amp;B41</f>
        <v/>
      </c>
      <c r="D41" s="19" t="n">
        <v>2025</v>
      </c>
      <c r="E41" s="24" t="n">
        <v>229</v>
      </c>
      <c r="F41" s="24" t="n">
        <v>538</v>
      </c>
      <c r="G41" s="27">
        <f>E41+F41</f>
        <v/>
      </c>
      <c r="H41" s="13" t="n">
        <v>27491</v>
      </c>
    </row>
    <row r="42">
      <c r="A42" s="18" t="inlineStr">
        <is>
          <t>Tunon</t>
        </is>
      </c>
      <c r="B42" s="19" t="inlineStr">
        <is>
          <t>Paris</t>
        </is>
      </c>
      <c r="C42" s="21">
        <f>A42&amp;"|"&amp;B42</f>
        <v/>
      </c>
      <c r="D42" s="19" t="n">
        <v>2026</v>
      </c>
      <c r="E42" s="24" t="n">
        <v>240</v>
      </c>
      <c r="F42" s="24" t="n">
        <v>560</v>
      </c>
      <c r="G42" s="27">
        <f>E42+F42</f>
        <v/>
      </c>
      <c r="H42" s="13" t="n">
        <v>30240</v>
      </c>
    </row>
    <row r="43">
      <c r="A43" s="18" t="inlineStr">
        <is>
          <t>Tunon</t>
        </is>
      </c>
      <c r="B43" s="19" t="inlineStr">
        <is>
          <t>Lyon</t>
        </is>
      </c>
      <c r="C43" s="21">
        <f>A43&amp;"|"&amp;B43</f>
        <v/>
      </c>
      <c r="D43" s="19" t="n">
        <v>2024</v>
      </c>
      <c r="E43" s="24" t="n">
        <v>228</v>
      </c>
      <c r="F43" s="24" t="n">
        <v>392</v>
      </c>
      <c r="G43" s="27">
        <f>E43+F43</f>
        <v/>
      </c>
      <c r="H43" s="13" t="n">
        <v>15578</v>
      </c>
    </row>
    <row r="44">
      <c r="A44" s="18" t="inlineStr">
        <is>
          <t>Tunon</t>
        </is>
      </c>
      <c r="B44" s="19" t="inlineStr">
        <is>
          <t>Lyon</t>
        </is>
      </c>
      <c r="C44" s="21">
        <f>A44&amp;"|"&amp;B44</f>
        <v/>
      </c>
      <c r="D44" s="19" t="n">
        <v>2025</v>
      </c>
      <c r="E44" s="24" t="n">
        <v>240</v>
      </c>
      <c r="F44" s="24" t="n">
        <v>410</v>
      </c>
      <c r="G44" s="27">
        <f>E44+F44</f>
        <v/>
      </c>
      <c r="H44" s="13" t="n">
        <v>17136</v>
      </c>
    </row>
    <row r="45">
      <c r="A45" s="18" t="inlineStr">
        <is>
          <t>Tunon</t>
        </is>
      </c>
      <c r="B45" s="19" t="inlineStr">
        <is>
          <t>Lyon</t>
        </is>
      </c>
      <c r="C45" s="21">
        <f>A45&amp;"|"&amp;B45</f>
        <v/>
      </c>
      <c r="D45" s="19" t="n">
        <v>2026</v>
      </c>
      <c r="E45" s="24" t="n">
        <v>252</v>
      </c>
      <c r="F45" s="24" t="n">
        <v>428</v>
      </c>
      <c r="G45" s="27">
        <f>E45+F45</f>
        <v/>
      </c>
      <c r="H45" s="13" t="n">
        <v>18850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7" max="7"/>
    <col width="12" customWidth="1" min="8" max="8"/>
    <col width="11" customWidth="1" min="9" max="9"/>
    <col width="14" customWidth="1" min="10" max="10"/>
    <col width="14" customWidth="1" min="11" max="11"/>
    <col width="14" customWidth="1" min="12" max="12"/>
    <col width="13" customWidth="1" min="13" max="13"/>
    <col width="11" customWidth="1" min="14" max="14"/>
    <col width="14" customWidth="1" min="15" max="15"/>
    <col width="16" customWidth="1" min="16" max="16"/>
  </cols>
  <sheetData>
    <row r="1" ht="22" customHeight="1">
      <c r="A1" s="1" t="inlineStr">
        <is>
          <t>MOTEUR D'ACQUISITION (campus) — CPL · rendement · part organique MESURÉS depuis le CRM, puis budget → leads</t>
        </is>
      </c>
    </row>
    <row r="2" ht="22" customHeight="1">
      <c r="A2" s="7" t="inlineStr">
        <is>
          <t>Part org = org÷total (ATT). CPL = dépense÷payants (ATT). Rendement = ln(payants ATT÷N-2) ÷ ln(dépense ATT÷N-2). Leads payants actif = payants réf × (budget actif÷réf)^rendement. Total = organiques + payants.</t>
        </is>
      </c>
    </row>
    <row r="3" ht="30" customHeight="1">
      <c r="A3" s="11" t="inlineStr">
        <is>
          <t>Marque</t>
        </is>
      </c>
      <c r="B3" s="11" t="inlineStr">
        <is>
          <t>Ville</t>
        </is>
      </c>
      <c r="C3" s="11" t="inlineStr">
        <is>
          <t>clé</t>
        </is>
      </c>
      <c r="D3" s="11" t="inlineStr">
        <is>
          <t>Leads organiques</t>
        </is>
      </c>
      <c r="E3" s="11" t="inlineStr">
        <is>
          <t>Leads payants réf</t>
        </is>
      </c>
      <c r="F3" s="11" t="inlineStr">
        <is>
          <t>Leads total réf</t>
        </is>
      </c>
      <c r="G3" s="11" t="inlineStr">
        <is>
          <t>Dépense mkt réf</t>
        </is>
      </c>
      <c r="H3" s="11" t="inlineStr">
        <is>
          <t>Part organique</t>
        </is>
      </c>
      <c r="I3" s="11" t="inlineStr">
        <is>
          <t>CPL mesuré</t>
        </is>
      </c>
      <c r="J3" s="11" t="inlineStr">
        <is>
          <t>Rendement mesuré</t>
        </is>
      </c>
      <c r="K3" s="11" t="inlineStr">
        <is>
          <t>Budget payant actif</t>
        </is>
      </c>
      <c r="L3" s="11" t="inlineStr">
        <is>
          <t>Leads payants actif</t>
        </is>
      </c>
      <c r="M3" s="11" t="inlineStr">
        <is>
          <t>Leads actif total</t>
        </is>
      </c>
      <c r="N3" s="11" t="inlineStr">
        <is>
          <t>CPL effectif</t>
        </is>
      </c>
      <c r="O3" s="11" t="inlineStr">
        <is>
          <t>Conv. lead→inscrit</t>
        </is>
      </c>
      <c r="P3" s="11" t="inlineStr">
        <is>
          <t>CAC marginal /inscrit</t>
        </is>
      </c>
    </row>
    <row r="5">
      <c r="A5" s="18" t="inlineStr">
        <is>
          <t>MBway</t>
        </is>
      </c>
      <c r="B5" s="19" t="inlineStr">
        <is>
          <t>Paris</t>
        </is>
      </c>
      <c r="C5" s="21">
        <f>A5&amp;"|"&amp;B5</f>
        <v/>
      </c>
      <c r="D5" s="27">
        <f>SUMIFS('02_CRM'!$E$4:$E$45,'02_CRM'!$C$4:$C$45,C5,'02_CRM'!$D$4:$D$45,2026)</f>
        <v/>
      </c>
      <c r="E5" s="27">
        <f>SUMIFS('02_CRM'!$F$4:$F$45,'02_CRM'!$C$4:$C$45,C5,'02_CRM'!$D$4:$D$45,2026)</f>
        <v/>
      </c>
      <c r="F5" s="27">
        <f>D5+E5</f>
        <v/>
      </c>
      <c r="G5" s="16">
        <f>SUMIFS('02_CRM'!$H$4:$H$45,'02_CRM'!$C$4:$C$45,C5,'02_CRM'!$D$4:$D$45,2026)</f>
        <v/>
      </c>
      <c r="H5" s="34">
        <f>IFERROR(D5/F5,0)</f>
        <v/>
      </c>
      <c r="I5" s="16">
        <f>IFERROR(G5/E5,0)</f>
        <v/>
      </c>
      <c r="J5" s="43">
        <f>IFERROR(LN(E5/SUMIFS('02_CRM'!$F$4:$F$45,'02_CRM'!$C$4:$C$45,C5,'02_CRM'!$D$4:$D$45,2024))/LN(G5/SUMIFS('02_CRM'!$H$4:$H$45,'02_CRM'!$C$4:$C$45,C5,'02_CRM'!$D$4:$D$45,2024)),0.5)</f>
        <v/>
      </c>
      <c r="K5" s="15">
        <f>G5*(1+'01_Cadrage'!$H$16)</f>
        <v/>
      </c>
      <c r="L5" s="26">
        <f>E5*(K5/G5)^J5</f>
        <v/>
      </c>
      <c r="M5" s="26">
        <f>D5+L5</f>
        <v/>
      </c>
      <c r="N5" s="16">
        <f>IFERROR(K5/L5,0)</f>
        <v/>
      </c>
      <c r="O5" s="34">
        <f>IFERROR(SUMIFS('02_Base'!$K$4:$K$61,'02_Base'!$A$4:$A$61,A5,'02_Base'!$B$4:$B$61,B5,'02_Base'!$G$4:$G$61,1)/SUMIFS('02_Base'!$H$4:$H$61,'02_Base'!$A$4:$A$61,A5,'02_Base'!$B$4:$B$61,B5,'02_Base'!$G$4:$G$61,1),0)</f>
        <v/>
      </c>
      <c r="P5" s="15">
        <f>IFERROR(I5/(J5*O5),0)</f>
        <v/>
      </c>
    </row>
    <row r="6">
      <c r="A6" s="18" t="inlineStr">
        <is>
          <t>MBway</t>
        </is>
      </c>
      <c r="B6" s="19" t="inlineStr">
        <is>
          <t>Lyon</t>
        </is>
      </c>
      <c r="C6" s="21">
        <f>A6&amp;"|"&amp;B6</f>
        <v/>
      </c>
      <c r="D6" s="27">
        <f>SUMIFS('02_CRM'!$E$4:$E$45,'02_CRM'!$C$4:$C$45,C6,'02_CRM'!$D$4:$D$45,2026)</f>
        <v/>
      </c>
      <c r="E6" s="27">
        <f>SUMIFS('02_CRM'!$F$4:$F$45,'02_CRM'!$C$4:$C$45,C6,'02_CRM'!$D$4:$D$45,2026)</f>
        <v/>
      </c>
      <c r="F6" s="27">
        <f>D6+E6</f>
        <v/>
      </c>
      <c r="G6" s="16">
        <f>SUMIFS('02_CRM'!$H$4:$H$45,'02_CRM'!$C$4:$C$45,C6,'02_CRM'!$D$4:$D$45,2026)</f>
        <v/>
      </c>
      <c r="H6" s="34">
        <f>IFERROR(D6/F6,0)</f>
        <v/>
      </c>
      <c r="I6" s="16">
        <f>IFERROR(G6/E6,0)</f>
        <v/>
      </c>
      <c r="J6" s="43">
        <f>IFERROR(LN(E6/SUMIFS('02_CRM'!$F$4:$F$45,'02_CRM'!$C$4:$C$45,C6,'02_CRM'!$D$4:$D$45,2024))/LN(G6/SUMIFS('02_CRM'!$H$4:$H$45,'02_CRM'!$C$4:$C$45,C6,'02_CRM'!$D$4:$D$45,2024)),0.5)</f>
        <v/>
      </c>
      <c r="K6" s="15">
        <f>G6*(1+'01_Cadrage'!$H$16)</f>
        <v/>
      </c>
      <c r="L6" s="26">
        <f>E6*(K6/G6)^J6</f>
        <v/>
      </c>
      <c r="M6" s="26">
        <f>D6+L6</f>
        <v/>
      </c>
      <c r="N6" s="16">
        <f>IFERROR(K6/L6,0)</f>
        <v/>
      </c>
      <c r="O6" s="34">
        <f>IFERROR(SUMIFS('02_Base'!$K$4:$K$61,'02_Base'!$A$4:$A$61,A6,'02_Base'!$B$4:$B$61,B6,'02_Base'!$G$4:$G$61,1)/SUMIFS('02_Base'!$H$4:$H$61,'02_Base'!$A$4:$A$61,A6,'02_Base'!$B$4:$B$61,B6,'02_Base'!$G$4:$G$61,1),0)</f>
        <v/>
      </c>
      <c r="P6" s="15">
        <f>IFERROR(I6/(J6*O6),0)</f>
        <v/>
      </c>
    </row>
    <row r="7">
      <c r="A7" s="18" t="inlineStr">
        <is>
          <t>MBway</t>
        </is>
      </c>
      <c r="B7" s="19" t="inlineStr">
        <is>
          <t>Nantes</t>
        </is>
      </c>
      <c r="C7" s="21">
        <f>A7&amp;"|"&amp;B7</f>
        <v/>
      </c>
      <c r="D7" s="27">
        <f>SUMIFS('02_CRM'!$E$4:$E$45,'02_CRM'!$C$4:$C$45,C7,'02_CRM'!$D$4:$D$45,2026)</f>
        <v/>
      </c>
      <c r="E7" s="27">
        <f>SUMIFS('02_CRM'!$F$4:$F$45,'02_CRM'!$C$4:$C$45,C7,'02_CRM'!$D$4:$D$45,2026)</f>
        <v/>
      </c>
      <c r="F7" s="27">
        <f>D7+E7</f>
        <v/>
      </c>
      <c r="G7" s="16">
        <f>SUMIFS('02_CRM'!$H$4:$H$45,'02_CRM'!$C$4:$C$45,C7,'02_CRM'!$D$4:$D$45,2026)</f>
        <v/>
      </c>
      <c r="H7" s="34">
        <f>IFERROR(D7/F7,0)</f>
        <v/>
      </c>
      <c r="I7" s="16">
        <f>IFERROR(G7/E7,0)</f>
        <v/>
      </c>
      <c r="J7" s="43">
        <f>IFERROR(LN(E7/SUMIFS('02_CRM'!$F$4:$F$45,'02_CRM'!$C$4:$C$45,C7,'02_CRM'!$D$4:$D$45,2024))/LN(G7/SUMIFS('02_CRM'!$H$4:$H$45,'02_CRM'!$C$4:$C$45,C7,'02_CRM'!$D$4:$D$45,2024)),0.5)</f>
        <v/>
      </c>
      <c r="K7" s="15">
        <f>G7*(1+'01_Cadrage'!$H$16)</f>
        <v/>
      </c>
      <c r="L7" s="26">
        <f>E7*(K7/G7)^J7</f>
        <v/>
      </c>
      <c r="M7" s="26">
        <f>D7+L7</f>
        <v/>
      </c>
      <c r="N7" s="16">
        <f>IFERROR(K7/L7,0)</f>
        <v/>
      </c>
      <c r="O7" s="34">
        <f>IFERROR(SUMIFS('02_Base'!$K$4:$K$61,'02_Base'!$A$4:$A$61,A7,'02_Base'!$B$4:$B$61,B7,'02_Base'!$G$4:$G$61,1)/SUMIFS('02_Base'!$H$4:$H$61,'02_Base'!$A$4:$A$61,A7,'02_Base'!$B$4:$B$61,B7,'02_Base'!$G$4:$G$61,1),0)</f>
        <v/>
      </c>
      <c r="P7" s="15">
        <f>IFERROR(I7/(J7*O7),0)</f>
        <v/>
      </c>
    </row>
    <row r="8">
      <c r="A8" s="18" t="inlineStr">
        <is>
          <t>MBway</t>
        </is>
      </c>
      <c r="B8" s="19" t="inlineStr">
        <is>
          <t>Bordeaux</t>
        </is>
      </c>
      <c r="C8" s="21">
        <f>A8&amp;"|"&amp;B8</f>
        <v/>
      </c>
      <c r="D8" s="27">
        <f>SUMIFS('02_CRM'!$E$4:$E$45,'02_CRM'!$C$4:$C$45,C8,'02_CRM'!$D$4:$D$45,2026)</f>
        <v/>
      </c>
      <c r="E8" s="27">
        <f>SUMIFS('02_CRM'!$F$4:$F$45,'02_CRM'!$C$4:$C$45,C8,'02_CRM'!$D$4:$D$45,2026)</f>
        <v/>
      </c>
      <c r="F8" s="27">
        <f>D8+E8</f>
        <v/>
      </c>
      <c r="G8" s="16">
        <f>SUMIFS('02_CRM'!$H$4:$H$45,'02_CRM'!$C$4:$C$45,C8,'02_CRM'!$D$4:$D$45,2026)</f>
        <v/>
      </c>
      <c r="H8" s="34">
        <f>IFERROR(D8/F8,0)</f>
        <v/>
      </c>
      <c r="I8" s="16">
        <f>IFERROR(G8/E8,0)</f>
        <v/>
      </c>
      <c r="J8" s="43">
        <f>IFERROR(LN(E8/SUMIFS('02_CRM'!$F$4:$F$45,'02_CRM'!$C$4:$C$45,C8,'02_CRM'!$D$4:$D$45,2024))/LN(G8/SUMIFS('02_CRM'!$H$4:$H$45,'02_CRM'!$C$4:$C$45,C8,'02_CRM'!$D$4:$D$45,2024)),0.5)</f>
        <v/>
      </c>
      <c r="K8" s="15">
        <f>G8*(1+'01_Cadrage'!$H$16)</f>
        <v/>
      </c>
      <c r="L8" s="26">
        <f>E8*(K8/G8)^J8</f>
        <v/>
      </c>
      <c r="M8" s="26">
        <f>D8+L8</f>
        <v/>
      </c>
      <c r="N8" s="16">
        <f>IFERROR(K8/L8,0)</f>
        <v/>
      </c>
      <c r="O8" s="34">
        <f>IFERROR(SUMIFS('02_Base'!$K$4:$K$61,'02_Base'!$A$4:$A$61,A8,'02_Base'!$B$4:$B$61,B8,'02_Base'!$G$4:$G$61,1)/SUMIFS('02_Base'!$H$4:$H$61,'02_Base'!$A$4:$A$61,A8,'02_Base'!$B$4:$B$61,B8,'02_Base'!$G$4:$G$61,1),0)</f>
        <v/>
      </c>
      <c r="P8" s="15">
        <f>IFERROR(I8/(J8*O8),0)</f>
        <v/>
      </c>
    </row>
    <row r="9">
      <c r="A9" s="18" t="inlineStr">
        <is>
          <t>ISCOM</t>
        </is>
      </c>
      <c r="B9" s="19" t="inlineStr">
        <is>
          <t>Paris</t>
        </is>
      </c>
      <c r="C9" s="21">
        <f>A9&amp;"|"&amp;B9</f>
        <v/>
      </c>
      <c r="D9" s="27">
        <f>SUMIFS('02_CRM'!$E$4:$E$45,'02_CRM'!$C$4:$C$45,C9,'02_CRM'!$D$4:$D$45,2026)</f>
        <v/>
      </c>
      <c r="E9" s="27">
        <f>SUMIFS('02_CRM'!$F$4:$F$45,'02_CRM'!$C$4:$C$45,C9,'02_CRM'!$D$4:$D$45,2026)</f>
        <v/>
      </c>
      <c r="F9" s="27">
        <f>D9+E9</f>
        <v/>
      </c>
      <c r="G9" s="16">
        <f>SUMIFS('02_CRM'!$H$4:$H$45,'02_CRM'!$C$4:$C$45,C9,'02_CRM'!$D$4:$D$45,2026)</f>
        <v/>
      </c>
      <c r="H9" s="34">
        <f>IFERROR(D9/F9,0)</f>
        <v/>
      </c>
      <c r="I9" s="16">
        <f>IFERROR(G9/E9,0)</f>
        <v/>
      </c>
      <c r="J9" s="43">
        <f>IFERROR(LN(E9/SUMIFS('02_CRM'!$F$4:$F$45,'02_CRM'!$C$4:$C$45,C9,'02_CRM'!$D$4:$D$45,2024))/LN(G9/SUMIFS('02_CRM'!$H$4:$H$45,'02_CRM'!$C$4:$C$45,C9,'02_CRM'!$D$4:$D$45,2024)),0.5)</f>
        <v/>
      </c>
      <c r="K9" s="15">
        <f>G9*(1+'01_Cadrage'!$H$16)</f>
        <v/>
      </c>
      <c r="L9" s="26">
        <f>E9*(K9/G9)^J9</f>
        <v/>
      </c>
      <c r="M9" s="26">
        <f>D9+L9</f>
        <v/>
      </c>
      <c r="N9" s="16">
        <f>IFERROR(K9/L9,0)</f>
        <v/>
      </c>
      <c r="O9" s="34">
        <f>IFERROR(SUMIFS('02_Base'!$K$4:$K$61,'02_Base'!$A$4:$A$61,A9,'02_Base'!$B$4:$B$61,B9,'02_Base'!$G$4:$G$61,1)/SUMIFS('02_Base'!$H$4:$H$61,'02_Base'!$A$4:$A$61,A9,'02_Base'!$B$4:$B$61,B9,'02_Base'!$G$4:$G$61,1),0)</f>
        <v/>
      </c>
      <c r="P9" s="15">
        <f>IFERROR(I9/(J9*O9),0)</f>
        <v/>
      </c>
    </row>
    <row r="10">
      <c r="A10" s="18" t="inlineStr">
        <is>
          <t>ISCOM</t>
        </is>
      </c>
      <c r="B10" s="19" t="inlineStr">
        <is>
          <t>Lille</t>
        </is>
      </c>
      <c r="C10" s="21">
        <f>A10&amp;"|"&amp;B10</f>
        <v/>
      </c>
      <c r="D10" s="27">
        <f>SUMIFS('02_CRM'!$E$4:$E$45,'02_CRM'!$C$4:$C$45,C10,'02_CRM'!$D$4:$D$45,2026)</f>
        <v/>
      </c>
      <c r="E10" s="27">
        <f>SUMIFS('02_CRM'!$F$4:$F$45,'02_CRM'!$C$4:$C$45,C10,'02_CRM'!$D$4:$D$45,2026)</f>
        <v/>
      </c>
      <c r="F10" s="27">
        <f>D10+E10</f>
        <v/>
      </c>
      <c r="G10" s="16">
        <f>SUMIFS('02_CRM'!$H$4:$H$45,'02_CRM'!$C$4:$C$45,C10,'02_CRM'!$D$4:$D$45,2026)</f>
        <v/>
      </c>
      <c r="H10" s="34">
        <f>IFERROR(D10/F10,0)</f>
        <v/>
      </c>
      <c r="I10" s="16">
        <f>IFERROR(G10/E10,0)</f>
        <v/>
      </c>
      <c r="J10" s="43">
        <f>IFERROR(LN(E10/SUMIFS('02_CRM'!$F$4:$F$45,'02_CRM'!$C$4:$C$45,C10,'02_CRM'!$D$4:$D$45,2024))/LN(G10/SUMIFS('02_CRM'!$H$4:$H$45,'02_CRM'!$C$4:$C$45,C10,'02_CRM'!$D$4:$D$45,2024)),0.5)</f>
        <v/>
      </c>
      <c r="K10" s="15">
        <f>G10*(1+'01_Cadrage'!$H$16)</f>
        <v/>
      </c>
      <c r="L10" s="26">
        <f>E10*(K10/G10)^J10</f>
        <v/>
      </c>
      <c r="M10" s="26">
        <f>D10+L10</f>
        <v/>
      </c>
      <c r="N10" s="16">
        <f>IFERROR(K10/L10,0)</f>
        <v/>
      </c>
      <c r="O10" s="34">
        <f>IFERROR(SUMIFS('02_Base'!$K$4:$K$61,'02_Base'!$A$4:$A$61,A10,'02_Base'!$B$4:$B$61,B10,'02_Base'!$G$4:$G$61,1)/SUMIFS('02_Base'!$H$4:$H$61,'02_Base'!$A$4:$A$61,A10,'02_Base'!$B$4:$B$61,B10,'02_Base'!$G$4:$G$61,1),0)</f>
        <v/>
      </c>
      <c r="P10" s="15">
        <f>IFERROR(I10/(J10*O10),0)</f>
        <v/>
      </c>
    </row>
    <row r="11">
      <c r="A11" s="18" t="inlineStr">
        <is>
          <t>ISCOM</t>
        </is>
      </c>
      <c r="B11" s="19" t="inlineStr">
        <is>
          <t>Toulouse</t>
        </is>
      </c>
      <c r="C11" s="21">
        <f>A11&amp;"|"&amp;B11</f>
        <v/>
      </c>
      <c r="D11" s="27">
        <f>SUMIFS('02_CRM'!$E$4:$E$45,'02_CRM'!$C$4:$C$45,C11,'02_CRM'!$D$4:$D$45,2026)</f>
        <v/>
      </c>
      <c r="E11" s="27">
        <f>SUMIFS('02_CRM'!$F$4:$F$45,'02_CRM'!$C$4:$C$45,C11,'02_CRM'!$D$4:$D$45,2026)</f>
        <v/>
      </c>
      <c r="F11" s="27">
        <f>D11+E11</f>
        <v/>
      </c>
      <c r="G11" s="16">
        <f>SUMIFS('02_CRM'!$H$4:$H$45,'02_CRM'!$C$4:$C$45,C11,'02_CRM'!$D$4:$D$45,2026)</f>
        <v/>
      </c>
      <c r="H11" s="34">
        <f>IFERROR(D11/F11,0)</f>
        <v/>
      </c>
      <c r="I11" s="16">
        <f>IFERROR(G11/E11,0)</f>
        <v/>
      </c>
      <c r="J11" s="43">
        <f>IFERROR(LN(E11/SUMIFS('02_CRM'!$F$4:$F$45,'02_CRM'!$C$4:$C$45,C11,'02_CRM'!$D$4:$D$45,2024))/LN(G11/SUMIFS('02_CRM'!$H$4:$H$45,'02_CRM'!$C$4:$C$45,C11,'02_CRM'!$D$4:$D$45,2024)),0.5)</f>
        <v/>
      </c>
      <c r="K11" s="15">
        <f>G11*(1+'01_Cadrage'!$H$16)</f>
        <v/>
      </c>
      <c r="L11" s="26">
        <f>E11*(K11/G11)^J11</f>
        <v/>
      </c>
      <c r="M11" s="26">
        <f>D11+L11</f>
        <v/>
      </c>
      <c r="N11" s="16">
        <f>IFERROR(K11/L11,0)</f>
        <v/>
      </c>
      <c r="O11" s="34">
        <f>IFERROR(SUMIFS('02_Base'!$K$4:$K$61,'02_Base'!$A$4:$A$61,A11,'02_Base'!$B$4:$B$61,B11,'02_Base'!$G$4:$G$61,1)/SUMIFS('02_Base'!$H$4:$H$61,'02_Base'!$A$4:$A$61,A11,'02_Base'!$B$4:$B$61,B11,'02_Base'!$G$4:$G$61,1),0)</f>
        <v/>
      </c>
      <c r="P11" s="15">
        <f>IFERROR(I11/(J11*O11),0)</f>
        <v/>
      </c>
    </row>
    <row r="12">
      <c r="A12" s="18" t="inlineStr">
        <is>
          <t>Ipac Bachelor Factory</t>
        </is>
      </c>
      <c r="B12" s="19" t="inlineStr">
        <is>
          <t>Nantes</t>
        </is>
      </c>
      <c r="C12" s="21">
        <f>A12&amp;"|"&amp;B12</f>
        <v/>
      </c>
      <c r="D12" s="27">
        <f>SUMIFS('02_CRM'!$E$4:$E$45,'02_CRM'!$C$4:$C$45,C12,'02_CRM'!$D$4:$D$45,2026)</f>
        <v/>
      </c>
      <c r="E12" s="27">
        <f>SUMIFS('02_CRM'!$F$4:$F$45,'02_CRM'!$C$4:$C$45,C12,'02_CRM'!$D$4:$D$45,2026)</f>
        <v/>
      </c>
      <c r="F12" s="27">
        <f>D12+E12</f>
        <v/>
      </c>
      <c r="G12" s="16">
        <f>SUMIFS('02_CRM'!$H$4:$H$45,'02_CRM'!$C$4:$C$45,C12,'02_CRM'!$D$4:$D$45,2026)</f>
        <v/>
      </c>
      <c r="H12" s="34">
        <f>IFERROR(D12/F12,0)</f>
        <v/>
      </c>
      <c r="I12" s="16">
        <f>IFERROR(G12/E12,0)</f>
        <v/>
      </c>
      <c r="J12" s="43">
        <f>IFERROR(LN(E12/SUMIFS('02_CRM'!$F$4:$F$45,'02_CRM'!$C$4:$C$45,C12,'02_CRM'!$D$4:$D$45,2024))/LN(G12/SUMIFS('02_CRM'!$H$4:$H$45,'02_CRM'!$C$4:$C$45,C12,'02_CRM'!$D$4:$D$45,2024)),0.5)</f>
        <v/>
      </c>
      <c r="K12" s="15">
        <f>G12*(1+'01_Cadrage'!$H$16)</f>
        <v/>
      </c>
      <c r="L12" s="26">
        <f>E12*(K12/G12)^J12</f>
        <v/>
      </c>
      <c r="M12" s="26">
        <f>D12+L12</f>
        <v/>
      </c>
      <c r="N12" s="16">
        <f>IFERROR(K12/L12,0)</f>
        <v/>
      </c>
      <c r="O12" s="34">
        <f>IFERROR(SUMIFS('02_Base'!$K$4:$K$61,'02_Base'!$A$4:$A$61,A12,'02_Base'!$B$4:$B$61,B12,'02_Base'!$G$4:$G$61,1)/SUMIFS('02_Base'!$H$4:$H$61,'02_Base'!$A$4:$A$61,A12,'02_Base'!$B$4:$B$61,B12,'02_Base'!$G$4:$G$61,1),0)</f>
        <v/>
      </c>
      <c r="P12" s="15">
        <f>IFERROR(I12/(J12*O12),0)</f>
        <v/>
      </c>
    </row>
    <row r="13">
      <c r="A13" s="18" t="inlineStr">
        <is>
          <t>Ipac Bachelor Factory</t>
        </is>
      </c>
      <c r="B13" s="19" t="inlineStr">
        <is>
          <t>Rennes</t>
        </is>
      </c>
      <c r="C13" s="21">
        <f>A13&amp;"|"&amp;B13</f>
        <v/>
      </c>
      <c r="D13" s="27">
        <f>SUMIFS('02_CRM'!$E$4:$E$45,'02_CRM'!$C$4:$C$45,C13,'02_CRM'!$D$4:$D$45,2026)</f>
        <v/>
      </c>
      <c r="E13" s="27">
        <f>SUMIFS('02_CRM'!$F$4:$F$45,'02_CRM'!$C$4:$C$45,C13,'02_CRM'!$D$4:$D$45,2026)</f>
        <v/>
      </c>
      <c r="F13" s="27">
        <f>D13+E13</f>
        <v/>
      </c>
      <c r="G13" s="16">
        <f>SUMIFS('02_CRM'!$H$4:$H$45,'02_CRM'!$C$4:$C$45,C13,'02_CRM'!$D$4:$D$45,2026)</f>
        <v/>
      </c>
      <c r="H13" s="34">
        <f>IFERROR(D13/F13,0)</f>
        <v/>
      </c>
      <c r="I13" s="16">
        <f>IFERROR(G13/E13,0)</f>
        <v/>
      </c>
      <c r="J13" s="43">
        <f>IFERROR(LN(E13/SUMIFS('02_CRM'!$F$4:$F$45,'02_CRM'!$C$4:$C$45,C13,'02_CRM'!$D$4:$D$45,2024))/LN(G13/SUMIFS('02_CRM'!$H$4:$H$45,'02_CRM'!$C$4:$C$45,C13,'02_CRM'!$D$4:$D$45,2024)),0.5)</f>
        <v/>
      </c>
      <c r="K13" s="15">
        <f>G13*(1+'01_Cadrage'!$H$16)</f>
        <v/>
      </c>
      <c r="L13" s="26">
        <f>E13*(K13/G13)^J13</f>
        <v/>
      </c>
      <c r="M13" s="26">
        <f>D13+L13</f>
        <v/>
      </c>
      <c r="N13" s="16">
        <f>IFERROR(K13/L13,0)</f>
        <v/>
      </c>
      <c r="O13" s="34">
        <f>IFERROR(SUMIFS('02_Base'!$K$4:$K$61,'02_Base'!$A$4:$A$61,A13,'02_Base'!$B$4:$B$61,B13,'02_Base'!$G$4:$G$61,1)/SUMIFS('02_Base'!$H$4:$H$61,'02_Base'!$A$4:$A$61,A13,'02_Base'!$B$4:$B$61,B13,'02_Base'!$G$4:$G$61,1),0)</f>
        <v/>
      </c>
      <c r="P13" s="15">
        <f>IFERROR(I13/(J13*O13),0)</f>
        <v/>
      </c>
    </row>
    <row r="14">
      <c r="A14" s="18" t="inlineStr">
        <is>
          <t>Ipac Bachelor Factory</t>
        </is>
      </c>
      <c r="B14" s="19" t="inlineStr">
        <is>
          <t>Montpellier</t>
        </is>
      </c>
      <c r="C14" s="21">
        <f>A14&amp;"|"&amp;B14</f>
        <v/>
      </c>
      <c r="D14" s="27">
        <f>SUMIFS('02_CRM'!$E$4:$E$45,'02_CRM'!$C$4:$C$45,C14,'02_CRM'!$D$4:$D$45,2026)</f>
        <v/>
      </c>
      <c r="E14" s="27">
        <f>SUMIFS('02_CRM'!$F$4:$F$45,'02_CRM'!$C$4:$C$45,C14,'02_CRM'!$D$4:$D$45,2026)</f>
        <v/>
      </c>
      <c r="F14" s="27">
        <f>D14+E14</f>
        <v/>
      </c>
      <c r="G14" s="16">
        <f>SUMIFS('02_CRM'!$H$4:$H$45,'02_CRM'!$C$4:$C$45,C14,'02_CRM'!$D$4:$D$45,2026)</f>
        <v/>
      </c>
      <c r="H14" s="34">
        <f>IFERROR(D14/F14,0)</f>
        <v/>
      </c>
      <c r="I14" s="16">
        <f>IFERROR(G14/E14,0)</f>
        <v/>
      </c>
      <c r="J14" s="43">
        <f>IFERROR(LN(E14/SUMIFS('02_CRM'!$F$4:$F$45,'02_CRM'!$C$4:$C$45,C14,'02_CRM'!$D$4:$D$45,2024))/LN(G14/SUMIFS('02_CRM'!$H$4:$H$45,'02_CRM'!$C$4:$C$45,C14,'02_CRM'!$D$4:$D$45,2024)),0.5)</f>
        <v/>
      </c>
      <c r="K14" s="15">
        <f>G14*(1+'01_Cadrage'!$H$16)</f>
        <v/>
      </c>
      <c r="L14" s="26">
        <f>E14*(K14/G14)^J14</f>
        <v/>
      </c>
      <c r="M14" s="26">
        <f>D14+L14</f>
        <v/>
      </c>
      <c r="N14" s="16">
        <f>IFERROR(K14/L14,0)</f>
        <v/>
      </c>
      <c r="O14" s="34">
        <f>IFERROR(SUMIFS('02_Base'!$K$4:$K$61,'02_Base'!$A$4:$A$61,A14,'02_Base'!$B$4:$B$61,B14,'02_Base'!$G$4:$G$61,1)/SUMIFS('02_Base'!$H$4:$H$61,'02_Base'!$A$4:$A$61,A14,'02_Base'!$B$4:$B$61,B14,'02_Base'!$G$4:$G$61,1),0)</f>
        <v/>
      </c>
      <c r="P14" s="15">
        <f>IFERROR(I14/(J14*O14),0)</f>
        <v/>
      </c>
    </row>
    <row r="15">
      <c r="A15" s="18" t="inlineStr">
        <is>
          <t>Pigier</t>
        </is>
      </c>
      <c r="B15" s="19" t="inlineStr">
        <is>
          <t>Lyon</t>
        </is>
      </c>
      <c r="C15" s="21">
        <f>A15&amp;"|"&amp;B15</f>
        <v/>
      </c>
      <c r="D15" s="27">
        <f>SUMIFS('02_CRM'!$E$4:$E$45,'02_CRM'!$C$4:$C$45,C15,'02_CRM'!$D$4:$D$45,2026)</f>
        <v/>
      </c>
      <c r="E15" s="27">
        <f>SUMIFS('02_CRM'!$F$4:$F$45,'02_CRM'!$C$4:$C$45,C15,'02_CRM'!$D$4:$D$45,2026)</f>
        <v/>
      </c>
      <c r="F15" s="27">
        <f>D15+E15</f>
        <v/>
      </c>
      <c r="G15" s="16">
        <f>SUMIFS('02_CRM'!$H$4:$H$45,'02_CRM'!$C$4:$C$45,C15,'02_CRM'!$D$4:$D$45,2026)</f>
        <v/>
      </c>
      <c r="H15" s="34">
        <f>IFERROR(D15/F15,0)</f>
        <v/>
      </c>
      <c r="I15" s="16">
        <f>IFERROR(G15/E15,0)</f>
        <v/>
      </c>
      <c r="J15" s="43">
        <f>IFERROR(LN(E15/SUMIFS('02_CRM'!$F$4:$F$45,'02_CRM'!$C$4:$C$45,C15,'02_CRM'!$D$4:$D$45,2024))/LN(G15/SUMIFS('02_CRM'!$H$4:$H$45,'02_CRM'!$C$4:$C$45,C15,'02_CRM'!$D$4:$D$45,2024)),0.5)</f>
        <v/>
      </c>
      <c r="K15" s="15">
        <f>G15*(1+'01_Cadrage'!$H$16)</f>
        <v/>
      </c>
      <c r="L15" s="26">
        <f>E15*(K15/G15)^J15</f>
        <v/>
      </c>
      <c r="M15" s="26">
        <f>D15+L15</f>
        <v/>
      </c>
      <c r="N15" s="16">
        <f>IFERROR(K15/L15,0)</f>
        <v/>
      </c>
      <c r="O15" s="34">
        <f>IFERROR(SUMIFS('02_Base'!$K$4:$K$61,'02_Base'!$A$4:$A$61,A15,'02_Base'!$B$4:$B$61,B15,'02_Base'!$G$4:$G$61,1)/SUMIFS('02_Base'!$H$4:$H$61,'02_Base'!$A$4:$A$61,A15,'02_Base'!$B$4:$B$61,B15,'02_Base'!$G$4:$G$61,1),0)</f>
        <v/>
      </c>
      <c r="P15" s="15">
        <f>IFERROR(I15/(J15*O15),0)</f>
        <v/>
      </c>
    </row>
    <row r="16">
      <c r="A16" s="18" t="inlineStr">
        <is>
          <t>Pigier</t>
        </is>
      </c>
      <c r="B16" s="19" t="inlineStr">
        <is>
          <t>Bordeaux</t>
        </is>
      </c>
      <c r="C16" s="21">
        <f>A16&amp;"|"&amp;B16</f>
        <v/>
      </c>
      <c r="D16" s="27">
        <f>SUMIFS('02_CRM'!$E$4:$E$45,'02_CRM'!$C$4:$C$45,C16,'02_CRM'!$D$4:$D$45,2026)</f>
        <v/>
      </c>
      <c r="E16" s="27">
        <f>SUMIFS('02_CRM'!$F$4:$F$45,'02_CRM'!$C$4:$C$45,C16,'02_CRM'!$D$4:$D$45,2026)</f>
        <v/>
      </c>
      <c r="F16" s="27">
        <f>D16+E16</f>
        <v/>
      </c>
      <c r="G16" s="16">
        <f>SUMIFS('02_CRM'!$H$4:$H$45,'02_CRM'!$C$4:$C$45,C16,'02_CRM'!$D$4:$D$45,2026)</f>
        <v/>
      </c>
      <c r="H16" s="34">
        <f>IFERROR(D16/F16,0)</f>
        <v/>
      </c>
      <c r="I16" s="16">
        <f>IFERROR(G16/E16,0)</f>
        <v/>
      </c>
      <c r="J16" s="43">
        <f>IFERROR(LN(E16/SUMIFS('02_CRM'!$F$4:$F$45,'02_CRM'!$C$4:$C$45,C16,'02_CRM'!$D$4:$D$45,2024))/LN(G16/SUMIFS('02_CRM'!$H$4:$H$45,'02_CRM'!$C$4:$C$45,C16,'02_CRM'!$D$4:$D$45,2024)),0.5)</f>
        <v/>
      </c>
      <c r="K16" s="15">
        <f>G16*(1+'01_Cadrage'!$H$16)</f>
        <v/>
      </c>
      <c r="L16" s="26">
        <f>E16*(K16/G16)^J16</f>
        <v/>
      </c>
      <c r="M16" s="26">
        <f>D16+L16</f>
        <v/>
      </c>
      <c r="N16" s="16">
        <f>IFERROR(K16/L16,0)</f>
        <v/>
      </c>
      <c r="O16" s="34">
        <f>IFERROR(SUMIFS('02_Base'!$K$4:$K$61,'02_Base'!$A$4:$A$61,A16,'02_Base'!$B$4:$B$61,B16,'02_Base'!$G$4:$G$61,1)/SUMIFS('02_Base'!$H$4:$H$61,'02_Base'!$A$4:$A$61,A16,'02_Base'!$B$4:$B$61,B16,'02_Base'!$G$4:$G$61,1),0)</f>
        <v/>
      </c>
      <c r="P16" s="15">
        <f>IFERROR(I16/(J16*O16),0)</f>
        <v/>
      </c>
    </row>
    <row r="17">
      <c r="A17" s="18" t="inlineStr">
        <is>
          <t>Tunon</t>
        </is>
      </c>
      <c r="B17" s="19" t="inlineStr">
        <is>
          <t>Paris</t>
        </is>
      </c>
      <c r="C17" s="21">
        <f>A17&amp;"|"&amp;B17</f>
        <v/>
      </c>
      <c r="D17" s="27">
        <f>SUMIFS('02_CRM'!$E$4:$E$45,'02_CRM'!$C$4:$C$45,C17,'02_CRM'!$D$4:$D$45,2026)</f>
        <v/>
      </c>
      <c r="E17" s="27">
        <f>SUMIFS('02_CRM'!$F$4:$F$45,'02_CRM'!$C$4:$C$45,C17,'02_CRM'!$D$4:$D$45,2026)</f>
        <v/>
      </c>
      <c r="F17" s="27">
        <f>D17+E17</f>
        <v/>
      </c>
      <c r="G17" s="16">
        <f>SUMIFS('02_CRM'!$H$4:$H$45,'02_CRM'!$C$4:$C$45,C17,'02_CRM'!$D$4:$D$45,2026)</f>
        <v/>
      </c>
      <c r="H17" s="34">
        <f>IFERROR(D17/F17,0)</f>
        <v/>
      </c>
      <c r="I17" s="16">
        <f>IFERROR(G17/E17,0)</f>
        <v/>
      </c>
      <c r="J17" s="43">
        <f>IFERROR(LN(E17/SUMIFS('02_CRM'!$F$4:$F$45,'02_CRM'!$C$4:$C$45,C17,'02_CRM'!$D$4:$D$45,2024))/LN(G17/SUMIFS('02_CRM'!$H$4:$H$45,'02_CRM'!$C$4:$C$45,C17,'02_CRM'!$D$4:$D$45,2024)),0.5)</f>
        <v/>
      </c>
      <c r="K17" s="15">
        <f>G17*(1+'01_Cadrage'!$H$16)</f>
        <v/>
      </c>
      <c r="L17" s="26">
        <f>E17*(K17/G17)^J17</f>
        <v/>
      </c>
      <c r="M17" s="26">
        <f>D17+L17</f>
        <v/>
      </c>
      <c r="N17" s="16">
        <f>IFERROR(K17/L17,0)</f>
        <v/>
      </c>
      <c r="O17" s="34">
        <f>IFERROR(SUMIFS('02_Base'!$K$4:$K$61,'02_Base'!$A$4:$A$61,A17,'02_Base'!$B$4:$B$61,B17,'02_Base'!$G$4:$G$61,1)/SUMIFS('02_Base'!$H$4:$H$61,'02_Base'!$A$4:$A$61,A17,'02_Base'!$B$4:$B$61,B17,'02_Base'!$G$4:$G$61,1),0)</f>
        <v/>
      </c>
      <c r="P17" s="15">
        <f>IFERROR(I17/(J17*O17),0)</f>
        <v/>
      </c>
    </row>
    <row r="18">
      <c r="A18" s="18" t="inlineStr">
        <is>
          <t>Tunon</t>
        </is>
      </c>
      <c r="B18" s="19" t="inlineStr">
        <is>
          <t>Lyon</t>
        </is>
      </c>
      <c r="C18" s="21">
        <f>A18&amp;"|"&amp;B18</f>
        <v/>
      </c>
      <c r="D18" s="27">
        <f>SUMIFS('02_CRM'!$E$4:$E$45,'02_CRM'!$C$4:$C$45,C18,'02_CRM'!$D$4:$D$45,2026)</f>
        <v/>
      </c>
      <c r="E18" s="27">
        <f>SUMIFS('02_CRM'!$F$4:$F$45,'02_CRM'!$C$4:$C$45,C18,'02_CRM'!$D$4:$D$45,2026)</f>
        <v/>
      </c>
      <c r="F18" s="27">
        <f>D18+E18</f>
        <v/>
      </c>
      <c r="G18" s="16">
        <f>SUMIFS('02_CRM'!$H$4:$H$45,'02_CRM'!$C$4:$C$45,C18,'02_CRM'!$D$4:$D$45,2026)</f>
        <v/>
      </c>
      <c r="H18" s="34">
        <f>IFERROR(D18/F18,0)</f>
        <v/>
      </c>
      <c r="I18" s="16">
        <f>IFERROR(G18/E18,0)</f>
        <v/>
      </c>
      <c r="J18" s="43">
        <f>IFERROR(LN(E18/SUMIFS('02_CRM'!$F$4:$F$45,'02_CRM'!$C$4:$C$45,C18,'02_CRM'!$D$4:$D$45,2024))/LN(G18/SUMIFS('02_CRM'!$H$4:$H$45,'02_CRM'!$C$4:$C$45,C18,'02_CRM'!$D$4:$D$45,2024)),0.5)</f>
        <v/>
      </c>
      <c r="K18" s="15">
        <f>G18*(1+'01_Cadrage'!$H$16)</f>
        <v/>
      </c>
      <c r="L18" s="26">
        <f>E18*(K18/G18)^J18</f>
        <v/>
      </c>
      <c r="M18" s="26">
        <f>D18+L18</f>
        <v/>
      </c>
      <c r="N18" s="16">
        <f>IFERROR(K18/L18,0)</f>
        <v/>
      </c>
      <c r="O18" s="34">
        <f>IFERROR(SUMIFS('02_Base'!$K$4:$K$61,'02_Base'!$A$4:$A$61,A18,'02_Base'!$B$4:$B$61,B18,'02_Base'!$G$4:$G$61,1)/SUMIFS('02_Base'!$H$4:$H$61,'02_Base'!$A$4:$A$61,A18,'02_Base'!$B$4:$B$61,B18,'02_Base'!$G$4:$G$61,1),0)</f>
        <v/>
      </c>
      <c r="P18" s="15">
        <f>IFERROR(I18/(J18*O18),0)</f>
        <v/>
      </c>
    </row>
    <row r="20">
      <c r="A20" s="36" t="inlineStr">
        <is>
          <t>Indicateur d'attractivité : CAC marginal = coût marketing du prochain inscrit. Vert = investir ici (l'euro rapporte) · Rouge = marché cher/saturé.</t>
        </is>
      </c>
    </row>
  </sheetData>
  <mergeCells count="3">
    <mergeCell ref="A1:P1"/>
    <mergeCell ref="A20:P20"/>
    <mergeCell ref="A2:P2"/>
  </mergeCells>
  <conditionalFormatting sqref="P5:P1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71"/>
  <sheetViews>
    <sheetView showGridLines="0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6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</cols>
  <sheetData>
    <row r="1" ht="22" customHeight="1">
      <c r="A1" s="1" t="inlineStr">
        <is>
          <t>MOTEUR DE CA (cellule) — ① CIBLE (éclatée top-down) · ② CADRÉ (semé) · ③ AJUSTÉ (semé + ajustement contrôleur) · écart</t>
        </is>
      </c>
    </row>
    <row r="3" ht="30" customHeight="1">
      <c r="A3" s="11" t="inlineStr">
        <is>
          <t>Marque</t>
        </is>
      </c>
      <c r="B3" s="11" t="inlineStr">
        <is>
          <t>Ville</t>
        </is>
      </c>
      <c r="C3" s="11" t="inlineStr">
        <is>
          <t>Programme</t>
        </is>
      </c>
      <c r="D3" s="11" t="inlineStr">
        <is>
          <t>Année</t>
        </is>
      </c>
      <c r="E3" s="11" t="inlineStr">
        <is>
          <t>Mod.</t>
        </is>
      </c>
      <c r="F3" s="11" t="inlineStr">
        <is>
          <t>Entrée</t>
        </is>
      </c>
      <c r="G3" s="11" t="inlineStr">
        <is>
          <t>Leads hist</t>
        </is>
      </c>
      <c r="H3" s="11" t="inlineStr">
        <is>
          <t>Cand hist</t>
        </is>
      </c>
      <c r="I3" s="11" t="inlineStr">
        <is>
          <t>Nouv hist</t>
        </is>
      </c>
      <c r="J3" s="11" t="inlineStr">
        <is>
          <t>Réins hist</t>
        </is>
      </c>
      <c r="K3" s="11" t="inlineStr">
        <is>
          <t>Eff hist</t>
        </is>
      </c>
      <c r="L3" s="11" t="inlineStr">
        <is>
          <t>Eff. inf.</t>
        </is>
      </c>
      <c r="M3" s="11" t="inlineStr">
        <is>
          <t>Revenu/étu</t>
        </is>
      </c>
      <c r="N3" s="11" t="inlineStr">
        <is>
          <t>Passage</t>
        </is>
      </c>
      <c r="O3" s="11" t="inlineStr">
        <is>
          <t>T.L→C</t>
        </is>
      </c>
      <c r="P3" s="11" t="inlineStr">
        <is>
          <t>T.C→A</t>
        </is>
      </c>
      <c r="Q3" s="11" t="inlineStr">
        <is>
          <t>Yield</t>
        </is>
      </c>
      <c r="R3" s="11" t="inlineStr">
        <is>
          <t>Part leads</t>
        </is>
      </c>
      <c r="S3" s="11" t="inlineStr">
        <is>
          <t>Leads campus</t>
        </is>
      </c>
      <c r="T3" s="11" t="inlineStr">
        <is>
          <t>Leads cellule</t>
        </is>
      </c>
      <c r="U3" s="11" t="inlineStr">
        <is>
          <t>Candidatures</t>
        </is>
      </c>
      <c r="V3" s="11" t="inlineStr">
        <is>
          <t>Admis</t>
        </is>
      </c>
      <c r="W3" s="11" t="inlineStr">
        <is>
          <t>Nouveaux ③</t>
        </is>
      </c>
      <c r="X3" s="11" t="inlineStr">
        <is>
          <t>Réinscrits ③</t>
        </is>
      </c>
      <c r="Y3" s="11" t="inlineStr">
        <is>
          <t>Effectif ③</t>
        </is>
      </c>
      <c r="Z3" s="11" t="inlineStr">
        <is>
          <t>Revenu actif</t>
        </is>
      </c>
      <c r="AA3" s="11" t="inlineStr">
        <is>
          <t>CA ③ ajusté</t>
        </is>
      </c>
      <c r="AB3" s="11" t="inlineStr">
        <is>
          <t>Nouveaux ②</t>
        </is>
      </c>
      <c r="AC3" s="11" t="inlineStr">
        <is>
          <t>Réinscr. ②</t>
        </is>
      </c>
      <c r="AD3" s="11" t="inlineStr">
        <is>
          <t>Effectif ②</t>
        </is>
      </c>
      <c r="AE3" s="11" t="inlineStr">
        <is>
          <t>CA ② cadré</t>
        </is>
      </c>
      <c r="AF3" s="11" t="inlineStr">
        <is>
          <t>🟢 Ajust.conv</t>
        </is>
      </c>
      <c r="AG3" s="11" t="inlineStr">
        <is>
          <t>🟢 Ajust.pass</t>
        </is>
      </c>
      <c r="AH3" s="11" t="inlineStr">
        <is>
          <t>Poids</t>
        </is>
      </c>
      <c r="AI3" s="11" t="inlineStr">
        <is>
          <t>CA ① cible</t>
        </is>
      </c>
      <c r="AJ3" s="11" t="inlineStr">
        <is>
          <t>Effectif ① cible</t>
        </is>
      </c>
      <c r="AK3" s="11" t="inlineStr">
        <is>
          <t>Écart CA ③−①</t>
        </is>
      </c>
      <c r="AL3" s="11" t="inlineStr">
        <is>
          <t>Écart eff ③−①</t>
        </is>
      </c>
    </row>
    <row r="4">
      <c r="A4" s="18">
        <f>'02_Base'!A4</f>
        <v/>
      </c>
      <c r="B4" s="19">
        <f>'02_Base'!B4</f>
        <v/>
      </c>
      <c r="C4" s="18">
        <f>'02_Base'!C4</f>
        <v/>
      </c>
      <c r="D4" s="19">
        <f>'02_Base'!E4</f>
        <v/>
      </c>
      <c r="E4" s="19">
        <f>'02_Base'!F4</f>
        <v/>
      </c>
      <c r="F4" s="40">
        <f>'02_Base'!G4</f>
        <v/>
      </c>
      <c r="G4" s="40">
        <f>'02_Base'!H4</f>
        <v/>
      </c>
      <c r="H4" s="40">
        <f>'02_Base'!I4</f>
        <v/>
      </c>
      <c r="I4" s="40">
        <f>'02_Base'!K4</f>
        <v/>
      </c>
      <c r="J4" s="40">
        <f>'02_Base'!L4</f>
        <v/>
      </c>
      <c r="K4" s="40">
        <f>'02_Base'!M4</f>
        <v/>
      </c>
      <c r="L4" s="40">
        <f>'02_Base'!N4</f>
        <v/>
      </c>
      <c r="M4" s="41">
        <f>'02_Base'!P4</f>
        <v/>
      </c>
      <c r="N4" s="42">
        <f>'02_Base'!Q4</f>
        <v/>
      </c>
      <c r="O4" s="42">
        <f>'02_Base'!R4</f>
        <v/>
      </c>
      <c r="P4" s="42">
        <f>'02_Base'!S4</f>
        <v/>
      </c>
      <c r="Q4" s="42">
        <f>'02_Base'!T4</f>
        <v/>
      </c>
      <c r="R4" s="34">
        <f>IF(F4=1,IFERROR(G4/INDEX('03_Campagnes'!$F$5:$F$18,MATCH(A4&amp;"|"&amp;B4,'03_Campagnes'!$C$5:$C$18,0)),0),0)</f>
        <v/>
      </c>
      <c r="S4" s="27">
        <f>INDEX('03_Campagnes'!$M$5:$M$18,MATCH(A4&amp;"|"&amp;B4,'03_Campagnes'!$C$5:$C$18,0))</f>
        <v/>
      </c>
      <c r="T4" s="27">
        <f>S4*R4</f>
        <v/>
      </c>
      <c r="U4" s="27">
        <f>IF(F4=1,T4*(O4+'01_Cadrage'!$H$18),0)</f>
        <v/>
      </c>
      <c r="V4" s="27">
        <f>U4*P4</f>
        <v/>
      </c>
      <c r="W4" s="26">
        <f>IF(F4=1,V4*(Q4+'01_Cadrage'!$H$19+AF4),0)</f>
        <v/>
      </c>
      <c r="X4" s="27">
        <f>IF(F4=1,0,L4*(N4+'01_Cadrage'!$H$20+AG4))</f>
        <v/>
      </c>
      <c r="Y4" s="26">
        <f>W4+X4</f>
        <v/>
      </c>
      <c r="Z4" s="16">
        <f>M4*(1+'01_Cadrage'!$H$17*INDEX('01_Cadrage'!$L$7:$L$20,MATCH(A4&amp;"|"&amp;B4,'01_Cadrage'!$M$7:$M$20,0)))</f>
        <v/>
      </c>
      <c r="AA4" s="15">
        <f>Y4*Z4+W4*'01_Cadrage'!$H$28</f>
        <v/>
      </c>
      <c r="AB4" s="27">
        <f>IF(F4=1,V4*(Q4+'01_Cadrage'!$H$19),0)</f>
        <v/>
      </c>
      <c r="AC4" s="27">
        <f>IF(F4=1,0,L4*(N4+'01_Cadrage'!$H$20))</f>
        <v/>
      </c>
      <c r="AD4" s="27">
        <f>AB4+AC4</f>
        <v/>
      </c>
      <c r="AE4" s="16">
        <f>AD4*Z4+AB4*'01_Cadrage'!$H$28</f>
        <v/>
      </c>
      <c r="AF4" s="10" t="n">
        <v>0</v>
      </c>
      <c r="AG4" s="10" t="n">
        <v>0</v>
      </c>
      <c r="AH4" s="27">
        <f>K4*M4*INDEX('01_Cadrage'!$L$24:$L$28,MATCH(A4,'01_Cadrage'!$J$24:$J$28,0))</f>
        <v/>
      </c>
      <c r="AI4" s="15">
        <f>IFERROR((21936350*(1+'01_Cadrage'!$F$3))*AH4/SUM($AH$4:$AH$61),0)</f>
        <v/>
      </c>
      <c r="AJ4" s="27">
        <f>IFERROR(AI4/Z4,0)</f>
        <v/>
      </c>
      <c r="AK4" s="16">
        <f>AA4-AI4</f>
        <v/>
      </c>
      <c r="AL4" s="27">
        <f>Y4-AJ4</f>
        <v/>
      </c>
    </row>
    <row r="5">
      <c r="A5" s="18">
        <f>'02_Base'!A5</f>
        <v/>
      </c>
      <c r="B5" s="19">
        <f>'02_Base'!B5</f>
        <v/>
      </c>
      <c r="C5" s="18">
        <f>'02_Base'!C5</f>
        <v/>
      </c>
      <c r="D5" s="19">
        <f>'02_Base'!E5</f>
        <v/>
      </c>
      <c r="E5" s="19">
        <f>'02_Base'!F5</f>
        <v/>
      </c>
      <c r="F5" s="40">
        <f>'02_Base'!G5</f>
        <v/>
      </c>
      <c r="G5" s="40">
        <f>'02_Base'!H5</f>
        <v/>
      </c>
      <c r="H5" s="40">
        <f>'02_Base'!I5</f>
        <v/>
      </c>
      <c r="I5" s="40">
        <f>'02_Base'!K5</f>
        <v/>
      </c>
      <c r="J5" s="40">
        <f>'02_Base'!L5</f>
        <v/>
      </c>
      <c r="K5" s="40">
        <f>'02_Base'!M5</f>
        <v/>
      </c>
      <c r="L5" s="40">
        <f>'02_Base'!N5</f>
        <v/>
      </c>
      <c r="M5" s="41">
        <f>'02_Base'!P5</f>
        <v/>
      </c>
      <c r="N5" s="42">
        <f>'02_Base'!Q5</f>
        <v/>
      </c>
      <c r="O5" s="42">
        <f>'02_Base'!R5</f>
        <v/>
      </c>
      <c r="P5" s="42">
        <f>'02_Base'!S5</f>
        <v/>
      </c>
      <c r="Q5" s="42">
        <f>'02_Base'!T5</f>
        <v/>
      </c>
      <c r="R5" s="34">
        <f>IF(F5=1,IFERROR(G5/INDEX('03_Campagnes'!$F$5:$F$18,MATCH(A5&amp;"|"&amp;B5,'03_Campagnes'!$C$5:$C$18,0)),0),0)</f>
        <v/>
      </c>
      <c r="S5" s="27">
        <f>INDEX('03_Campagnes'!$M$5:$M$18,MATCH(A5&amp;"|"&amp;B5,'03_Campagnes'!$C$5:$C$18,0))</f>
        <v/>
      </c>
      <c r="T5" s="27">
        <f>S5*R5</f>
        <v/>
      </c>
      <c r="U5" s="27">
        <f>IF(F5=1,T5*(O5+'01_Cadrage'!$H$18),0)</f>
        <v/>
      </c>
      <c r="V5" s="27">
        <f>U5*P5</f>
        <v/>
      </c>
      <c r="W5" s="26">
        <f>IF(F5=1,V5*(Q5+'01_Cadrage'!$H$19+AF5),0)</f>
        <v/>
      </c>
      <c r="X5" s="27">
        <f>IF(F5=1,0,L5*(N5+'01_Cadrage'!$H$20+AG5))</f>
        <v/>
      </c>
      <c r="Y5" s="26">
        <f>W5+X5</f>
        <v/>
      </c>
      <c r="Z5" s="16">
        <f>M5*(1+'01_Cadrage'!$H$17*INDEX('01_Cadrage'!$L$7:$L$20,MATCH(A5&amp;"|"&amp;B5,'01_Cadrage'!$M$7:$M$20,0)))</f>
        <v/>
      </c>
      <c r="AA5" s="15">
        <f>Y5*Z5+W5*'01_Cadrage'!$H$28</f>
        <v/>
      </c>
      <c r="AB5" s="27">
        <f>IF(F5=1,V5*(Q5+'01_Cadrage'!$H$19),0)</f>
        <v/>
      </c>
      <c r="AC5" s="27">
        <f>IF(F5=1,0,L5*(N5+'01_Cadrage'!$H$20))</f>
        <v/>
      </c>
      <c r="AD5" s="27">
        <f>AB5+AC5</f>
        <v/>
      </c>
      <c r="AE5" s="16">
        <f>AD5*Z5+AB5*'01_Cadrage'!$H$28</f>
        <v/>
      </c>
      <c r="AF5" s="10" t="n">
        <v>0</v>
      </c>
      <c r="AG5" s="10" t="n">
        <v>0</v>
      </c>
      <c r="AH5" s="27">
        <f>K5*M5*INDEX('01_Cadrage'!$L$24:$L$28,MATCH(A5,'01_Cadrage'!$J$24:$J$28,0))</f>
        <v/>
      </c>
      <c r="AI5" s="15">
        <f>IFERROR((21936350*(1+'01_Cadrage'!$F$3))*AH5/SUM($AH$4:$AH$61),0)</f>
        <v/>
      </c>
      <c r="AJ5" s="27">
        <f>IFERROR(AI5/Z5,0)</f>
        <v/>
      </c>
      <c r="AK5" s="16">
        <f>AA5-AI5</f>
        <v/>
      </c>
      <c r="AL5" s="27">
        <f>Y5-AJ5</f>
        <v/>
      </c>
    </row>
    <row r="6">
      <c r="A6" s="18">
        <f>'02_Base'!A6</f>
        <v/>
      </c>
      <c r="B6" s="19">
        <f>'02_Base'!B6</f>
        <v/>
      </c>
      <c r="C6" s="18">
        <f>'02_Base'!C6</f>
        <v/>
      </c>
      <c r="D6" s="19">
        <f>'02_Base'!E6</f>
        <v/>
      </c>
      <c r="E6" s="19">
        <f>'02_Base'!F6</f>
        <v/>
      </c>
      <c r="F6" s="40">
        <f>'02_Base'!G6</f>
        <v/>
      </c>
      <c r="G6" s="40">
        <f>'02_Base'!H6</f>
        <v/>
      </c>
      <c r="H6" s="40">
        <f>'02_Base'!I6</f>
        <v/>
      </c>
      <c r="I6" s="40">
        <f>'02_Base'!K6</f>
        <v/>
      </c>
      <c r="J6" s="40">
        <f>'02_Base'!L6</f>
        <v/>
      </c>
      <c r="K6" s="40">
        <f>'02_Base'!M6</f>
        <v/>
      </c>
      <c r="L6" s="40">
        <f>'02_Base'!N6</f>
        <v/>
      </c>
      <c r="M6" s="41">
        <f>'02_Base'!P6</f>
        <v/>
      </c>
      <c r="N6" s="42">
        <f>'02_Base'!Q6</f>
        <v/>
      </c>
      <c r="O6" s="42">
        <f>'02_Base'!R6</f>
        <v/>
      </c>
      <c r="P6" s="42">
        <f>'02_Base'!S6</f>
        <v/>
      </c>
      <c r="Q6" s="42">
        <f>'02_Base'!T6</f>
        <v/>
      </c>
      <c r="R6" s="34">
        <f>IF(F6=1,IFERROR(G6/INDEX('03_Campagnes'!$F$5:$F$18,MATCH(A6&amp;"|"&amp;B6,'03_Campagnes'!$C$5:$C$18,0)),0),0)</f>
        <v/>
      </c>
      <c r="S6" s="27">
        <f>INDEX('03_Campagnes'!$M$5:$M$18,MATCH(A6&amp;"|"&amp;B6,'03_Campagnes'!$C$5:$C$18,0))</f>
        <v/>
      </c>
      <c r="T6" s="27">
        <f>S6*R6</f>
        <v/>
      </c>
      <c r="U6" s="27">
        <f>IF(F6=1,T6*(O6+'01_Cadrage'!$H$18),0)</f>
        <v/>
      </c>
      <c r="V6" s="27">
        <f>U6*P6</f>
        <v/>
      </c>
      <c r="W6" s="26">
        <f>IF(F6=1,V6*(Q6+'01_Cadrage'!$H$19+AF6),0)</f>
        <v/>
      </c>
      <c r="X6" s="27">
        <f>IF(F6=1,0,L6*(N6+'01_Cadrage'!$H$20+AG6))</f>
        <v/>
      </c>
      <c r="Y6" s="26">
        <f>W6+X6</f>
        <v/>
      </c>
      <c r="Z6" s="16">
        <f>M6*(1+'01_Cadrage'!$H$17*INDEX('01_Cadrage'!$L$7:$L$20,MATCH(A6&amp;"|"&amp;B6,'01_Cadrage'!$M$7:$M$20,0)))</f>
        <v/>
      </c>
      <c r="AA6" s="15">
        <f>Y6*Z6+W6*'01_Cadrage'!$H$28</f>
        <v/>
      </c>
      <c r="AB6" s="27">
        <f>IF(F6=1,V6*(Q6+'01_Cadrage'!$H$19),0)</f>
        <v/>
      </c>
      <c r="AC6" s="27">
        <f>IF(F6=1,0,L6*(N6+'01_Cadrage'!$H$20))</f>
        <v/>
      </c>
      <c r="AD6" s="27">
        <f>AB6+AC6</f>
        <v/>
      </c>
      <c r="AE6" s="16">
        <f>AD6*Z6+AB6*'01_Cadrage'!$H$28</f>
        <v/>
      </c>
      <c r="AF6" s="10" t="n">
        <v>0</v>
      </c>
      <c r="AG6" s="10" t="n">
        <v>0</v>
      </c>
      <c r="AH6" s="27">
        <f>K6*M6*INDEX('01_Cadrage'!$L$24:$L$28,MATCH(A6,'01_Cadrage'!$J$24:$J$28,0))</f>
        <v/>
      </c>
      <c r="AI6" s="15">
        <f>IFERROR((21936350*(1+'01_Cadrage'!$F$3))*AH6/SUM($AH$4:$AH$61),0)</f>
        <v/>
      </c>
      <c r="AJ6" s="27">
        <f>IFERROR(AI6/Z6,0)</f>
        <v/>
      </c>
      <c r="AK6" s="16">
        <f>AA6-AI6</f>
        <v/>
      </c>
      <c r="AL6" s="27">
        <f>Y6-AJ6</f>
        <v/>
      </c>
    </row>
    <row r="7">
      <c r="A7" s="18">
        <f>'02_Base'!A7</f>
        <v/>
      </c>
      <c r="B7" s="19">
        <f>'02_Base'!B7</f>
        <v/>
      </c>
      <c r="C7" s="18">
        <f>'02_Base'!C7</f>
        <v/>
      </c>
      <c r="D7" s="19">
        <f>'02_Base'!E7</f>
        <v/>
      </c>
      <c r="E7" s="19">
        <f>'02_Base'!F7</f>
        <v/>
      </c>
      <c r="F7" s="40">
        <f>'02_Base'!G7</f>
        <v/>
      </c>
      <c r="G7" s="40">
        <f>'02_Base'!H7</f>
        <v/>
      </c>
      <c r="H7" s="40">
        <f>'02_Base'!I7</f>
        <v/>
      </c>
      <c r="I7" s="40">
        <f>'02_Base'!K7</f>
        <v/>
      </c>
      <c r="J7" s="40">
        <f>'02_Base'!L7</f>
        <v/>
      </c>
      <c r="K7" s="40">
        <f>'02_Base'!M7</f>
        <v/>
      </c>
      <c r="L7" s="40">
        <f>'02_Base'!N7</f>
        <v/>
      </c>
      <c r="M7" s="41">
        <f>'02_Base'!P7</f>
        <v/>
      </c>
      <c r="N7" s="42">
        <f>'02_Base'!Q7</f>
        <v/>
      </c>
      <c r="O7" s="42">
        <f>'02_Base'!R7</f>
        <v/>
      </c>
      <c r="P7" s="42">
        <f>'02_Base'!S7</f>
        <v/>
      </c>
      <c r="Q7" s="42">
        <f>'02_Base'!T7</f>
        <v/>
      </c>
      <c r="R7" s="34">
        <f>IF(F7=1,IFERROR(G7/INDEX('03_Campagnes'!$F$5:$F$18,MATCH(A7&amp;"|"&amp;B7,'03_Campagnes'!$C$5:$C$18,0)),0),0)</f>
        <v/>
      </c>
      <c r="S7" s="27">
        <f>INDEX('03_Campagnes'!$M$5:$M$18,MATCH(A7&amp;"|"&amp;B7,'03_Campagnes'!$C$5:$C$18,0))</f>
        <v/>
      </c>
      <c r="T7" s="27">
        <f>S7*R7</f>
        <v/>
      </c>
      <c r="U7" s="27">
        <f>IF(F7=1,T7*(O7+'01_Cadrage'!$H$18),0)</f>
        <v/>
      </c>
      <c r="V7" s="27">
        <f>U7*P7</f>
        <v/>
      </c>
      <c r="W7" s="26">
        <f>IF(F7=1,V7*(Q7+'01_Cadrage'!$H$19+AF7),0)</f>
        <v/>
      </c>
      <c r="X7" s="27">
        <f>IF(F7=1,0,L7*(N7+'01_Cadrage'!$H$20+AG7))</f>
        <v/>
      </c>
      <c r="Y7" s="26">
        <f>W7+X7</f>
        <v/>
      </c>
      <c r="Z7" s="16">
        <f>M7*(1+'01_Cadrage'!$H$17*INDEX('01_Cadrage'!$L$7:$L$20,MATCH(A7&amp;"|"&amp;B7,'01_Cadrage'!$M$7:$M$20,0)))</f>
        <v/>
      </c>
      <c r="AA7" s="15">
        <f>Y7*Z7+W7*'01_Cadrage'!$H$28</f>
        <v/>
      </c>
      <c r="AB7" s="27">
        <f>IF(F7=1,V7*(Q7+'01_Cadrage'!$H$19),0)</f>
        <v/>
      </c>
      <c r="AC7" s="27">
        <f>IF(F7=1,0,L7*(N7+'01_Cadrage'!$H$20))</f>
        <v/>
      </c>
      <c r="AD7" s="27">
        <f>AB7+AC7</f>
        <v/>
      </c>
      <c r="AE7" s="16">
        <f>AD7*Z7+AB7*'01_Cadrage'!$H$28</f>
        <v/>
      </c>
      <c r="AF7" s="10" t="n">
        <v>0</v>
      </c>
      <c r="AG7" s="10" t="n">
        <v>0</v>
      </c>
      <c r="AH7" s="27">
        <f>K7*M7*INDEX('01_Cadrage'!$L$24:$L$28,MATCH(A7,'01_Cadrage'!$J$24:$J$28,0))</f>
        <v/>
      </c>
      <c r="AI7" s="15">
        <f>IFERROR((21936350*(1+'01_Cadrage'!$F$3))*AH7/SUM($AH$4:$AH$61),0)</f>
        <v/>
      </c>
      <c r="AJ7" s="27">
        <f>IFERROR(AI7/Z7,0)</f>
        <v/>
      </c>
      <c r="AK7" s="16">
        <f>AA7-AI7</f>
        <v/>
      </c>
      <c r="AL7" s="27">
        <f>Y7-AJ7</f>
        <v/>
      </c>
    </row>
    <row r="8">
      <c r="A8" s="18">
        <f>'02_Base'!A8</f>
        <v/>
      </c>
      <c r="B8" s="19">
        <f>'02_Base'!B8</f>
        <v/>
      </c>
      <c r="C8" s="18">
        <f>'02_Base'!C8</f>
        <v/>
      </c>
      <c r="D8" s="19">
        <f>'02_Base'!E8</f>
        <v/>
      </c>
      <c r="E8" s="19">
        <f>'02_Base'!F8</f>
        <v/>
      </c>
      <c r="F8" s="40">
        <f>'02_Base'!G8</f>
        <v/>
      </c>
      <c r="G8" s="40">
        <f>'02_Base'!H8</f>
        <v/>
      </c>
      <c r="H8" s="40">
        <f>'02_Base'!I8</f>
        <v/>
      </c>
      <c r="I8" s="40">
        <f>'02_Base'!K8</f>
        <v/>
      </c>
      <c r="J8" s="40">
        <f>'02_Base'!L8</f>
        <v/>
      </c>
      <c r="K8" s="40">
        <f>'02_Base'!M8</f>
        <v/>
      </c>
      <c r="L8" s="40">
        <f>'02_Base'!N8</f>
        <v/>
      </c>
      <c r="M8" s="41">
        <f>'02_Base'!P8</f>
        <v/>
      </c>
      <c r="N8" s="42">
        <f>'02_Base'!Q8</f>
        <v/>
      </c>
      <c r="O8" s="42">
        <f>'02_Base'!R8</f>
        <v/>
      </c>
      <c r="P8" s="42">
        <f>'02_Base'!S8</f>
        <v/>
      </c>
      <c r="Q8" s="42">
        <f>'02_Base'!T8</f>
        <v/>
      </c>
      <c r="R8" s="34">
        <f>IF(F8=1,IFERROR(G8/INDEX('03_Campagnes'!$F$5:$F$18,MATCH(A8&amp;"|"&amp;B8,'03_Campagnes'!$C$5:$C$18,0)),0),0)</f>
        <v/>
      </c>
      <c r="S8" s="27">
        <f>INDEX('03_Campagnes'!$M$5:$M$18,MATCH(A8&amp;"|"&amp;B8,'03_Campagnes'!$C$5:$C$18,0))</f>
        <v/>
      </c>
      <c r="T8" s="27">
        <f>S8*R8</f>
        <v/>
      </c>
      <c r="U8" s="27">
        <f>IF(F8=1,T8*(O8+'01_Cadrage'!$H$18),0)</f>
        <v/>
      </c>
      <c r="V8" s="27">
        <f>U8*P8</f>
        <v/>
      </c>
      <c r="W8" s="26">
        <f>IF(F8=1,V8*(Q8+'01_Cadrage'!$H$19+AF8),0)</f>
        <v/>
      </c>
      <c r="X8" s="27">
        <f>IF(F8=1,0,L8*(N8+'01_Cadrage'!$H$20+AG8))</f>
        <v/>
      </c>
      <c r="Y8" s="26">
        <f>W8+X8</f>
        <v/>
      </c>
      <c r="Z8" s="16">
        <f>M8*(1+'01_Cadrage'!$H$17*INDEX('01_Cadrage'!$L$7:$L$20,MATCH(A8&amp;"|"&amp;B8,'01_Cadrage'!$M$7:$M$20,0)))</f>
        <v/>
      </c>
      <c r="AA8" s="15">
        <f>Y8*Z8+W8*'01_Cadrage'!$H$28</f>
        <v/>
      </c>
      <c r="AB8" s="27">
        <f>IF(F8=1,V8*(Q8+'01_Cadrage'!$H$19),0)</f>
        <v/>
      </c>
      <c r="AC8" s="27">
        <f>IF(F8=1,0,L8*(N8+'01_Cadrage'!$H$20))</f>
        <v/>
      </c>
      <c r="AD8" s="27">
        <f>AB8+AC8</f>
        <v/>
      </c>
      <c r="AE8" s="16">
        <f>AD8*Z8+AB8*'01_Cadrage'!$H$28</f>
        <v/>
      </c>
      <c r="AF8" s="10" t="n">
        <v>0</v>
      </c>
      <c r="AG8" s="10" t="n">
        <v>0</v>
      </c>
      <c r="AH8" s="27">
        <f>K8*M8*INDEX('01_Cadrage'!$L$24:$L$28,MATCH(A8,'01_Cadrage'!$J$24:$J$28,0))</f>
        <v/>
      </c>
      <c r="AI8" s="15">
        <f>IFERROR((21936350*(1+'01_Cadrage'!$F$3))*AH8/SUM($AH$4:$AH$61),0)</f>
        <v/>
      </c>
      <c r="AJ8" s="27">
        <f>IFERROR(AI8/Z8,0)</f>
        <v/>
      </c>
      <c r="AK8" s="16">
        <f>AA8-AI8</f>
        <v/>
      </c>
      <c r="AL8" s="27">
        <f>Y8-AJ8</f>
        <v/>
      </c>
    </row>
    <row r="9">
      <c r="A9" s="18">
        <f>'02_Base'!A9</f>
        <v/>
      </c>
      <c r="B9" s="19">
        <f>'02_Base'!B9</f>
        <v/>
      </c>
      <c r="C9" s="18">
        <f>'02_Base'!C9</f>
        <v/>
      </c>
      <c r="D9" s="19">
        <f>'02_Base'!E9</f>
        <v/>
      </c>
      <c r="E9" s="19">
        <f>'02_Base'!F9</f>
        <v/>
      </c>
      <c r="F9" s="40">
        <f>'02_Base'!G9</f>
        <v/>
      </c>
      <c r="G9" s="40">
        <f>'02_Base'!H9</f>
        <v/>
      </c>
      <c r="H9" s="40">
        <f>'02_Base'!I9</f>
        <v/>
      </c>
      <c r="I9" s="40">
        <f>'02_Base'!K9</f>
        <v/>
      </c>
      <c r="J9" s="40">
        <f>'02_Base'!L9</f>
        <v/>
      </c>
      <c r="K9" s="40">
        <f>'02_Base'!M9</f>
        <v/>
      </c>
      <c r="L9" s="40">
        <f>'02_Base'!N9</f>
        <v/>
      </c>
      <c r="M9" s="41">
        <f>'02_Base'!P9</f>
        <v/>
      </c>
      <c r="N9" s="42">
        <f>'02_Base'!Q9</f>
        <v/>
      </c>
      <c r="O9" s="42">
        <f>'02_Base'!R9</f>
        <v/>
      </c>
      <c r="P9" s="42">
        <f>'02_Base'!S9</f>
        <v/>
      </c>
      <c r="Q9" s="42">
        <f>'02_Base'!T9</f>
        <v/>
      </c>
      <c r="R9" s="34">
        <f>IF(F9=1,IFERROR(G9/INDEX('03_Campagnes'!$F$5:$F$18,MATCH(A9&amp;"|"&amp;B9,'03_Campagnes'!$C$5:$C$18,0)),0),0)</f>
        <v/>
      </c>
      <c r="S9" s="27">
        <f>INDEX('03_Campagnes'!$M$5:$M$18,MATCH(A9&amp;"|"&amp;B9,'03_Campagnes'!$C$5:$C$18,0))</f>
        <v/>
      </c>
      <c r="T9" s="27">
        <f>S9*R9</f>
        <v/>
      </c>
      <c r="U9" s="27">
        <f>IF(F9=1,T9*(O9+'01_Cadrage'!$H$18),0)</f>
        <v/>
      </c>
      <c r="V9" s="27">
        <f>U9*P9</f>
        <v/>
      </c>
      <c r="W9" s="26">
        <f>IF(F9=1,V9*(Q9+'01_Cadrage'!$H$19+AF9),0)</f>
        <v/>
      </c>
      <c r="X9" s="27">
        <f>IF(F9=1,0,L9*(N9+'01_Cadrage'!$H$20+AG9))</f>
        <v/>
      </c>
      <c r="Y9" s="26">
        <f>W9+X9</f>
        <v/>
      </c>
      <c r="Z9" s="16">
        <f>M9*(1+'01_Cadrage'!$H$17*INDEX('01_Cadrage'!$L$7:$L$20,MATCH(A9&amp;"|"&amp;B9,'01_Cadrage'!$M$7:$M$20,0)))</f>
        <v/>
      </c>
      <c r="AA9" s="15">
        <f>Y9*Z9+W9*'01_Cadrage'!$H$28</f>
        <v/>
      </c>
      <c r="AB9" s="27">
        <f>IF(F9=1,V9*(Q9+'01_Cadrage'!$H$19),0)</f>
        <v/>
      </c>
      <c r="AC9" s="27">
        <f>IF(F9=1,0,L9*(N9+'01_Cadrage'!$H$20))</f>
        <v/>
      </c>
      <c r="AD9" s="27">
        <f>AB9+AC9</f>
        <v/>
      </c>
      <c r="AE9" s="16">
        <f>AD9*Z9+AB9*'01_Cadrage'!$H$28</f>
        <v/>
      </c>
      <c r="AF9" s="10" t="n">
        <v>0</v>
      </c>
      <c r="AG9" s="10" t="n">
        <v>0</v>
      </c>
      <c r="AH9" s="27">
        <f>K9*M9*INDEX('01_Cadrage'!$L$24:$L$28,MATCH(A9,'01_Cadrage'!$J$24:$J$28,0))</f>
        <v/>
      </c>
      <c r="AI9" s="15">
        <f>IFERROR((21936350*(1+'01_Cadrage'!$F$3))*AH9/SUM($AH$4:$AH$61),0)</f>
        <v/>
      </c>
      <c r="AJ9" s="27">
        <f>IFERROR(AI9/Z9,0)</f>
        <v/>
      </c>
      <c r="AK9" s="16">
        <f>AA9-AI9</f>
        <v/>
      </c>
      <c r="AL9" s="27">
        <f>Y9-AJ9</f>
        <v/>
      </c>
    </row>
    <row r="10">
      <c r="A10" s="18">
        <f>'02_Base'!A10</f>
        <v/>
      </c>
      <c r="B10" s="19">
        <f>'02_Base'!B10</f>
        <v/>
      </c>
      <c r="C10" s="18">
        <f>'02_Base'!C10</f>
        <v/>
      </c>
      <c r="D10" s="19">
        <f>'02_Base'!E10</f>
        <v/>
      </c>
      <c r="E10" s="19">
        <f>'02_Base'!F10</f>
        <v/>
      </c>
      <c r="F10" s="40">
        <f>'02_Base'!G10</f>
        <v/>
      </c>
      <c r="G10" s="40">
        <f>'02_Base'!H10</f>
        <v/>
      </c>
      <c r="H10" s="40">
        <f>'02_Base'!I10</f>
        <v/>
      </c>
      <c r="I10" s="40">
        <f>'02_Base'!K10</f>
        <v/>
      </c>
      <c r="J10" s="40">
        <f>'02_Base'!L10</f>
        <v/>
      </c>
      <c r="K10" s="40">
        <f>'02_Base'!M10</f>
        <v/>
      </c>
      <c r="L10" s="40">
        <f>'02_Base'!N10</f>
        <v/>
      </c>
      <c r="M10" s="41">
        <f>'02_Base'!P10</f>
        <v/>
      </c>
      <c r="N10" s="42">
        <f>'02_Base'!Q10</f>
        <v/>
      </c>
      <c r="O10" s="42">
        <f>'02_Base'!R10</f>
        <v/>
      </c>
      <c r="P10" s="42">
        <f>'02_Base'!S10</f>
        <v/>
      </c>
      <c r="Q10" s="42">
        <f>'02_Base'!T10</f>
        <v/>
      </c>
      <c r="R10" s="34">
        <f>IF(F10=1,IFERROR(G10/INDEX('03_Campagnes'!$F$5:$F$18,MATCH(A10&amp;"|"&amp;B10,'03_Campagnes'!$C$5:$C$18,0)),0),0)</f>
        <v/>
      </c>
      <c r="S10" s="27">
        <f>INDEX('03_Campagnes'!$M$5:$M$18,MATCH(A10&amp;"|"&amp;B10,'03_Campagnes'!$C$5:$C$18,0))</f>
        <v/>
      </c>
      <c r="T10" s="27">
        <f>S10*R10</f>
        <v/>
      </c>
      <c r="U10" s="27">
        <f>IF(F10=1,T10*(O10+'01_Cadrage'!$H$18),0)</f>
        <v/>
      </c>
      <c r="V10" s="27">
        <f>U10*P10</f>
        <v/>
      </c>
      <c r="W10" s="26">
        <f>IF(F10=1,V10*(Q10+'01_Cadrage'!$H$19+AF10),0)</f>
        <v/>
      </c>
      <c r="X10" s="27">
        <f>IF(F10=1,0,L10*(N10+'01_Cadrage'!$H$20+AG10))</f>
        <v/>
      </c>
      <c r="Y10" s="26">
        <f>W10+X10</f>
        <v/>
      </c>
      <c r="Z10" s="16">
        <f>M10*(1+'01_Cadrage'!$H$17*INDEX('01_Cadrage'!$L$7:$L$20,MATCH(A10&amp;"|"&amp;B10,'01_Cadrage'!$M$7:$M$20,0)))</f>
        <v/>
      </c>
      <c r="AA10" s="15">
        <f>Y10*Z10+W10*'01_Cadrage'!$H$28</f>
        <v/>
      </c>
      <c r="AB10" s="27">
        <f>IF(F10=1,V10*(Q10+'01_Cadrage'!$H$19),0)</f>
        <v/>
      </c>
      <c r="AC10" s="27">
        <f>IF(F10=1,0,L10*(N10+'01_Cadrage'!$H$20))</f>
        <v/>
      </c>
      <c r="AD10" s="27">
        <f>AB10+AC10</f>
        <v/>
      </c>
      <c r="AE10" s="16">
        <f>AD10*Z10+AB10*'01_Cadrage'!$H$28</f>
        <v/>
      </c>
      <c r="AF10" s="10" t="n">
        <v>0</v>
      </c>
      <c r="AG10" s="10" t="n">
        <v>0</v>
      </c>
      <c r="AH10" s="27">
        <f>K10*M10*INDEX('01_Cadrage'!$L$24:$L$28,MATCH(A10,'01_Cadrage'!$J$24:$J$28,0))</f>
        <v/>
      </c>
      <c r="AI10" s="15">
        <f>IFERROR((21936350*(1+'01_Cadrage'!$F$3))*AH10/SUM($AH$4:$AH$61),0)</f>
        <v/>
      </c>
      <c r="AJ10" s="27">
        <f>IFERROR(AI10/Z10,0)</f>
        <v/>
      </c>
      <c r="AK10" s="16">
        <f>AA10-AI10</f>
        <v/>
      </c>
      <c r="AL10" s="27">
        <f>Y10-AJ10</f>
        <v/>
      </c>
    </row>
    <row r="11">
      <c r="A11" s="18">
        <f>'02_Base'!A11</f>
        <v/>
      </c>
      <c r="B11" s="19">
        <f>'02_Base'!B11</f>
        <v/>
      </c>
      <c r="C11" s="18">
        <f>'02_Base'!C11</f>
        <v/>
      </c>
      <c r="D11" s="19">
        <f>'02_Base'!E11</f>
        <v/>
      </c>
      <c r="E11" s="19">
        <f>'02_Base'!F11</f>
        <v/>
      </c>
      <c r="F11" s="40">
        <f>'02_Base'!G11</f>
        <v/>
      </c>
      <c r="G11" s="40">
        <f>'02_Base'!H11</f>
        <v/>
      </c>
      <c r="H11" s="40">
        <f>'02_Base'!I11</f>
        <v/>
      </c>
      <c r="I11" s="40">
        <f>'02_Base'!K11</f>
        <v/>
      </c>
      <c r="J11" s="40">
        <f>'02_Base'!L11</f>
        <v/>
      </c>
      <c r="K11" s="40">
        <f>'02_Base'!M11</f>
        <v/>
      </c>
      <c r="L11" s="40">
        <f>'02_Base'!N11</f>
        <v/>
      </c>
      <c r="M11" s="41">
        <f>'02_Base'!P11</f>
        <v/>
      </c>
      <c r="N11" s="42">
        <f>'02_Base'!Q11</f>
        <v/>
      </c>
      <c r="O11" s="42">
        <f>'02_Base'!R11</f>
        <v/>
      </c>
      <c r="P11" s="42">
        <f>'02_Base'!S11</f>
        <v/>
      </c>
      <c r="Q11" s="42">
        <f>'02_Base'!T11</f>
        <v/>
      </c>
      <c r="R11" s="34">
        <f>IF(F11=1,IFERROR(G11/INDEX('03_Campagnes'!$F$5:$F$18,MATCH(A11&amp;"|"&amp;B11,'03_Campagnes'!$C$5:$C$18,0)),0),0)</f>
        <v/>
      </c>
      <c r="S11" s="27">
        <f>INDEX('03_Campagnes'!$M$5:$M$18,MATCH(A11&amp;"|"&amp;B11,'03_Campagnes'!$C$5:$C$18,0))</f>
        <v/>
      </c>
      <c r="T11" s="27">
        <f>S11*R11</f>
        <v/>
      </c>
      <c r="U11" s="27">
        <f>IF(F11=1,T11*(O11+'01_Cadrage'!$H$18),0)</f>
        <v/>
      </c>
      <c r="V11" s="27">
        <f>U11*P11</f>
        <v/>
      </c>
      <c r="W11" s="26">
        <f>IF(F11=1,V11*(Q11+'01_Cadrage'!$H$19+AF11),0)</f>
        <v/>
      </c>
      <c r="X11" s="27">
        <f>IF(F11=1,0,L11*(N11+'01_Cadrage'!$H$20+AG11))</f>
        <v/>
      </c>
      <c r="Y11" s="26">
        <f>W11+X11</f>
        <v/>
      </c>
      <c r="Z11" s="16">
        <f>M11*(1+'01_Cadrage'!$H$17*INDEX('01_Cadrage'!$L$7:$L$20,MATCH(A11&amp;"|"&amp;B11,'01_Cadrage'!$M$7:$M$20,0)))</f>
        <v/>
      </c>
      <c r="AA11" s="15">
        <f>Y11*Z11+W11*'01_Cadrage'!$H$28</f>
        <v/>
      </c>
      <c r="AB11" s="27">
        <f>IF(F11=1,V11*(Q11+'01_Cadrage'!$H$19),0)</f>
        <v/>
      </c>
      <c r="AC11" s="27">
        <f>IF(F11=1,0,L11*(N11+'01_Cadrage'!$H$20))</f>
        <v/>
      </c>
      <c r="AD11" s="27">
        <f>AB11+AC11</f>
        <v/>
      </c>
      <c r="AE11" s="16">
        <f>AD11*Z11+AB11*'01_Cadrage'!$H$28</f>
        <v/>
      </c>
      <c r="AF11" s="10" t="n">
        <v>0</v>
      </c>
      <c r="AG11" s="10" t="n">
        <v>0</v>
      </c>
      <c r="AH11" s="27">
        <f>K11*M11*INDEX('01_Cadrage'!$L$24:$L$28,MATCH(A11,'01_Cadrage'!$J$24:$J$28,0))</f>
        <v/>
      </c>
      <c r="AI11" s="15">
        <f>IFERROR((21936350*(1+'01_Cadrage'!$F$3))*AH11/SUM($AH$4:$AH$61),0)</f>
        <v/>
      </c>
      <c r="AJ11" s="27">
        <f>IFERROR(AI11/Z11,0)</f>
        <v/>
      </c>
      <c r="AK11" s="16">
        <f>AA11-AI11</f>
        <v/>
      </c>
      <c r="AL11" s="27">
        <f>Y11-AJ11</f>
        <v/>
      </c>
    </row>
    <row r="12">
      <c r="A12" s="18">
        <f>'02_Base'!A12</f>
        <v/>
      </c>
      <c r="B12" s="19">
        <f>'02_Base'!B12</f>
        <v/>
      </c>
      <c r="C12" s="18">
        <f>'02_Base'!C12</f>
        <v/>
      </c>
      <c r="D12" s="19">
        <f>'02_Base'!E12</f>
        <v/>
      </c>
      <c r="E12" s="19">
        <f>'02_Base'!F12</f>
        <v/>
      </c>
      <c r="F12" s="40">
        <f>'02_Base'!G12</f>
        <v/>
      </c>
      <c r="G12" s="40">
        <f>'02_Base'!H12</f>
        <v/>
      </c>
      <c r="H12" s="40">
        <f>'02_Base'!I12</f>
        <v/>
      </c>
      <c r="I12" s="40">
        <f>'02_Base'!K12</f>
        <v/>
      </c>
      <c r="J12" s="40">
        <f>'02_Base'!L12</f>
        <v/>
      </c>
      <c r="K12" s="40">
        <f>'02_Base'!M12</f>
        <v/>
      </c>
      <c r="L12" s="40">
        <f>'02_Base'!N12</f>
        <v/>
      </c>
      <c r="M12" s="41">
        <f>'02_Base'!P12</f>
        <v/>
      </c>
      <c r="N12" s="42">
        <f>'02_Base'!Q12</f>
        <v/>
      </c>
      <c r="O12" s="42">
        <f>'02_Base'!R12</f>
        <v/>
      </c>
      <c r="P12" s="42">
        <f>'02_Base'!S12</f>
        <v/>
      </c>
      <c r="Q12" s="42">
        <f>'02_Base'!T12</f>
        <v/>
      </c>
      <c r="R12" s="34">
        <f>IF(F12=1,IFERROR(G12/INDEX('03_Campagnes'!$F$5:$F$18,MATCH(A12&amp;"|"&amp;B12,'03_Campagnes'!$C$5:$C$18,0)),0),0)</f>
        <v/>
      </c>
      <c r="S12" s="27">
        <f>INDEX('03_Campagnes'!$M$5:$M$18,MATCH(A12&amp;"|"&amp;B12,'03_Campagnes'!$C$5:$C$18,0))</f>
        <v/>
      </c>
      <c r="T12" s="27">
        <f>S12*R12</f>
        <v/>
      </c>
      <c r="U12" s="27">
        <f>IF(F12=1,T12*(O12+'01_Cadrage'!$H$18),0)</f>
        <v/>
      </c>
      <c r="V12" s="27">
        <f>U12*P12</f>
        <v/>
      </c>
      <c r="W12" s="26">
        <f>IF(F12=1,V12*(Q12+'01_Cadrage'!$H$19+AF12),0)</f>
        <v/>
      </c>
      <c r="X12" s="27">
        <f>IF(F12=1,0,L12*(N12+'01_Cadrage'!$H$20+AG12))</f>
        <v/>
      </c>
      <c r="Y12" s="26">
        <f>W12+X12</f>
        <v/>
      </c>
      <c r="Z12" s="16">
        <f>M12*(1+'01_Cadrage'!$H$17*INDEX('01_Cadrage'!$L$7:$L$20,MATCH(A12&amp;"|"&amp;B12,'01_Cadrage'!$M$7:$M$20,0)))</f>
        <v/>
      </c>
      <c r="AA12" s="15">
        <f>Y12*Z12+W12*'01_Cadrage'!$H$28</f>
        <v/>
      </c>
      <c r="AB12" s="27">
        <f>IF(F12=1,V12*(Q12+'01_Cadrage'!$H$19),0)</f>
        <v/>
      </c>
      <c r="AC12" s="27">
        <f>IF(F12=1,0,L12*(N12+'01_Cadrage'!$H$20))</f>
        <v/>
      </c>
      <c r="AD12" s="27">
        <f>AB12+AC12</f>
        <v/>
      </c>
      <c r="AE12" s="16">
        <f>AD12*Z12+AB12*'01_Cadrage'!$H$28</f>
        <v/>
      </c>
      <c r="AF12" s="10" t="n">
        <v>0</v>
      </c>
      <c r="AG12" s="10" t="n">
        <v>0</v>
      </c>
      <c r="AH12" s="27">
        <f>K12*M12*INDEX('01_Cadrage'!$L$24:$L$28,MATCH(A12,'01_Cadrage'!$J$24:$J$28,0))</f>
        <v/>
      </c>
      <c r="AI12" s="15">
        <f>IFERROR((21936350*(1+'01_Cadrage'!$F$3))*AH12/SUM($AH$4:$AH$61),0)</f>
        <v/>
      </c>
      <c r="AJ12" s="27">
        <f>IFERROR(AI12/Z12,0)</f>
        <v/>
      </c>
      <c r="AK12" s="16">
        <f>AA12-AI12</f>
        <v/>
      </c>
      <c r="AL12" s="27">
        <f>Y12-AJ12</f>
        <v/>
      </c>
    </row>
    <row r="13">
      <c r="A13" s="18">
        <f>'02_Base'!A13</f>
        <v/>
      </c>
      <c r="B13" s="19">
        <f>'02_Base'!B13</f>
        <v/>
      </c>
      <c r="C13" s="18">
        <f>'02_Base'!C13</f>
        <v/>
      </c>
      <c r="D13" s="19">
        <f>'02_Base'!E13</f>
        <v/>
      </c>
      <c r="E13" s="19">
        <f>'02_Base'!F13</f>
        <v/>
      </c>
      <c r="F13" s="40">
        <f>'02_Base'!G13</f>
        <v/>
      </c>
      <c r="G13" s="40">
        <f>'02_Base'!H13</f>
        <v/>
      </c>
      <c r="H13" s="40">
        <f>'02_Base'!I13</f>
        <v/>
      </c>
      <c r="I13" s="40">
        <f>'02_Base'!K13</f>
        <v/>
      </c>
      <c r="J13" s="40">
        <f>'02_Base'!L13</f>
        <v/>
      </c>
      <c r="K13" s="40">
        <f>'02_Base'!M13</f>
        <v/>
      </c>
      <c r="L13" s="40">
        <f>'02_Base'!N13</f>
        <v/>
      </c>
      <c r="M13" s="41">
        <f>'02_Base'!P13</f>
        <v/>
      </c>
      <c r="N13" s="42">
        <f>'02_Base'!Q13</f>
        <v/>
      </c>
      <c r="O13" s="42">
        <f>'02_Base'!R13</f>
        <v/>
      </c>
      <c r="P13" s="42">
        <f>'02_Base'!S13</f>
        <v/>
      </c>
      <c r="Q13" s="42">
        <f>'02_Base'!T13</f>
        <v/>
      </c>
      <c r="R13" s="34">
        <f>IF(F13=1,IFERROR(G13/INDEX('03_Campagnes'!$F$5:$F$18,MATCH(A13&amp;"|"&amp;B13,'03_Campagnes'!$C$5:$C$18,0)),0),0)</f>
        <v/>
      </c>
      <c r="S13" s="27">
        <f>INDEX('03_Campagnes'!$M$5:$M$18,MATCH(A13&amp;"|"&amp;B13,'03_Campagnes'!$C$5:$C$18,0))</f>
        <v/>
      </c>
      <c r="T13" s="27">
        <f>S13*R13</f>
        <v/>
      </c>
      <c r="U13" s="27">
        <f>IF(F13=1,T13*(O13+'01_Cadrage'!$H$18),0)</f>
        <v/>
      </c>
      <c r="V13" s="27">
        <f>U13*P13</f>
        <v/>
      </c>
      <c r="W13" s="26">
        <f>IF(F13=1,V13*(Q13+'01_Cadrage'!$H$19+AF13),0)</f>
        <v/>
      </c>
      <c r="X13" s="27">
        <f>IF(F13=1,0,L13*(N13+'01_Cadrage'!$H$20+AG13))</f>
        <v/>
      </c>
      <c r="Y13" s="26">
        <f>W13+X13</f>
        <v/>
      </c>
      <c r="Z13" s="16">
        <f>M13*(1+'01_Cadrage'!$H$17*INDEX('01_Cadrage'!$L$7:$L$20,MATCH(A13&amp;"|"&amp;B13,'01_Cadrage'!$M$7:$M$20,0)))</f>
        <v/>
      </c>
      <c r="AA13" s="15">
        <f>Y13*Z13+W13*'01_Cadrage'!$H$28</f>
        <v/>
      </c>
      <c r="AB13" s="27">
        <f>IF(F13=1,V13*(Q13+'01_Cadrage'!$H$19),0)</f>
        <v/>
      </c>
      <c r="AC13" s="27">
        <f>IF(F13=1,0,L13*(N13+'01_Cadrage'!$H$20))</f>
        <v/>
      </c>
      <c r="AD13" s="27">
        <f>AB13+AC13</f>
        <v/>
      </c>
      <c r="AE13" s="16">
        <f>AD13*Z13+AB13*'01_Cadrage'!$H$28</f>
        <v/>
      </c>
      <c r="AF13" s="10" t="n">
        <v>0</v>
      </c>
      <c r="AG13" s="10" t="n">
        <v>0</v>
      </c>
      <c r="AH13" s="27">
        <f>K13*M13*INDEX('01_Cadrage'!$L$24:$L$28,MATCH(A13,'01_Cadrage'!$J$24:$J$28,0))</f>
        <v/>
      </c>
      <c r="AI13" s="15">
        <f>IFERROR((21936350*(1+'01_Cadrage'!$F$3))*AH13/SUM($AH$4:$AH$61),0)</f>
        <v/>
      </c>
      <c r="AJ13" s="27">
        <f>IFERROR(AI13/Z13,0)</f>
        <v/>
      </c>
      <c r="AK13" s="16">
        <f>AA13-AI13</f>
        <v/>
      </c>
      <c r="AL13" s="27">
        <f>Y13-AJ13</f>
        <v/>
      </c>
    </row>
    <row r="14">
      <c r="A14" s="18">
        <f>'02_Base'!A14</f>
        <v/>
      </c>
      <c r="B14" s="19">
        <f>'02_Base'!B14</f>
        <v/>
      </c>
      <c r="C14" s="18">
        <f>'02_Base'!C14</f>
        <v/>
      </c>
      <c r="D14" s="19">
        <f>'02_Base'!E14</f>
        <v/>
      </c>
      <c r="E14" s="19">
        <f>'02_Base'!F14</f>
        <v/>
      </c>
      <c r="F14" s="40">
        <f>'02_Base'!G14</f>
        <v/>
      </c>
      <c r="G14" s="40">
        <f>'02_Base'!H14</f>
        <v/>
      </c>
      <c r="H14" s="40">
        <f>'02_Base'!I14</f>
        <v/>
      </c>
      <c r="I14" s="40">
        <f>'02_Base'!K14</f>
        <v/>
      </c>
      <c r="J14" s="40">
        <f>'02_Base'!L14</f>
        <v/>
      </c>
      <c r="K14" s="40">
        <f>'02_Base'!M14</f>
        <v/>
      </c>
      <c r="L14" s="40">
        <f>'02_Base'!N14</f>
        <v/>
      </c>
      <c r="M14" s="41">
        <f>'02_Base'!P14</f>
        <v/>
      </c>
      <c r="N14" s="42">
        <f>'02_Base'!Q14</f>
        <v/>
      </c>
      <c r="O14" s="42">
        <f>'02_Base'!R14</f>
        <v/>
      </c>
      <c r="P14" s="42">
        <f>'02_Base'!S14</f>
        <v/>
      </c>
      <c r="Q14" s="42">
        <f>'02_Base'!T14</f>
        <v/>
      </c>
      <c r="R14" s="34">
        <f>IF(F14=1,IFERROR(G14/INDEX('03_Campagnes'!$F$5:$F$18,MATCH(A14&amp;"|"&amp;B14,'03_Campagnes'!$C$5:$C$18,0)),0),0)</f>
        <v/>
      </c>
      <c r="S14" s="27">
        <f>INDEX('03_Campagnes'!$M$5:$M$18,MATCH(A14&amp;"|"&amp;B14,'03_Campagnes'!$C$5:$C$18,0))</f>
        <v/>
      </c>
      <c r="T14" s="27">
        <f>S14*R14</f>
        <v/>
      </c>
      <c r="U14" s="27">
        <f>IF(F14=1,T14*(O14+'01_Cadrage'!$H$18),0)</f>
        <v/>
      </c>
      <c r="V14" s="27">
        <f>U14*P14</f>
        <v/>
      </c>
      <c r="W14" s="26">
        <f>IF(F14=1,V14*(Q14+'01_Cadrage'!$H$19+AF14),0)</f>
        <v/>
      </c>
      <c r="X14" s="27">
        <f>IF(F14=1,0,L14*(N14+'01_Cadrage'!$H$20+AG14))</f>
        <v/>
      </c>
      <c r="Y14" s="26">
        <f>W14+X14</f>
        <v/>
      </c>
      <c r="Z14" s="16">
        <f>M14*(1+'01_Cadrage'!$H$17*INDEX('01_Cadrage'!$L$7:$L$20,MATCH(A14&amp;"|"&amp;B14,'01_Cadrage'!$M$7:$M$20,0)))</f>
        <v/>
      </c>
      <c r="AA14" s="15">
        <f>Y14*Z14+W14*'01_Cadrage'!$H$28</f>
        <v/>
      </c>
      <c r="AB14" s="27">
        <f>IF(F14=1,V14*(Q14+'01_Cadrage'!$H$19),0)</f>
        <v/>
      </c>
      <c r="AC14" s="27">
        <f>IF(F14=1,0,L14*(N14+'01_Cadrage'!$H$20))</f>
        <v/>
      </c>
      <c r="AD14" s="27">
        <f>AB14+AC14</f>
        <v/>
      </c>
      <c r="AE14" s="16">
        <f>AD14*Z14+AB14*'01_Cadrage'!$H$28</f>
        <v/>
      </c>
      <c r="AF14" s="10" t="n">
        <v>0</v>
      </c>
      <c r="AG14" s="10" t="n">
        <v>0</v>
      </c>
      <c r="AH14" s="27">
        <f>K14*M14*INDEX('01_Cadrage'!$L$24:$L$28,MATCH(A14,'01_Cadrage'!$J$24:$J$28,0))</f>
        <v/>
      </c>
      <c r="AI14" s="15">
        <f>IFERROR((21936350*(1+'01_Cadrage'!$F$3))*AH14/SUM($AH$4:$AH$61),0)</f>
        <v/>
      </c>
      <c r="AJ14" s="27">
        <f>IFERROR(AI14/Z14,0)</f>
        <v/>
      </c>
      <c r="AK14" s="16">
        <f>AA14-AI14</f>
        <v/>
      </c>
      <c r="AL14" s="27">
        <f>Y14-AJ14</f>
        <v/>
      </c>
    </row>
    <row r="15">
      <c r="A15" s="18">
        <f>'02_Base'!A15</f>
        <v/>
      </c>
      <c r="B15" s="19">
        <f>'02_Base'!B15</f>
        <v/>
      </c>
      <c r="C15" s="18">
        <f>'02_Base'!C15</f>
        <v/>
      </c>
      <c r="D15" s="19">
        <f>'02_Base'!E15</f>
        <v/>
      </c>
      <c r="E15" s="19">
        <f>'02_Base'!F15</f>
        <v/>
      </c>
      <c r="F15" s="40">
        <f>'02_Base'!G15</f>
        <v/>
      </c>
      <c r="G15" s="40">
        <f>'02_Base'!H15</f>
        <v/>
      </c>
      <c r="H15" s="40">
        <f>'02_Base'!I15</f>
        <v/>
      </c>
      <c r="I15" s="40">
        <f>'02_Base'!K15</f>
        <v/>
      </c>
      <c r="J15" s="40">
        <f>'02_Base'!L15</f>
        <v/>
      </c>
      <c r="K15" s="40">
        <f>'02_Base'!M15</f>
        <v/>
      </c>
      <c r="L15" s="40">
        <f>'02_Base'!N15</f>
        <v/>
      </c>
      <c r="M15" s="41">
        <f>'02_Base'!P15</f>
        <v/>
      </c>
      <c r="N15" s="42">
        <f>'02_Base'!Q15</f>
        <v/>
      </c>
      <c r="O15" s="42">
        <f>'02_Base'!R15</f>
        <v/>
      </c>
      <c r="P15" s="42">
        <f>'02_Base'!S15</f>
        <v/>
      </c>
      <c r="Q15" s="42">
        <f>'02_Base'!T15</f>
        <v/>
      </c>
      <c r="R15" s="34">
        <f>IF(F15=1,IFERROR(G15/INDEX('03_Campagnes'!$F$5:$F$18,MATCH(A15&amp;"|"&amp;B15,'03_Campagnes'!$C$5:$C$18,0)),0),0)</f>
        <v/>
      </c>
      <c r="S15" s="27">
        <f>INDEX('03_Campagnes'!$M$5:$M$18,MATCH(A15&amp;"|"&amp;B15,'03_Campagnes'!$C$5:$C$18,0))</f>
        <v/>
      </c>
      <c r="T15" s="27">
        <f>S15*R15</f>
        <v/>
      </c>
      <c r="U15" s="27">
        <f>IF(F15=1,T15*(O15+'01_Cadrage'!$H$18),0)</f>
        <v/>
      </c>
      <c r="V15" s="27">
        <f>U15*P15</f>
        <v/>
      </c>
      <c r="W15" s="26">
        <f>IF(F15=1,V15*(Q15+'01_Cadrage'!$H$19+AF15),0)</f>
        <v/>
      </c>
      <c r="X15" s="27">
        <f>IF(F15=1,0,L15*(N15+'01_Cadrage'!$H$20+AG15))</f>
        <v/>
      </c>
      <c r="Y15" s="26">
        <f>W15+X15</f>
        <v/>
      </c>
      <c r="Z15" s="16">
        <f>M15*(1+'01_Cadrage'!$H$17*INDEX('01_Cadrage'!$L$7:$L$20,MATCH(A15&amp;"|"&amp;B15,'01_Cadrage'!$M$7:$M$20,0)))</f>
        <v/>
      </c>
      <c r="AA15" s="15">
        <f>Y15*Z15+W15*'01_Cadrage'!$H$28</f>
        <v/>
      </c>
      <c r="AB15" s="27">
        <f>IF(F15=1,V15*(Q15+'01_Cadrage'!$H$19),0)</f>
        <v/>
      </c>
      <c r="AC15" s="27">
        <f>IF(F15=1,0,L15*(N15+'01_Cadrage'!$H$20))</f>
        <v/>
      </c>
      <c r="AD15" s="27">
        <f>AB15+AC15</f>
        <v/>
      </c>
      <c r="AE15" s="16">
        <f>AD15*Z15+AB15*'01_Cadrage'!$H$28</f>
        <v/>
      </c>
      <c r="AF15" s="10" t="n">
        <v>0</v>
      </c>
      <c r="AG15" s="10" t="n">
        <v>0</v>
      </c>
      <c r="AH15" s="27">
        <f>K15*M15*INDEX('01_Cadrage'!$L$24:$L$28,MATCH(A15,'01_Cadrage'!$J$24:$J$28,0))</f>
        <v/>
      </c>
      <c r="AI15" s="15">
        <f>IFERROR((21936350*(1+'01_Cadrage'!$F$3))*AH15/SUM($AH$4:$AH$61),0)</f>
        <v/>
      </c>
      <c r="AJ15" s="27">
        <f>IFERROR(AI15/Z15,0)</f>
        <v/>
      </c>
      <c r="AK15" s="16">
        <f>AA15-AI15</f>
        <v/>
      </c>
      <c r="AL15" s="27">
        <f>Y15-AJ15</f>
        <v/>
      </c>
    </row>
    <row r="16">
      <c r="A16" s="18">
        <f>'02_Base'!A16</f>
        <v/>
      </c>
      <c r="B16" s="19">
        <f>'02_Base'!B16</f>
        <v/>
      </c>
      <c r="C16" s="18">
        <f>'02_Base'!C16</f>
        <v/>
      </c>
      <c r="D16" s="19">
        <f>'02_Base'!E16</f>
        <v/>
      </c>
      <c r="E16" s="19">
        <f>'02_Base'!F16</f>
        <v/>
      </c>
      <c r="F16" s="40">
        <f>'02_Base'!G16</f>
        <v/>
      </c>
      <c r="G16" s="40">
        <f>'02_Base'!H16</f>
        <v/>
      </c>
      <c r="H16" s="40">
        <f>'02_Base'!I16</f>
        <v/>
      </c>
      <c r="I16" s="40">
        <f>'02_Base'!K16</f>
        <v/>
      </c>
      <c r="J16" s="40">
        <f>'02_Base'!L16</f>
        <v/>
      </c>
      <c r="K16" s="40">
        <f>'02_Base'!M16</f>
        <v/>
      </c>
      <c r="L16" s="40">
        <f>'02_Base'!N16</f>
        <v/>
      </c>
      <c r="M16" s="41">
        <f>'02_Base'!P16</f>
        <v/>
      </c>
      <c r="N16" s="42">
        <f>'02_Base'!Q16</f>
        <v/>
      </c>
      <c r="O16" s="42">
        <f>'02_Base'!R16</f>
        <v/>
      </c>
      <c r="P16" s="42">
        <f>'02_Base'!S16</f>
        <v/>
      </c>
      <c r="Q16" s="42">
        <f>'02_Base'!T16</f>
        <v/>
      </c>
      <c r="R16" s="34">
        <f>IF(F16=1,IFERROR(G16/INDEX('03_Campagnes'!$F$5:$F$18,MATCH(A16&amp;"|"&amp;B16,'03_Campagnes'!$C$5:$C$18,0)),0),0)</f>
        <v/>
      </c>
      <c r="S16" s="27">
        <f>INDEX('03_Campagnes'!$M$5:$M$18,MATCH(A16&amp;"|"&amp;B16,'03_Campagnes'!$C$5:$C$18,0))</f>
        <v/>
      </c>
      <c r="T16" s="27">
        <f>S16*R16</f>
        <v/>
      </c>
      <c r="U16" s="27">
        <f>IF(F16=1,T16*(O16+'01_Cadrage'!$H$18),0)</f>
        <v/>
      </c>
      <c r="V16" s="27">
        <f>U16*P16</f>
        <v/>
      </c>
      <c r="W16" s="26">
        <f>IF(F16=1,V16*(Q16+'01_Cadrage'!$H$19+AF16),0)</f>
        <v/>
      </c>
      <c r="X16" s="27">
        <f>IF(F16=1,0,L16*(N16+'01_Cadrage'!$H$20+AG16))</f>
        <v/>
      </c>
      <c r="Y16" s="26">
        <f>W16+X16</f>
        <v/>
      </c>
      <c r="Z16" s="16">
        <f>M16*(1+'01_Cadrage'!$H$17*INDEX('01_Cadrage'!$L$7:$L$20,MATCH(A16&amp;"|"&amp;B16,'01_Cadrage'!$M$7:$M$20,0)))</f>
        <v/>
      </c>
      <c r="AA16" s="15">
        <f>Y16*Z16+W16*'01_Cadrage'!$H$28</f>
        <v/>
      </c>
      <c r="AB16" s="27">
        <f>IF(F16=1,V16*(Q16+'01_Cadrage'!$H$19),0)</f>
        <v/>
      </c>
      <c r="AC16" s="27">
        <f>IF(F16=1,0,L16*(N16+'01_Cadrage'!$H$20))</f>
        <v/>
      </c>
      <c r="AD16" s="27">
        <f>AB16+AC16</f>
        <v/>
      </c>
      <c r="AE16" s="16">
        <f>AD16*Z16+AB16*'01_Cadrage'!$H$28</f>
        <v/>
      </c>
      <c r="AF16" s="10" t="n">
        <v>0</v>
      </c>
      <c r="AG16" s="10" t="n">
        <v>0</v>
      </c>
      <c r="AH16" s="27">
        <f>K16*M16*INDEX('01_Cadrage'!$L$24:$L$28,MATCH(A16,'01_Cadrage'!$J$24:$J$28,0))</f>
        <v/>
      </c>
      <c r="AI16" s="15">
        <f>IFERROR((21936350*(1+'01_Cadrage'!$F$3))*AH16/SUM($AH$4:$AH$61),0)</f>
        <v/>
      </c>
      <c r="AJ16" s="27">
        <f>IFERROR(AI16/Z16,0)</f>
        <v/>
      </c>
      <c r="AK16" s="16">
        <f>AA16-AI16</f>
        <v/>
      </c>
      <c r="AL16" s="27">
        <f>Y16-AJ16</f>
        <v/>
      </c>
    </row>
    <row r="17">
      <c r="A17" s="18">
        <f>'02_Base'!A17</f>
        <v/>
      </c>
      <c r="B17" s="19">
        <f>'02_Base'!B17</f>
        <v/>
      </c>
      <c r="C17" s="18">
        <f>'02_Base'!C17</f>
        <v/>
      </c>
      <c r="D17" s="19">
        <f>'02_Base'!E17</f>
        <v/>
      </c>
      <c r="E17" s="19">
        <f>'02_Base'!F17</f>
        <v/>
      </c>
      <c r="F17" s="40">
        <f>'02_Base'!G17</f>
        <v/>
      </c>
      <c r="G17" s="40">
        <f>'02_Base'!H17</f>
        <v/>
      </c>
      <c r="H17" s="40">
        <f>'02_Base'!I17</f>
        <v/>
      </c>
      <c r="I17" s="40">
        <f>'02_Base'!K17</f>
        <v/>
      </c>
      <c r="J17" s="40">
        <f>'02_Base'!L17</f>
        <v/>
      </c>
      <c r="K17" s="40">
        <f>'02_Base'!M17</f>
        <v/>
      </c>
      <c r="L17" s="40">
        <f>'02_Base'!N17</f>
        <v/>
      </c>
      <c r="M17" s="41">
        <f>'02_Base'!P17</f>
        <v/>
      </c>
      <c r="N17" s="42">
        <f>'02_Base'!Q17</f>
        <v/>
      </c>
      <c r="O17" s="42">
        <f>'02_Base'!R17</f>
        <v/>
      </c>
      <c r="P17" s="42">
        <f>'02_Base'!S17</f>
        <v/>
      </c>
      <c r="Q17" s="42">
        <f>'02_Base'!T17</f>
        <v/>
      </c>
      <c r="R17" s="34">
        <f>IF(F17=1,IFERROR(G17/INDEX('03_Campagnes'!$F$5:$F$18,MATCH(A17&amp;"|"&amp;B17,'03_Campagnes'!$C$5:$C$18,0)),0),0)</f>
        <v/>
      </c>
      <c r="S17" s="27">
        <f>INDEX('03_Campagnes'!$M$5:$M$18,MATCH(A17&amp;"|"&amp;B17,'03_Campagnes'!$C$5:$C$18,0))</f>
        <v/>
      </c>
      <c r="T17" s="27">
        <f>S17*R17</f>
        <v/>
      </c>
      <c r="U17" s="27">
        <f>IF(F17=1,T17*(O17+'01_Cadrage'!$H$18),0)</f>
        <v/>
      </c>
      <c r="V17" s="27">
        <f>U17*P17</f>
        <v/>
      </c>
      <c r="W17" s="26">
        <f>IF(F17=1,V17*(Q17+'01_Cadrage'!$H$19+AF17),0)</f>
        <v/>
      </c>
      <c r="X17" s="27">
        <f>IF(F17=1,0,L17*(N17+'01_Cadrage'!$H$20+AG17))</f>
        <v/>
      </c>
      <c r="Y17" s="26">
        <f>W17+X17</f>
        <v/>
      </c>
      <c r="Z17" s="16">
        <f>M17*(1+'01_Cadrage'!$H$17*INDEX('01_Cadrage'!$L$7:$L$20,MATCH(A17&amp;"|"&amp;B17,'01_Cadrage'!$M$7:$M$20,0)))</f>
        <v/>
      </c>
      <c r="AA17" s="15">
        <f>Y17*Z17+W17*'01_Cadrage'!$H$28</f>
        <v/>
      </c>
      <c r="AB17" s="27">
        <f>IF(F17=1,V17*(Q17+'01_Cadrage'!$H$19),0)</f>
        <v/>
      </c>
      <c r="AC17" s="27">
        <f>IF(F17=1,0,L17*(N17+'01_Cadrage'!$H$20))</f>
        <v/>
      </c>
      <c r="AD17" s="27">
        <f>AB17+AC17</f>
        <v/>
      </c>
      <c r="AE17" s="16">
        <f>AD17*Z17+AB17*'01_Cadrage'!$H$28</f>
        <v/>
      </c>
      <c r="AF17" s="10" t="n">
        <v>0</v>
      </c>
      <c r="AG17" s="10" t="n">
        <v>0</v>
      </c>
      <c r="AH17" s="27">
        <f>K17*M17*INDEX('01_Cadrage'!$L$24:$L$28,MATCH(A17,'01_Cadrage'!$J$24:$J$28,0))</f>
        <v/>
      </c>
      <c r="AI17" s="15">
        <f>IFERROR((21936350*(1+'01_Cadrage'!$F$3))*AH17/SUM($AH$4:$AH$61),0)</f>
        <v/>
      </c>
      <c r="AJ17" s="27">
        <f>IFERROR(AI17/Z17,0)</f>
        <v/>
      </c>
      <c r="AK17" s="16">
        <f>AA17-AI17</f>
        <v/>
      </c>
      <c r="AL17" s="27">
        <f>Y17-AJ17</f>
        <v/>
      </c>
    </row>
    <row r="18">
      <c r="A18" s="18">
        <f>'02_Base'!A18</f>
        <v/>
      </c>
      <c r="B18" s="19">
        <f>'02_Base'!B18</f>
        <v/>
      </c>
      <c r="C18" s="18">
        <f>'02_Base'!C18</f>
        <v/>
      </c>
      <c r="D18" s="19">
        <f>'02_Base'!E18</f>
        <v/>
      </c>
      <c r="E18" s="19">
        <f>'02_Base'!F18</f>
        <v/>
      </c>
      <c r="F18" s="40">
        <f>'02_Base'!G18</f>
        <v/>
      </c>
      <c r="G18" s="40">
        <f>'02_Base'!H18</f>
        <v/>
      </c>
      <c r="H18" s="40">
        <f>'02_Base'!I18</f>
        <v/>
      </c>
      <c r="I18" s="40">
        <f>'02_Base'!K18</f>
        <v/>
      </c>
      <c r="J18" s="40">
        <f>'02_Base'!L18</f>
        <v/>
      </c>
      <c r="K18" s="40">
        <f>'02_Base'!M18</f>
        <v/>
      </c>
      <c r="L18" s="40">
        <f>'02_Base'!N18</f>
        <v/>
      </c>
      <c r="M18" s="41">
        <f>'02_Base'!P18</f>
        <v/>
      </c>
      <c r="N18" s="42">
        <f>'02_Base'!Q18</f>
        <v/>
      </c>
      <c r="O18" s="42">
        <f>'02_Base'!R18</f>
        <v/>
      </c>
      <c r="P18" s="42">
        <f>'02_Base'!S18</f>
        <v/>
      </c>
      <c r="Q18" s="42">
        <f>'02_Base'!T18</f>
        <v/>
      </c>
      <c r="R18" s="34">
        <f>IF(F18=1,IFERROR(G18/INDEX('03_Campagnes'!$F$5:$F$18,MATCH(A18&amp;"|"&amp;B18,'03_Campagnes'!$C$5:$C$18,0)),0),0)</f>
        <v/>
      </c>
      <c r="S18" s="27">
        <f>INDEX('03_Campagnes'!$M$5:$M$18,MATCH(A18&amp;"|"&amp;B18,'03_Campagnes'!$C$5:$C$18,0))</f>
        <v/>
      </c>
      <c r="T18" s="27">
        <f>S18*R18</f>
        <v/>
      </c>
      <c r="U18" s="27">
        <f>IF(F18=1,T18*(O18+'01_Cadrage'!$H$18),0)</f>
        <v/>
      </c>
      <c r="V18" s="27">
        <f>U18*P18</f>
        <v/>
      </c>
      <c r="W18" s="26">
        <f>IF(F18=1,V18*(Q18+'01_Cadrage'!$H$19+AF18),0)</f>
        <v/>
      </c>
      <c r="X18" s="27">
        <f>IF(F18=1,0,L18*(N18+'01_Cadrage'!$H$20+AG18))</f>
        <v/>
      </c>
      <c r="Y18" s="26">
        <f>W18+X18</f>
        <v/>
      </c>
      <c r="Z18" s="16">
        <f>M18*(1+'01_Cadrage'!$H$17*INDEX('01_Cadrage'!$L$7:$L$20,MATCH(A18&amp;"|"&amp;B18,'01_Cadrage'!$M$7:$M$20,0)))</f>
        <v/>
      </c>
      <c r="AA18" s="15">
        <f>Y18*Z18+W18*'01_Cadrage'!$H$28</f>
        <v/>
      </c>
      <c r="AB18" s="27">
        <f>IF(F18=1,V18*(Q18+'01_Cadrage'!$H$19),0)</f>
        <v/>
      </c>
      <c r="AC18" s="27">
        <f>IF(F18=1,0,L18*(N18+'01_Cadrage'!$H$20))</f>
        <v/>
      </c>
      <c r="AD18" s="27">
        <f>AB18+AC18</f>
        <v/>
      </c>
      <c r="AE18" s="16">
        <f>AD18*Z18+AB18*'01_Cadrage'!$H$28</f>
        <v/>
      </c>
      <c r="AF18" s="10" t="n">
        <v>0</v>
      </c>
      <c r="AG18" s="10" t="n">
        <v>0</v>
      </c>
      <c r="AH18" s="27">
        <f>K18*M18*INDEX('01_Cadrage'!$L$24:$L$28,MATCH(A18,'01_Cadrage'!$J$24:$J$28,0))</f>
        <v/>
      </c>
      <c r="AI18" s="15">
        <f>IFERROR((21936350*(1+'01_Cadrage'!$F$3))*AH18/SUM($AH$4:$AH$61),0)</f>
        <v/>
      </c>
      <c r="AJ18" s="27">
        <f>IFERROR(AI18/Z18,0)</f>
        <v/>
      </c>
      <c r="AK18" s="16">
        <f>AA18-AI18</f>
        <v/>
      </c>
      <c r="AL18" s="27">
        <f>Y18-AJ18</f>
        <v/>
      </c>
    </row>
    <row r="19">
      <c r="A19" s="18">
        <f>'02_Base'!A19</f>
        <v/>
      </c>
      <c r="B19" s="19">
        <f>'02_Base'!B19</f>
        <v/>
      </c>
      <c r="C19" s="18">
        <f>'02_Base'!C19</f>
        <v/>
      </c>
      <c r="D19" s="19">
        <f>'02_Base'!E19</f>
        <v/>
      </c>
      <c r="E19" s="19">
        <f>'02_Base'!F19</f>
        <v/>
      </c>
      <c r="F19" s="40">
        <f>'02_Base'!G19</f>
        <v/>
      </c>
      <c r="G19" s="40">
        <f>'02_Base'!H19</f>
        <v/>
      </c>
      <c r="H19" s="40">
        <f>'02_Base'!I19</f>
        <v/>
      </c>
      <c r="I19" s="40">
        <f>'02_Base'!K19</f>
        <v/>
      </c>
      <c r="J19" s="40">
        <f>'02_Base'!L19</f>
        <v/>
      </c>
      <c r="K19" s="40">
        <f>'02_Base'!M19</f>
        <v/>
      </c>
      <c r="L19" s="40">
        <f>'02_Base'!N19</f>
        <v/>
      </c>
      <c r="M19" s="41">
        <f>'02_Base'!P19</f>
        <v/>
      </c>
      <c r="N19" s="42">
        <f>'02_Base'!Q19</f>
        <v/>
      </c>
      <c r="O19" s="42">
        <f>'02_Base'!R19</f>
        <v/>
      </c>
      <c r="P19" s="42">
        <f>'02_Base'!S19</f>
        <v/>
      </c>
      <c r="Q19" s="42">
        <f>'02_Base'!T19</f>
        <v/>
      </c>
      <c r="R19" s="34">
        <f>IF(F19=1,IFERROR(G19/INDEX('03_Campagnes'!$F$5:$F$18,MATCH(A19&amp;"|"&amp;B19,'03_Campagnes'!$C$5:$C$18,0)),0),0)</f>
        <v/>
      </c>
      <c r="S19" s="27">
        <f>INDEX('03_Campagnes'!$M$5:$M$18,MATCH(A19&amp;"|"&amp;B19,'03_Campagnes'!$C$5:$C$18,0))</f>
        <v/>
      </c>
      <c r="T19" s="27">
        <f>S19*R19</f>
        <v/>
      </c>
      <c r="U19" s="27">
        <f>IF(F19=1,T19*(O19+'01_Cadrage'!$H$18),0)</f>
        <v/>
      </c>
      <c r="V19" s="27">
        <f>U19*P19</f>
        <v/>
      </c>
      <c r="W19" s="26">
        <f>IF(F19=1,V19*(Q19+'01_Cadrage'!$H$19+AF19),0)</f>
        <v/>
      </c>
      <c r="X19" s="27">
        <f>IF(F19=1,0,L19*(N19+'01_Cadrage'!$H$20+AG19))</f>
        <v/>
      </c>
      <c r="Y19" s="26">
        <f>W19+X19</f>
        <v/>
      </c>
      <c r="Z19" s="16">
        <f>M19*(1+'01_Cadrage'!$H$17*INDEX('01_Cadrage'!$L$7:$L$20,MATCH(A19&amp;"|"&amp;B19,'01_Cadrage'!$M$7:$M$20,0)))</f>
        <v/>
      </c>
      <c r="AA19" s="15">
        <f>Y19*Z19+W19*'01_Cadrage'!$H$28</f>
        <v/>
      </c>
      <c r="AB19" s="27">
        <f>IF(F19=1,V19*(Q19+'01_Cadrage'!$H$19),0)</f>
        <v/>
      </c>
      <c r="AC19" s="27">
        <f>IF(F19=1,0,L19*(N19+'01_Cadrage'!$H$20))</f>
        <v/>
      </c>
      <c r="AD19" s="27">
        <f>AB19+AC19</f>
        <v/>
      </c>
      <c r="AE19" s="16">
        <f>AD19*Z19+AB19*'01_Cadrage'!$H$28</f>
        <v/>
      </c>
      <c r="AF19" s="10" t="n">
        <v>0</v>
      </c>
      <c r="AG19" s="10" t="n">
        <v>0</v>
      </c>
      <c r="AH19" s="27">
        <f>K19*M19*INDEX('01_Cadrage'!$L$24:$L$28,MATCH(A19,'01_Cadrage'!$J$24:$J$28,0))</f>
        <v/>
      </c>
      <c r="AI19" s="15">
        <f>IFERROR((21936350*(1+'01_Cadrage'!$F$3))*AH19/SUM($AH$4:$AH$61),0)</f>
        <v/>
      </c>
      <c r="AJ19" s="27">
        <f>IFERROR(AI19/Z19,0)</f>
        <v/>
      </c>
      <c r="AK19" s="16">
        <f>AA19-AI19</f>
        <v/>
      </c>
      <c r="AL19" s="27">
        <f>Y19-AJ19</f>
        <v/>
      </c>
    </row>
    <row r="20">
      <c r="A20" s="18">
        <f>'02_Base'!A20</f>
        <v/>
      </c>
      <c r="B20" s="19">
        <f>'02_Base'!B20</f>
        <v/>
      </c>
      <c r="C20" s="18">
        <f>'02_Base'!C20</f>
        <v/>
      </c>
      <c r="D20" s="19">
        <f>'02_Base'!E20</f>
        <v/>
      </c>
      <c r="E20" s="19">
        <f>'02_Base'!F20</f>
        <v/>
      </c>
      <c r="F20" s="40">
        <f>'02_Base'!G20</f>
        <v/>
      </c>
      <c r="G20" s="40">
        <f>'02_Base'!H20</f>
        <v/>
      </c>
      <c r="H20" s="40">
        <f>'02_Base'!I20</f>
        <v/>
      </c>
      <c r="I20" s="40">
        <f>'02_Base'!K20</f>
        <v/>
      </c>
      <c r="J20" s="40">
        <f>'02_Base'!L20</f>
        <v/>
      </c>
      <c r="K20" s="40">
        <f>'02_Base'!M20</f>
        <v/>
      </c>
      <c r="L20" s="40">
        <f>'02_Base'!N20</f>
        <v/>
      </c>
      <c r="M20" s="41">
        <f>'02_Base'!P20</f>
        <v/>
      </c>
      <c r="N20" s="42">
        <f>'02_Base'!Q20</f>
        <v/>
      </c>
      <c r="O20" s="42">
        <f>'02_Base'!R20</f>
        <v/>
      </c>
      <c r="P20" s="42">
        <f>'02_Base'!S20</f>
        <v/>
      </c>
      <c r="Q20" s="42">
        <f>'02_Base'!T20</f>
        <v/>
      </c>
      <c r="R20" s="34">
        <f>IF(F20=1,IFERROR(G20/INDEX('03_Campagnes'!$F$5:$F$18,MATCH(A20&amp;"|"&amp;B20,'03_Campagnes'!$C$5:$C$18,0)),0),0)</f>
        <v/>
      </c>
      <c r="S20" s="27">
        <f>INDEX('03_Campagnes'!$M$5:$M$18,MATCH(A20&amp;"|"&amp;B20,'03_Campagnes'!$C$5:$C$18,0))</f>
        <v/>
      </c>
      <c r="T20" s="27">
        <f>S20*R20</f>
        <v/>
      </c>
      <c r="U20" s="27">
        <f>IF(F20=1,T20*(O20+'01_Cadrage'!$H$18),0)</f>
        <v/>
      </c>
      <c r="V20" s="27">
        <f>U20*P20</f>
        <v/>
      </c>
      <c r="W20" s="26">
        <f>IF(F20=1,V20*(Q20+'01_Cadrage'!$H$19+AF20),0)</f>
        <v/>
      </c>
      <c r="X20" s="27">
        <f>IF(F20=1,0,L20*(N20+'01_Cadrage'!$H$20+AG20))</f>
        <v/>
      </c>
      <c r="Y20" s="26">
        <f>W20+X20</f>
        <v/>
      </c>
      <c r="Z20" s="16">
        <f>M20*(1+'01_Cadrage'!$H$17*INDEX('01_Cadrage'!$L$7:$L$20,MATCH(A20&amp;"|"&amp;B20,'01_Cadrage'!$M$7:$M$20,0)))</f>
        <v/>
      </c>
      <c r="AA20" s="15">
        <f>Y20*Z20+W20*'01_Cadrage'!$H$28</f>
        <v/>
      </c>
      <c r="AB20" s="27">
        <f>IF(F20=1,V20*(Q20+'01_Cadrage'!$H$19),0)</f>
        <v/>
      </c>
      <c r="AC20" s="27">
        <f>IF(F20=1,0,L20*(N20+'01_Cadrage'!$H$20))</f>
        <v/>
      </c>
      <c r="AD20" s="27">
        <f>AB20+AC20</f>
        <v/>
      </c>
      <c r="AE20" s="16">
        <f>AD20*Z20+AB20*'01_Cadrage'!$H$28</f>
        <v/>
      </c>
      <c r="AF20" s="10" t="n">
        <v>0</v>
      </c>
      <c r="AG20" s="10" t="n">
        <v>0</v>
      </c>
      <c r="AH20" s="27">
        <f>K20*M20*INDEX('01_Cadrage'!$L$24:$L$28,MATCH(A20,'01_Cadrage'!$J$24:$J$28,0))</f>
        <v/>
      </c>
      <c r="AI20" s="15">
        <f>IFERROR((21936350*(1+'01_Cadrage'!$F$3))*AH20/SUM($AH$4:$AH$61),0)</f>
        <v/>
      </c>
      <c r="AJ20" s="27">
        <f>IFERROR(AI20/Z20,0)</f>
        <v/>
      </c>
      <c r="AK20" s="16">
        <f>AA20-AI20</f>
        <v/>
      </c>
      <c r="AL20" s="27">
        <f>Y20-AJ20</f>
        <v/>
      </c>
    </row>
    <row r="21">
      <c r="A21" s="18">
        <f>'02_Base'!A21</f>
        <v/>
      </c>
      <c r="B21" s="19">
        <f>'02_Base'!B21</f>
        <v/>
      </c>
      <c r="C21" s="18">
        <f>'02_Base'!C21</f>
        <v/>
      </c>
      <c r="D21" s="19">
        <f>'02_Base'!E21</f>
        <v/>
      </c>
      <c r="E21" s="19">
        <f>'02_Base'!F21</f>
        <v/>
      </c>
      <c r="F21" s="40">
        <f>'02_Base'!G21</f>
        <v/>
      </c>
      <c r="G21" s="40">
        <f>'02_Base'!H21</f>
        <v/>
      </c>
      <c r="H21" s="40">
        <f>'02_Base'!I21</f>
        <v/>
      </c>
      <c r="I21" s="40">
        <f>'02_Base'!K21</f>
        <v/>
      </c>
      <c r="J21" s="40">
        <f>'02_Base'!L21</f>
        <v/>
      </c>
      <c r="K21" s="40">
        <f>'02_Base'!M21</f>
        <v/>
      </c>
      <c r="L21" s="40">
        <f>'02_Base'!N21</f>
        <v/>
      </c>
      <c r="M21" s="41">
        <f>'02_Base'!P21</f>
        <v/>
      </c>
      <c r="N21" s="42">
        <f>'02_Base'!Q21</f>
        <v/>
      </c>
      <c r="O21" s="42">
        <f>'02_Base'!R21</f>
        <v/>
      </c>
      <c r="P21" s="42">
        <f>'02_Base'!S21</f>
        <v/>
      </c>
      <c r="Q21" s="42">
        <f>'02_Base'!T21</f>
        <v/>
      </c>
      <c r="R21" s="34">
        <f>IF(F21=1,IFERROR(G21/INDEX('03_Campagnes'!$F$5:$F$18,MATCH(A21&amp;"|"&amp;B21,'03_Campagnes'!$C$5:$C$18,0)),0),0)</f>
        <v/>
      </c>
      <c r="S21" s="27">
        <f>INDEX('03_Campagnes'!$M$5:$M$18,MATCH(A21&amp;"|"&amp;B21,'03_Campagnes'!$C$5:$C$18,0))</f>
        <v/>
      </c>
      <c r="T21" s="27">
        <f>S21*R21</f>
        <v/>
      </c>
      <c r="U21" s="27">
        <f>IF(F21=1,T21*(O21+'01_Cadrage'!$H$18),0)</f>
        <v/>
      </c>
      <c r="V21" s="27">
        <f>U21*P21</f>
        <v/>
      </c>
      <c r="W21" s="26">
        <f>IF(F21=1,V21*(Q21+'01_Cadrage'!$H$19+AF21),0)</f>
        <v/>
      </c>
      <c r="X21" s="27">
        <f>IF(F21=1,0,L21*(N21+'01_Cadrage'!$H$20+AG21))</f>
        <v/>
      </c>
      <c r="Y21" s="26">
        <f>W21+X21</f>
        <v/>
      </c>
      <c r="Z21" s="16">
        <f>M21*(1+'01_Cadrage'!$H$17*INDEX('01_Cadrage'!$L$7:$L$20,MATCH(A21&amp;"|"&amp;B21,'01_Cadrage'!$M$7:$M$20,0)))</f>
        <v/>
      </c>
      <c r="AA21" s="15">
        <f>Y21*Z21+W21*'01_Cadrage'!$H$28</f>
        <v/>
      </c>
      <c r="AB21" s="27">
        <f>IF(F21=1,V21*(Q21+'01_Cadrage'!$H$19),0)</f>
        <v/>
      </c>
      <c r="AC21" s="27">
        <f>IF(F21=1,0,L21*(N21+'01_Cadrage'!$H$20))</f>
        <v/>
      </c>
      <c r="AD21" s="27">
        <f>AB21+AC21</f>
        <v/>
      </c>
      <c r="AE21" s="16">
        <f>AD21*Z21+AB21*'01_Cadrage'!$H$28</f>
        <v/>
      </c>
      <c r="AF21" s="10" t="n">
        <v>0</v>
      </c>
      <c r="AG21" s="10" t="n">
        <v>0</v>
      </c>
      <c r="AH21" s="27">
        <f>K21*M21*INDEX('01_Cadrage'!$L$24:$L$28,MATCH(A21,'01_Cadrage'!$J$24:$J$28,0))</f>
        <v/>
      </c>
      <c r="AI21" s="15">
        <f>IFERROR((21936350*(1+'01_Cadrage'!$F$3))*AH21/SUM($AH$4:$AH$61),0)</f>
        <v/>
      </c>
      <c r="AJ21" s="27">
        <f>IFERROR(AI21/Z21,0)</f>
        <v/>
      </c>
      <c r="AK21" s="16">
        <f>AA21-AI21</f>
        <v/>
      </c>
      <c r="AL21" s="27">
        <f>Y21-AJ21</f>
        <v/>
      </c>
    </row>
    <row r="22">
      <c r="A22" s="18">
        <f>'02_Base'!A22</f>
        <v/>
      </c>
      <c r="B22" s="19">
        <f>'02_Base'!B22</f>
        <v/>
      </c>
      <c r="C22" s="18">
        <f>'02_Base'!C22</f>
        <v/>
      </c>
      <c r="D22" s="19">
        <f>'02_Base'!E22</f>
        <v/>
      </c>
      <c r="E22" s="19">
        <f>'02_Base'!F22</f>
        <v/>
      </c>
      <c r="F22" s="40">
        <f>'02_Base'!G22</f>
        <v/>
      </c>
      <c r="G22" s="40">
        <f>'02_Base'!H22</f>
        <v/>
      </c>
      <c r="H22" s="40">
        <f>'02_Base'!I22</f>
        <v/>
      </c>
      <c r="I22" s="40">
        <f>'02_Base'!K22</f>
        <v/>
      </c>
      <c r="J22" s="40">
        <f>'02_Base'!L22</f>
        <v/>
      </c>
      <c r="K22" s="40">
        <f>'02_Base'!M22</f>
        <v/>
      </c>
      <c r="L22" s="40">
        <f>'02_Base'!N22</f>
        <v/>
      </c>
      <c r="M22" s="41">
        <f>'02_Base'!P22</f>
        <v/>
      </c>
      <c r="N22" s="42">
        <f>'02_Base'!Q22</f>
        <v/>
      </c>
      <c r="O22" s="42">
        <f>'02_Base'!R22</f>
        <v/>
      </c>
      <c r="P22" s="42">
        <f>'02_Base'!S22</f>
        <v/>
      </c>
      <c r="Q22" s="42">
        <f>'02_Base'!T22</f>
        <v/>
      </c>
      <c r="R22" s="34">
        <f>IF(F22=1,IFERROR(G22/INDEX('03_Campagnes'!$F$5:$F$18,MATCH(A22&amp;"|"&amp;B22,'03_Campagnes'!$C$5:$C$18,0)),0),0)</f>
        <v/>
      </c>
      <c r="S22" s="27">
        <f>INDEX('03_Campagnes'!$M$5:$M$18,MATCH(A22&amp;"|"&amp;B22,'03_Campagnes'!$C$5:$C$18,0))</f>
        <v/>
      </c>
      <c r="T22" s="27">
        <f>S22*R22</f>
        <v/>
      </c>
      <c r="U22" s="27">
        <f>IF(F22=1,T22*(O22+'01_Cadrage'!$H$18),0)</f>
        <v/>
      </c>
      <c r="V22" s="27">
        <f>U22*P22</f>
        <v/>
      </c>
      <c r="W22" s="26">
        <f>IF(F22=1,V22*(Q22+'01_Cadrage'!$H$19+AF22),0)</f>
        <v/>
      </c>
      <c r="X22" s="27">
        <f>IF(F22=1,0,L22*(N22+'01_Cadrage'!$H$20+AG22))</f>
        <v/>
      </c>
      <c r="Y22" s="26">
        <f>W22+X22</f>
        <v/>
      </c>
      <c r="Z22" s="16">
        <f>M22*(1+'01_Cadrage'!$H$17*INDEX('01_Cadrage'!$L$7:$L$20,MATCH(A22&amp;"|"&amp;B22,'01_Cadrage'!$M$7:$M$20,0)))</f>
        <v/>
      </c>
      <c r="AA22" s="15">
        <f>Y22*Z22+W22*'01_Cadrage'!$H$28</f>
        <v/>
      </c>
      <c r="AB22" s="27">
        <f>IF(F22=1,V22*(Q22+'01_Cadrage'!$H$19),0)</f>
        <v/>
      </c>
      <c r="AC22" s="27">
        <f>IF(F22=1,0,L22*(N22+'01_Cadrage'!$H$20))</f>
        <v/>
      </c>
      <c r="AD22" s="27">
        <f>AB22+AC22</f>
        <v/>
      </c>
      <c r="AE22" s="16">
        <f>AD22*Z22+AB22*'01_Cadrage'!$H$28</f>
        <v/>
      </c>
      <c r="AF22" s="10" t="n">
        <v>0</v>
      </c>
      <c r="AG22" s="10" t="n">
        <v>0</v>
      </c>
      <c r="AH22" s="27">
        <f>K22*M22*INDEX('01_Cadrage'!$L$24:$L$28,MATCH(A22,'01_Cadrage'!$J$24:$J$28,0))</f>
        <v/>
      </c>
      <c r="AI22" s="15">
        <f>IFERROR((21936350*(1+'01_Cadrage'!$F$3))*AH22/SUM($AH$4:$AH$61),0)</f>
        <v/>
      </c>
      <c r="AJ22" s="27">
        <f>IFERROR(AI22/Z22,0)</f>
        <v/>
      </c>
      <c r="AK22" s="16">
        <f>AA22-AI22</f>
        <v/>
      </c>
      <c r="AL22" s="27">
        <f>Y22-AJ22</f>
        <v/>
      </c>
    </row>
    <row r="23">
      <c r="A23" s="18">
        <f>'02_Base'!A23</f>
        <v/>
      </c>
      <c r="B23" s="19">
        <f>'02_Base'!B23</f>
        <v/>
      </c>
      <c r="C23" s="18">
        <f>'02_Base'!C23</f>
        <v/>
      </c>
      <c r="D23" s="19">
        <f>'02_Base'!E23</f>
        <v/>
      </c>
      <c r="E23" s="19">
        <f>'02_Base'!F23</f>
        <v/>
      </c>
      <c r="F23" s="40">
        <f>'02_Base'!G23</f>
        <v/>
      </c>
      <c r="G23" s="40">
        <f>'02_Base'!H23</f>
        <v/>
      </c>
      <c r="H23" s="40">
        <f>'02_Base'!I23</f>
        <v/>
      </c>
      <c r="I23" s="40">
        <f>'02_Base'!K23</f>
        <v/>
      </c>
      <c r="J23" s="40">
        <f>'02_Base'!L23</f>
        <v/>
      </c>
      <c r="K23" s="40">
        <f>'02_Base'!M23</f>
        <v/>
      </c>
      <c r="L23" s="40">
        <f>'02_Base'!N23</f>
        <v/>
      </c>
      <c r="M23" s="41">
        <f>'02_Base'!P23</f>
        <v/>
      </c>
      <c r="N23" s="42">
        <f>'02_Base'!Q23</f>
        <v/>
      </c>
      <c r="O23" s="42">
        <f>'02_Base'!R23</f>
        <v/>
      </c>
      <c r="P23" s="42">
        <f>'02_Base'!S23</f>
        <v/>
      </c>
      <c r="Q23" s="42">
        <f>'02_Base'!T23</f>
        <v/>
      </c>
      <c r="R23" s="34">
        <f>IF(F23=1,IFERROR(G23/INDEX('03_Campagnes'!$F$5:$F$18,MATCH(A23&amp;"|"&amp;B23,'03_Campagnes'!$C$5:$C$18,0)),0),0)</f>
        <v/>
      </c>
      <c r="S23" s="27">
        <f>INDEX('03_Campagnes'!$M$5:$M$18,MATCH(A23&amp;"|"&amp;B23,'03_Campagnes'!$C$5:$C$18,0))</f>
        <v/>
      </c>
      <c r="T23" s="27">
        <f>S23*R23</f>
        <v/>
      </c>
      <c r="U23" s="27">
        <f>IF(F23=1,T23*(O23+'01_Cadrage'!$H$18),0)</f>
        <v/>
      </c>
      <c r="V23" s="27">
        <f>U23*P23</f>
        <v/>
      </c>
      <c r="W23" s="26">
        <f>IF(F23=1,V23*(Q23+'01_Cadrage'!$H$19+AF23),0)</f>
        <v/>
      </c>
      <c r="X23" s="27">
        <f>IF(F23=1,0,L23*(N23+'01_Cadrage'!$H$20+AG23))</f>
        <v/>
      </c>
      <c r="Y23" s="26">
        <f>W23+X23</f>
        <v/>
      </c>
      <c r="Z23" s="16">
        <f>M23*(1+'01_Cadrage'!$H$17*INDEX('01_Cadrage'!$L$7:$L$20,MATCH(A23&amp;"|"&amp;B23,'01_Cadrage'!$M$7:$M$20,0)))</f>
        <v/>
      </c>
      <c r="AA23" s="15">
        <f>Y23*Z23+W23*'01_Cadrage'!$H$28</f>
        <v/>
      </c>
      <c r="AB23" s="27">
        <f>IF(F23=1,V23*(Q23+'01_Cadrage'!$H$19),0)</f>
        <v/>
      </c>
      <c r="AC23" s="27">
        <f>IF(F23=1,0,L23*(N23+'01_Cadrage'!$H$20))</f>
        <v/>
      </c>
      <c r="AD23" s="27">
        <f>AB23+AC23</f>
        <v/>
      </c>
      <c r="AE23" s="16">
        <f>AD23*Z23+AB23*'01_Cadrage'!$H$28</f>
        <v/>
      </c>
      <c r="AF23" s="10" t="n">
        <v>0</v>
      </c>
      <c r="AG23" s="10" t="n">
        <v>0</v>
      </c>
      <c r="AH23" s="27">
        <f>K23*M23*INDEX('01_Cadrage'!$L$24:$L$28,MATCH(A23,'01_Cadrage'!$J$24:$J$28,0))</f>
        <v/>
      </c>
      <c r="AI23" s="15">
        <f>IFERROR((21936350*(1+'01_Cadrage'!$F$3))*AH23/SUM($AH$4:$AH$61),0)</f>
        <v/>
      </c>
      <c r="AJ23" s="27">
        <f>IFERROR(AI23/Z23,0)</f>
        <v/>
      </c>
      <c r="AK23" s="16">
        <f>AA23-AI23</f>
        <v/>
      </c>
      <c r="AL23" s="27">
        <f>Y23-AJ23</f>
        <v/>
      </c>
    </row>
    <row r="24">
      <c r="A24" s="18">
        <f>'02_Base'!A24</f>
        <v/>
      </c>
      <c r="B24" s="19">
        <f>'02_Base'!B24</f>
        <v/>
      </c>
      <c r="C24" s="18">
        <f>'02_Base'!C24</f>
        <v/>
      </c>
      <c r="D24" s="19">
        <f>'02_Base'!E24</f>
        <v/>
      </c>
      <c r="E24" s="19">
        <f>'02_Base'!F24</f>
        <v/>
      </c>
      <c r="F24" s="40">
        <f>'02_Base'!G24</f>
        <v/>
      </c>
      <c r="G24" s="40">
        <f>'02_Base'!H24</f>
        <v/>
      </c>
      <c r="H24" s="40">
        <f>'02_Base'!I24</f>
        <v/>
      </c>
      <c r="I24" s="40">
        <f>'02_Base'!K24</f>
        <v/>
      </c>
      <c r="J24" s="40">
        <f>'02_Base'!L24</f>
        <v/>
      </c>
      <c r="K24" s="40">
        <f>'02_Base'!M24</f>
        <v/>
      </c>
      <c r="L24" s="40">
        <f>'02_Base'!N24</f>
        <v/>
      </c>
      <c r="M24" s="41">
        <f>'02_Base'!P24</f>
        <v/>
      </c>
      <c r="N24" s="42">
        <f>'02_Base'!Q24</f>
        <v/>
      </c>
      <c r="O24" s="42">
        <f>'02_Base'!R24</f>
        <v/>
      </c>
      <c r="P24" s="42">
        <f>'02_Base'!S24</f>
        <v/>
      </c>
      <c r="Q24" s="42">
        <f>'02_Base'!T24</f>
        <v/>
      </c>
      <c r="R24" s="34">
        <f>IF(F24=1,IFERROR(G24/INDEX('03_Campagnes'!$F$5:$F$18,MATCH(A24&amp;"|"&amp;B24,'03_Campagnes'!$C$5:$C$18,0)),0),0)</f>
        <v/>
      </c>
      <c r="S24" s="27">
        <f>INDEX('03_Campagnes'!$M$5:$M$18,MATCH(A24&amp;"|"&amp;B24,'03_Campagnes'!$C$5:$C$18,0))</f>
        <v/>
      </c>
      <c r="T24" s="27">
        <f>S24*R24</f>
        <v/>
      </c>
      <c r="U24" s="27">
        <f>IF(F24=1,T24*(O24+'01_Cadrage'!$H$18),0)</f>
        <v/>
      </c>
      <c r="V24" s="27">
        <f>U24*P24</f>
        <v/>
      </c>
      <c r="W24" s="26">
        <f>IF(F24=1,V24*(Q24+'01_Cadrage'!$H$19+AF24),0)</f>
        <v/>
      </c>
      <c r="X24" s="27">
        <f>IF(F24=1,0,L24*(N24+'01_Cadrage'!$H$20+AG24))</f>
        <v/>
      </c>
      <c r="Y24" s="26">
        <f>W24+X24</f>
        <v/>
      </c>
      <c r="Z24" s="16">
        <f>M24*(1+'01_Cadrage'!$H$17*INDEX('01_Cadrage'!$L$7:$L$20,MATCH(A24&amp;"|"&amp;B24,'01_Cadrage'!$M$7:$M$20,0)))</f>
        <v/>
      </c>
      <c r="AA24" s="15">
        <f>Y24*Z24+W24*'01_Cadrage'!$H$28</f>
        <v/>
      </c>
      <c r="AB24" s="27">
        <f>IF(F24=1,V24*(Q24+'01_Cadrage'!$H$19),0)</f>
        <v/>
      </c>
      <c r="AC24" s="27">
        <f>IF(F24=1,0,L24*(N24+'01_Cadrage'!$H$20))</f>
        <v/>
      </c>
      <c r="AD24" s="27">
        <f>AB24+AC24</f>
        <v/>
      </c>
      <c r="AE24" s="16">
        <f>AD24*Z24+AB24*'01_Cadrage'!$H$28</f>
        <v/>
      </c>
      <c r="AF24" s="10" t="n">
        <v>0</v>
      </c>
      <c r="AG24" s="10" t="n">
        <v>0</v>
      </c>
      <c r="AH24" s="27">
        <f>K24*M24*INDEX('01_Cadrage'!$L$24:$L$28,MATCH(A24,'01_Cadrage'!$J$24:$J$28,0))</f>
        <v/>
      </c>
      <c r="AI24" s="15">
        <f>IFERROR((21936350*(1+'01_Cadrage'!$F$3))*AH24/SUM($AH$4:$AH$61),0)</f>
        <v/>
      </c>
      <c r="AJ24" s="27">
        <f>IFERROR(AI24/Z24,0)</f>
        <v/>
      </c>
      <c r="AK24" s="16">
        <f>AA24-AI24</f>
        <v/>
      </c>
      <c r="AL24" s="27">
        <f>Y24-AJ24</f>
        <v/>
      </c>
    </row>
    <row r="25">
      <c r="A25" s="18">
        <f>'02_Base'!A25</f>
        <v/>
      </c>
      <c r="B25" s="19">
        <f>'02_Base'!B25</f>
        <v/>
      </c>
      <c r="C25" s="18">
        <f>'02_Base'!C25</f>
        <v/>
      </c>
      <c r="D25" s="19">
        <f>'02_Base'!E25</f>
        <v/>
      </c>
      <c r="E25" s="19">
        <f>'02_Base'!F25</f>
        <v/>
      </c>
      <c r="F25" s="40">
        <f>'02_Base'!G25</f>
        <v/>
      </c>
      <c r="G25" s="40">
        <f>'02_Base'!H25</f>
        <v/>
      </c>
      <c r="H25" s="40">
        <f>'02_Base'!I25</f>
        <v/>
      </c>
      <c r="I25" s="40">
        <f>'02_Base'!K25</f>
        <v/>
      </c>
      <c r="J25" s="40">
        <f>'02_Base'!L25</f>
        <v/>
      </c>
      <c r="K25" s="40">
        <f>'02_Base'!M25</f>
        <v/>
      </c>
      <c r="L25" s="40">
        <f>'02_Base'!N25</f>
        <v/>
      </c>
      <c r="M25" s="41">
        <f>'02_Base'!P25</f>
        <v/>
      </c>
      <c r="N25" s="42">
        <f>'02_Base'!Q25</f>
        <v/>
      </c>
      <c r="O25" s="42">
        <f>'02_Base'!R25</f>
        <v/>
      </c>
      <c r="P25" s="42">
        <f>'02_Base'!S25</f>
        <v/>
      </c>
      <c r="Q25" s="42">
        <f>'02_Base'!T25</f>
        <v/>
      </c>
      <c r="R25" s="34">
        <f>IF(F25=1,IFERROR(G25/INDEX('03_Campagnes'!$F$5:$F$18,MATCH(A25&amp;"|"&amp;B25,'03_Campagnes'!$C$5:$C$18,0)),0),0)</f>
        <v/>
      </c>
      <c r="S25" s="27">
        <f>INDEX('03_Campagnes'!$M$5:$M$18,MATCH(A25&amp;"|"&amp;B25,'03_Campagnes'!$C$5:$C$18,0))</f>
        <v/>
      </c>
      <c r="T25" s="27">
        <f>S25*R25</f>
        <v/>
      </c>
      <c r="U25" s="27">
        <f>IF(F25=1,T25*(O25+'01_Cadrage'!$H$18),0)</f>
        <v/>
      </c>
      <c r="V25" s="27">
        <f>U25*P25</f>
        <v/>
      </c>
      <c r="W25" s="26">
        <f>IF(F25=1,V25*(Q25+'01_Cadrage'!$H$19+AF25),0)</f>
        <v/>
      </c>
      <c r="X25" s="27">
        <f>IF(F25=1,0,L25*(N25+'01_Cadrage'!$H$20+AG25))</f>
        <v/>
      </c>
      <c r="Y25" s="26">
        <f>W25+X25</f>
        <v/>
      </c>
      <c r="Z25" s="16">
        <f>M25*(1+'01_Cadrage'!$H$17*INDEX('01_Cadrage'!$L$7:$L$20,MATCH(A25&amp;"|"&amp;B25,'01_Cadrage'!$M$7:$M$20,0)))</f>
        <v/>
      </c>
      <c r="AA25" s="15">
        <f>Y25*Z25+W25*'01_Cadrage'!$H$28</f>
        <v/>
      </c>
      <c r="AB25" s="27">
        <f>IF(F25=1,V25*(Q25+'01_Cadrage'!$H$19),0)</f>
        <v/>
      </c>
      <c r="AC25" s="27">
        <f>IF(F25=1,0,L25*(N25+'01_Cadrage'!$H$20))</f>
        <v/>
      </c>
      <c r="AD25" s="27">
        <f>AB25+AC25</f>
        <v/>
      </c>
      <c r="AE25" s="16">
        <f>AD25*Z25+AB25*'01_Cadrage'!$H$28</f>
        <v/>
      </c>
      <c r="AF25" s="10" t="n">
        <v>0</v>
      </c>
      <c r="AG25" s="10" t="n">
        <v>0</v>
      </c>
      <c r="AH25" s="27">
        <f>K25*M25*INDEX('01_Cadrage'!$L$24:$L$28,MATCH(A25,'01_Cadrage'!$J$24:$J$28,0))</f>
        <v/>
      </c>
      <c r="AI25" s="15">
        <f>IFERROR((21936350*(1+'01_Cadrage'!$F$3))*AH25/SUM($AH$4:$AH$61),0)</f>
        <v/>
      </c>
      <c r="AJ25" s="27">
        <f>IFERROR(AI25/Z25,0)</f>
        <v/>
      </c>
      <c r="AK25" s="16">
        <f>AA25-AI25</f>
        <v/>
      </c>
      <c r="AL25" s="27">
        <f>Y25-AJ25</f>
        <v/>
      </c>
    </row>
    <row r="26">
      <c r="A26" s="18">
        <f>'02_Base'!A26</f>
        <v/>
      </c>
      <c r="B26" s="19">
        <f>'02_Base'!B26</f>
        <v/>
      </c>
      <c r="C26" s="18">
        <f>'02_Base'!C26</f>
        <v/>
      </c>
      <c r="D26" s="19">
        <f>'02_Base'!E26</f>
        <v/>
      </c>
      <c r="E26" s="19">
        <f>'02_Base'!F26</f>
        <v/>
      </c>
      <c r="F26" s="40">
        <f>'02_Base'!G26</f>
        <v/>
      </c>
      <c r="G26" s="40">
        <f>'02_Base'!H26</f>
        <v/>
      </c>
      <c r="H26" s="40">
        <f>'02_Base'!I26</f>
        <v/>
      </c>
      <c r="I26" s="40">
        <f>'02_Base'!K26</f>
        <v/>
      </c>
      <c r="J26" s="40">
        <f>'02_Base'!L26</f>
        <v/>
      </c>
      <c r="K26" s="40">
        <f>'02_Base'!M26</f>
        <v/>
      </c>
      <c r="L26" s="40">
        <f>'02_Base'!N26</f>
        <v/>
      </c>
      <c r="M26" s="41">
        <f>'02_Base'!P26</f>
        <v/>
      </c>
      <c r="N26" s="42">
        <f>'02_Base'!Q26</f>
        <v/>
      </c>
      <c r="O26" s="42">
        <f>'02_Base'!R26</f>
        <v/>
      </c>
      <c r="P26" s="42">
        <f>'02_Base'!S26</f>
        <v/>
      </c>
      <c r="Q26" s="42">
        <f>'02_Base'!T26</f>
        <v/>
      </c>
      <c r="R26" s="34">
        <f>IF(F26=1,IFERROR(G26/INDEX('03_Campagnes'!$F$5:$F$18,MATCH(A26&amp;"|"&amp;B26,'03_Campagnes'!$C$5:$C$18,0)),0),0)</f>
        <v/>
      </c>
      <c r="S26" s="27">
        <f>INDEX('03_Campagnes'!$M$5:$M$18,MATCH(A26&amp;"|"&amp;B26,'03_Campagnes'!$C$5:$C$18,0))</f>
        <v/>
      </c>
      <c r="T26" s="27">
        <f>S26*R26</f>
        <v/>
      </c>
      <c r="U26" s="27">
        <f>IF(F26=1,T26*(O26+'01_Cadrage'!$H$18),0)</f>
        <v/>
      </c>
      <c r="V26" s="27">
        <f>U26*P26</f>
        <v/>
      </c>
      <c r="W26" s="26">
        <f>IF(F26=1,V26*(Q26+'01_Cadrage'!$H$19+AF26),0)</f>
        <v/>
      </c>
      <c r="X26" s="27">
        <f>IF(F26=1,0,L26*(N26+'01_Cadrage'!$H$20+AG26))</f>
        <v/>
      </c>
      <c r="Y26" s="26">
        <f>W26+X26</f>
        <v/>
      </c>
      <c r="Z26" s="16">
        <f>M26*(1+'01_Cadrage'!$H$17*INDEX('01_Cadrage'!$L$7:$L$20,MATCH(A26&amp;"|"&amp;B26,'01_Cadrage'!$M$7:$M$20,0)))</f>
        <v/>
      </c>
      <c r="AA26" s="15">
        <f>Y26*Z26+W26*'01_Cadrage'!$H$28</f>
        <v/>
      </c>
      <c r="AB26" s="27">
        <f>IF(F26=1,V26*(Q26+'01_Cadrage'!$H$19),0)</f>
        <v/>
      </c>
      <c r="AC26" s="27">
        <f>IF(F26=1,0,L26*(N26+'01_Cadrage'!$H$20))</f>
        <v/>
      </c>
      <c r="AD26" s="27">
        <f>AB26+AC26</f>
        <v/>
      </c>
      <c r="AE26" s="16">
        <f>AD26*Z26+AB26*'01_Cadrage'!$H$28</f>
        <v/>
      </c>
      <c r="AF26" s="10" t="n">
        <v>0</v>
      </c>
      <c r="AG26" s="10" t="n">
        <v>0</v>
      </c>
      <c r="AH26" s="27">
        <f>K26*M26*INDEX('01_Cadrage'!$L$24:$L$28,MATCH(A26,'01_Cadrage'!$J$24:$J$28,0))</f>
        <v/>
      </c>
      <c r="AI26" s="15">
        <f>IFERROR((21936350*(1+'01_Cadrage'!$F$3))*AH26/SUM($AH$4:$AH$61),0)</f>
        <v/>
      </c>
      <c r="AJ26" s="27">
        <f>IFERROR(AI26/Z26,0)</f>
        <v/>
      </c>
      <c r="AK26" s="16">
        <f>AA26-AI26</f>
        <v/>
      </c>
      <c r="AL26" s="27">
        <f>Y26-AJ26</f>
        <v/>
      </c>
    </row>
    <row r="27">
      <c r="A27" s="18">
        <f>'02_Base'!A27</f>
        <v/>
      </c>
      <c r="B27" s="19">
        <f>'02_Base'!B27</f>
        <v/>
      </c>
      <c r="C27" s="18">
        <f>'02_Base'!C27</f>
        <v/>
      </c>
      <c r="D27" s="19">
        <f>'02_Base'!E27</f>
        <v/>
      </c>
      <c r="E27" s="19">
        <f>'02_Base'!F27</f>
        <v/>
      </c>
      <c r="F27" s="40">
        <f>'02_Base'!G27</f>
        <v/>
      </c>
      <c r="G27" s="40">
        <f>'02_Base'!H27</f>
        <v/>
      </c>
      <c r="H27" s="40">
        <f>'02_Base'!I27</f>
        <v/>
      </c>
      <c r="I27" s="40">
        <f>'02_Base'!K27</f>
        <v/>
      </c>
      <c r="J27" s="40">
        <f>'02_Base'!L27</f>
        <v/>
      </c>
      <c r="K27" s="40">
        <f>'02_Base'!M27</f>
        <v/>
      </c>
      <c r="L27" s="40">
        <f>'02_Base'!N27</f>
        <v/>
      </c>
      <c r="M27" s="41">
        <f>'02_Base'!P27</f>
        <v/>
      </c>
      <c r="N27" s="42">
        <f>'02_Base'!Q27</f>
        <v/>
      </c>
      <c r="O27" s="42">
        <f>'02_Base'!R27</f>
        <v/>
      </c>
      <c r="P27" s="42">
        <f>'02_Base'!S27</f>
        <v/>
      </c>
      <c r="Q27" s="42">
        <f>'02_Base'!T27</f>
        <v/>
      </c>
      <c r="R27" s="34">
        <f>IF(F27=1,IFERROR(G27/INDEX('03_Campagnes'!$F$5:$F$18,MATCH(A27&amp;"|"&amp;B27,'03_Campagnes'!$C$5:$C$18,0)),0),0)</f>
        <v/>
      </c>
      <c r="S27" s="27">
        <f>INDEX('03_Campagnes'!$M$5:$M$18,MATCH(A27&amp;"|"&amp;B27,'03_Campagnes'!$C$5:$C$18,0))</f>
        <v/>
      </c>
      <c r="T27" s="27">
        <f>S27*R27</f>
        <v/>
      </c>
      <c r="U27" s="27">
        <f>IF(F27=1,T27*(O27+'01_Cadrage'!$H$18),0)</f>
        <v/>
      </c>
      <c r="V27" s="27">
        <f>U27*P27</f>
        <v/>
      </c>
      <c r="W27" s="26">
        <f>IF(F27=1,V27*(Q27+'01_Cadrage'!$H$19+AF27),0)</f>
        <v/>
      </c>
      <c r="X27" s="27">
        <f>IF(F27=1,0,L27*(N27+'01_Cadrage'!$H$20+AG27))</f>
        <v/>
      </c>
      <c r="Y27" s="26">
        <f>W27+X27</f>
        <v/>
      </c>
      <c r="Z27" s="16">
        <f>M27*(1+'01_Cadrage'!$H$17*INDEX('01_Cadrage'!$L$7:$L$20,MATCH(A27&amp;"|"&amp;B27,'01_Cadrage'!$M$7:$M$20,0)))</f>
        <v/>
      </c>
      <c r="AA27" s="15">
        <f>Y27*Z27+W27*'01_Cadrage'!$H$28</f>
        <v/>
      </c>
      <c r="AB27" s="27">
        <f>IF(F27=1,V27*(Q27+'01_Cadrage'!$H$19),0)</f>
        <v/>
      </c>
      <c r="AC27" s="27">
        <f>IF(F27=1,0,L27*(N27+'01_Cadrage'!$H$20))</f>
        <v/>
      </c>
      <c r="AD27" s="27">
        <f>AB27+AC27</f>
        <v/>
      </c>
      <c r="AE27" s="16">
        <f>AD27*Z27+AB27*'01_Cadrage'!$H$28</f>
        <v/>
      </c>
      <c r="AF27" s="10" t="n">
        <v>0</v>
      </c>
      <c r="AG27" s="10" t="n">
        <v>0</v>
      </c>
      <c r="AH27" s="27">
        <f>K27*M27*INDEX('01_Cadrage'!$L$24:$L$28,MATCH(A27,'01_Cadrage'!$J$24:$J$28,0))</f>
        <v/>
      </c>
      <c r="AI27" s="15">
        <f>IFERROR((21936350*(1+'01_Cadrage'!$F$3))*AH27/SUM($AH$4:$AH$61),0)</f>
        <v/>
      </c>
      <c r="AJ27" s="27">
        <f>IFERROR(AI27/Z27,0)</f>
        <v/>
      </c>
      <c r="AK27" s="16">
        <f>AA27-AI27</f>
        <v/>
      </c>
      <c r="AL27" s="27">
        <f>Y27-AJ27</f>
        <v/>
      </c>
    </row>
    <row r="28">
      <c r="A28" s="18">
        <f>'02_Base'!A28</f>
        <v/>
      </c>
      <c r="B28" s="19">
        <f>'02_Base'!B28</f>
        <v/>
      </c>
      <c r="C28" s="18">
        <f>'02_Base'!C28</f>
        <v/>
      </c>
      <c r="D28" s="19">
        <f>'02_Base'!E28</f>
        <v/>
      </c>
      <c r="E28" s="19">
        <f>'02_Base'!F28</f>
        <v/>
      </c>
      <c r="F28" s="40">
        <f>'02_Base'!G28</f>
        <v/>
      </c>
      <c r="G28" s="40">
        <f>'02_Base'!H28</f>
        <v/>
      </c>
      <c r="H28" s="40">
        <f>'02_Base'!I28</f>
        <v/>
      </c>
      <c r="I28" s="40">
        <f>'02_Base'!K28</f>
        <v/>
      </c>
      <c r="J28" s="40">
        <f>'02_Base'!L28</f>
        <v/>
      </c>
      <c r="K28" s="40">
        <f>'02_Base'!M28</f>
        <v/>
      </c>
      <c r="L28" s="40">
        <f>'02_Base'!N28</f>
        <v/>
      </c>
      <c r="M28" s="41">
        <f>'02_Base'!P28</f>
        <v/>
      </c>
      <c r="N28" s="42">
        <f>'02_Base'!Q28</f>
        <v/>
      </c>
      <c r="O28" s="42">
        <f>'02_Base'!R28</f>
        <v/>
      </c>
      <c r="P28" s="42">
        <f>'02_Base'!S28</f>
        <v/>
      </c>
      <c r="Q28" s="42">
        <f>'02_Base'!T28</f>
        <v/>
      </c>
      <c r="R28" s="34">
        <f>IF(F28=1,IFERROR(G28/INDEX('03_Campagnes'!$F$5:$F$18,MATCH(A28&amp;"|"&amp;B28,'03_Campagnes'!$C$5:$C$18,0)),0),0)</f>
        <v/>
      </c>
      <c r="S28" s="27">
        <f>INDEX('03_Campagnes'!$M$5:$M$18,MATCH(A28&amp;"|"&amp;B28,'03_Campagnes'!$C$5:$C$18,0))</f>
        <v/>
      </c>
      <c r="T28" s="27">
        <f>S28*R28</f>
        <v/>
      </c>
      <c r="U28" s="27">
        <f>IF(F28=1,T28*(O28+'01_Cadrage'!$H$18),0)</f>
        <v/>
      </c>
      <c r="V28" s="27">
        <f>U28*P28</f>
        <v/>
      </c>
      <c r="W28" s="26">
        <f>IF(F28=1,V28*(Q28+'01_Cadrage'!$H$19+AF28),0)</f>
        <v/>
      </c>
      <c r="X28" s="27">
        <f>IF(F28=1,0,L28*(N28+'01_Cadrage'!$H$20+AG28))</f>
        <v/>
      </c>
      <c r="Y28" s="26">
        <f>W28+X28</f>
        <v/>
      </c>
      <c r="Z28" s="16">
        <f>M28*(1+'01_Cadrage'!$H$17*INDEX('01_Cadrage'!$L$7:$L$20,MATCH(A28&amp;"|"&amp;B28,'01_Cadrage'!$M$7:$M$20,0)))</f>
        <v/>
      </c>
      <c r="AA28" s="15">
        <f>Y28*Z28+W28*'01_Cadrage'!$H$28</f>
        <v/>
      </c>
      <c r="AB28" s="27">
        <f>IF(F28=1,V28*(Q28+'01_Cadrage'!$H$19),0)</f>
        <v/>
      </c>
      <c r="AC28" s="27">
        <f>IF(F28=1,0,L28*(N28+'01_Cadrage'!$H$20))</f>
        <v/>
      </c>
      <c r="AD28" s="27">
        <f>AB28+AC28</f>
        <v/>
      </c>
      <c r="AE28" s="16">
        <f>AD28*Z28+AB28*'01_Cadrage'!$H$28</f>
        <v/>
      </c>
      <c r="AF28" s="10" t="n">
        <v>0</v>
      </c>
      <c r="AG28" s="10" t="n">
        <v>0</v>
      </c>
      <c r="AH28" s="27">
        <f>K28*M28*INDEX('01_Cadrage'!$L$24:$L$28,MATCH(A28,'01_Cadrage'!$J$24:$J$28,0))</f>
        <v/>
      </c>
      <c r="AI28" s="15">
        <f>IFERROR((21936350*(1+'01_Cadrage'!$F$3))*AH28/SUM($AH$4:$AH$61),0)</f>
        <v/>
      </c>
      <c r="AJ28" s="27">
        <f>IFERROR(AI28/Z28,0)</f>
        <v/>
      </c>
      <c r="AK28" s="16">
        <f>AA28-AI28</f>
        <v/>
      </c>
      <c r="AL28" s="27">
        <f>Y28-AJ28</f>
        <v/>
      </c>
    </row>
    <row r="29">
      <c r="A29" s="18">
        <f>'02_Base'!A29</f>
        <v/>
      </c>
      <c r="B29" s="19">
        <f>'02_Base'!B29</f>
        <v/>
      </c>
      <c r="C29" s="18">
        <f>'02_Base'!C29</f>
        <v/>
      </c>
      <c r="D29" s="19">
        <f>'02_Base'!E29</f>
        <v/>
      </c>
      <c r="E29" s="19">
        <f>'02_Base'!F29</f>
        <v/>
      </c>
      <c r="F29" s="40">
        <f>'02_Base'!G29</f>
        <v/>
      </c>
      <c r="G29" s="40">
        <f>'02_Base'!H29</f>
        <v/>
      </c>
      <c r="H29" s="40">
        <f>'02_Base'!I29</f>
        <v/>
      </c>
      <c r="I29" s="40">
        <f>'02_Base'!K29</f>
        <v/>
      </c>
      <c r="J29" s="40">
        <f>'02_Base'!L29</f>
        <v/>
      </c>
      <c r="K29" s="40">
        <f>'02_Base'!M29</f>
        <v/>
      </c>
      <c r="L29" s="40">
        <f>'02_Base'!N29</f>
        <v/>
      </c>
      <c r="M29" s="41">
        <f>'02_Base'!P29</f>
        <v/>
      </c>
      <c r="N29" s="42">
        <f>'02_Base'!Q29</f>
        <v/>
      </c>
      <c r="O29" s="42">
        <f>'02_Base'!R29</f>
        <v/>
      </c>
      <c r="P29" s="42">
        <f>'02_Base'!S29</f>
        <v/>
      </c>
      <c r="Q29" s="42">
        <f>'02_Base'!T29</f>
        <v/>
      </c>
      <c r="R29" s="34">
        <f>IF(F29=1,IFERROR(G29/INDEX('03_Campagnes'!$F$5:$F$18,MATCH(A29&amp;"|"&amp;B29,'03_Campagnes'!$C$5:$C$18,0)),0),0)</f>
        <v/>
      </c>
      <c r="S29" s="27">
        <f>INDEX('03_Campagnes'!$M$5:$M$18,MATCH(A29&amp;"|"&amp;B29,'03_Campagnes'!$C$5:$C$18,0))</f>
        <v/>
      </c>
      <c r="T29" s="27">
        <f>S29*R29</f>
        <v/>
      </c>
      <c r="U29" s="27">
        <f>IF(F29=1,T29*(O29+'01_Cadrage'!$H$18),0)</f>
        <v/>
      </c>
      <c r="V29" s="27">
        <f>U29*P29</f>
        <v/>
      </c>
      <c r="W29" s="26">
        <f>IF(F29=1,V29*(Q29+'01_Cadrage'!$H$19+AF29),0)</f>
        <v/>
      </c>
      <c r="X29" s="27">
        <f>IF(F29=1,0,L29*(N29+'01_Cadrage'!$H$20+AG29))</f>
        <v/>
      </c>
      <c r="Y29" s="26">
        <f>W29+X29</f>
        <v/>
      </c>
      <c r="Z29" s="16">
        <f>M29*(1+'01_Cadrage'!$H$17*INDEX('01_Cadrage'!$L$7:$L$20,MATCH(A29&amp;"|"&amp;B29,'01_Cadrage'!$M$7:$M$20,0)))</f>
        <v/>
      </c>
      <c r="AA29" s="15">
        <f>Y29*Z29+W29*'01_Cadrage'!$H$28</f>
        <v/>
      </c>
      <c r="AB29" s="27">
        <f>IF(F29=1,V29*(Q29+'01_Cadrage'!$H$19),0)</f>
        <v/>
      </c>
      <c r="AC29" s="27">
        <f>IF(F29=1,0,L29*(N29+'01_Cadrage'!$H$20))</f>
        <v/>
      </c>
      <c r="AD29" s="27">
        <f>AB29+AC29</f>
        <v/>
      </c>
      <c r="AE29" s="16">
        <f>AD29*Z29+AB29*'01_Cadrage'!$H$28</f>
        <v/>
      </c>
      <c r="AF29" s="10" t="n">
        <v>0</v>
      </c>
      <c r="AG29" s="10" t="n">
        <v>0</v>
      </c>
      <c r="AH29" s="27">
        <f>K29*M29*INDEX('01_Cadrage'!$L$24:$L$28,MATCH(A29,'01_Cadrage'!$J$24:$J$28,0))</f>
        <v/>
      </c>
      <c r="AI29" s="15">
        <f>IFERROR((21936350*(1+'01_Cadrage'!$F$3))*AH29/SUM($AH$4:$AH$61),0)</f>
        <v/>
      </c>
      <c r="AJ29" s="27">
        <f>IFERROR(AI29/Z29,0)</f>
        <v/>
      </c>
      <c r="AK29" s="16">
        <f>AA29-AI29</f>
        <v/>
      </c>
      <c r="AL29" s="27">
        <f>Y29-AJ29</f>
        <v/>
      </c>
    </row>
    <row r="30">
      <c r="A30" s="18">
        <f>'02_Base'!A30</f>
        <v/>
      </c>
      <c r="B30" s="19">
        <f>'02_Base'!B30</f>
        <v/>
      </c>
      <c r="C30" s="18">
        <f>'02_Base'!C30</f>
        <v/>
      </c>
      <c r="D30" s="19">
        <f>'02_Base'!E30</f>
        <v/>
      </c>
      <c r="E30" s="19">
        <f>'02_Base'!F30</f>
        <v/>
      </c>
      <c r="F30" s="40">
        <f>'02_Base'!G30</f>
        <v/>
      </c>
      <c r="G30" s="40">
        <f>'02_Base'!H30</f>
        <v/>
      </c>
      <c r="H30" s="40">
        <f>'02_Base'!I30</f>
        <v/>
      </c>
      <c r="I30" s="40">
        <f>'02_Base'!K30</f>
        <v/>
      </c>
      <c r="J30" s="40">
        <f>'02_Base'!L30</f>
        <v/>
      </c>
      <c r="K30" s="40">
        <f>'02_Base'!M30</f>
        <v/>
      </c>
      <c r="L30" s="40">
        <f>'02_Base'!N30</f>
        <v/>
      </c>
      <c r="M30" s="41">
        <f>'02_Base'!P30</f>
        <v/>
      </c>
      <c r="N30" s="42">
        <f>'02_Base'!Q30</f>
        <v/>
      </c>
      <c r="O30" s="42">
        <f>'02_Base'!R30</f>
        <v/>
      </c>
      <c r="P30" s="42">
        <f>'02_Base'!S30</f>
        <v/>
      </c>
      <c r="Q30" s="42">
        <f>'02_Base'!T30</f>
        <v/>
      </c>
      <c r="R30" s="34">
        <f>IF(F30=1,IFERROR(G30/INDEX('03_Campagnes'!$F$5:$F$18,MATCH(A30&amp;"|"&amp;B30,'03_Campagnes'!$C$5:$C$18,0)),0),0)</f>
        <v/>
      </c>
      <c r="S30" s="27">
        <f>INDEX('03_Campagnes'!$M$5:$M$18,MATCH(A30&amp;"|"&amp;B30,'03_Campagnes'!$C$5:$C$18,0))</f>
        <v/>
      </c>
      <c r="T30" s="27">
        <f>S30*R30</f>
        <v/>
      </c>
      <c r="U30" s="27">
        <f>IF(F30=1,T30*(O30+'01_Cadrage'!$H$18),0)</f>
        <v/>
      </c>
      <c r="V30" s="27">
        <f>U30*P30</f>
        <v/>
      </c>
      <c r="W30" s="26">
        <f>IF(F30=1,V30*(Q30+'01_Cadrage'!$H$19+AF30),0)</f>
        <v/>
      </c>
      <c r="X30" s="27">
        <f>IF(F30=1,0,L30*(N30+'01_Cadrage'!$H$20+AG30))</f>
        <v/>
      </c>
      <c r="Y30" s="26">
        <f>W30+X30</f>
        <v/>
      </c>
      <c r="Z30" s="16">
        <f>M30*(1+'01_Cadrage'!$H$17*INDEX('01_Cadrage'!$L$7:$L$20,MATCH(A30&amp;"|"&amp;B30,'01_Cadrage'!$M$7:$M$20,0)))</f>
        <v/>
      </c>
      <c r="AA30" s="15">
        <f>Y30*Z30+W30*'01_Cadrage'!$H$28</f>
        <v/>
      </c>
      <c r="AB30" s="27">
        <f>IF(F30=1,V30*(Q30+'01_Cadrage'!$H$19),0)</f>
        <v/>
      </c>
      <c r="AC30" s="27">
        <f>IF(F30=1,0,L30*(N30+'01_Cadrage'!$H$20))</f>
        <v/>
      </c>
      <c r="AD30" s="27">
        <f>AB30+AC30</f>
        <v/>
      </c>
      <c r="AE30" s="16">
        <f>AD30*Z30+AB30*'01_Cadrage'!$H$28</f>
        <v/>
      </c>
      <c r="AF30" s="10" t="n">
        <v>0</v>
      </c>
      <c r="AG30" s="10" t="n">
        <v>0</v>
      </c>
      <c r="AH30" s="27">
        <f>K30*M30*INDEX('01_Cadrage'!$L$24:$L$28,MATCH(A30,'01_Cadrage'!$J$24:$J$28,0))</f>
        <v/>
      </c>
      <c r="AI30" s="15">
        <f>IFERROR((21936350*(1+'01_Cadrage'!$F$3))*AH30/SUM($AH$4:$AH$61),0)</f>
        <v/>
      </c>
      <c r="AJ30" s="27">
        <f>IFERROR(AI30/Z30,0)</f>
        <v/>
      </c>
      <c r="AK30" s="16">
        <f>AA30-AI30</f>
        <v/>
      </c>
      <c r="AL30" s="27">
        <f>Y30-AJ30</f>
        <v/>
      </c>
    </row>
    <row r="31">
      <c r="A31" s="18">
        <f>'02_Base'!A31</f>
        <v/>
      </c>
      <c r="B31" s="19">
        <f>'02_Base'!B31</f>
        <v/>
      </c>
      <c r="C31" s="18">
        <f>'02_Base'!C31</f>
        <v/>
      </c>
      <c r="D31" s="19">
        <f>'02_Base'!E31</f>
        <v/>
      </c>
      <c r="E31" s="19">
        <f>'02_Base'!F31</f>
        <v/>
      </c>
      <c r="F31" s="40">
        <f>'02_Base'!G31</f>
        <v/>
      </c>
      <c r="G31" s="40">
        <f>'02_Base'!H31</f>
        <v/>
      </c>
      <c r="H31" s="40">
        <f>'02_Base'!I31</f>
        <v/>
      </c>
      <c r="I31" s="40">
        <f>'02_Base'!K31</f>
        <v/>
      </c>
      <c r="J31" s="40">
        <f>'02_Base'!L31</f>
        <v/>
      </c>
      <c r="K31" s="40">
        <f>'02_Base'!M31</f>
        <v/>
      </c>
      <c r="L31" s="40">
        <f>'02_Base'!N31</f>
        <v/>
      </c>
      <c r="M31" s="41">
        <f>'02_Base'!P31</f>
        <v/>
      </c>
      <c r="N31" s="42">
        <f>'02_Base'!Q31</f>
        <v/>
      </c>
      <c r="O31" s="42">
        <f>'02_Base'!R31</f>
        <v/>
      </c>
      <c r="P31" s="42">
        <f>'02_Base'!S31</f>
        <v/>
      </c>
      <c r="Q31" s="42">
        <f>'02_Base'!T31</f>
        <v/>
      </c>
      <c r="R31" s="34">
        <f>IF(F31=1,IFERROR(G31/INDEX('03_Campagnes'!$F$5:$F$18,MATCH(A31&amp;"|"&amp;B31,'03_Campagnes'!$C$5:$C$18,0)),0),0)</f>
        <v/>
      </c>
      <c r="S31" s="27">
        <f>INDEX('03_Campagnes'!$M$5:$M$18,MATCH(A31&amp;"|"&amp;B31,'03_Campagnes'!$C$5:$C$18,0))</f>
        <v/>
      </c>
      <c r="T31" s="27">
        <f>S31*R31</f>
        <v/>
      </c>
      <c r="U31" s="27">
        <f>IF(F31=1,T31*(O31+'01_Cadrage'!$H$18),0)</f>
        <v/>
      </c>
      <c r="V31" s="27">
        <f>U31*P31</f>
        <v/>
      </c>
      <c r="W31" s="26">
        <f>IF(F31=1,V31*(Q31+'01_Cadrage'!$H$19+AF31),0)</f>
        <v/>
      </c>
      <c r="X31" s="27">
        <f>IF(F31=1,0,L31*(N31+'01_Cadrage'!$H$20+AG31))</f>
        <v/>
      </c>
      <c r="Y31" s="26">
        <f>W31+X31</f>
        <v/>
      </c>
      <c r="Z31" s="16">
        <f>M31*(1+'01_Cadrage'!$H$17*INDEX('01_Cadrage'!$L$7:$L$20,MATCH(A31&amp;"|"&amp;B31,'01_Cadrage'!$M$7:$M$20,0)))</f>
        <v/>
      </c>
      <c r="AA31" s="15">
        <f>Y31*Z31+W31*'01_Cadrage'!$H$28</f>
        <v/>
      </c>
      <c r="AB31" s="27">
        <f>IF(F31=1,V31*(Q31+'01_Cadrage'!$H$19),0)</f>
        <v/>
      </c>
      <c r="AC31" s="27">
        <f>IF(F31=1,0,L31*(N31+'01_Cadrage'!$H$20))</f>
        <v/>
      </c>
      <c r="AD31" s="27">
        <f>AB31+AC31</f>
        <v/>
      </c>
      <c r="AE31" s="16">
        <f>AD31*Z31+AB31*'01_Cadrage'!$H$28</f>
        <v/>
      </c>
      <c r="AF31" s="10" t="n">
        <v>0</v>
      </c>
      <c r="AG31" s="10" t="n">
        <v>0</v>
      </c>
      <c r="AH31" s="27">
        <f>K31*M31*INDEX('01_Cadrage'!$L$24:$L$28,MATCH(A31,'01_Cadrage'!$J$24:$J$28,0))</f>
        <v/>
      </c>
      <c r="AI31" s="15">
        <f>IFERROR((21936350*(1+'01_Cadrage'!$F$3))*AH31/SUM($AH$4:$AH$61),0)</f>
        <v/>
      </c>
      <c r="AJ31" s="27">
        <f>IFERROR(AI31/Z31,0)</f>
        <v/>
      </c>
      <c r="AK31" s="16">
        <f>AA31-AI31</f>
        <v/>
      </c>
      <c r="AL31" s="27">
        <f>Y31-AJ31</f>
        <v/>
      </c>
    </row>
    <row r="32">
      <c r="A32" s="18">
        <f>'02_Base'!A32</f>
        <v/>
      </c>
      <c r="B32" s="19">
        <f>'02_Base'!B32</f>
        <v/>
      </c>
      <c r="C32" s="18">
        <f>'02_Base'!C32</f>
        <v/>
      </c>
      <c r="D32" s="19">
        <f>'02_Base'!E32</f>
        <v/>
      </c>
      <c r="E32" s="19">
        <f>'02_Base'!F32</f>
        <v/>
      </c>
      <c r="F32" s="40">
        <f>'02_Base'!G32</f>
        <v/>
      </c>
      <c r="G32" s="40">
        <f>'02_Base'!H32</f>
        <v/>
      </c>
      <c r="H32" s="40">
        <f>'02_Base'!I32</f>
        <v/>
      </c>
      <c r="I32" s="40">
        <f>'02_Base'!K32</f>
        <v/>
      </c>
      <c r="J32" s="40">
        <f>'02_Base'!L32</f>
        <v/>
      </c>
      <c r="K32" s="40">
        <f>'02_Base'!M32</f>
        <v/>
      </c>
      <c r="L32" s="40">
        <f>'02_Base'!N32</f>
        <v/>
      </c>
      <c r="M32" s="41">
        <f>'02_Base'!P32</f>
        <v/>
      </c>
      <c r="N32" s="42">
        <f>'02_Base'!Q32</f>
        <v/>
      </c>
      <c r="O32" s="42">
        <f>'02_Base'!R32</f>
        <v/>
      </c>
      <c r="P32" s="42">
        <f>'02_Base'!S32</f>
        <v/>
      </c>
      <c r="Q32" s="42">
        <f>'02_Base'!T32</f>
        <v/>
      </c>
      <c r="R32" s="34">
        <f>IF(F32=1,IFERROR(G32/INDEX('03_Campagnes'!$F$5:$F$18,MATCH(A32&amp;"|"&amp;B32,'03_Campagnes'!$C$5:$C$18,0)),0),0)</f>
        <v/>
      </c>
      <c r="S32" s="27">
        <f>INDEX('03_Campagnes'!$M$5:$M$18,MATCH(A32&amp;"|"&amp;B32,'03_Campagnes'!$C$5:$C$18,0))</f>
        <v/>
      </c>
      <c r="T32" s="27">
        <f>S32*R32</f>
        <v/>
      </c>
      <c r="U32" s="27">
        <f>IF(F32=1,T32*(O32+'01_Cadrage'!$H$18),0)</f>
        <v/>
      </c>
      <c r="V32" s="27">
        <f>U32*P32</f>
        <v/>
      </c>
      <c r="W32" s="26">
        <f>IF(F32=1,V32*(Q32+'01_Cadrage'!$H$19+AF32),0)</f>
        <v/>
      </c>
      <c r="X32" s="27">
        <f>IF(F32=1,0,L32*(N32+'01_Cadrage'!$H$20+AG32))</f>
        <v/>
      </c>
      <c r="Y32" s="26">
        <f>W32+X32</f>
        <v/>
      </c>
      <c r="Z32" s="16">
        <f>M32*(1+'01_Cadrage'!$H$17*INDEX('01_Cadrage'!$L$7:$L$20,MATCH(A32&amp;"|"&amp;B32,'01_Cadrage'!$M$7:$M$20,0)))</f>
        <v/>
      </c>
      <c r="AA32" s="15">
        <f>Y32*Z32+W32*'01_Cadrage'!$H$28</f>
        <v/>
      </c>
      <c r="AB32" s="27">
        <f>IF(F32=1,V32*(Q32+'01_Cadrage'!$H$19),0)</f>
        <v/>
      </c>
      <c r="AC32" s="27">
        <f>IF(F32=1,0,L32*(N32+'01_Cadrage'!$H$20))</f>
        <v/>
      </c>
      <c r="AD32" s="27">
        <f>AB32+AC32</f>
        <v/>
      </c>
      <c r="AE32" s="16">
        <f>AD32*Z32+AB32*'01_Cadrage'!$H$28</f>
        <v/>
      </c>
      <c r="AF32" s="10" t="n">
        <v>0</v>
      </c>
      <c r="AG32" s="10" t="n">
        <v>0</v>
      </c>
      <c r="AH32" s="27">
        <f>K32*M32*INDEX('01_Cadrage'!$L$24:$L$28,MATCH(A32,'01_Cadrage'!$J$24:$J$28,0))</f>
        <v/>
      </c>
      <c r="AI32" s="15">
        <f>IFERROR((21936350*(1+'01_Cadrage'!$F$3))*AH32/SUM($AH$4:$AH$61),0)</f>
        <v/>
      </c>
      <c r="AJ32" s="27">
        <f>IFERROR(AI32/Z32,0)</f>
        <v/>
      </c>
      <c r="AK32" s="16">
        <f>AA32-AI32</f>
        <v/>
      </c>
      <c r="AL32" s="27">
        <f>Y32-AJ32</f>
        <v/>
      </c>
    </row>
    <row r="33">
      <c r="A33" s="18">
        <f>'02_Base'!A33</f>
        <v/>
      </c>
      <c r="B33" s="19">
        <f>'02_Base'!B33</f>
        <v/>
      </c>
      <c r="C33" s="18">
        <f>'02_Base'!C33</f>
        <v/>
      </c>
      <c r="D33" s="19">
        <f>'02_Base'!E33</f>
        <v/>
      </c>
      <c r="E33" s="19">
        <f>'02_Base'!F33</f>
        <v/>
      </c>
      <c r="F33" s="40">
        <f>'02_Base'!G33</f>
        <v/>
      </c>
      <c r="G33" s="40">
        <f>'02_Base'!H33</f>
        <v/>
      </c>
      <c r="H33" s="40">
        <f>'02_Base'!I33</f>
        <v/>
      </c>
      <c r="I33" s="40">
        <f>'02_Base'!K33</f>
        <v/>
      </c>
      <c r="J33" s="40">
        <f>'02_Base'!L33</f>
        <v/>
      </c>
      <c r="K33" s="40">
        <f>'02_Base'!M33</f>
        <v/>
      </c>
      <c r="L33" s="40">
        <f>'02_Base'!N33</f>
        <v/>
      </c>
      <c r="M33" s="41">
        <f>'02_Base'!P33</f>
        <v/>
      </c>
      <c r="N33" s="42">
        <f>'02_Base'!Q33</f>
        <v/>
      </c>
      <c r="O33" s="42">
        <f>'02_Base'!R33</f>
        <v/>
      </c>
      <c r="P33" s="42">
        <f>'02_Base'!S33</f>
        <v/>
      </c>
      <c r="Q33" s="42">
        <f>'02_Base'!T33</f>
        <v/>
      </c>
      <c r="R33" s="34">
        <f>IF(F33=1,IFERROR(G33/INDEX('03_Campagnes'!$F$5:$F$18,MATCH(A33&amp;"|"&amp;B33,'03_Campagnes'!$C$5:$C$18,0)),0),0)</f>
        <v/>
      </c>
      <c r="S33" s="27">
        <f>INDEX('03_Campagnes'!$M$5:$M$18,MATCH(A33&amp;"|"&amp;B33,'03_Campagnes'!$C$5:$C$18,0))</f>
        <v/>
      </c>
      <c r="T33" s="27">
        <f>S33*R33</f>
        <v/>
      </c>
      <c r="U33" s="27">
        <f>IF(F33=1,T33*(O33+'01_Cadrage'!$H$18),0)</f>
        <v/>
      </c>
      <c r="V33" s="27">
        <f>U33*P33</f>
        <v/>
      </c>
      <c r="W33" s="26">
        <f>IF(F33=1,V33*(Q33+'01_Cadrage'!$H$19+AF33),0)</f>
        <v/>
      </c>
      <c r="X33" s="27">
        <f>IF(F33=1,0,L33*(N33+'01_Cadrage'!$H$20+AG33))</f>
        <v/>
      </c>
      <c r="Y33" s="26">
        <f>W33+X33</f>
        <v/>
      </c>
      <c r="Z33" s="16">
        <f>M33*(1+'01_Cadrage'!$H$17*INDEX('01_Cadrage'!$L$7:$L$20,MATCH(A33&amp;"|"&amp;B33,'01_Cadrage'!$M$7:$M$20,0)))</f>
        <v/>
      </c>
      <c r="AA33" s="15">
        <f>Y33*Z33+W33*'01_Cadrage'!$H$28</f>
        <v/>
      </c>
      <c r="AB33" s="27">
        <f>IF(F33=1,V33*(Q33+'01_Cadrage'!$H$19),0)</f>
        <v/>
      </c>
      <c r="AC33" s="27">
        <f>IF(F33=1,0,L33*(N33+'01_Cadrage'!$H$20))</f>
        <v/>
      </c>
      <c r="AD33" s="27">
        <f>AB33+AC33</f>
        <v/>
      </c>
      <c r="AE33" s="16">
        <f>AD33*Z33+AB33*'01_Cadrage'!$H$28</f>
        <v/>
      </c>
      <c r="AF33" s="10" t="n">
        <v>0</v>
      </c>
      <c r="AG33" s="10" t="n">
        <v>0</v>
      </c>
      <c r="AH33" s="27">
        <f>K33*M33*INDEX('01_Cadrage'!$L$24:$L$28,MATCH(A33,'01_Cadrage'!$J$24:$J$28,0))</f>
        <v/>
      </c>
      <c r="AI33" s="15">
        <f>IFERROR((21936350*(1+'01_Cadrage'!$F$3))*AH33/SUM($AH$4:$AH$61),0)</f>
        <v/>
      </c>
      <c r="AJ33" s="27">
        <f>IFERROR(AI33/Z33,0)</f>
        <v/>
      </c>
      <c r="AK33" s="16">
        <f>AA33-AI33</f>
        <v/>
      </c>
      <c r="AL33" s="27">
        <f>Y33-AJ33</f>
        <v/>
      </c>
    </row>
    <row r="34">
      <c r="A34" s="18">
        <f>'02_Base'!A34</f>
        <v/>
      </c>
      <c r="B34" s="19">
        <f>'02_Base'!B34</f>
        <v/>
      </c>
      <c r="C34" s="18">
        <f>'02_Base'!C34</f>
        <v/>
      </c>
      <c r="D34" s="19">
        <f>'02_Base'!E34</f>
        <v/>
      </c>
      <c r="E34" s="19">
        <f>'02_Base'!F34</f>
        <v/>
      </c>
      <c r="F34" s="40">
        <f>'02_Base'!G34</f>
        <v/>
      </c>
      <c r="G34" s="40">
        <f>'02_Base'!H34</f>
        <v/>
      </c>
      <c r="H34" s="40">
        <f>'02_Base'!I34</f>
        <v/>
      </c>
      <c r="I34" s="40">
        <f>'02_Base'!K34</f>
        <v/>
      </c>
      <c r="J34" s="40">
        <f>'02_Base'!L34</f>
        <v/>
      </c>
      <c r="K34" s="40">
        <f>'02_Base'!M34</f>
        <v/>
      </c>
      <c r="L34" s="40">
        <f>'02_Base'!N34</f>
        <v/>
      </c>
      <c r="M34" s="41">
        <f>'02_Base'!P34</f>
        <v/>
      </c>
      <c r="N34" s="42">
        <f>'02_Base'!Q34</f>
        <v/>
      </c>
      <c r="O34" s="42">
        <f>'02_Base'!R34</f>
        <v/>
      </c>
      <c r="P34" s="42">
        <f>'02_Base'!S34</f>
        <v/>
      </c>
      <c r="Q34" s="42">
        <f>'02_Base'!T34</f>
        <v/>
      </c>
      <c r="R34" s="34">
        <f>IF(F34=1,IFERROR(G34/INDEX('03_Campagnes'!$F$5:$F$18,MATCH(A34&amp;"|"&amp;B34,'03_Campagnes'!$C$5:$C$18,0)),0),0)</f>
        <v/>
      </c>
      <c r="S34" s="27">
        <f>INDEX('03_Campagnes'!$M$5:$M$18,MATCH(A34&amp;"|"&amp;B34,'03_Campagnes'!$C$5:$C$18,0))</f>
        <v/>
      </c>
      <c r="T34" s="27">
        <f>S34*R34</f>
        <v/>
      </c>
      <c r="U34" s="27">
        <f>IF(F34=1,T34*(O34+'01_Cadrage'!$H$18),0)</f>
        <v/>
      </c>
      <c r="V34" s="27">
        <f>U34*P34</f>
        <v/>
      </c>
      <c r="W34" s="26">
        <f>IF(F34=1,V34*(Q34+'01_Cadrage'!$H$19+AF34),0)</f>
        <v/>
      </c>
      <c r="X34" s="27">
        <f>IF(F34=1,0,L34*(N34+'01_Cadrage'!$H$20+AG34))</f>
        <v/>
      </c>
      <c r="Y34" s="26">
        <f>W34+X34</f>
        <v/>
      </c>
      <c r="Z34" s="16">
        <f>M34*(1+'01_Cadrage'!$H$17*INDEX('01_Cadrage'!$L$7:$L$20,MATCH(A34&amp;"|"&amp;B34,'01_Cadrage'!$M$7:$M$20,0)))</f>
        <v/>
      </c>
      <c r="AA34" s="15">
        <f>Y34*Z34+W34*'01_Cadrage'!$H$28</f>
        <v/>
      </c>
      <c r="AB34" s="27">
        <f>IF(F34=1,V34*(Q34+'01_Cadrage'!$H$19),0)</f>
        <v/>
      </c>
      <c r="AC34" s="27">
        <f>IF(F34=1,0,L34*(N34+'01_Cadrage'!$H$20))</f>
        <v/>
      </c>
      <c r="AD34" s="27">
        <f>AB34+AC34</f>
        <v/>
      </c>
      <c r="AE34" s="16">
        <f>AD34*Z34+AB34*'01_Cadrage'!$H$28</f>
        <v/>
      </c>
      <c r="AF34" s="10" t="n">
        <v>0</v>
      </c>
      <c r="AG34" s="10" t="n">
        <v>0</v>
      </c>
      <c r="AH34" s="27">
        <f>K34*M34*INDEX('01_Cadrage'!$L$24:$L$28,MATCH(A34,'01_Cadrage'!$J$24:$J$28,0))</f>
        <v/>
      </c>
      <c r="AI34" s="15">
        <f>IFERROR((21936350*(1+'01_Cadrage'!$F$3))*AH34/SUM($AH$4:$AH$61),0)</f>
        <v/>
      </c>
      <c r="AJ34" s="27">
        <f>IFERROR(AI34/Z34,0)</f>
        <v/>
      </c>
      <c r="AK34" s="16">
        <f>AA34-AI34</f>
        <v/>
      </c>
      <c r="AL34" s="27">
        <f>Y34-AJ34</f>
        <v/>
      </c>
    </row>
    <row r="35">
      <c r="A35" s="18">
        <f>'02_Base'!A35</f>
        <v/>
      </c>
      <c r="B35" s="19">
        <f>'02_Base'!B35</f>
        <v/>
      </c>
      <c r="C35" s="18">
        <f>'02_Base'!C35</f>
        <v/>
      </c>
      <c r="D35" s="19">
        <f>'02_Base'!E35</f>
        <v/>
      </c>
      <c r="E35" s="19">
        <f>'02_Base'!F35</f>
        <v/>
      </c>
      <c r="F35" s="40">
        <f>'02_Base'!G35</f>
        <v/>
      </c>
      <c r="G35" s="40">
        <f>'02_Base'!H35</f>
        <v/>
      </c>
      <c r="H35" s="40">
        <f>'02_Base'!I35</f>
        <v/>
      </c>
      <c r="I35" s="40">
        <f>'02_Base'!K35</f>
        <v/>
      </c>
      <c r="J35" s="40">
        <f>'02_Base'!L35</f>
        <v/>
      </c>
      <c r="K35" s="40">
        <f>'02_Base'!M35</f>
        <v/>
      </c>
      <c r="L35" s="40">
        <f>'02_Base'!N35</f>
        <v/>
      </c>
      <c r="M35" s="41">
        <f>'02_Base'!P35</f>
        <v/>
      </c>
      <c r="N35" s="42">
        <f>'02_Base'!Q35</f>
        <v/>
      </c>
      <c r="O35" s="42">
        <f>'02_Base'!R35</f>
        <v/>
      </c>
      <c r="P35" s="42">
        <f>'02_Base'!S35</f>
        <v/>
      </c>
      <c r="Q35" s="42">
        <f>'02_Base'!T35</f>
        <v/>
      </c>
      <c r="R35" s="34">
        <f>IF(F35=1,IFERROR(G35/INDEX('03_Campagnes'!$F$5:$F$18,MATCH(A35&amp;"|"&amp;B35,'03_Campagnes'!$C$5:$C$18,0)),0),0)</f>
        <v/>
      </c>
      <c r="S35" s="27">
        <f>INDEX('03_Campagnes'!$M$5:$M$18,MATCH(A35&amp;"|"&amp;B35,'03_Campagnes'!$C$5:$C$18,0))</f>
        <v/>
      </c>
      <c r="T35" s="27">
        <f>S35*R35</f>
        <v/>
      </c>
      <c r="U35" s="27">
        <f>IF(F35=1,T35*(O35+'01_Cadrage'!$H$18),0)</f>
        <v/>
      </c>
      <c r="V35" s="27">
        <f>U35*P35</f>
        <v/>
      </c>
      <c r="W35" s="26">
        <f>IF(F35=1,V35*(Q35+'01_Cadrage'!$H$19+AF35),0)</f>
        <v/>
      </c>
      <c r="X35" s="27">
        <f>IF(F35=1,0,L35*(N35+'01_Cadrage'!$H$20+AG35))</f>
        <v/>
      </c>
      <c r="Y35" s="26">
        <f>W35+X35</f>
        <v/>
      </c>
      <c r="Z35" s="16">
        <f>M35*(1+'01_Cadrage'!$H$17*INDEX('01_Cadrage'!$L$7:$L$20,MATCH(A35&amp;"|"&amp;B35,'01_Cadrage'!$M$7:$M$20,0)))</f>
        <v/>
      </c>
      <c r="AA35" s="15">
        <f>Y35*Z35+W35*'01_Cadrage'!$H$28</f>
        <v/>
      </c>
      <c r="AB35" s="27">
        <f>IF(F35=1,V35*(Q35+'01_Cadrage'!$H$19),0)</f>
        <v/>
      </c>
      <c r="AC35" s="27">
        <f>IF(F35=1,0,L35*(N35+'01_Cadrage'!$H$20))</f>
        <v/>
      </c>
      <c r="AD35" s="27">
        <f>AB35+AC35</f>
        <v/>
      </c>
      <c r="AE35" s="16">
        <f>AD35*Z35+AB35*'01_Cadrage'!$H$28</f>
        <v/>
      </c>
      <c r="AF35" s="10" t="n">
        <v>0</v>
      </c>
      <c r="AG35" s="10" t="n">
        <v>0</v>
      </c>
      <c r="AH35" s="27">
        <f>K35*M35*INDEX('01_Cadrage'!$L$24:$L$28,MATCH(A35,'01_Cadrage'!$J$24:$J$28,0))</f>
        <v/>
      </c>
      <c r="AI35" s="15">
        <f>IFERROR((21936350*(1+'01_Cadrage'!$F$3))*AH35/SUM($AH$4:$AH$61),0)</f>
        <v/>
      </c>
      <c r="AJ35" s="27">
        <f>IFERROR(AI35/Z35,0)</f>
        <v/>
      </c>
      <c r="AK35" s="16">
        <f>AA35-AI35</f>
        <v/>
      </c>
      <c r="AL35" s="27">
        <f>Y35-AJ35</f>
        <v/>
      </c>
    </row>
    <row r="36">
      <c r="A36" s="18">
        <f>'02_Base'!A36</f>
        <v/>
      </c>
      <c r="B36" s="19">
        <f>'02_Base'!B36</f>
        <v/>
      </c>
      <c r="C36" s="18">
        <f>'02_Base'!C36</f>
        <v/>
      </c>
      <c r="D36" s="19">
        <f>'02_Base'!E36</f>
        <v/>
      </c>
      <c r="E36" s="19">
        <f>'02_Base'!F36</f>
        <v/>
      </c>
      <c r="F36" s="40">
        <f>'02_Base'!G36</f>
        <v/>
      </c>
      <c r="G36" s="40">
        <f>'02_Base'!H36</f>
        <v/>
      </c>
      <c r="H36" s="40">
        <f>'02_Base'!I36</f>
        <v/>
      </c>
      <c r="I36" s="40">
        <f>'02_Base'!K36</f>
        <v/>
      </c>
      <c r="J36" s="40">
        <f>'02_Base'!L36</f>
        <v/>
      </c>
      <c r="K36" s="40">
        <f>'02_Base'!M36</f>
        <v/>
      </c>
      <c r="L36" s="40">
        <f>'02_Base'!N36</f>
        <v/>
      </c>
      <c r="M36" s="41">
        <f>'02_Base'!P36</f>
        <v/>
      </c>
      <c r="N36" s="42">
        <f>'02_Base'!Q36</f>
        <v/>
      </c>
      <c r="O36" s="42">
        <f>'02_Base'!R36</f>
        <v/>
      </c>
      <c r="P36" s="42">
        <f>'02_Base'!S36</f>
        <v/>
      </c>
      <c r="Q36" s="42">
        <f>'02_Base'!T36</f>
        <v/>
      </c>
      <c r="R36" s="34">
        <f>IF(F36=1,IFERROR(G36/INDEX('03_Campagnes'!$F$5:$F$18,MATCH(A36&amp;"|"&amp;B36,'03_Campagnes'!$C$5:$C$18,0)),0),0)</f>
        <v/>
      </c>
      <c r="S36" s="27">
        <f>INDEX('03_Campagnes'!$M$5:$M$18,MATCH(A36&amp;"|"&amp;B36,'03_Campagnes'!$C$5:$C$18,0))</f>
        <v/>
      </c>
      <c r="T36" s="27">
        <f>S36*R36</f>
        <v/>
      </c>
      <c r="U36" s="27">
        <f>IF(F36=1,T36*(O36+'01_Cadrage'!$H$18),0)</f>
        <v/>
      </c>
      <c r="V36" s="27">
        <f>U36*P36</f>
        <v/>
      </c>
      <c r="W36" s="26">
        <f>IF(F36=1,V36*(Q36+'01_Cadrage'!$H$19+AF36),0)</f>
        <v/>
      </c>
      <c r="X36" s="27">
        <f>IF(F36=1,0,L36*(N36+'01_Cadrage'!$H$20+AG36))</f>
        <v/>
      </c>
      <c r="Y36" s="26">
        <f>W36+X36</f>
        <v/>
      </c>
      <c r="Z36" s="16">
        <f>M36*(1+'01_Cadrage'!$H$17*INDEX('01_Cadrage'!$L$7:$L$20,MATCH(A36&amp;"|"&amp;B36,'01_Cadrage'!$M$7:$M$20,0)))</f>
        <v/>
      </c>
      <c r="AA36" s="15">
        <f>Y36*Z36+W36*'01_Cadrage'!$H$28</f>
        <v/>
      </c>
      <c r="AB36" s="27">
        <f>IF(F36=1,V36*(Q36+'01_Cadrage'!$H$19),0)</f>
        <v/>
      </c>
      <c r="AC36" s="27">
        <f>IF(F36=1,0,L36*(N36+'01_Cadrage'!$H$20))</f>
        <v/>
      </c>
      <c r="AD36" s="27">
        <f>AB36+AC36</f>
        <v/>
      </c>
      <c r="AE36" s="16">
        <f>AD36*Z36+AB36*'01_Cadrage'!$H$28</f>
        <v/>
      </c>
      <c r="AF36" s="10" t="n">
        <v>0</v>
      </c>
      <c r="AG36" s="10" t="n">
        <v>0</v>
      </c>
      <c r="AH36" s="27">
        <f>K36*M36*INDEX('01_Cadrage'!$L$24:$L$28,MATCH(A36,'01_Cadrage'!$J$24:$J$28,0))</f>
        <v/>
      </c>
      <c r="AI36" s="15">
        <f>IFERROR((21936350*(1+'01_Cadrage'!$F$3))*AH36/SUM($AH$4:$AH$61),0)</f>
        <v/>
      </c>
      <c r="AJ36" s="27">
        <f>IFERROR(AI36/Z36,0)</f>
        <v/>
      </c>
      <c r="AK36" s="16">
        <f>AA36-AI36</f>
        <v/>
      </c>
      <c r="AL36" s="27">
        <f>Y36-AJ36</f>
        <v/>
      </c>
    </row>
    <row r="37">
      <c r="A37" s="18">
        <f>'02_Base'!A37</f>
        <v/>
      </c>
      <c r="B37" s="19">
        <f>'02_Base'!B37</f>
        <v/>
      </c>
      <c r="C37" s="18">
        <f>'02_Base'!C37</f>
        <v/>
      </c>
      <c r="D37" s="19">
        <f>'02_Base'!E37</f>
        <v/>
      </c>
      <c r="E37" s="19">
        <f>'02_Base'!F37</f>
        <v/>
      </c>
      <c r="F37" s="40">
        <f>'02_Base'!G37</f>
        <v/>
      </c>
      <c r="G37" s="40">
        <f>'02_Base'!H37</f>
        <v/>
      </c>
      <c r="H37" s="40">
        <f>'02_Base'!I37</f>
        <v/>
      </c>
      <c r="I37" s="40">
        <f>'02_Base'!K37</f>
        <v/>
      </c>
      <c r="J37" s="40">
        <f>'02_Base'!L37</f>
        <v/>
      </c>
      <c r="K37" s="40">
        <f>'02_Base'!M37</f>
        <v/>
      </c>
      <c r="L37" s="40">
        <f>'02_Base'!N37</f>
        <v/>
      </c>
      <c r="M37" s="41">
        <f>'02_Base'!P37</f>
        <v/>
      </c>
      <c r="N37" s="42">
        <f>'02_Base'!Q37</f>
        <v/>
      </c>
      <c r="O37" s="42">
        <f>'02_Base'!R37</f>
        <v/>
      </c>
      <c r="P37" s="42">
        <f>'02_Base'!S37</f>
        <v/>
      </c>
      <c r="Q37" s="42">
        <f>'02_Base'!T37</f>
        <v/>
      </c>
      <c r="R37" s="34">
        <f>IF(F37=1,IFERROR(G37/INDEX('03_Campagnes'!$F$5:$F$18,MATCH(A37&amp;"|"&amp;B37,'03_Campagnes'!$C$5:$C$18,0)),0),0)</f>
        <v/>
      </c>
      <c r="S37" s="27">
        <f>INDEX('03_Campagnes'!$M$5:$M$18,MATCH(A37&amp;"|"&amp;B37,'03_Campagnes'!$C$5:$C$18,0))</f>
        <v/>
      </c>
      <c r="T37" s="27">
        <f>S37*R37</f>
        <v/>
      </c>
      <c r="U37" s="27">
        <f>IF(F37=1,T37*(O37+'01_Cadrage'!$H$18),0)</f>
        <v/>
      </c>
      <c r="V37" s="27">
        <f>U37*P37</f>
        <v/>
      </c>
      <c r="W37" s="26">
        <f>IF(F37=1,V37*(Q37+'01_Cadrage'!$H$19+AF37),0)</f>
        <v/>
      </c>
      <c r="X37" s="27">
        <f>IF(F37=1,0,L37*(N37+'01_Cadrage'!$H$20+AG37))</f>
        <v/>
      </c>
      <c r="Y37" s="26">
        <f>W37+X37</f>
        <v/>
      </c>
      <c r="Z37" s="16">
        <f>M37*(1+'01_Cadrage'!$H$17*INDEX('01_Cadrage'!$L$7:$L$20,MATCH(A37&amp;"|"&amp;B37,'01_Cadrage'!$M$7:$M$20,0)))</f>
        <v/>
      </c>
      <c r="AA37" s="15">
        <f>Y37*Z37+W37*'01_Cadrage'!$H$28</f>
        <v/>
      </c>
      <c r="AB37" s="27">
        <f>IF(F37=1,V37*(Q37+'01_Cadrage'!$H$19),0)</f>
        <v/>
      </c>
      <c r="AC37" s="27">
        <f>IF(F37=1,0,L37*(N37+'01_Cadrage'!$H$20))</f>
        <v/>
      </c>
      <c r="AD37" s="27">
        <f>AB37+AC37</f>
        <v/>
      </c>
      <c r="AE37" s="16">
        <f>AD37*Z37+AB37*'01_Cadrage'!$H$28</f>
        <v/>
      </c>
      <c r="AF37" s="10" t="n">
        <v>0</v>
      </c>
      <c r="AG37" s="10" t="n">
        <v>0</v>
      </c>
      <c r="AH37" s="27">
        <f>K37*M37*INDEX('01_Cadrage'!$L$24:$L$28,MATCH(A37,'01_Cadrage'!$J$24:$J$28,0))</f>
        <v/>
      </c>
      <c r="AI37" s="15">
        <f>IFERROR((21936350*(1+'01_Cadrage'!$F$3))*AH37/SUM($AH$4:$AH$61),0)</f>
        <v/>
      </c>
      <c r="AJ37" s="27">
        <f>IFERROR(AI37/Z37,0)</f>
        <v/>
      </c>
      <c r="AK37" s="16">
        <f>AA37-AI37</f>
        <v/>
      </c>
      <c r="AL37" s="27">
        <f>Y37-AJ37</f>
        <v/>
      </c>
    </row>
    <row r="38">
      <c r="A38" s="18">
        <f>'02_Base'!A38</f>
        <v/>
      </c>
      <c r="B38" s="19">
        <f>'02_Base'!B38</f>
        <v/>
      </c>
      <c r="C38" s="18">
        <f>'02_Base'!C38</f>
        <v/>
      </c>
      <c r="D38" s="19">
        <f>'02_Base'!E38</f>
        <v/>
      </c>
      <c r="E38" s="19">
        <f>'02_Base'!F38</f>
        <v/>
      </c>
      <c r="F38" s="40">
        <f>'02_Base'!G38</f>
        <v/>
      </c>
      <c r="G38" s="40">
        <f>'02_Base'!H38</f>
        <v/>
      </c>
      <c r="H38" s="40">
        <f>'02_Base'!I38</f>
        <v/>
      </c>
      <c r="I38" s="40">
        <f>'02_Base'!K38</f>
        <v/>
      </c>
      <c r="J38" s="40">
        <f>'02_Base'!L38</f>
        <v/>
      </c>
      <c r="K38" s="40">
        <f>'02_Base'!M38</f>
        <v/>
      </c>
      <c r="L38" s="40">
        <f>'02_Base'!N38</f>
        <v/>
      </c>
      <c r="M38" s="41">
        <f>'02_Base'!P38</f>
        <v/>
      </c>
      <c r="N38" s="42">
        <f>'02_Base'!Q38</f>
        <v/>
      </c>
      <c r="O38" s="42">
        <f>'02_Base'!R38</f>
        <v/>
      </c>
      <c r="P38" s="42">
        <f>'02_Base'!S38</f>
        <v/>
      </c>
      <c r="Q38" s="42">
        <f>'02_Base'!T38</f>
        <v/>
      </c>
      <c r="R38" s="34">
        <f>IF(F38=1,IFERROR(G38/INDEX('03_Campagnes'!$F$5:$F$18,MATCH(A38&amp;"|"&amp;B38,'03_Campagnes'!$C$5:$C$18,0)),0),0)</f>
        <v/>
      </c>
      <c r="S38" s="27">
        <f>INDEX('03_Campagnes'!$M$5:$M$18,MATCH(A38&amp;"|"&amp;B38,'03_Campagnes'!$C$5:$C$18,0))</f>
        <v/>
      </c>
      <c r="T38" s="27">
        <f>S38*R38</f>
        <v/>
      </c>
      <c r="U38" s="27">
        <f>IF(F38=1,T38*(O38+'01_Cadrage'!$H$18),0)</f>
        <v/>
      </c>
      <c r="V38" s="27">
        <f>U38*P38</f>
        <v/>
      </c>
      <c r="W38" s="26">
        <f>IF(F38=1,V38*(Q38+'01_Cadrage'!$H$19+AF38),0)</f>
        <v/>
      </c>
      <c r="X38" s="27">
        <f>IF(F38=1,0,L38*(N38+'01_Cadrage'!$H$20+AG38))</f>
        <v/>
      </c>
      <c r="Y38" s="26">
        <f>W38+X38</f>
        <v/>
      </c>
      <c r="Z38" s="16">
        <f>M38*(1+'01_Cadrage'!$H$17*INDEX('01_Cadrage'!$L$7:$L$20,MATCH(A38&amp;"|"&amp;B38,'01_Cadrage'!$M$7:$M$20,0)))</f>
        <v/>
      </c>
      <c r="AA38" s="15">
        <f>Y38*Z38+W38*'01_Cadrage'!$H$28</f>
        <v/>
      </c>
      <c r="AB38" s="27">
        <f>IF(F38=1,V38*(Q38+'01_Cadrage'!$H$19),0)</f>
        <v/>
      </c>
      <c r="AC38" s="27">
        <f>IF(F38=1,0,L38*(N38+'01_Cadrage'!$H$20))</f>
        <v/>
      </c>
      <c r="AD38" s="27">
        <f>AB38+AC38</f>
        <v/>
      </c>
      <c r="AE38" s="16">
        <f>AD38*Z38+AB38*'01_Cadrage'!$H$28</f>
        <v/>
      </c>
      <c r="AF38" s="10" t="n">
        <v>0</v>
      </c>
      <c r="AG38" s="10" t="n">
        <v>0</v>
      </c>
      <c r="AH38" s="27">
        <f>K38*M38*INDEX('01_Cadrage'!$L$24:$L$28,MATCH(A38,'01_Cadrage'!$J$24:$J$28,0))</f>
        <v/>
      </c>
      <c r="AI38" s="15">
        <f>IFERROR((21936350*(1+'01_Cadrage'!$F$3))*AH38/SUM($AH$4:$AH$61),0)</f>
        <v/>
      </c>
      <c r="AJ38" s="27">
        <f>IFERROR(AI38/Z38,0)</f>
        <v/>
      </c>
      <c r="AK38" s="16">
        <f>AA38-AI38</f>
        <v/>
      </c>
      <c r="AL38" s="27">
        <f>Y38-AJ38</f>
        <v/>
      </c>
    </row>
    <row r="39">
      <c r="A39" s="18">
        <f>'02_Base'!A39</f>
        <v/>
      </c>
      <c r="B39" s="19">
        <f>'02_Base'!B39</f>
        <v/>
      </c>
      <c r="C39" s="18">
        <f>'02_Base'!C39</f>
        <v/>
      </c>
      <c r="D39" s="19">
        <f>'02_Base'!E39</f>
        <v/>
      </c>
      <c r="E39" s="19">
        <f>'02_Base'!F39</f>
        <v/>
      </c>
      <c r="F39" s="40">
        <f>'02_Base'!G39</f>
        <v/>
      </c>
      <c r="G39" s="40">
        <f>'02_Base'!H39</f>
        <v/>
      </c>
      <c r="H39" s="40">
        <f>'02_Base'!I39</f>
        <v/>
      </c>
      <c r="I39" s="40">
        <f>'02_Base'!K39</f>
        <v/>
      </c>
      <c r="J39" s="40">
        <f>'02_Base'!L39</f>
        <v/>
      </c>
      <c r="K39" s="40">
        <f>'02_Base'!M39</f>
        <v/>
      </c>
      <c r="L39" s="40">
        <f>'02_Base'!N39</f>
        <v/>
      </c>
      <c r="M39" s="41">
        <f>'02_Base'!P39</f>
        <v/>
      </c>
      <c r="N39" s="42">
        <f>'02_Base'!Q39</f>
        <v/>
      </c>
      <c r="O39" s="42">
        <f>'02_Base'!R39</f>
        <v/>
      </c>
      <c r="P39" s="42">
        <f>'02_Base'!S39</f>
        <v/>
      </c>
      <c r="Q39" s="42">
        <f>'02_Base'!T39</f>
        <v/>
      </c>
      <c r="R39" s="34">
        <f>IF(F39=1,IFERROR(G39/INDEX('03_Campagnes'!$F$5:$F$18,MATCH(A39&amp;"|"&amp;B39,'03_Campagnes'!$C$5:$C$18,0)),0),0)</f>
        <v/>
      </c>
      <c r="S39" s="27">
        <f>INDEX('03_Campagnes'!$M$5:$M$18,MATCH(A39&amp;"|"&amp;B39,'03_Campagnes'!$C$5:$C$18,0))</f>
        <v/>
      </c>
      <c r="T39" s="27">
        <f>S39*R39</f>
        <v/>
      </c>
      <c r="U39" s="27">
        <f>IF(F39=1,T39*(O39+'01_Cadrage'!$H$18),0)</f>
        <v/>
      </c>
      <c r="V39" s="27">
        <f>U39*P39</f>
        <v/>
      </c>
      <c r="W39" s="26">
        <f>IF(F39=1,V39*(Q39+'01_Cadrage'!$H$19+AF39),0)</f>
        <v/>
      </c>
      <c r="X39" s="27">
        <f>IF(F39=1,0,L39*(N39+'01_Cadrage'!$H$20+AG39))</f>
        <v/>
      </c>
      <c r="Y39" s="26">
        <f>W39+X39</f>
        <v/>
      </c>
      <c r="Z39" s="16">
        <f>M39*(1+'01_Cadrage'!$H$17*INDEX('01_Cadrage'!$L$7:$L$20,MATCH(A39&amp;"|"&amp;B39,'01_Cadrage'!$M$7:$M$20,0)))</f>
        <v/>
      </c>
      <c r="AA39" s="15">
        <f>Y39*Z39+W39*'01_Cadrage'!$H$28</f>
        <v/>
      </c>
      <c r="AB39" s="27">
        <f>IF(F39=1,V39*(Q39+'01_Cadrage'!$H$19),0)</f>
        <v/>
      </c>
      <c r="AC39" s="27">
        <f>IF(F39=1,0,L39*(N39+'01_Cadrage'!$H$20))</f>
        <v/>
      </c>
      <c r="AD39" s="27">
        <f>AB39+AC39</f>
        <v/>
      </c>
      <c r="AE39" s="16">
        <f>AD39*Z39+AB39*'01_Cadrage'!$H$28</f>
        <v/>
      </c>
      <c r="AF39" s="10" t="n">
        <v>0</v>
      </c>
      <c r="AG39" s="10" t="n">
        <v>0</v>
      </c>
      <c r="AH39" s="27">
        <f>K39*M39*INDEX('01_Cadrage'!$L$24:$L$28,MATCH(A39,'01_Cadrage'!$J$24:$J$28,0))</f>
        <v/>
      </c>
      <c r="AI39" s="15">
        <f>IFERROR((21936350*(1+'01_Cadrage'!$F$3))*AH39/SUM($AH$4:$AH$61),0)</f>
        <v/>
      </c>
      <c r="AJ39" s="27">
        <f>IFERROR(AI39/Z39,0)</f>
        <v/>
      </c>
      <c r="AK39" s="16">
        <f>AA39-AI39</f>
        <v/>
      </c>
      <c r="AL39" s="27">
        <f>Y39-AJ39</f>
        <v/>
      </c>
    </row>
    <row r="40">
      <c r="A40" s="18">
        <f>'02_Base'!A40</f>
        <v/>
      </c>
      <c r="B40" s="19">
        <f>'02_Base'!B40</f>
        <v/>
      </c>
      <c r="C40" s="18">
        <f>'02_Base'!C40</f>
        <v/>
      </c>
      <c r="D40" s="19">
        <f>'02_Base'!E40</f>
        <v/>
      </c>
      <c r="E40" s="19">
        <f>'02_Base'!F40</f>
        <v/>
      </c>
      <c r="F40" s="40">
        <f>'02_Base'!G40</f>
        <v/>
      </c>
      <c r="G40" s="40">
        <f>'02_Base'!H40</f>
        <v/>
      </c>
      <c r="H40" s="40">
        <f>'02_Base'!I40</f>
        <v/>
      </c>
      <c r="I40" s="40">
        <f>'02_Base'!K40</f>
        <v/>
      </c>
      <c r="J40" s="40">
        <f>'02_Base'!L40</f>
        <v/>
      </c>
      <c r="K40" s="40">
        <f>'02_Base'!M40</f>
        <v/>
      </c>
      <c r="L40" s="40">
        <f>'02_Base'!N40</f>
        <v/>
      </c>
      <c r="M40" s="41">
        <f>'02_Base'!P40</f>
        <v/>
      </c>
      <c r="N40" s="42">
        <f>'02_Base'!Q40</f>
        <v/>
      </c>
      <c r="O40" s="42">
        <f>'02_Base'!R40</f>
        <v/>
      </c>
      <c r="P40" s="42">
        <f>'02_Base'!S40</f>
        <v/>
      </c>
      <c r="Q40" s="42">
        <f>'02_Base'!T40</f>
        <v/>
      </c>
      <c r="R40" s="34">
        <f>IF(F40=1,IFERROR(G40/INDEX('03_Campagnes'!$F$5:$F$18,MATCH(A40&amp;"|"&amp;B40,'03_Campagnes'!$C$5:$C$18,0)),0),0)</f>
        <v/>
      </c>
      <c r="S40" s="27">
        <f>INDEX('03_Campagnes'!$M$5:$M$18,MATCH(A40&amp;"|"&amp;B40,'03_Campagnes'!$C$5:$C$18,0))</f>
        <v/>
      </c>
      <c r="T40" s="27">
        <f>S40*R40</f>
        <v/>
      </c>
      <c r="U40" s="27">
        <f>IF(F40=1,T40*(O40+'01_Cadrage'!$H$18),0)</f>
        <v/>
      </c>
      <c r="V40" s="27">
        <f>U40*P40</f>
        <v/>
      </c>
      <c r="W40" s="26">
        <f>IF(F40=1,V40*(Q40+'01_Cadrage'!$H$19+AF40),0)</f>
        <v/>
      </c>
      <c r="X40" s="27">
        <f>IF(F40=1,0,L40*(N40+'01_Cadrage'!$H$20+AG40))</f>
        <v/>
      </c>
      <c r="Y40" s="26">
        <f>W40+X40</f>
        <v/>
      </c>
      <c r="Z40" s="16">
        <f>M40*(1+'01_Cadrage'!$H$17*INDEX('01_Cadrage'!$L$7:$L$20,MATCH(A40&amp;"|"&amp;B40,'01_Cadrage'!$M$7:$M$20,0)))</f>
        <v/>
      </c>
      <c r="AA40" s="15">
        <f>Y40*Z40+W40*'01_Cadrage'!$H$28</f>
        <v/>
      </c>
      <c r="AB40" s="27">
        <f>IF(F40=1,V40*(Q40+'01_Cadrage'!$H$19),0)</f>
        <v/>
      </c>
      <c r="AC40" s="27">
        <f>IF(F40=1,0,L40*(N40+'01_Cadrage'!$H$20))</f>
        <v/>
      </c>
      <c r="AD40" s="27">
        <f>AB40+AC40</f>
        <v/>
      </c>
      <c r="AE40" s="16">
        <f>AD40*Z40+AB40*'01_Cadrage'!$H$28</f>
        <v/>
      </c>
      <c r="AF40" s="10" t="n">
        <v>0</v>
      </c>
      <c r="AG40" s="10" t="n">
        <v>0</v>
      </c>
      <c r="AH40" s="27">
        <f>K40*M40*INDEX('01_Cadrage'!$L$24:$L$28,MATCH(A40,'01_Cadrage'!$J$24:$J$28,0))</f>
        <v/>
      </c>
      <c r="AI40" s="15">
        <f>IFERROR((21936350*(1+'01_Cadrage'!$F$3))*AH40/SUM($AH$4:$AH$61),0)</f>
        <v/>
      </c>
      <c r="AJ40" s="27">
        <f>IFERROR(AI40/Z40,0)</f>
        <v/>
      </c>
      <c r="AK40" s="16">
        <f>AA40-AI40</f>
        <v/>
      </c>
      <c r="AL40" s="27">
        <f>Y40-AJ40</f>
        <v/>
      </c>
    </row>
    <row r="41">
      <c r="A41" s="18">
        <f>'02_Base'!A41</f>
        <v/>
      </c>
      <c r="B41" s="19">
        <f>'02_Base'!B41</f>
        <v/>
      </c>
      <c r="C41" s="18">
        <f>'02_Base'!C41</f>
        <v/>
      </c>
      <c r="D41" s="19">
        <f>'02_Base'!E41</f>
        <v/>
      </c>
      <c r="E41" s="19">
        <f>'02_Base'!F41</f>
        <v/>
      </c>
      <c r="F41" s="40">
        <f>'02_Base'!G41</f>
        <v/>
      </c>
      <c r="G41" s="40">
        <f>'02_Base'!H41</f>
        <v/>
      </c>
      <c r="H41" s="40">
        <f>'02_Base'!I41</f>
        <v/>
      </c>
      <c r="I41" s="40">
        <f>'02_Base'!K41</f>
        <v/>
      </c>
      <c r="J41" s="40">
        <f>'02_Base'!L41</f>
        <v/>
      </c>
      <c r="K41" s="40">
        <f>'02_Base'!M41</f>
        <v/>
      </c>
      <c r="L41" s="40">
        <f>'02_Base'!N41</f>
        <v/>
      </c>
      <c r="M41" s="41">
        <f>'02_Base'!P41</f>
        <v/>
      </c>
      <c r="N41" s="42">
        <f>'02_Base'!Q41</f>
        <v/>
      </c>
      <c r="O41" s="42">
        <f>'02_Base'!R41</f>
        <v/>
      </c>
      <c r="P41" s="42">
        <f>'02_Base'!S41</f>
        <v/>
      </c>
      <c r="Q41" s="42">
        <f>'02_Base'!T41</f>
        <v/>
      </c>
      <c r="R41" s="34">
        <f>IF(F41=1,IFERROR(G41/INDEX('03_Campagnes'!$F$5:$F$18,MATCH(A41&amp;"|"&amp;B41,'03_Campagnes'!$C$5:$C$18,0)),0),0)</f>
        <v/>
      </c>
      <c r="S41" s="27">
        <f>INDEX('03_Campagnes'!$M$5:$M$18,MATCH(A41&amp;"|"&amp;B41,'03_Campagnes'!$C$5:$C$18,0))</f>
        <v/>
      </c>
      <c r="T41" s="27">
        <f>S41*R41</f>
        <v/>
      </c>
      <c r="U41" s="27">
        <f>IF(F41=1,T41*(O41+'01_Cadrage'!$H$18),0)</f>
        <v/>
      </c>
      <c r="V41" s="27">
        <f>U41*P41</f>
        <v/>
      </c>
      <c r="W41" s="26">
        <f>IF(F41=1,V41*(Q41+'01_Cadrage'!$H$19+AF41),0)</f>
        <v/>
      </c>
      <c r="X41" s="27">
        <f>IF(F41=1,0,L41*(N41+'01_Cadrage'!$H$20+AG41))</f>
        <v/>
      </c>
      <c r="Y41" s="26">
        <f>W41+X41</f>
        <v/>
      </c>
      <c r="Z41" s="16">
        <f>M41*(1+'01_Cadrage'!$H$17*INDEX('01_Cadrage'!$L$7:$L$20,MATCH(A41&amp;"|"&amp;B41,'01_Cadrage'!$M$7:$M$20,0)))</f>
        <v/>
      </c>
      <c r="AA41" s="15">
        <f>Y41*Z41+W41*'01_Cadrage'!$H$28</f>
        <v/>
      </c>
      <c r="AB41" s="27">
        <f>IF(F41=1,V41*(Q41+'01_Cadrage'!$H$19),0)</f>
        <v/>
      </c>
      <c r="AC41" s="27">
        <f>IF(F41=1,0,L41*(N41+'01_Cadrage'!$H$20))</f>
        <v/>
      </c>
      <c r="AD41" s="27">
        <f>AB41+AC41</f>
        <v/>
      </c>
      <c r="AE41" s="16">
        <f>AD41*Z41+AB41*'01_Cadrage'!$H$28</f>
        <v/>
      </c>
      <c r="AF41" s="10" t="n">
        <v>0</v>
      </c>
      <c r="AG41" s="10" t="n">
        <v>0</v>
      </c>
      <c r="AH41" s="27">
        <f>K41*M41*INDEX('01_Cadrage'!$L$24:$L$28,MATCH(A41,'01_Cadrage'!$J$24:$J$28,0))</f>
        <v/>
      </c>
      <c r="AI41" s="15">
        <f>IFERROR((21936350*(1+'01_Cadrage'!$F$3))*AH41/SUM($AH$4:$AH$61),0)</f>
        <v/>
      </c>
      <c r="AJ41" s="27">
        <f>IFERROR(AI41/Z41,0)</f>
        <v/>
      </c>
      <c r="AK41" s="16">
        <f>AA41-AI41</f>
        <v/>
      </c>
      <c r="AL41" s="27">
        <f>Y41-AJ41</f>
        <v/>
      </c>
    </row>
    <row r="42">
      <c r="A42" s="18">
        <f>'02_Base'!A42</f>
        <v/>
      </c>
      <c r="B42" s="19">
        <f>'02_Base'!B42</f>
        <v/>
      </c>
      <c r="C42" s="18">
        <f>'02_Base'!C42</f>
        <v/>
      </c>
      <c r="D42" s="19">
        <f>'02_Base'!E42</f>
        <v/>
      </c>
      <c r="E42" s="19">
        <f>'02_Base'!F42</f>
        <v/>
      </c>
      <c r="F42" s="40">
        <f>'02_Base'!G42</f>
        <v/>
      </c>
      <c r="G42" s="40">
        <f>'02_Base'!H42</f>
        <v/>
      </c>
      <c r="H42" s="40">
        <f>'02_Base'!I42</f>
        <v/>
      </c>
      <c r="I42" s="40">
        <f>'02_Base'!K42</f>
        <v/>
      </c>
      <c r="J42" s="40">
        <f>'02_Base'!L42</f>
        <v/>
      </c>
      <c r="K42" s="40">
        <f>'02_Base'!M42</f>
        <v/>
      </c>
      <c r="L42" s="40">
        <f>'02_Base'!N42</f>
        <v/>
      </c>
      <c r="M42" s="41">
        <f>'02_Base'!P42</f>
        <v/>
      </c>
      <c r="N42" s="42">
        <f>'02_Base'!Q42</f>
        <v/>
      </c>
      <c r="O42" s="42">
        <f>'02_Base'!R42</f>
        <v/>
      </c>
      <c r="P42" s="42">
        <f>'02_Base'!S42</f>
        <v/>
      </c>
      <c r="Q42" s="42">
        <f>'02_Base'!T42</f>
        <v/>
      </c>
      <c r="R42" s="34">
        <f>IF(F42=1,IFERROR(G42/INDEX('03_Campagnes'!$F$5:$F$18,MATCH(A42&amp;"|"&amp;B42,'03_Campagnes'!$C$5:$C$18,0)),0),0)</f>
        <v/>
      </c>
      <c r="S42" s="27">
        <f>INDEX('03_Campagnes'!$M$5:$M$18,MATCH(A42&amp;"|"&amp;B42,'03_Campagnes'!$C$5:$C$18,0))</f>
        <v/>
      </c>
      <c r="T42" s="27">
        <f>S42*R42</f>
        <v/>
      </c>
      <c r="U42" s="27">
        <f>IF(F42=1,T42*(O42+'01_Cadrage'!$H$18),0)</f>
        <v/>
      </c>
      <c r="V42" s="27">
        <f>U42*P42</f>
        <v/>
      </c>
      <c r="W42" s="26">
        <f>IF(F42=1,V42*(Q42+'01_Cadrage'!$H$19+AF42),0)</f>
        <v/>
      </c>
      <c r="X42" s="27">
        <f>IF(F42=1,0,L42*(N42+'01_Cadrage'!$H$20+AG42))</f>
        <v/>
      </c>
      <c r="Y42" s="26">
        <f>W42+X42</f>
        <v/>
      </c>
      <c r="Z42" s="16">
        <f>M42*(1+'01_Cadrage'!$H$17*INDEX('01_Cadrage'!$L$7:$L$20,MATCH(A42&amp;"|"&amp;B42,'01_Cadrage'!$M$7:$M$20,0)))</f>
        <v/>
      </c>
      <c r="AA42" s="15">
        <f>Y42*Z42+W42*'01_Cadrage'!$H$28</f>
        <v/>
      </c>
      <c r="AB42" s="27">
        <f>IF(F42=1,V42*(Q42+'01_Cadrage'!$H$19),0)</f>
        <v/>
      </c>
      <c r="AC42" s="27">
        <f>IF(F42=1,0,L42*(N42+'01_Cadrage'!$H$20))</f>
        <v/>
      </c>
      <c r="AD42" s="27">
        <f>AB42+AC42</f>
        <v/>
      </c>
      <c r="AE42" s="16">
        <f>AD42*Z42+AB42*'01_Cadrage'!$H$28</f>
        <v/>
      </c>
      <c r="AF42" s="10" t="n">
        <v>0</v>
      </c>
      <c r="AG42" s="10" t="n">
        <v>0</v>
      </c>
      <c r="AH42" s="27">
        <f>K42*M42*INDEX('01_Cadrage'!$L$24:$L$28,MATCH(A42,'01_Cadrage'!$J$24:$J$28,0))</f>
        <v/>
      </c>
      <c r="AI42" s="15">
        <f>IFERROR((21936350*(1+'01_Cadrage'!$F$3))*AH42/SUM($AH$4:$AH$61),0)</f>
        <v/>
      </c>
      <c r="AJ42" s="27">
        <f>IFERROR(AI42/Z42,0)</f>
        <v/>
      </c>
      <c r="AK42" s="16">
        <f>AA42-AI42</f>
        <v/>
      </c>
      <c r="AL42" s="27">
        <f>Y42-AJ42</f>
        <v/>
      </c>
    </row>
    <row r="43">
      <c r="A43" s="18">
        <f>'02_Base'!A43</f>
        <v/>
      </c>
      <c r="B43" s="19">
        <f>'02_Base'!B43</f>
        <v/>
      </c>
      <c r="C43" s="18">
        <f>'02_Base'!C43</f>
        <v/>
      </c>
      <c r="D43" s="19">
        <f>'02_Base'!E43</f>
        <v/>
      </c>
      <c r="E43" s="19">
        <f>'02_Base'!F43</f>
        <v/>
      </c>
      <c r="F43" s="40">
        <f>'02_Base'!G43</f>
        <v/>
      </c>
      <c r="G43" s="40">
        <f>'02_Base'!H43</f>
        <v/>
      </c>
      <c r="H43" s="40">
        <f>'02_Base'!I43</f>
        <v/>
      </c>
      <c r="I43" s="40">
        <f>'02_Base'!K43</f>
        <v/>
      </c>
      <c r="J43" s="40">
        <f>'02_Base'!L43</f>
        <v/>
      </c>
      <c r="K43" s="40">
        <f>'02_Base'!M43</f>
        <v/>
      </c>
      <c r="L43" s="40">
        <f>'02_Base'!N43</f>
        <v/>
      </c>
      <c r="M43" s="41">
        <f>'02_Base'!P43</f>
        <v/>
      </c>
      <c r="N43" s="42">
        <f>'02_Base'!Q43</f>
        <v/>
      </c>
      <c r="O43" s="42">
        <f>'02_Base'!R43</f>
        <v/>
      </c>
      <c r="P43" s="42">
        <f>'02_Base'!S43</f>
        <v/>
      </c>
      <c r="Q43" s="42">
        <f>'02_Base'!T43</f>
        <v/>
      </c>
      <c r="R43" s="34">
        <f>IF(F43=1,IFERROR(G43/INDEX('03_Campagnes'!$F$5:$F$18,MATCH(A43&amp;"|"&amp;B43,'03_Campagnes'!$C$5:$C$18,0)),0),0)</f>
        <v/>
      </c>
      <c r="S43" s="27">
        <f>INDEX('03_Campagnes'!$M$5:$M$18,MATCH(A43&amp;"|"&amp;B43,'03_Campagnes'!$C$5:$C$18,0))</f>
        <v/>
      </c>
      <c r="T43" s="27">
        <f>S43*R43</f>
        <v/>
      </c>
      <c r="U43" s="27">
        <f>IF(F43=1,T43*(O43+'01_Cadrage'!$H$18),0)</f>
        <v/>
      </c>
      <c r="V43" s="27">
        <f>U43*P43</f>
        <v/>
      </c>
      <c r="W43" s="26">
        <f>IF(F43=1,V43*(Q43+'01_Cadrage'!$H$19+AF43),0)</f>
        <v/>
      </c>
      <c r="X43" s="27">
        <f>IF(F43=1,0,L43*(N43+'01_Cadrage'!$H$20+AG43))</f>
        <v/>
      </c>
      <c r="Y43" s="26">
        <f>W43+X43</f>
        <v/>
      </c>
      <c r="Z43" s="16">
        <f>M43*(1+'01_Cadrage'!$H$17*INDEX('01_Cadrage'!$L$7:$L$20,MATCH(A43&amp;"|"&amp;B43,'01_Cadrage'!$M$7:$M$20,0)))</f>
        <v/>
      </c>
      <c r="AA43" s="15">
        <f>Y43*Z43+W43*'01_Cadrage'!$H$28</f>
        <v/>
      </c>
      <c r="AB43" s="27">
        <f>IF(F43=1,V43*(Q43+'01_Cadrage'!$H$19),0)</f>
        <v/>
      </c>
      <c r="AC43" s="27">
        <f>IF(F43=1,0,L43*(N43+'01_Cadrage'!$H$20))</f>
        <v/>
      </c>
      <c r="AD43" s="27">
        <f>AB43+AC43</f>
        <v/>
      </c>
      <c r="AE43" s="16">
        <f>AD43*Z43+AB43*'01_Cadrage'!$H$28</f>
        <v/>
      </c>
      <c r="AF43" s="10" t="n">
        <v>0</v>
      </c>
      <c r="AG43" s="10" t="n">
        <v>0</v>
      </c>
      <c r="AH43" s="27">
        <f>K43*M43*INDEX('01_Cadrage'!$L$24:$L$28,MATCH(A43,'01_Cadrage'!$J$24:$J$28,0))</f>
        <v/>
      </c>
      <c r="AI43" s="15">
        <f>IFERROR((21936350*(1+'01_Cadrage'!$F$3))*AH43/SUM($AH$4:$AH$61),0)</f>
        <v/>
      </c>
      <c r="AJ43" s="27">
        <f>IFERROR(AI43/Z43,0)</f>
        <v/>
      </c>
      <c r="AK43" s="16">
        <f>AA43-AI43</f>
        <v/>
      </c>
      <c r="AL43" s="27">
        <f>Y43-AJ43</f>
        <v/>
      </c>
    </row>
    <row r="44">
      <c r="A44" s="18">
        <f>'02_Base'!A44</f>
        <v/>
      </c>
      <c r="B44" s="19">
        <f>'02_Base'!B44</f>
        <v/>
      </c>
      <c r="C44" s="18">
        <f>'02_Base'!C44</f>
        <v/>
      </c>
      <c r="D44" s="19">
        <f>'02_Base'!E44</f>
        <v/>
      </c>
      <c r="E44" s="19">
        <f>'02_Base'!F44</f>
        <v/>
      </c>
      <c r="F44" s="40">
        <f>'02_Base'!G44</f>
        <v/>
      </c>
      <c r="G44" s="40">
        <f>'02_Base'!H44</f>
        <v/>
      </c>
      <c r="H44" s="40">
        <f>'02_Base'!I44</f>
        <v/>
      </c>
      <c r="I44" s="40">
        <f>'02_Base'!K44</f>
        <v/>
      </c>
      <c r="J44" s="40">
        <f>'02_Base'!L44</f>
        <v/>
      </c>
      <c r="K44" s="40">
        <f>'02_Base'!M44</f>
        <v/>
      </c>
      <c r="L44" s="40">
        <f>'02_Base'!N44</f>
        <v/>
      </c>
      <c r="M44" s="41">
        <f>'02_Base'!P44</f>
        <v/>
      </c>
      <c r="N44" s="42">
        <f>'02_Base'!Q44</f>
        <v/>
      </c>
      <c r="O44" s="42">
        <f>'02_Base'!R44</f>
        <v/>
      </c>
      <c r="P44" s="42">
        <f>'02_Base'!S44</f>
        <v/>
      </c>
      <c r="Q44" s="42">
        <f>'02_Base'!T44</f>
        <v/>
      </c>
      <c r="R44" s="34">
        <f>IF(F44=1,IFERROR(G44/INDEX('03_Campagnes'!$F$5:$F$18,MATCH(A44&amp;"|"&amp;B44,'03_Campagnes'!$C$5:$C$18,0)),0),0)</f>
        <v/>
      </c>
      <c r="S44" s="27">
        <f>INDEX('03_Campagnes'!$M$5:$M$18,MATCH(A44&amp;"|"&amp;B44,'03_Campagnes'!$C$5:$C$18,0))</f>
        <v/>
      </c>
      <c r="T44" s="27">
        <f>S44*R44</f>
        <v/>
      </c>
      <c r="U44" s="27">
        <f>IF(F44=1,T44*(O44+'01_Cadrage'!$H$18),0)</f>
        <v/>
      </c>
      <c r="V44" s="27">
        <f>U44*P44</f>
        <v/>
      </c>
      <c r="W44" s="26">
        <f>IF(F44=1,V44*(Q44+'01_Cadrage'!$H$19+AF44),0)</f>
        <v/>
      </c>
      <c r="X44" s="27">
        <f>IF(F44=1,0,L44*(N44+'01_Cadrage'!$H$20+AG44))</f>
        <v/>
      </c>
      <c r="Y44" s="26">
        <f>W44+X44</f>
        <v/>
      </c>
      <c r="Z44" s="16">
        <f>M44*(1+'01_Cadrage'!$H$17*INDEX('01_Cadrage'!$L$7:$L$20,MATCH(A44&amp;"|"&amp;B44,'01_Cadrage'!$M$7:$M$20,0)))</f>
        <v/>
      </c>
      <c r="AA44" s="15">
        <f>Y44*Z44+W44*'01_Cadrage'!$H$28</f>
        <v/>
      </c>
      <c r="AB44" s="27">
        <f>IF(F44=1,V44*(Q44+'01_Cadrage'!$H$19),0)</f>
        <v/>
      </c>
      <c r="AC44" s="27">
        <f>IF(F44=1,0,L44*(N44+'01_Cadrage'!$H$20))</f>
        <v/>
      </c>
      <c r="AD44" s="27">
        <f>AB44+AC44</f>
        <v/>
      </c>
      <c r="AE44" s="16">
        <f>AD44*Z44+AB44*'01_Cadrage'!$H$28</f>
        <v/>
      </c>
      <c r="AF44" s="10" t="n">
        <v>0</v>
      </c>
      <c r="AG44" s="10" t="n">
        <v>0</v>
      </c>
      <c r="AH44" s="27">
        <f>K44*M44*INDEX('01_Cadrage'!$L$24:$L$28,MATCH(A44,'01_Cadrage'!$J$24:$J$28,0))</f>
        <v/>
      </c>
      <c r="AI44" s="15">
        <f>IFERROR((21936350*(1+'01_Cadrage'!$F$3))*AH44/SUM($AH$4:$AH$61),0)</f>
        <v/>
      </c>
      <c r="AJ44" s="27">
        <f>IFERROR(AI44/Z44,0)</f>
        <v/>
      </c>
      <c r="AK44" s="16">
        <f>AA44-AI44</f>
        <v/>
      </c>
      <c r="AL44" s="27">
        <f>Y44-AJ44</f>
        <v/>
      </c>
    </row>
    <row r="45">
      <c r="A45" s="18">
        <f>'02_Base'!A45</f>
        <v/>
      </c>
      <c r="B45" s="19">
        <f>'02_Base'!B45</f>
        <v/>
      </c>
      <c r="C45" s="18">
        <f>'02_Base'!C45</f>
        <v/>
      </c>
      <c r="D45" s="19">
        <f>'02_Base'!E45</f>
        <v/>
      </c>
      <c r="E45" s="19">
        <f>'02_Base'!F45</f>
        <v/>
      </c>
      <c r="F45" s="40">
        <f>'02_Base'!G45</f>
        <v/>
      </c>
      <c r="G45" s="40">
        <f>'02_Base'!H45</f>
        <v/>
      </c>
      <c r="H45" s="40">
        <f>'02_Base'!I45</f>
        <v/>
      </c>
      <c r="I45" s="40">
        <f>'02_Base'!K45</f>
        <v/>
      </c>
      <c r="J45" s="40">
        <f>'02_Base'!L45</f>
        <v/>
      </c>
      <c r="K45" s="40">
        <f>'02_Base'!M45</f>
        <v/>
      </c>
      <c r="L45" s="40">
        <f>'02_Base'!N45</f>
        <v/>
      </c>
      <c r="M45" s="41">
        <f>'02_Base'!P45</f>
        <v/>
      </c>
      <c r="N45" s="42">
        <f>'02_Base'!Q45</f>
        <v/>
      </c>
      <c r="O45" s="42">
        <f>'02_Base'!R45</f>
        <v/>
      </c>
      <c r="P45" s="42">
        <f>'02_Base'!S45</f>
        <v/>
      </c>
      <c r="Q45" s="42">
        <f>'02_Base'!T45</f>
        <v/>
      </c>
      <c r="R45" s="34">
        <f>IF(F45=1,IFERROR(G45/INDEX('03_Campagnes'!$F$5:$F$18,MATCH(A45&amp;"|"&amp;B45,'03_Campagnes'!$C$5:$C$18,0)),0),0)</f>
        <v/>
      </c>
      <c r="S45" s="27">
        <f>INDEX('03_Campagnes'!$M$5:$M$18,MATCH(A45&amp;"|"&amp;B45,'03_Campagnes'!$C$5:$C$18,0))</f>
        <v/>
      </c>
      <c r="T45" s="27">
        <f>S45*R45</f>
        <v/>
      </c>
      <c r="U45" s="27">
        <f>IF(F45=1,T45*(O45+'01_Cadrage'!$H$18),0)</f>
        <v/>
      </c>
      <c r="V45" s="27">
        <f>U45*P45</f>
        <v/>
      </c>
      <c r="W45" s="26">
        <f>IF(F45=1,V45*(Q45+'01_Cadrage'!$H$19+AF45),0)</f>
        <v/>
      </c>
      <c r="X45" s="27">
        <f>IF(F45=1,0,L45*(N45+'01_Cadrage'!$H$20+AG45))</f>
        <v/>
      </c>
      <c r="Y45" s="26">
        <f>W45+X45</f>
        <v/>
      </c>
      <c r="Z45" s="16">
        <f>M45*(1+'01_Cadrage'!$H$17*INDEX('01_Cadrage'!$L$7:$L$20,MATCH(A45&amp;"|"&amp;B45,'01_Cadrage'!$M$7:$M$20,0)))</f>
        <v/>
      </c>
      <c r="AA45" s="15">
        <f>Y45*Z45+W45*'01_Cadrage'!$H$28</f>
        <v/>
      </c>
      <c r="AB45" s="27">
        <f>IF(F45=1,V45*(Q45+'01_Cadrage'!$H$19),0)</f>
        <v/>
      </c>
      <c r="AC45" s="27">
        <f>IF(F45=1,0,L45*(N45+'01_Cadrage'!$H$20))</f>
        <v/>
      </c>
      <c r="AD45" s="27">
        <f>AB45+AC45</f>
        <v/>
      </c>
      <c r="AE45" s="16">
        <f>AD45*Z45+AB45*'01_Cadrage'!$H$28</f>
        <v/>
      </c>
      <c r="AF45" s="10" t="n">
        <v>0</v>
      </c>
      <c r="AG45" s="10" t="n">
        <v>0</v>
      </c>
      <c r="AH45" s="27">
        <f>K45*M45*INDEX('01_Cadrage'!$L$24:$L$28,MATCH(A45,'01_Cadrage'!$J$24:$J$28,0))</f>
        <v/>
      </c>
      <c r="AI45" s="15">
        <f>IFERROR((21936350*(1+'01_Cadrage'!$F$3))*AH45/SUM($AH$4:$AH$61),0)</f>
        <v/>
      </c>
      <c r="AJ45" s="27">
        <f>IFERROR(AI45/Z45,0)</f>
        <v/>
      </c>
      <c r="AK45" s="16">
        <f>AA45-AI45</f>
        <v/>
      </c>
      <c r="AL45" s="27">
        <f>Y45-AJ45</f>
        <v/>
      </c>
    </row>
    <row r="46">
      <c r="A46" s="18">
        <f>'02_Base'!A46</f>
        <v/>
      </c>
      <c r="B46" s="19">
        <f>'02_Base'!B46</f>
        <v/>
      </c>
      <c r="C46" s="18">
        <f>'02_Base'!C46</f>
        <v/>
      </c>
      <c r="D46" s="19">
        <f>'02_Base'!E46</f>
        <v/>
      </c>
      <c r="E46" s="19">
        <f>'02_Base'!F46</f>
        <v/>
      </c>
      <c r="F46" s="40">
        <f>'02_Base'!G46</f>
        <v/>
      </c>
      <c r="G46" s="40">
        <f>'02_Base'!H46</f>
        <v/>
      </c>
      <c r="H46" s="40">
        <f>'02_Base'!I46</f>
        <v/>
      </c>
      <c r="I46" s="40">
        <f>'02_Base'!K46</f>
        <v/>
      </c>
      <c r="J46" s="40">
        <f>'02_Base'!L46</f>
        <v/>
      </c>
      <c r="K46" s="40">
        <f>'02_Base'!M46</f>
        <v/>
      </c>
      <c r="L46" s="40">
        <f>'02_Base'!N46</f>
        <v/>
      </c>
      <c r="M46" s="41">
        <f>'02_Base'!P46</f>
        <v/>
      </c>
      <c r="N46" s="42">
        <f>'02_Base'!Q46</f>
        <v/>
      </c>
      <c r="O46" s="42">
        <f>'02_Base'!R46</f>
        <v/>
      </c>
      <c r="P46" s="42">
        <f>'02_Base'!S46</f>
        <v/>
      </c>
      <c r="Q46" s="42">
        <f>'02_Base'!T46</f>
        <v/>
      </c>
      <c r="R46" s="34">
        <f>IF(F46=1,IFERROR(G46/INDEX('03_Campagnes'!$F$5:$F$18,MATCH(A46&amp;"|"&amp;B46,'03_Campagnes'!$C$5:$C$18,0)),0),0)</f>
        <v/>
      </c>
      <c r="S46" s="27">
        <f>INDEX('03_Campagnes'!$M$5:$M$18,MATCH(A46&amp;"|"&amp;B46,'03_Campagnes'!$C$5:$C$18,0))</f>
        <v/>
      </c>
      <c r="T46" s="27">
        <f>S46*R46</f>
        <v/>
      </c>
      <c r="U46" s="27">
        <f>IF(F46=1,T46*(O46+'01_Cadrage'!$H$18),0)</f>
        <v/>
      </c>
      <c r="V46" s="27">
        <f>U46*P46</f>
        <v/>
      </c>
      <c r="W46" s="26">
        <f>IF(F46=1,V46*(Q46+'01_Cadrage'!$H$19+AF46),0)</f>
        <v/>
      </c>
      <c r="X46" s="27">
        <f>IF(F46=1,0,L46*(N46+'01_Cadrage'!$H$20+AG46))</f>
        <v/>
      </c>
      <c r="Y46" s="26">
        <f>W46+X46</f>
        <v/>
      </c>
      <c r="Z46" s="16">
        <f>M46*(1+'01_Cadrage'!$H$17*INDEX('01_Cadrage'!$L$7:$L$20,MATCH(A46&amp;"|"&amp;B46,'01_Cadrage'!$M$7:$M$20,0)))</f>
        <v/>
      </c>
      <c r="AA46" s="15">
        <f>Y46*Z46+W46*'01_Cadrage'!$H$28</f>
        <v/>
      </c>
      <c r="AB46" s="27">
        <f>IF(F46=1,V46*(Q46+'01_Cadrage'!$H$19),0)</f>
        <v/>
      </c>
      <c r="AC46" s="27">
        <f>IF(F46=1,0,L46*(N46+'01_Cadrage'!$H$20))</f>
        <v/>
      </c>
      <c r="AD46" s="27">
        <f>AB46+AC46</f>
        <v/>
      </c>
      <c r="AE46" s="16">
        <f>AD46*Z46+AB46*'01_Cadrage'!$H$28</f>
        <v/>
      </c>
      <c r="AF46" s="10" t="n">
        <v>0</v>
      </c>
      <c r="AG46" s="10" t="n">
        <v>0</v>
      </c>
      <c r="AH46" s="27">
        <f>K46*M46*INDEX('01_Cadrage'!$L$24:$L$28,MATCH(A46,'01_Cadrage'!$J$24:$J$28,0))</f>
        <v/>
      </c>
      <c r="AI46" s="15">
        <f>IFERROR((21936350*(1+'01_Cadrage'!$F$3))*AH46/SUM($AH$4:$AH$61),0)</f>
        <v/>
      </c>
      <c r="AJ46" s="27">
        <f>IFERROR(AI46/Z46,0)</f>
        <v/>
      </c>
      <c r="AK46" s="16">
        <f>AA46-AI46</f>
        <v/>
      </c>
      <c r="AL46" s="27">
        <f>Y46-AJ46</f>
        <v/>
      </c>
    </row>
    <row r="47">
      <c r="A47" s="18">
        <f>'02_Base'!A47</f>
        <v/>
      </c>
      <c r="B47" s="19">
        <f>'02_Base'!B47</f>
        <v/>
      </c>
      <c r="C47" s="18">
        <f>'02_Base'!C47</f>
        <v/>
      </c>
      <c r="D47" s="19">
        <f>'02_Base'!E47</f>
        <v/>
      </c>
      <c r="E47" s="19">
        <f>'02_Base'!F47</f>
        <v/>
      </c>
      <c r="F47" s="40">
        <f>'02_Base'!G47</f>
        <v/>
      </c>
      <c r="G47" s="40">
        <f>'02_Base'!H47</f>
        <v/>
      </c>
      <c r="H47" s="40">
        <f>'02_Base'!I47</f>
        <v/>
      </c>
      <c r="I47" s="40">
        <f>'02_Base'!K47</f>
        <v/>
      </c>
      <c r="J47" s="40">
        <f>'02_Base'!L47</f>
        <v/>
      </c>
      <c r="K47" s="40">
        <f>'02_Base'!M47</f>
        <v/>
      </c>
      <c r="L47" s="40">
        <f>'02_Base'!N47</f>
        <v/>
      </c>
      <c r="M47" s="41">
        <f>'02_Base'!P47</f>
        <v/>
      </c>
      <c r="N47" s="42">
        <f>'02_Base'!Q47</f>
        <v/>
      </c>
      <c r="O47" s="42">
        <f>'02_Base'!R47</f>
        <v/>
      </c>
      <c r="P47" s="42">
        <f>'02_Base'!S47</f>
        <v/>
      </c>
      <c r="Q47" s="42">
        <f>'02_Base'!T47</f>
        <v/>
      </c>
      <c r="R47" s="34">
        <f>IF(F47=1,IFERROR(G47/INDEX('03_Campagnes'!$F$5:$F$18,MATCH(A47&amp;"|"&amp;B47,'03_Campagnes'!$C$5:$C$18,0)),0),0)</f>
        <v/>
      </c>
      <c r="S47" s="27">
        <f>INDEX('03_Campagnes'!$M$5:$M$18,MATCH(A47&amp;"|"&amp;B47,'03_Campagnes'!$C$5:$C$18,0))</f>
        <v/>
      </c>
      <c r="T47" s="27">
        <f>S47*R47</f>
        <v/>
      </c>
      <c r="U47" s="27">
        <f>IF(F47=1,T47*(O47+'01_Cadrage'!$H$18),0)</f>
        <v/>
      </c>
      <c r="V47" s="27">
        <f>U47*P47</f>
        <v/>
      </c>
      <c r="W47" s="26">
        <f>IF(F47=1,V47*(Q47+'01_Cadrage'!$H$19+AF47),0)</f>
        <v/>
      </c>
      <c r="X47" s="27">
        <f>IF(F47=1,0,L47*(N47+'01_Cadrage'!$H$20+AG47))</f>
        <v/>
      </c>
      <c r="Y47" s="26">
        <f>W47+X47</f>
        <v/>
      </c>
      <c r="Z47" s="16">
        <f>M47*(1+'01_Cadrage'!$H$17*INDEX('01_Cadrage'!$L$7:$L$20,MATCH(A47&amp;"|"&amp;B47,'01_Cadrage'!$M$7:$M$20,0)))</f>
        <v/>
      </c>
      <c r="AA47" s="15">
        <f>Y47*Z47+W47*'01_Cadrage'!$H$28</f>
        <v/>
      </c>
      <c r="AB47" s="27">
        <f>IF(F47=1,V47*(Q47+'01_Cadrage'!$H$19),0)</f>
        <v/>
      </c>
      <c r="AC47" s="27">
        <f>IF(F47=1,0,L47*(N47+'01_Cadrage'!$H$20))</f>
        <v/>
      </c>
      <c r="AD47" s="27">
        <f>AB47+AC47</f>
        <v/>
      </c>
      <c r="AE47" s="16">
        <f>AD47*Z47+AB47*'01_Cadrage'!$H$28</f>
        <v/>
      </c>
      <c r="AF47" s="10" t="n">
        <v>0</v>
      </c>
      <c r="AG47" s="10" t="n">
        <v>0</v>
      </c>
      <c r="AH47" s="27">
        <f>K47*M47*INDEX('01_Cadrage'!$L$24:$L$28,MATCH(A47,'01_Cadrage'!$J$24:$J$28,0))</f>
        <v/>
      </c>
      <c r="AI47" s="15">
        <f>IFERROR((21936350*(1+'01_Cadrage'!$F$3))*AH47/SUM($AH$4:$AH$61),0)</f>
        <v/>
      </c>
      <c r="AJ47" s="27">
        <f>IFERROR(AI47/Z47,0)</f>
        <v/>
      </c>
      <c r="AK47" s="16">
        <f>AA47-AI47</f>
        <v/>
      </c>
      <c r="AL47" s="27">
        <f>Y47-AJ47</f>
        <v/>
      </c>
    </row>
    <row r="48">
      <c r="A48" s="18">
        <f>'02_Base'!A48</f>
        <v/>
      </c>
      <c r="B48" s="19">
        <f>'02_Base'!B48</f>
        <v/>
      </c>
      <c r="C48" s="18">
        <f>'02_Base'!C48</f>
        <v/>
      </c>
      <c r="D48" s="19">
        <f>'02_Base'!E48</f>
        <v/>
      </c>
      <c r="E48" s="19">
        <f>'02_Base'!F48</f>
        <v/>
      </c>
      <c r="F48" s="40">
        <f>'02_Base'!G48</f>
        <v/>
      </c>
      <c r="G48" s="40">
        <f>'02_Base'!H48</f>
        <v/>
      </c>
      <c r="H48" s="40">
        <f>'02_Base'!I48</f>
        <v/>
      </c>
      <c r="I48" s="40">
        <f>'02_Base'!K48</f>
        <v/>
      </c>
      <c r="J48" s="40">
        <f>'02_Base'!L48</f>
        <v/>
      </c>
      <c r="K48" s="40">
        <f>'02_Base'!M48</f>
        <v/>
      </c>
      <c r="L48" s="40">
        <f>'02_Base'!N48</f>
        <v/>
      </c>
      <c r="M48" s="41">
        <f>'02_Base'!P48</f>
        <v/>
      </c>
      <c r="N48" s="42">
        <f>'02_Base'!Q48</f>
        <v/>
      </c>
      <c r="O48" s="42">
        <f>'02_Base'!R48</f>
        <v/>
      </c>
      <c r="P48" s="42">
        <f>'02_Base'!S48</f>
        <v/>
      </c>
      <c r="Q48" s="42">
        <f>'02_Base'!T48</f>
        <v/>
      </c>
      <c r="R48" s="34">
        <f>IF(F48=1,IFERROR(G48/INDEX('03_Campagnes'!$F$5:$F$18,MATCH(A48&amp;"|"&amp;B48,'03_Campagnes'!$C$5:$C$18,0)),0),0)</f>
        <v/>
      </c>
      <c r="S48" s="27">
        <f>INDEX('03_Campagnes'!$M$5:$M$18,MATCH(A48&amp;"|"&amp;B48,'03_Campagnes'!$C$5:$C$18,0))</f>
        <v/>
      </c>
      <c r="T48" s="27">
        <f>S48*R48</f>
        <v/>
      </c>
      <c r="U48" s="27">
        <f>IF(F48=1,T48*(O48+'01_Cadrage'!$H$18),0)</f>
        <v/>
      </c>
      <c r="V48" s="27">
        <f>U48*P48</f>
        <v/>
      </c>
      <c r="W48" s="26">
        <f>IF(F48=1,V48*(Q48+'01_Cadrage'!$H$19+AF48),0)</f>
        <v/>
      </c>
      <c r="X48" s="27">
        <f>IF(F48=1,0,L48*(N48+'01_Cadrage'!$H$20+AG48))</f>
        <v/>
      </c>
      <c r="Y48" s="26">
        <f>W48+X48</f>
        <v/>
      </c>
      <c r="Z48" s="16">
        <f>M48*(1+'01_Cadrage'!$H$17*INDEX('01_Cadrage'!$L$7:$L$20,MATCH(A48&amp;"|"&amp;B48,'01_Cadrage'!$M$7:$M$20,0)))</f>
        <v/>
      </c>
      <c r="AA48" s="15">
        <f>Y48*Z48+W48*'01_Cadrage'!$H$28</f>
        <v/>
      </c>
      <c r="AB48" s="27">
        <f>IF(F48=1,V48*(Q48+'01_Cadrage'!$H$19),0)</f>
        <v/>
      </c>
      <c r="AC48" s="27">
        <f>IF(F48=1,0,L48*(N48+'01_Cadrage'!$H$20))</f>
        <v/>
      </c>
      <c r="AD48" s="27">
        <f>AB48+AC48</f>
        <v/>
      </c>
      <c r="AE48" s="16">
        <f>AD48*Z48+AB48*'01_Cadrage'!$H$28</f>
        <v/>
      </c>
      <c r="AF48" s="10" t="n">
        <v>0</v>
      </c>
      <c r="AG48" s="10" t="n">
        <v>0</v>
      </c>
      <c r="AH48" s="27">
        <f>K48*M48*INDEX('01_Cadrage'!$L$24:$L$28,MATCH(A48,'01_Cadrage'!$J$24:$J$28,0))</f>
        <v/>
      </c>
      <c r="AI48" s="15">
        <f>IFERROR((21936350*(1+'01_Cadrage'!$F$3))*AH48/SUM($AH$4:$AH$61),0)</f>
        <v/>
      </c>
      <c r="AJ48" s="27">
        <f>IFERROR(AI48/Z48,0)</f>
        <v/>
      </c>
      <c r="AK48" s="16">
        <f>AA48-AI48</f>
        <v/>
      </c>
      <c r="AL48" s="27">
        <f>Y48-AJ48</f>
        <v/>
      </c>
    </row>
    <row r="49">
      <c r="A49" s="18">
        <f>'02_Base'!A49</f>
        <v/>
      </c>
      <c r="B49" s="19">
        <f>'02_Base'!B49</f>
        <v/>
      </c>
      <c r="C49" s="18">
        <f>'02_Base'!C49</f>
        <v/>
      </c>
      <c r="D49" s="19">
        <f>'02_Base'!E49</f>
        <v/>
      </c>
      <c r="E49" s="19">
        <f>'02_Base'!F49</f>
        <v/>
      </c>
      <c r="F49" s="40">
        <f>'02_Base'!G49</f>
        <v/>
      </c>
      <c r="G49" s="40">
        <f>'02_Base'!H49</f>
        <v/>
      </c>
      <c r="H49" s="40">
        <f>'02_Base'!I49</f>
        <v/>
      </c>
      <c r="I49" s="40">
        <f>'02_Base'!K49</f>
        <v/>
      </c>
      <c r="J49" s="40">
        <f>'02_Base'!L49</f>
        <v/>
      </c>
      <c r="K49" s="40">
        <f>'02_Base'!M49</f>
        <v/>
      </c>
      <c r="L49" s="40">
        <f>'02_Base'!N49</f>
        <v/>
      </c>
      <c r="M49" s="41">
        <f>'02_Base'!P49</f>
        <v/>
      </c>
      <c r="N49" s="42">
        <f>'02_Base'!Q49</f>
        <v/>
      </c>
      <c r="O49" s="42">
        <f>'02_Base'!R49</f>
        <v/>
      </c>
      <c r="P49" s="42">
        <f>'02_Base'!S49</f>
        <v/>
      </c>
      <c r="Q49" s="42">
        <f>'02_Base'!T49</f>
        <v/>
      </c>
      <c r="R49" s="34">
        <f>IF(F49=1,IFERROR(G49/INDEX('03_Campagnes'!$F$5:$F$18,MATCH(A49&amp;"|"&amp;B49,'03_Campagnes'!$C$5:$C$18,0)),0),0)</f>
        <v/>
      </c>
      <c r="S49" s="27">
        <f>INDEX('03_Campagnes'!$M$5:$M$18,MATCH(A49&amp;"|"&amp;B49,'03_Campagnes'!$C$5:$C$18,0))</f>
        <v/>
      </c>
      <c r="T49" s="27">
        <f>S49*R49</f>
        <v/>
      </c>
      <c r="U49" s="27">
        <f>IF(F49=1,T49*(O49+'01_Cadrage'!$H$18),0)</f>
        <v/>
      </c>
      <c r="V49" s="27">
        <f>U49*P49</f>
        <v/>
      </c>
      <c r="W49" s="26">
        <f>IF(F49=1,V49*(Q49+'01_Cadrage'!$H$19+AF49),0)</f>
        <v/>
      </c>
      <c r="X49" s="27">
        <f>IF(F49=1,0,L49*(N49+'01_Cadrage'!$H$20+AG49))</f>
        <v/>
      </c>
      <c r="Y49" s="26">
        <f>W49+X49</f>
        <v/>
      </c>
      <c r="Z49" s="16">
        <f>M49*(1+'01_Cadrage'!$H$17*INDEX('01_Cadrage'!$L$7:$L$20,MATCH(A49&amp;"|"&amp;B49,'01_Cadrage'!$M$7:$M$20,0)))</f>
        <v/>
      </c>
      <c r="AA49" s="15">
        <f>Y49*Z49+W49*'01_Cadrage'!$H$28</f>
        <v/>
      </c>
      <c r="AB49" s="27">
        <f>IF(F49=1,V49*(Q49+'01_Cadrage'!$H$19),0)</f>
        <v/>
      </c>
      <c r="AC49" s="27">
        <f>IF(F49=1,0,L49*(N49+'01_Cadrage'!$H$20))</f>
        <v/>
      </c>
      <c r="AD49" s="27">
        <f>AB49+AC49</f>
        <v/>
      </c>
      <c r="AE49" s="16">
        <f>AD49*Z49+AB49*'01_Cadrage'!$H$28</f>
        <v/>
      </c>
      <c r="AF49" s="10" t="n">
        <v>0</v>
      </c>
      <c r="AG49" s="10" t="n">
        <v>0</v>
      </c>
      <c r="AH49" s="27">
        <f>K49*M49*INDEX('01_Cadrage'!$L$24:$L$28,MATCH(A49,'01_Cadrage'!$J$24:$J$28,0))</f>
        <v/>
      </c>
      <c r="AI49" s="15">
        <f>IFERROR((21936350*(1+'01_Cadrage'!$F$3))*AH49/SUM($AH$4:$AH$61),0)</f>
        <v/>
      </c>
      <c r="AJ49" s="27">
        <f>IFERROR(AI49/Z49,0)</f>
        <v/>
      </c>
      <c r="AK49" s="16">
        <f>AA49-AI49</f>
        <v/>
      </c>
      <c r="AL49" s="27">
        <f>Y49-AJ49</f>
        <v/>
      </c>
    </row>
    <row r="50">
      <c r="A50" s="18">
        <f>'02_Base'!A50</f>
        <v/>
      </c>
      <c r="B50" s="19">
        <f>'02_Base'!B50</f>
        <v/>
      </c>
      <c r="C50" s="18">
        <f>'02_Base'!C50</f>
        <v/>
      </c>
      <c r="D50" s="19">
        <f>'02_Base'!E50</f>
        <v/>
      </c>
      <c r="E50" s="19">
        <f>'02_Base'!F50</f>
        <v/>
      </c>
      <c r="F50" s="40">
        <f>'02_Base'!G50</f>
        <v/>
      </c>
      <c r="G50" s="40">
        <f>'02_Base'!H50</f>
        <v/>
      </c>
      <c r="H50" s="40">
        <f>'02_Base'!I50</f>
        <v/>
      </c>
      <c r="I50" s="40">
        <f>'02_Base'!K50</f>
        <v/>
      </c>
      <c r="J50" s="40">
        <f>'02_Base'!L50</f>
        <v/>
      </c>
      <c r="K50" s="40">
        <f>'02_Base'!M50</f>
        <v/>
      </c>
      <c r="L50" s="40">
        <f>'02_Base'!N50</f>
        <v/>
      </c>
      <c r="M50" s="41">
        <f>'02_Base'!P50</f>
        <v/>
      </c>
      <c r="N50" s="42">
        <f>'02_Base'!Q50</f>
        <v/>
      </c>
      <c r="O50" s="42">
        <f>'02_Base'!R50</f>
        <v/>
      </c>
      <c r="P50" s="42">
        <f>'02_Base'!S50</f>
        <v/>
      </c>
      <c r="Q50" s="42">
        <f>'02_Base'!T50</f>
        <v/>
      </c>
      <c r="R50" s="34">
        <f>IF(F50=1,IFERROR(G50/INDEX('03_Campagnes'!$F$5:$F$18,MATCH(A50&amp;"|"&amp;B50,'03_Campagnes'!$C$5:$C$18,0)),0),0)</f>
        <v/>
      </c>
      <c r="S50" s="27">
        <f>INDEX('03_Campagnes'!$M$5:$M$18,MATCH(A50&amp;"|"&amp;B50,'03_Campagnes'!$C$5:$C$18,0))</f>
        <v/>
      </c>
      <c r="T50" s="27">
        <f>S50*R50</f>
        <v/>
      </c>
      <c r="U50" s="27">
        <f>IF(F50=1,T50*(O50+'01_Cadrage'!$H$18),0)</f>
        <v/>
      </c>
      <c r="V50" s="27">
        <f>U50*P50</f>
        <v/>
      </c>
      <c r="W50" s="26">
        <f>IF(F50=1,V50*(Q50+'01_Cadrage'!$H$19+AF50),0)</f>
        <v/>
      </c>
      <c r="X50" s="27">
        <f>IF(F50=1,0,L50*(N50+'01_Cadrage'!$H$20+AG50))</f>
        <v/>
      </c>
      <c r="Y50" s="26">
        <f>W50+X50</f>
        <v/>
      </c>
      <c r="Z50" s="16">
        <f>M50*(1+'01_Cadrage'!$H$17*INDEX('01_Cadrage'!$L$7:$L$20,MATCH(A50&amp;"|"&amp;B50,'01_Cadrage'!$M$7:$M$20,0)))</f>
        <v/>
      </c>
      <c r="AA50" s="15">
        <f>Y50*Z50+W50*'01_Cadrage'!$H$28</f>
        <v/>
      </c>
      <c r="AB50" s="27">
        <f>IF(F50=1,V50*(Q50+'01_Cadrage'!$H$19),0)</f>
        <v/>
      </c>
      <c r="AC50" s="27">
        <f>IF(F50=1,0,L50*(N50+'01_Cadrage'!$H$20))</f>
        <v/>
      </c>
      <c r="AD50" s="27">
        <f>AB50+AC50</f>
        <v/>
      </c>
      <c r="AE50" s="16">
        <f>AD50*Z50+AB50*'01_Cadrage'!$H$28</f>
        <v/>
      </c>
      <c r="AF50" s="10" t="n">
        <v>0</v>
      </c>
      <c r="AG50" s="10" t="n">
        <v>0</v>
      </c>
      <c r="AH50" s="27">
        <f>K50*M50*INDEX('01_Cadrage'!$L$24:$L$28,MATCH(A50,'01_Cadrage'!$J$24:$J$28,0))</f>
        <v/>
      </c>
      <c r="AI50" s="15">
        <f>IFERROR((21936350*(1+'01_Cadrage'!$F$3))*AH50/SUM($AH$4:$AH$61),0)</f>
        <v/>
      </c>
      <c r="AJ50" s="27">
        <f>IFERROR(AI50/Z50,0)</f>
        <v/>
      </c>
      <c r="AK50" s="16">
        <f>AA50-AI50</f>
        <v/>
      </c>
      <c r="AL50" s="27">
        <f>Y50-AJ50</f>
        <v/>
      </c>
    </row>
    <row r="51">
      <c r="A51" s="18">
        <f>'02_Base'!A51</f>
        <v/>
      </c>
      <c r="B51" s="19">
        <f>'02_Base'!B51</f>
        <v/>
      </c>
      <c r="C51" s="18">
        <f>'02_Base'!C51</f>
        <v/>
      </c>
      <c r="D51" s="19">
        <f>'02_Base'!E51</f>
        <v/>
      </c>
      <c r="E51" s="19">
        <f>'02_Base'!F51</f>
        <v/>
      </c>
      <c r="F51" s="40">
        <f>'02_Base'!G51</f>
        <v/>
      </c>
      <c r="G51" s="40">
        <f>'02_Base'!H51</f>
        <v/>
      </c>
      <c r="H51" s="40">
        <f>'02_Base'!I51</f>
        <v/>
      </c>
      <c r="I51" s="40">
        <f>'02_Base'!K51</f>
        <v/>
      </c>
      <c r="J51" s="40">
        <f>'02_Base'!L51</f>
        <v/>
      </c>
      <c r="K51" s="40">
        <f>'02_Base'!M51</f>
        <v/>
      </c>
      <c r="L51" s="40">
        <f>'02_Base'!N51</f>
        <v/>
      </c>
      <c r="M51" s="41">
        <f>'02_Base'!P51</f>
        <v/>
      </c>
      <c r="N51" s="42">
        <f>'02_Base'!Q51</f>
        <v/>
      </c>
      <c r="O51" s="42">
        <f>'02_Base'!R51</f>
        <v/>
      </c>
      <c r="P51" s="42">
        <f>'02_Base'!S51</f>
        <v/>
      </c>
      <c r="Q51" s="42">
        <f>'02_Base'!T51</f>
        <v/>
      </c>
      <c r="R51" s="34">
        <f>IF(F51=1,IFERROR(G51/INDEX('03_Campagnes'!$F$5:$F$18,MATCH(A51&amp;"|"&amp;B51,'03_Campagnes'!$C$5:$C$18,0)),0),0)</f>
        <v/>
      </c>
      <c r="S51" s="27">
        <f>INDEX('03_Campagnes'!$M$5:$M$18,MATCH(A51&amp;"|"&amp;B51,'03_Campagnes'!$C$5:$C$18,0))</f>
        <v/>
      </c>
      <c r="T51" s="27">
        <f>S51*R51</f>
        <v/>
      </c>
      <c r="U51" s="27">
        <f>IF(F51=1,T51*(O51+'01_Cadrage'!$H$18),0)</f>
        <v/>
      </c>
      <c r="V51" s="27">
        <f>U51*P51</f>
        <v/>
      </c>
      <c r="W51" s="26">
        <f>IF(F51=1,V51*(Q51+'01_Cadrage'!$H$19+AF51),0)</f>
        <v/>
      </c>
      <c r="X51" s="27">
        <f>IF(F51=1,0,L51*(N51+'01_Cadrage'!$H$20+AG51))</f>
        <v/>
      </c>
      <c r="Y51" s="26">
        <f>W51+X51</f>
        <v/>
      </c>
      <c r="Z51" s="16">
        <f>M51*(1+'01_Cadrage'!$H$17*INDEX('01_Cadrage'!$L$7:$L$20,MATCH(A51&amp;"|"&amp;B51,'01_Cadrage'!$M$7:$M$20,0)))</f>
        <v/>
      </c>
      <c r="AA51" s="15">
        <f>Y51*Z51+W51*'01_Cadrage'!$H$28</f>
        <v/>
      </c>
      <c r="AB51" s="27">
        <f>IF(F51=1,V51*(Q51+'01_Cadrage'!$H$19),0)</f>
        <v/>
      </c>
      <c r="AC51" s="27">
        <f>IF(F51=1,0,L51*(N51+'01_Cadrage'!$H$20))</f>
        <v/>
      </c>
      <c r="AD51" s="27">
        <f>AB51+AC51</f>
        <v/>
      </c>
      <c r="AE51" s="16">
        <f>AD51*Z51+AB51*'01_Cadrage'!$H$28</f>
        <v/>
      </c>
      <c r="AF51" s="10" t="n">
        <v>0</v>
      </c>
      <c r="AG51" s="10" t="n">
        <v>0</v>
      </c>
      <c r="AH51" s="27">
        <f>K51*M51*INDEX('01_Cadrage'!$L$24:$L$28,MATCH(A51,'01_Cadrage'!$J$24:$J$28,0))</f>
        <v/>
      </c>
      <c r="AI51" s="15">
        <f>IFERROR((21936350*(1+'01_Cadrage'!$F$3))*AH51/SUM($AH$4:$AH$61),0)</f>
        <v/>
      </c>
      <c r="AJ51" s="27">
        <f>IFERROR(AI51/Z51,0)</f>
        <v/>
      </c>
      <c r="AK51" s="16">
        <f>AA51-AI51</f>
        <v/>
      </c>
      <c r="AL51" s="27">
        <f>Y51-AJ51</f>
        <v/>
      </c>
    </row>
    <row r="52">
      <c r="A52" s="18">
        <f>'02_Base'!A52</f>
        <v/>
      </c>
      <c r="B52" s="19">
        <f>'02_Base'!B52</f>
        <v/>
      </c>
      <c r="C52" s="18">
        <f>'02_Base'!C52</f>
        <v/>
      </c>
      <c r="D52" s="19">
        <f>'02_Base'!E52</f>
        <v/>
      </c>
      <c r="E52" s="19">
        <f>'02_Base'!F52</f>
        <v/>
      </c>
      <c r="F52" s="40">
        <f>'02_Base'!G52</f>
        <v/>
      </c>
      <c r="G52" s="40">
        <f>'02_Base'!H52</f>
        <v/>
      </c>
      <c r="H52" s="40">
        <f>'02_Base'!I52</f>
        <v/>
      </c>
      <c r="I52" s="40">
        <f>'02_Base'!K52</f>
        <v/>
      </c>
      <c r="J52" s="40">
        <f>'02_Base'!L52</f>
        <v/>
      </c>
      <c r="K52" s="40">
        <f>'02_Base'!M52</f>
        <v/>
      </c>
      <c r="L52" s="40">
        <f>'02_Base'!N52</f>
        <v/>
      </c>
      <c r="M52" s="41">
        <f>'02_Base'!P52</f>
        <v/>
      </c>
      <c r="N52" s="42">
        <f>'02_Base'!Q52</f>
        <v/>
      </c>
      <c r="O52" s="42">
        <f>'02_Base'!R52</f>
        <v/>
      </c>
      <c r="P52" s="42">
        <f>'02_Base'!S52</f>
        <v/>
      </c>
      <c r="Q52" s="42">
        <f>'02_Base'!T52</f>
        <v/>
      </c>
      <c r="R52" s="34">
        <f>IF(F52=1,IFERROR(G52/INDEX('03_Campagnes'!$F$5:$F$18,MATCH(A52&amp;"|"&amp;B52,'03_Campagnes'!$C$5:$C$18,0)),0),0)</f>
        <v/>
      </c>
      <c r="S52" s="27">
        <f>INDEX('03_Campagnes'!$M$5:$M$18,MATCH(A52&amp;"|"&amp;B52,'03_Campagnes'!$C$5:$C$18,0))</f>
        <v/>
      </c>
      <c r="T52" s="27">
        <f>S52*R52</f>
        <v/>
      </c>
      <c r="U52" s="27">
        <f>IF(F52=1,T52*(O52+'01_Cadrage'!$H$18),0)</f>
        <v/>
      </c>
      <c r="V52" s="27">
        <f>U52*P52</f>
        <v/>
      </c>
      <c r="W52" s="26">
        <f>IF(F52=1,V52*(Q52+'01_Cadrage'!$H$19+AF52),0)</f>
        <v/>
      </c>
      <c r="X52" s="27">
        <f>IF(F52=1,0,L52*(N52+'01_Cadrage'!$H$20+AG52))</f>
        <v/>
      </c>
      <c r="Y52" s="26">
        <f>W52+X52</f>
        <v/>
      </c>
      <c r="Z52" s="16">
        <f>M52*(1+'01_Cadrage'!$H$17*INDEX('01_Cadrage'!$L$7:$L$20,MATCH(A52&amp;"|"&amp;B52,'01_Cadrage'!$M$7:$M$20,0)))</f>
        <v/>
      </c>
      <c r="AA52" s="15">
        <f>Y52*Z52+W52*'01_Cadrage'!$H$28</f>
        <v/>
      </c>
      <c r="AB52" s="27">
        <f>IF(F52=1,V52*(Q52+'01_Cadrage'!$H$19),0)</f>
        <v/>
      </c>
      <c r="AC52" s="27">
        <f>IF(F52=1,0,L52*(N52+'01_Cadrage'!$H$20))</f>
        <v/>
      </c>
      <c r="AD52" s="27">
        <f>AB52+AC52</f>
        <v/>
      </c>
      <c r="AE52" s="16">
        <f>AD52*Z52+AB52*'01_Cadrage'!$H$28</f>
        <v/>
      </c>
      <c r="AF52" s="10" t="n">
        <v>0</v>
      </c>
      <c r="AG52" s="10" t="n">
        <v>0</v>
      </c>
      <c r="AH52" s="27">
        <f>K52*M52*INDEX('01_Cadrage'!$L$24:$L$28,MATCH(A52,'01_Cadrage'!$J$24:$J$28,0))</f>
        <v/>
      </c>
      <c r="AI52" s="15">
        <f>IFERROR((21936350*(1+'01_Cadrage'!$F$3))*AH52/SUM($AH$4:$AH$61),0)</f>
        <v/>
      </c>
      <c r="AJ52" s="27">
        <f>IFERROR(AI52/Z52,0)</f>
        <v/>
      </c>
      <c r="AK52" s="16">
        <f>AA52-AI52</f>
        <v/>
      </c>
      <c r="AL52" s="27">
        <f>Y52-AJ52</f>
        <v/>
      </c>
    </row>
    <row r="53">
      <c r="A53" s="18">
        <f>'02_Base'!A53</f>
        <v/>
      </c>
      <c r="B53" s="19">
        <f>'02_Base'!B53</f>
        <v/>
      </c>
      <c r="C53" s="18">
        <f>'02_Base'!C53</f>
        <v/>
      </c>
      <c r="D53" s="19">
        <f>'02_Base'!E53</f>
        <v/>
      </c>
      <c r="E53" s="19">
        <f>'02_Base'!F53</f>
        <v/>
      </c>
      <c r="F53" s="40">
        <f>'02_Base'!G53</f>
        <v/>
      </c>
      <c r="G53" s="40">
        <f>'02_Base'!H53</f>
        <v/>
      </c>
      <c r="H53" s="40">
        <f>'02_Base'!I53</f>
        <v/>
      </c>
      <c r="I53" s="40">
        <f>'02_Base'!K53</f>
        <v/>
      </c>
      <c r="J53" s="40">
        <f>'02_Base'!L53</f>
        <v/>
      </c>
      <c r="K53" s="40">
        <f>'02_Base'!M53</f>
        <v/>
      </c>
      <c r="L53" s="40">
        <f>'02_Base'!N53</f>
        <v/>
      </c>
      <c r="M53" s="41">
        <f>'02_Base'!P53</f>
        <v/>
      </c>
      <c r="N53" s="42">
        <f>'02_Base'!Q53</f>
        <v/>
      </c>
      <c r="O53" s="42">
        <f>'02_Base'!R53</f>
        <v/>
      </c>
      <c r="P53" s="42">
        <f>'02_Base'!S53</f>
        <v/>
      </c>
      <c r="Q53" s="42">
        <f>'02_Base'!T53</f>
        <v/>
      </c>
      <c r="R53" s="34">
        <f>IF(F53=1,IFERROR(G53/INDEX('03_Campagnes'!$F$5:$F$18,MATCH(A53&amp;"|"&amp;B53,'03_Campagnes'!$C$5:$C$18,0)),0),0)</f>
        <v/>
      </c>
      <c r="S53" s="27">
        <f>INDEX('03_Campagnes'!$M$5:$M$18,MATCH(A53&amp;"|"&amp;B53,'03_Campagnes'!$C$5:$C$18,0))</f>
        <v/>
      </c>
      <c r="T53" s="27">
        <f>S53*R53</f>
        <v/>
      </c>
      <c r="U53" s="27">
        <f>IF(F53=1,T53*(O53+'01_Cadrage'!$H$18),0)</f>
        <v/>
      </c>
      <c r="V53" s="27">
        <f>U53*P53</f>
        <v/>
      </c>
      <c r="W53" s="26">
        <f>IF(F53=1,V53*(Q53+'01_Cadrage'!$H$19+AF53),0)</f>
        <v/>
      </c>
      <c r="X53" s="27">
        <f>IF(F53=1,0,L53*(N53+'01_Cadrage'!$H$20+AG53))</f>
        <v/>
      </c>
      <c r="Y53" s="26">
        <f>W53+X53</f>
        <v/>
      </c>
      <c r="Z53" s="16">
        <f>M53*(1+'01_Cadrage'!$H$17*INDEX('01_Cadrage'!$L$7:$L$20,MATCH(A53&amp;"|"&amp;B53,'01_Cadrage'!$M$7:$M$20,0)))</f>
        <v/>
      </c>
      <c r="AA53" s="15">
        <f>Y53*Z53+W53*'01_Cadrage'!$H$28</f>
        <v/>
      </c>
      <c r="AB53" s="27">
        <f>IF(F53=1,V53*(Q53+'01_Cadrage'!$H$19),0)</f>
        <v/>
      </c>
      <c r="AC53" s="27">
        <f>IF(F53=1,0,L53*(N53+'01_Cadrage'!$H$20))</f>
        <v/>
      </c>
      <c r="AD53" s="27">
        <f>AB53+AC53</f>
        <v/>
      </c>
      <c r="AE53" s="16">
        <f>AD53*Z53+AB53*'01_Cadrage'!$H$28</f>
        <v/>
      </c>
      <c r="AF53" s="10" t="n">
        <v>0</v>
      </c>
      <c r="AG53" s="10" t="n">
        <v>0</v>
      </c>
      <c r="AH53" s="27">
        <f>K53*M53*INDEX('01_Cadrage'!$L$24:$L$28,MATCH(A53,'01_Cadrage'!$J$24:$J$28,0))</f>
        <v/>
      </c>
      <c r="AI53" s="15">
        <f>IFERROR((21936350*(1+'01_Cadrage'!$F$3))*AH53/SUM($AH$4:$AH$61),0)</f>
        <v/>
      </c>
      <c r="AJ53" s="27">
        <f>IFERROR(AI53/Z53,0)</f>
        <v/>
      </c>
      <c r="AK53" s="16">
        <f>AA53-AI53</f>
        <v/>
      </c>
      <c r="AL53" s="27">
        <f>Y53-AJ53</f>
        <v/>
      </c>
    </row>
    <row r="54">
      <c r="A54" s="18">
        <f>'02_Base'!A54</f>
        <v/>
      </c>
      <c r="B54" s="19">
        <f>'02_Base'!B54</f>
        <v/>
      </c>
      <c r="C54" s="18">
        <f>'02_Base'!C54</f>
        <v/>
      </c>
      <c r="D54" s="19">
        <f>'02_Base'!E54</f>
        <v/>
      </c>
      <c r="E54" s="19">
        <f>'02_Base'!F54</f>
        <v/>
      </c>
      <c r="F54" s="40">
        <f>'02_Base'!G54</f>
        <v/>
      </c>
      <c r="G54" s="40">
        <f>'02_Base'!H54</f>
        <v/>
      </c>
      <c r="H54" s="40">
        <f>'02_Base'!I54</f>
        <v/>
      </c>
      <c r="I54" s="40">
        <f>'02_Base'!K54</f>
        <v/>
      </c>
      <c r="J54" s="40">
        <f>'02_Base'!L54</f>
        <v/>
      </c>
      <c r="K54" s="40">
        <f>'02_Base'!M54</f>
        <v/>
      </c>
      <c r="L54" s="40">
        <f>'02_Base'!N54</f>
        <v/>
      </c>
      <c r="M54" s="41">
        <f>'02_Base'!P54</f>
        <v/>
      </c>
      <c r="N54" s="42">
        <f>'02_Base'!Q54</f>
        <v/>
      </c>
      <c r="O54" s="42">
        <f>'02_Base'!R54</f>
        <v/>
      </c>
      <c r="P54" s="42">
        <f>'02_Base'!S54</f>
        <v/>
      </c>
      <c r="Q54" s="42">
        <f>'02_Base'!T54</f>
        <v/>
      </c>
      <c r="R54" s="34">
        <f>IF(F54=1,IFERROR(G54/INDEX('03_Campagnes'!$F$5:$F$18,MATCH(A54&amp;"|"&amp;B54,'03_Campagnes'!$C$5:$C$18,0)),0),0)</f>
        <v/>
      </c>
      <c r="S54" s="27">
        <f>INDEX('03_Campagnes'!$M$5:$M$18,MATCH(A54&amp;"|"&amp;B54,'03_Campagnes'!$C$5:$C$18,0))</f>
        <v/>
      </c>
      <c r="T54" s="27">
        <f>S54*R54</f>
        <v/>
      </c>
      <c r="U54" s="27">
        <f>IF(F54=1,T54*(O54+'01_Cadrage'!$H$18),0)</f>
        <v/>
      </c>
      <c r="V54" s="27">
        <f>U54*P54</f>
        <v/>
      </c>
      <c r="W54" s="26">
        <f>IF(F54=1,V54*(Q54+'01_Cadrage'!$H$19+AF54),0)</f>
        <v/>
      </c>
      <c r="X54" s="27">
        <f>IF(F54=1,0,L54*(N54+'01_Cadrage'!$H$20+AG54))</f>
        <v/>
      </c>
      <c r="Y54" s="26">
        <f>W54+X54</f>
        <v/>
      </c>
      <c r="Z54" s="16">
        <f>M54*(1+'01_Cadrage'!$H$17*INDEX('01_Cadrage'!$L$7:$L$20,MATCH(A54&amp;"|"&amp;B54,'01_Cadrage'!$M$7:$M$20,0)))</f>
        <v/>
      </c>
      <c r="AA54" s="15">
        <f>Y54*Z54+W54*'01_Cadrage'!$H$28</f>
        <v/>
      </c>
      <c r="AB54" s="27">
        <f>IF(F54=1,V54*(Q54+'01_Cadrage'!$H$19),0)</f>
        <v/>
      </c>
      <c r="AC54" s="27">
        <f>IF(F54=1,0,L54*(N54+'01_Cadrage'!$H$20))</f>
        <v/>
      </c>
      <c r="AD54" s="27">
        <f>AB54+AC54</f>
        <v/>
      </c>
      <c r="AE54" s="16">
        <f>AD54*Z54+AB54*'01_Cadrage'!$H$28</f>
        <v/>
      </c>
      <c r="AF54" s="10" t="n">
        <v>0</v>
      </c>
      <c r="AG54" s="10" t="n">
        <v>0</v>
      </c>
      <c r="AH54" s="27">
        <f>K54*M54*INDEX('01_Cadrage'!$L$24:$L$28,MATCH(A54,'01_Cadrage'!$J$24:$J$28,0))</f>
        <v/>
      </c>
      <c r="AI54" s="15">
        <f>IFERROR((21936350*(1+'01_Cadrage'!$F$3))*AH54/SUM($AH$4:$AH$61),0)</f>
        <v/>
      </c>
      <c r="AJ54" s="27">
        <f>IFERROR(AI54/Z54,0)</f>
        <v/>
      </c>
      <c r="AK54" s="16">
        <f>AA54-AI54</f>
        <v/>
      </c>
      <c r="AL54" s="27">
        <f>Y54-AJ54</f>
        <v/>
      </c>
    </row>
    <row r="55">
      <c r="A55" s="18">
        <f>'02_Base'!A55</f>
        <v/>
      </c>
      <c r="B55" s="19">
        <f>'02_Base'!B55</f>
        <v/>
      </c>
      <c r="C55" s="18">
        <f>'02_Base'!C55</f>
        <v/>
      </c>
      <c r="D55" s="19">
        <f>'02_Base'!E55</f>
        <v/>
      </c>
      <c r="E55" s="19">
        <f>'02_Base'!F55</f>
        <v/>
      </c>
      <c r="F55" s="40">
        <f>'02_Base'!G55</f>
        <v/>
      </c>
      <c r="G55" s="40">
        <f>'02_Base'!H55</f>
        <v/>
      </c>
      <c r="H55" s="40">
        <f>'02_Base'!I55</f>
        <v/>
      </c>
      <c r="I55" s="40">
        <f>'02_Base'!K55</f>
        <v/>
      </c>
      <c r="J55" s="40">
        <f>'02_Base'!L55</f>
        <v/>
      </c>
      <c r="K55" s="40">
        <f>'02_Base'!M55</f>
        <v/>
      </c>
      <c r="L55" s="40">
        <f>'02_Base'!N55</f>
        <v/>
      </c>
      <c r="M55" s="41">
        <f>'02_Base'!P55</f>
        <v/>
      </c>
      <c r="N55" s="42">
        <f>'02_Base'!Q55</f>
        <v/>
      </c>
      <c r="O55" s="42">
        <f>'02_Base'!R55</f>
        <v/>
      </c>
      <c r="P55" s="42">
        <f>'02_Base'!S55</f>
        <v/>
      </c>
      <c r="Q55" s="42">
        <f>'02_Base'!T55</f>
        <v/>
      </c>
      <c r="R55" s="34">
        <f>IF(F55=1,IFERROR(G55/INDEX('03_Campagnes'!$F$5:$F$18,MATCH(A55&amp;"|"&amp;B55,'03_Campagnes'!$C$5:$C$18,0)),0),0)</f>
        <v/>
      </c>
      <c r="S55" s="27">
        <f>INDEX('03_Campagnes'!$M$5:$M$18,MATCH(A55&amp;"|"&amp;B55,'03_Campagnes'!$C$5:$C$18,0))</f>
        <v/>
      </c>
      <c r="T55" s="27">
        <f>S55*R55</f>
        <v/>
      </c>
      <c r="U55" s="27">
        <f>IF(F55=1,T55*(O55+'01_Cadrage'!$H$18),0)</f>
        <v/>
      </c>
      <c r="V55" s="27">
        <f>U55*P55</f>
        <v/>
      </c>
      <c r="W55" s="26">
        <f>IF(F55=1,V55*(Q55+'01_Cadrage'!$H$19+AF55),0)</f>
        <v/>
      </c>
      <c r="X55" s="27">
        <f>IF(F55=1,0,L55*(N55+'01_Cadrage'!$H$20+AG55))</f>
        <v/>
      </c>
      <c r="Y55" s="26">
        <f>W55+X55</f>
        <v/>
      </c>
      <c r="Z55" s="16">
        <f>M55*(1+'01_Cadrage'!$H$17*INDEX('01_Cadrage'!$L$7:$L$20,MATCH(A55&amp;"|"&amp;B55,'01_Cadrage'!$M$7:$M$20,0)))</f>
        <v/>
      </c>
      <c r="AA55" s="15">
        <f>Y55*Z55+W55*'01_Cadrage'!$H$28</f>
        <v/>
      </c>
      <c r="AB55" s="27">
        <f>IF(F55=1,V55*(Q55+'01_Cadrage'!$H$19),0)</f>
        <v/>
      </c>
      <c r="AC55" s="27">
        <f>IF(F55=1,0,L55*(N55+'01_Cadrage'!$H$20))</f>
        <v/>
      </c>
      <c r="AD55" s="27">
        <f>AB55+AC55</f>
        <v/>
      </c>
      <c r="AE55" s="16">
        <f>AD55*Z55+AB55*'01_Cadrage'!$H$28</f>
        <v/>
      </c>
      <c r="AF55" s="10" t="n">
        <v>0</v>
      </c>
      <c r="AG55" s="10" t="n">
        <v>0</v>
      </c>
      <c r="AH55" s="27">
        <f>K55*M55*INDEX('01_Cadrage'!$L$24:$L$28,MATCH(A55,'01_Cadrage'!$J$24:$J$28,0))</f>
        <v/>
      </c>
      <c r="AI55" s="15">
        <f>IFERROR((21936350*(1+'01_Cadrage'!$F$3))*AH55/SUM($AH$4:$AH$61),0)</f>
        <v/>
      </c>
      <c r="AJ55" s="27">
        <f>IFERROR(AI55/Z55,0)</f>
        <v/>
      </c>
      <c r="AK55" s="16">
        <f>AA55-AI55</f>
        <v/>
      </c>
      <c r="AL55" s="27">
        <f>Y55-AJ55</f>
        <v/>
      </c>
    </row>
    <row r="56">
      <c r="A56" s="18">
        <f>'02_Base'!A56</f>
        <v/>
      </c>
      <c r="B56" s="19">
        <f>'02_Base'!B56</f>
        <v/>
      </c>
      <c r="C56" s="18">
        <f>'02_Base'!C56</f>
        <v/>
      </c>
      <c r="D56" s="19">
        <f>'02_Base'!E56</f>
        <v/>
      </c>
      <c r="E56" s="19">
        <f>'02_Base'!F56</f>
        <v/>
      </c>
      <c r="F56" s="40">
        <f>'02_Base'!G56</f>
        <v/>
      </c>
      <c r="G56" s="40">
        <f>'02_Base'!H56</f>
        <v/>
      </c>
      <c r="H56" s="40">
        <f>'02_Base'!I56</f>
        <v/>
      </c>
      <c r="I56" s="40">
        <f>'02_Base'!K56</f>
        <v/>
      </c>
      <c r="J56" s="40">
        <f>'02_Base'!L56</f>
        <v/>
      </c>
      <c r="K56" s="40">
        <f>'02_Base'!M56</f>
        <v/>
      </c>
      <c r="L56" s="40">
        <f>'02_Base'!N56</f>
        <v/>
      </c>
      <c r="M56" s="41">
        <f>'02_Base'!P56</f>
        <v/>
      </c>
      <c r="N56" s="42">
        <f>'02_Base'!Q56</f>
        <v/>
      </c>
      <c r="O56" s="42">
        <f>'02_Base'!R56</f>
        <v/>
      </c>
      <c r="P56" s="42">
        <f>'02_Base'!S56</f>
        <v/>
      </c>
      <c r="Q56" s="42">
        <f>'02_Base'!T56</f>
        <v/>
      </c>
      <c r="R56" s="34">
        <f>IF(F56=1,IFERROR(G56/INDEX('03_Campagnes'!$F$5:$F$18,MATCH(A56&amp;"|"&amp;B56,'03_Campagnes'!$C$5:$C$18,0)),0),0)</f>
        <v/>
      </c>
      <c r="S56" s="27">
        <f>INDEX('03_Campagnes'!$M$5:$M$18,MATCH(A56&amp;"|"&amp;B56,'03_Campagnes'!$C$5:$C$18,0))</f>
        <v/>
      </c>
      <c r="T56" s="27">
        <f>S56*R56</f>
        <v/>
      </c>
      <c r="U56" s="27">
        <f>IF(F56=1,T56*(O56+'01_Cadrage'!$H$18),0)</f>
        <v/>
      </c>
      <c r="V56" s="27">
        <f>U56*P56</f>
        <v/>
      </c>
      <c r="W56" s="26">
        <f>IF(F56=1,V56*(Q56+'01_Cadrage'!$H$19+AF56),0)</f>
        <v/>
      </c>
      <c r="X56" s="27">
        <f>IF(F56=1,0,L56*(N56+'01_Cadrage'!$H$20+AG56))</f>
        <v/>
      </c>
      <c r="Y56" s="26">
        <f>W56+X56</f>
        <v/>
      </c>
      <c r="Z56" s="16">
        <f>M56*(1+'01_Cadrage'!$H$17*INDEX('01_Cadrage'!$L$7:$L$20,MATCH(A56&amp;"|"&amp;B56,'01_Cadrage'!$M$7:$M$20,0)))</f>
        <v/>
      </c>
      <c r="AA56" s="15">
        <f>Y56*Z56+W56*'01_Cadrage'!$H$28</f>
        <v/>
      </c>
      <c r="AB56" s="27">
        <f>IF(F56=1,V56*(Q56+'01_Cadrage'!$H$19),0)</f>
        <v/>
      </c>
      <c r="AC56" s="27">
        <f>IF(F56=1,0,L56*(N56+'01_Cadrage'!$H$20))</f>
        <v/>
      </c>
      <c r="AD56" s="27">
        <f>AB56+AC56</f>
        <v/>
      </c>
      <c r="AE56" s="16">
        <f>AD56*Z56+AB56*'01_Cadrage'!$H$28</f>
        <v/>
      </c>
      <c r="AF56" s="10" t="n">
        <v>0</v>
      </c>
      <c r="AG56" s="10" t="n">
        <v>0</v>
      </c>
      <c r="AH56" s="27">
        <f>K56*M56*INDEX('01_Cadrage'!$L$24:$L$28,MATCH(A56,'01_Cadrage'!$J$24:$J$28,0))</f>
        <v/>
      </c>
      <c r="AI56" s="15">
        <f>IFERROR((21936350*(1+'01_Cadrage'!$F$3))*AH56/SUM($AH$4:$AH$61),0)</f>
        <v/>
      </c>
      <c r="AJ56" s="27">
        <f>IFERROR(AI56/Z56,0)</f>
        <v/>
      </c>
      <c r="AK56" s="16">
        <f>AA56-AI56</f>
        <v/>
      </c>
      <c r="AL56" s="27">
        <f>Y56-AJ56</f>
        <v/>
      </c>
    </row>
    <row r="57">
      <c r="A57" s="18">
        <f>'02_Base'!A57</f>
        <v/>
      </c>
      <c r="B57" s="19">
        <f>'02_Base'!B57</f>
        <v/>
      </c>
      <c r="C57" s="18">
        <f>'02_Base'!C57</f>
        <v/>
      </c>
      <c r="D57" s="19">
        <f>'02_Base'!E57</f>
        <v/>
      </c>
      <c r="E57" s="19">
        <f>'02_Base'!F57</f>
        <v/>
      </c>
      <c r="F57" s="40">
        <f>'02_Base'!G57</f>
        <v/>
      </c>
      <c r="G57" s="40">
        <f>'02_Base'!H57</f>
        <v/>
      </c>
      <c r="H57" s="40">
        <f>'02_Base'!I57</f>
        <v/>
      </c>
      <c r="I57" s="40">
        <f>'02_Base'!K57</f>
        <v/>
      </c>
      <c r="J57" s="40">
        <f>'02_Base'!L57</f>
        <v/>
      </c>
      <c r="K57" s="40">
        <f>'02_Base'!M57</f>
        <v/>
      </c>
      <c r="L57" s="40">
        <f>'02_Base'!N57</f>
        <v/>
      </c>
      <c r="M57" s="41">
        <f>'02_Base'!P57</f>
        <v/>
      </c>
      <c r="N57" s="42">
        <f>'02_Base'!Q57</f>
        <v/>
      </c>
      <c r="O57" s="42">
        <f>'02_Base'!R57</f>
        <v/>
      </c>
      <c r="P57" s="42">
        <f>'02_Base'!S57</f>
        <v/>
      </c>
      <c r="Q57" s="42">
        <f>'02_Base'!T57</f>
        <v/>
      </c>
      <c r="R57" s="34">
        <f>IF(F57=1,IFERROR(G57/INDEX('03_Campagnes'!$F$5:$F$18,MATCH(A57&amp;"|"&amp;B57,'03_Campagnes'!$C$5:$C$18,0)),0),0)</f>
        <v/>
      </c>
      <c r="S57" s="27">
        <f>INDEX('03_Campagnes'!$M$5:$M$18,MATCH(A57&amp;"|"&amp;B57,'03_Campagnes'!$C$5:$C$18,0))</f>
        <v/>
      </c>
      <c r="T57" s="27">
        <f>S57*R57</f>
        <v/>
      </c>
      <c r="U57" s="27">
        <f>IF(F57=1,T57*(O57+'01_Cadrage'!$H$18),0)</f>
        <v/>
      </c>
      <c r="V57" s="27">
        <f>U57*P57</f>
        <v/>
      </c>
      <c r="W57" s="26">
        <f>IF(F57=1,V57*(Q57+'01_Cadrage'!$H$19+AF57),0)</f>
        <v/>
      </c>
      <c r="X57" s="27">
        <f>IF(F57=1,0,L57*(N57+'01_Cadrage'!$H$20+AG57))</f>
        <v/>
      </c>
      <c r="Y57" s="26">
        <f>W57+X57</f>
        <v/>
      </c>
      <c r="Z57" s="16">
        <f>M57*(1+'01_Cadrage'!$H$17*INDEX('01_Cadrage'!$L$7:$L$20,MATCH(A57&amp;"|"&amp;B57,'01_Cadrage'!$M$7:$M$20,0)))</f>
        <v/>
      </c>
      <c r="AA57" s="15">
        <f>Y57*Z57+W57*'01_Cadrage'!$H$28</f>
        <v/>
      </c>
      <c r="AB57" s="27">
        <f>IF(F57=1,V57*(Q57+'01_Cadrage'!$H$19),0)</f>
        <v/>
      </c>
      <c r="AC57" s="27">
        <f>IF(F57=1,0,L57*(N57+'01_Cadrage'!$H$20))</f>
        <v/>
      </c>
      <c r="AD57" s="27">
        <f>AB57+AC57</f>
        <v/>
      </c>
      <c r="AE57" s="16">
        <f>AD57*Z57+AB57*'01_Cadrage'!$H$28</f>
        <v/>
      </c>
      <c r="AF57" s="10" t="n">
        <v>0</v>
      </c>
      <c r="AG57" s="10" t="n">
        <v>0</v>
      </c>
      <c r="AH57" s="27">
        <f>K57*M57*INDEX('01_Cadrage'!$L$24:$L$28,MATCH(A57,'01_Cadrage'!$J$24:$J$28,0))</f>
        <v/>
      </c>
      <c r="AI57" s="15">
        <f>IFERROR((21936350*(1+'01_Cadrage'!$F$3))*AH57/SUM($AH$4:$AH$61),0)</f>
        <v/>
      </c>
      <c r="AJ57" s="27">
        <f>IFERROR(AI57/Z57,0)</f>
        <v/>
      </c>
      <c r="AK57" s="16">
        <f>AA57-AI57</f>
        <v/>
      </c>
      <c r="AL57" s="27">
        <f>Y57-AJ57</f>
        <v/>
      </c>
    </row>
    <row r="58">
      <c r="A58" s="18">
        <f>'02_Base'!A58</f>
        <v/>
      </c>
      <c r="B58" s="19">
        <f>'02_Base'!B58</f>
        <v/>
      </c>
      <c r="C58" s="18">
        <f>'02_Base'!C58</f>
        <v/>
      </c>
      <c r="D58" s="19">
        <f>'02_Base'!E58</f>
        <v/>
      </c>
      <c r="E58" s="19">
        <f>'02_Base'!F58</f>
        <v/>
      </c>
      <c r="F58" s="40">
        <f>'02_Base'!G58</f>
        <v/>
      </c>
      <c r="G58" s="40">
        <f>'02_Base'!H58</f>
        <v/>
      </c>
      <c r="H58" s="40">
        <f>'02_Base'!I58</f>
        <v/>
      </c>
      <c r="I58" s="40">
        <f>'02_Base'!K58</f>
        <v/>
      </c>
      <c r="J58" s="40">
        <f>'02_Base'!L58</f>
        <v/>
      </c>
      <c r="K58" s="40">
        <f>'02_Base'!M58</f>
        <v/>
      </c>
      <c r="L58" s="40">
        <f>'02_Base'!N58</f>
        <v/>
      </c>
      <c r="M58" s="41">
        <f>'02_Base'!P58</f>
        <v/>
      </c>
      <c r="N58" s="42">
        <f>'02_Base'!Q58</f>
        <v/>
      </c>
      <c r="O58" s="42">
        <f>'02_Base'!R58</f>
        <v/>
      </c>
      <c r="P58" s="42">
        <f>'02_Base'!S58</f>
        <v/>
      </c>
      <c r="Q58" s="42">
        <f>'02_Base'!T58</f>
        <v/>
      </c>
      <c r="R58" s="34">
        <f>IF(F58=1,IFERROR(G58/INDEX('03_Campagnes'!$F$5:$F$18,MATCH(A58&amp;"|"&amp;B58,'03_Campagnes'!$C$5:$C$18,0)),0),0)</f>
        <v/>
      </c>
      <c r="S58" s="27">
        <f>INDEX('03_Campagnes'!$M$5:$M$18,MATCH(A58&amp;"|"&amp;B58,'03_Campagnes'!$C$5:$C$18,0))</f>
        <v/>
      </c>
      <c r="T58" s="27">
        <f>S58*R58</f>
        <v/>
      </c>
      <c r="U58" s="27">
        <f>IF(F58=1,T58*(O58+'01_Cadrage'!$H$18),0)</f>
        <v/>
      </c>
      <c r="V58" s="27">
        <f>U58*P58</f>
        <v/>
      </c>
      <c r="W58" s="26">
        <f>IF(F58=1,V58*(Q58+'01_Cadrage'!$H$19+AF58),0)</f>
        <v/>
      </c>
      <c r="X58" s="27">
        <f>IF(F58=1,0,L58*(N58+'01_Cadrage'!$H$20+AG58))</f>
        <v/>
      </c>
      <c r="Y58" s="26">
        <f>W58+X58</f>
        <v/>
      </c>
      <c r="Z58" s="16">
        <f>M58*(1+'01_Cadrage'!$H$17*INDEX('01_Cadrage'!$L$7:$L$20,MATCH(A58&amp;"|"&amp;B58,'01_Cadrage'!$M$7:$M$20,0)))</f>
        <v/>
      </c>
      <c r="AA58" s="15">
        <f>Y58*Z58+W58*'01_Cadrage'!$H$28</f>
        <v/>
      </c>
      <c r="AB58" s="27">
        <f>IF(F58=1,V58*(Q58+'01_Cadrage'!$H$19),0)</f>
        <v/>
      </c>
      <c r="AC58" s="27">
        <f>IF(F58=1,0,L58*(N58+'01_Cadrage'!$H$20))</f>
        <v/>
      </c>
      <c r="AD58" s="27">
        <f>AB58+AC58</f>
        <v/>
      </c>
      <c r="AE58" s="16">
        <f>AD58*Z58+AB58*'01_Cadrage'!$H$28</f>
        <v/>
      </c>
      <c r="AF58" s="10" t="n">
        <v>0</v>
      </c>
      <c r="AG58" s="10" t="n">
        <v>0</v>
      </c>
      <c r="AH58" s="27">
        <f>K58*M58*INDEX('01_Cadrage'!$L$24:$L$28,MATCH(A58,'01_Cadrage'!$J$24:$J$28,0))</f>
        <v/>
      </c>
      <c r="AI58" s="15">
        <f>IFERROR((21936350*(1+'01_Cadrage'!$F$3))*AH58/SUM($AH$4:$AH$61),0)</f>
        <v/>
      </c>
      <c r="AJ58" s="27">
        <f>IFERROR(AI58/Z58,0)</f>
        <v/>
      </c>
      <c r="AK58" s="16">
        <f>AA58-AI58</f>
        <v/>
      </c>
      <c r="AL58" s="27">
        <f>Y58-AJ58</f>
        <v/>
      </c>
    </row>
    <row r="59">
      <c r="A59" s="18">
        <f>'02_Base'!A59</f>
        <v/>
      </c>
      <c r="B59" s="19">
        <f>'02_Base'!B59</f>
        <v/>
      </c>
      <c r="C59" s="18">
        <f>'02_Base'!C59</f>
        <v/>
      </c>
      <c r="D59" s="19">
        <f>'02_Base'!E59</f>
        <v/>
      </c>
      <c r="E59" s="19">
        <f>'02_Base'!F59</f>
        <v/>
      </c>
      <c r="F59" s="40">
        <f>'02_Base'!G59</f>
        <v/>
      </c>
      <c r="G59" s="40">
        <f>'02_Base'!H59</f>
        <v/>
      </c>
      <c r="H59" s="40">
        <f>'02_Base'!I59</f>
        <v/>
      </c>
      <c r="I59" s="40">
        <f>'02_Base'!K59</f>
        <v/>
      </c>
      <c r="J59" s="40">
        <f>'02_Base'!L59</f>
        <v/>
      </c>
      <c r="K59" s="40">
        <f>'02_Base'!M59</f>
        <v/>
      </c>
      <c r="L59" s="40">
        <f>'02_Base'!N59</f>
        <v/>
      </c>
      <c r="M59" s="41">
        <f>'02_Base'!P59</f>
        <v/>
      </c>
      <c r="N59" s="42">
        <f>'02_Base'!Q59</f>
        <v/>
      </c>
      <c r="O59" s="42">
        <f>'02_Base'!R59</f>
        <v/>
      </c>
      <c r="P59" s="42">
        <f>'02_Base'!S59</f>
        <v/>
      </c>
      <c r="Q59" s="42">
        <f>'02_Base'!T59</f>
        <v/>
      </c>
      <c r="R59" s="34">
        <f>IF(F59=1,IFERROR(G59/INDEX('03_Campagnes'!$F$5:$F$18,MATCH(A59&amp;"|"&amp;B59,'03_Campagnes'!$C$5:$C$18,0)),0),0)</f>
        <v/>
      </c>
      <c r="S59" s="27">
        <f>INDEX('03_Campagnes'!$M$5:$M$18,MATCH(A59&amp;"|"&amp;B59,'03_Campagnes'!$C$5:$C$18,0))</f>
        <v/>
      </c>
      <c r="T59" s="27">
        <f>S59*R59</f>
        <v/>
      </c>
      <c r="U59" s="27">
        <f>IF(F59=1,T59*(O59+'01_Cadrage'!$H$18),0)</f>
        <v/>
      </c>
      <c r="V59" s="27">
        <f>U59*P59</f>
        <v/>
      </c>
      <c r="W59" s="26">
        <f>IF(F59=1,V59*(Q59+'01_Cadrage'!$H$19+AF59),0)</f>
        <v/>
      </c>
      <c r="X59" s="27">
        <f>IF(F59=1,0,L59*(N59+'01_Cadrage'!$H$20+AG59))</f>
        <v/>
      </c>
      <c r="Y59" s="26">
        <f>W59+X59</f>
        <v/>
      </c>
      <c r="Z59" s="16">
        <f>M59*(1+'01_Cadrage'!$H$17*INDEX('01_Cadrage'!$L$7:$L$20,MATCH(A59&amp;"|"&amp;B59,'01_Cadrage'!$M$7:$M$20,0)))</f>
        <v/>
      </c>
      <c r="AA59" s="15">
        <f>Y59*Z59+W59*'01_Cadrage'!$H$28</f>
        <v/>
      </c>
      <c r="AB59" s="27">
        <f>IF(F59=1,V59*(Q59+'01_Cadrage'!$H$19),0)</f>
        <v/>
      </c>
      <c r="AC59" s="27">
        <f>IF(F59=1,0,L59*(N59+'01_Cadrage'!$H$20))</f>
        <v/>
      </c>
      <c r="AD59" s="27">
        <f>AB59+AC59</f>
        <v/>
      </c>
      <c r="AE59" s="16">
        <f>AD59*Z59+AB59*'01_Cadrage'!$H$28</f>
        <v/>
      </c>
      <c r="AF59" s="10" t="n">
        <v>0</v>
      </c>
      <c r="AG59" s="10" t="n">
        <v>0</v>
      </c>
      <c r="AH59" s="27">
        <f>K59*M59*INDEX('01_Cadrage'!$L$24:$L$28,MATCH(A59,'01_Cadrage'!$J$24:$J$28,0))</f>
        <v/>
      </c>
      <c r="AI59" s="15">
        <f>IFERROR((21936350*(1+'01_Cadrage'!$F$3))*AH59/SUM($AH$4:$AH$61),0)</f>
        <v/>
      </c>
      <c r="AJ59" s="27">
        <f>IFERROR(AI59/Z59,0)</f>
        <v/>
      </c>
      <c r="AK59" s="16">
        <f>AA59-AI59</f>
        <v/>
      </c>
      <c r="AL59" s="27">
        <f>Y59-AJ59</f>
        <v/>
      </c>
    </row>
    <row r="60">
      <c r="A60" s="18">
        <f>'02_Base'!A60</f>
        <v/>
      </c>
      <c r="B60" s="19">
        <f>'02_Base'!B60</f>
        <v/>
      </c>
      <c r="C60" s="18">
        <f>'02_Base'!C60</f>
        <v/>
      </c>
      <c r="D60" s="19">
        <f>'02_Base'!E60</f>
        <v/>
      </c>
      <c r="E60" s="19">
        <f>'02_Base'!F60</f>
        <v/>
      </c>
      <c r="F60" s="40">
        <f>'02_Base'!G60</f>
        <v/>
      </c>
      <c r="G60" s="40">
        <f>'02_Base'!H60</f>
        <v/>
      </c>
      <c r="H60" s="40">
        <f>'02_Base'!I60</f>
        <v/>
      </c>
      <c r="I60" s="40">
        <f>'02_Base'!K60</f>
        <v/>
      </c>
      <c r="J60" s="40">
        <f>'02_Base'!L60</f>
        <v/>
      </c>
      <c r="K60" s="40">
        <f>'02_Base'!M60</f>
        <v/>
      </c>
      <c r="L60" s="40">
        <f>'02_Base'!N60</f>
        <v/>
      </c>
      <c r="M60" s="41">
        <f>'02_Base'!P60</f>
        <v/>
      </c>
      <c r="N60" s="42">
        <f>'02_Base'!Q60</f>
        <v/>
      </c>
      <c r="O60" s="42">
        <f>'02_Base'!R60</f>
        <v/>
      </c>
      <c r="P60" s="42">
        <f>'02_Base'!S60</f>
        <v/>
      </c>
      <c r="Q60" s="42">
        <f>'02_Base'!T60</f>
        <v/>
      </c>
      <c r="R60" s="34">
        <f>IF(F60=1,IFERROR(G60/INDEX('03_Campagnes'!$F$5:$F$18,MATCH(A60&amp;"|"&amp;B60,'03_Campagnes'!$C$5:$C$18,0)),0),0)</f>
        <v/>
      </c>
      <c r="S60" s="27">
        <f>INDEX('03_Campagnes'!$M$5:$M$18,MATCH(A60&amp;"|"&amp;B60,'03_Campagnes'!$C$5:$C$18,0))</f>
        <v/>
      </c>
      <c r="T60" s="27">
        <f>S60*R60</f>
        <v/>
      </c>
      <c r="U60" s="27">
        <f>IF(F60=1,T60*(O60+'01_Cadrage'!$H$18),0)</f>
        <v/>
      </c>
      <c r="V60" s="27">
        <f>U60*P60</f>
        <v/>
      </c>
      <c r="W60" s="26">
        <f>IF(F60=1,V60*(Q60+'01_Cadrage'!$H$19+AF60),0)</f>
        <v/>
      </c>
      <c r="X60" s="27">
        <f>IF(F60=1,0,L60*(N60+'01_Cadrage'!$H$20+AG60))</f>
        <v/>
      </c>
      <c r="Y60" s="26">
        <f>W60+X60</f>
        <v/>
      </c>
      <c r="Z60" s="16">
        <f>M60*(1+'01_Cadrage'!$H$17*INDEX('01_Cadrage'!$L$7:$L$20,MATCH(A60&amp;"|"&amp;B60,'01_Cadrage'!$M$7:$M$20,0)))</f>
        <v/>
      </c>
      <c r="AA60" s="15">
        <f>Y60*Z60+W60*'01_Cadrage'!$H$28</f>
        <v/>
      </c>
      <c r="AB60" s="27">
        <f>IF(F60=1,V60*(Q60+'01_Cadrage'!$H$19),0)</f>
        <v/>
      </c>
      <c r="AC60" s="27">
        <f>IF(F60=1,0,L60*(N60+'01_Cadrage'!$H$20))</f>
        <v/>
      </c>
      <c r="AD60" s="27">
        <f>AB60+AC60</f>
        <v/>
      </c>
      <c r="AE60" s="16">
        <f>AD60*Z60+AB60*'01_Cadrage'!$H$28</f>
        <v/>
      </c>
      <c r="AF60" s="10" t="n">
        <v>0</v>
      </c>
      <c r="AG60" s="10" t="n">
        <v>0</v>
      </c>
      <c r="AH60" s="27">
        <f>K60*M60*INDEX('01_Cadrage'!$L$24:$L$28,MATCH(A60,'01_Cadrage'!$J$24:$J$28,0))</f>
        <v/>
      </c>
      <c r="AI60" s="15">
        <f>IFERROR((21936350*(1+'01_Cadrage'!$F$3))*AH60/SUM($AH$4:$AH$61),0)</f>
        <v/>
      </c>
      <c r="AJ60" s="27">
        <f>IFERROR(AI60/Z60,0)</f>
        <v/>
      </c>
      <c r="AK60" s="16">
        <f>AA60-AI60</f>
        <v/>
      </c>
      <c r="AL60" s="27">
        <f>Y60-AJ60</f>
        <v/>
      </c>
    </row>
    <row r="61">
      <c r="A61" s="18">
        <f>'02_Base'!A61</f>
        <v/>
      </c>
      <c r="B61" s="19">
        <f>'02_Base'!B61</f>
        <v/>
      </c>
      <c r="C61" s="18">
        <f>'02_Base'!C61</f>
        <v/>
      </c>
      <c r="D61" s="19">
        <f>'02_Base'!E61</f>
        <v/>
      </c>
      <c r="E61" s="19">
        <f>'02_Base'!F61</f>
        <v/>
      </c>
      <c r="F61" s="40">
        <f>'02_Base'!G61</f>
        <v/>
      </c>
      <c r="G61" s="40">
        <f>'02_Base'!H61</f>
        <v/>
      </c>
      <c r="H61" s="40">
        <f>'02_Base'!I61</f>
        <v/>
      </c>
      <c r="I61" s="40">
        <f>'02_Base'!K61</f>
        <v/>
      </c>
      <c r="J61" s="40">
        <f>'02_Base'!L61</f>
        <v/>
      </c>
      <c r="K61" s="40">
        <f>'02_Base'!M61</f>
        <v/>
      </c>
      <c r="L61" s="40">
        <f>'02_Base'!N61</f>
        <v/>
      </c>
      <c r="M61" s="41">
        <f>'02_Base'!P61</f>
        <v/>
      </c>
      <c r="N61" s="42">
        <f>'02_Base'!Q61</f>
        <v/>
      </c>
      <c r="O61" s="42">
        <f>'02_Base'!R61</f>
        <v/>
      </c>
      <c r="P61" s="42">
        <f>'02_Base'!S61</f>
        <v/>
      </c>
      <c r="Q61" s="42">
        <f>'02_Base'!T61</f>
        <v/>
      </c>
      <c r="R61" s="34">
        <f>IF(F61=1,IFERROR(G61/INDEX('03_Campagnes'!$F$5:$F$18,MATCH(A61&amp;"|"&amp;B61,'03_Campagnes'!$C$5:$C$18,0)),0),0)</f>
        <v/>
      </c>
      <c r="S61" s="27">
        <f>INDEX('03_Campagnes'!$M$5:$M$18,MATCH(A61&amp;"|"&amp;B61,'03_Campagnes'!$C$5:$C$18,0))</f>
        <v/>
      </c>
      <c r="T61" s="27">
        <f>S61*R61</f>
        <v/>
      </c>
      <c r="U61" s="27">
        <f>IF(F61=1,T61*(O61+'01_Cadrage'!$H$18),0)</f>
        <v/>
      </c>
      <c r="V61" s="27">
        <f>U61*P61</f>
        <v/>
      </c>
      <c r="W61" s="26">
        <f>IF(F61=1,V61*(Q61+'01_Cadrage'!$H$19+AF61),0)</f>
        <v/>
      </c>
      <c r="X61" s="27">
        <f>IF(F61=1,0,L61*(N61+'01_Cadrage'!$H$20+AG61))</f>
        <v/>
      </c>
      <c r="Y61" s="26">
        <f>W61+X61</f>
        <v/>
      </c>
      <c r="Z61" s="16">
        <f>M61*(1+'01_Cadrage'!$H$17*INDEX('01_Cadrage'!$L$7:$L$20,MATCH(A61&amp;"|"&amp;B61,'01_Cadrage'!$M$7:$M$20,0)))</f>
        <v/>
      </c>
      <c r="AA61" s="15">
        <f>Y61*Z61+W61*'01_Cadrage'!$H$28</f>
        <v/>
      </c>
      <c r="AB61" s="27">
        <f>IF(F61=1,V61*(Q61+'01_Cadrage'!$H$19),0)</f>
        <v/>
      </c>
      <c r="AC61" s="27">
        <f>IF(F61=1,0,L61*(N61+'01_Cadrage'!$H$20))</f>
        <v/>
      </c>
      <c r="AD61" s="27">
        <f>AB61+AC61</f>
        <v/>
      </c>
      <c r="AE61" s="16">
        <f>AD61*Z61+AB61*'01_Cadrage'!$H$28</f>
        <v/>
      </c>
      <c r="AF61" s="10" t="n">
        <v>0</v>
      </c>
      <c r="AG61" s="10" t="n">
        <v>0</v>
      </c>
      <c r="AH61" s="27">
        <f>K61*M61*INDEX('01_Cadrage'!$L$24:$L$28,MATCH(A61,'01_Cadrage'!$J$24:$J$28,0))</f>
        <v/>
      </c>
      <c r="AI61" s="15">
        <f>IFERROR((21936350*(1+'01_Cadrage'!$F$3))*AH61/SUM($AH$4:$AH$61),0)</f>
        <v/>
      </c>
      <c r="AJ61" s="27">
        <f>IFERROR(AI61/Z61,0)</f>
        <v/>
      </c>
      <c r="AK61" s="16">
        <f>AA61-AI61</f>
        <v/>
      </c>
      <c r="AL61" s="27">
        <f>Y61-AJ61</f>
        <v/>
      </c>
    </row>
    <row r="62">
      <c r="A62" s="44" t="inlineStr">
        <is>
          <t>TOTAL</t>
        </is>
      </c>
      <c r="B62" s="45" t="inlineStr">
        <is>
          <t> </t>
        </is>
      </c>
      <c r="C62" s="45" t="inlineStr">
        <is>
          <t> </t>
        </is>
      </c>
      <c r="D62" s="45" t="inlineStr">
        <is>
          <t> </t>
        </is>
      </c>
      <c r="E62" s="45" t="inlineStr">
        <is>
          <t> </t>
        </is>
      </c>
      <c r="F62" s="46">
        <f>SUM(F4:F61)</f>
        <v/>
      </c>
      <c r="G62" s="46">
        <f>SUM(G4:G61)</f>
        <v/>
      </c>
      <c r="H62" s="46">
        <f>SUM(H4:H61)</f>
        <v/>
      </c>
      <c r="I62" s="46">
        <f>SUM(I4:I61)</f>
        <v/>
      </c>
      <c r="T62" s="46">
        <f>SUM(T4:T61)</f>
        <v/>
      </c>
      <c r="U62" s="46">
        <f>SUM(U4:U61)</f>
        <v/>
      </c>
      <c r="V62" s="46">
        <f>SUM(V4:V61)</f>
        <v/>
      </c>
      <c r="W62" s="46">
        <f>SUM(W4:W61)</f>
        <v/>
      </c>
      <c r="X62" s="46">
        <f>SUM(X4:X61)</f>
        <v/>
      </c>
      <c r="Y62" s="46">
        <f>SUM(Y4:Y61)</f>
        <v/>
      </c>
      <c r="AA62" s="47">
        <f>SUM(AA4:AA61)</f>
        <v/>
      </c>
      <c r="AD62" s="46">
        <f>SUM(AD4:AD61)</f>
        <v/>
      </c>
      <c r="AE62" s="47">
        <f>SUM(AE4:AE61)</f>
        <v/>
      </c>
      <c r="AI62" s="47">
        <f>SUM(AI4:AI61)</f>
        <v/>
      </c>
      <c r="AJ62" s="46">
        <f>SUM(AJ4:AJ61)</f>
        <v/>
      </c>
      <c r="AK62" s="47">
        <f>SUM(AK4:AK61)</f>
        <v/>
      </c>
      <c r="AL62" s="46">
        <f>SUM(AL4:AL61)</f>
        <v/>
      </c>
    </row>
    <row r="64" ht="20" customHeight="1">
      <c r="A64" s="3" t="inlineStr">
        <is>
          <t>Guide de lecture — les 3 états côte à côte :</t>
        </is>
      </c>
      <c r="B64" s="4" t="n"/>
      <c r="C64" s="4" t="n"/>
      <c r="D64" s="4" t="n"/>
      <c r="E64" s="4" t="n"/>
      <c r="F64" s="4" t="n"/>
      <c r="G64" s="4" t="n"/>
      <c r="H64" s="4" t="n"/>
    </row>
    <row r="65">
      <c r="A65" s="48" t="inlineStr">
        <is>
          <t>A–Q</t>
        </is>
      </c>
      <c r="B65" s="6" t="inlineStr">
        <is>
          <t>Identité + reprise base + taux mesurés (funnel, passage)</t>
        </is>
      </c>
    </row>
    <row r="66">
      <c r="A66" s="48" t="inlineStr">
        <is>
          <t>R–V</t>
        </is>
      </c>
      <c r="B66" s="6" t="inlineStr">
        <is>
          <t>Acquisition : leads cellule → candidatures → admis</t>
        </is>
      </c>
    </row>
    <row r="67">
      <c r="A67" s="48" t="inlineStr">
        <is>
          <t>W–AA</t>
        </is>
      </c>
      <c r="B67" s="6" t="inlineStr">
        <is>
          <t>③ AJUSTÉ : nouveaux/réinscrits/effectif/CA avec ajustement contrôleur (= budget final)</t>
        </is>
      </c>
    </row>
    <row r="68">
      <c r="A68" s="48" t="inlineStr">
        <is>
          <t>AB–AE</t>
        </is>
      </c>
      <c r="B68" s="6" t="inlineStr">
        <is>
          <t>② CADRÉ : le même SANS ajustement (pré-budget semé top-down)</t>
        </is>
      </c>
    </row>
    <row r="69">
      <c r="A69" s="48" t="inlineStr">
        <is>
          <t>AF–AG</t>
        </is>
      </c>
      <c r="B69" s="6" t="inlineStr">
        <is>
          <t>🟢 AJUSTEMENT contrôleur (delta conversion / passage) — s'ajoute au semé, n'écrase rien</t>
        </is>
      </c>
    </row>
    <row r="70">
      <c r="A70" s="48" t="inlineStr">
        <is>
          <t>AH–AJ</t>
        </is>
      </c>
      <c r="B70" s="6" t="inlineStr">
        <is>
          <t>① CIBLE éclatée : poids (CA réf × cap marque) → CA cible → effectif cible</t>
        </is>
      </c>
    </row>
    <row r="71">
      <c r="A71" s="48" t="inlineStr">
        <is>
          <t>AK–AL</t>
        </is>
      </c>
      <c r="B71" s="6" t="inlineStr">
        <is>
          <t>ÉCART ③ − ① : le construit atteint-il la cible ?</t>
        </is>
      </c>
    </row>
  </sheetData>
  <mergeCells count="9">
    <mergeCell ref="B66:H66"/>
    <mergeCell ref="B71:H71"/>
    <mergeCell ref="B65:H65"/>
    <mergeCell ref="B68:H68"/>
    <mergeCell ref="A64:H64"/>
    <mergeCell ref="B69:H69"/>
    <mergeCell ref="A1:AL1"/>
    <mergeCell ref="B70:H70"/>
    <mergeCell ref="B67:H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26" customWidth="1" min="3" max="3"/>
    <col width="30" customWidth="1" min="4" max="4"/>
    <col width="17" customWidth="1" min="5" max="5"/>
    <col width="26" customWidth="1" min="6" max="6"/>
    <col width="9" customWidth="1" min="7" max="7"/>
    <col width="11" customWidth="1" min="8" max="8"/>
    <col width="10" customWidth="1" min="9" max="9"/>
    <col width="9" customWidth="1" min="10" max="10"/>
    <col width="5" customWidth="1" min="11" max="11"/>
  </cols>
  <sheetData>
    <row r="1" ht="22" customHeight="1">
      <c r="A1" s="1" t="inlineStr">
        <is>
          <t>PLAN COMPTABLE — comptes PCG · double hiérarchie (comptable + gestion) · prêt Tagetik (dimension Compte)</t>
        </is>
      </c>
    </row>
    <row r="3" ht="28" customHeight="1">
      <c r="A3" s="11" t="inlineStr">
        <is>
          <t>Compte</t>
        </is>
      </c>
      <c r="B3" s="11" t="inlineStr">
        <is>
          <t>Libellé</t>
        </is>
      </c>
      <c r="C3" s="11" t="inlineStr">
        <is>
          <t>Classe PCG</t>
        </is>
      </c>
      <c r="D3" s="11" t="inlineStr">
        <is>
          <t>Poste PCG</t>
        </is>
      </c>
      <c r="E3" s="11" t="inlineStr">
        <is>
          <t>Ligne SIG</t>
        </is>
      </c>
      <c r="F3" s="11" t="inlineStr">
        <is>
          <t>Agrégat SIG</t>
        </is>
      </c>
      <c r="G3" s="11" t="inlineStr">
        <is>
          <t>Sens</t>
        </is>
      </c>
      <c r="H3" s="11" t="inlineStr">
        <is>
          <t>Rattachement</t>
        </is>
      </c>
      <c r="I3" s="11" t="inlineStr">
        <is>
          <t>Driver</t>
        </is>
      </c>
      <c r="J3" s="11" t="inlineStr">
        <is>
          <t>% du CA</t>
        </is>
      </c>
      <c r="K3" s="11" t="inlineStr">
        <is>
          <t>V/F</t>
        </is>
      </c>
    </row>
    <row r="4">
      <c r="A4" s="49" t="inlineStr">
        <is>
          <t>7062</t>
        </is>
      </c>
      <c r="B4" s="29" t="inlineStr">
        <is>
          <t>Prestations de formation — alternance (OPCO)</t>
        </is>
      </c>
      <c r="C4" s="50" t="inlineStr">
        <is>
          <t>7 — Produits d'exploitation</t>
        </is>
      </c>
      <c r="D4" s="50" t="inlineStr">
        <is>
          <t>70 — Prestations de services</t>
        </is>
      </c>
      <c r="E4" s="50" t="inlineStr">
        <is>
          <t>Produits</t>
        </is>
      </c>
      <c r="F4" s="50" t="inlineStr">
        <is>
          <t>Marge de contribution</t>
        </is>
      </c>
      <c r="G4" s="19" t="inlineStr">
        <is>
          <t>Produit</t>
        </is>
      </c>
      <c r="H4" s="21" t="inlineStr">
        <is>
          <t>Campus</t>
        </is>
      </c>
      <c r="I4" s="21" t="inlineStr">
        <is>
          <t>—</t>
        </is>
      </c>
      <c r="J4" s="21" t="inlineStr">
        <is>
          <t>—</t>
        </is>
      </c>
      <c r="K4" s="21" t="inlineStr">
        <is>
          <t>—</t>
        </is>
      </c>
    </row>
    <row r="5">
      <c r="A5" s="49" t="inlineStr">
        <is>
          <t>706</t>
        </is>
      </c>
      <c r="B5" s="29" t="inlineStr">
        <is>
          <t>Prestations de formation — scolarité (initial)</t>
        </is>
      </c>
      <c r="C5" s="50" t="inlineStr">
        <is>
          <t>7 — Produits d'exploitation</t>
        </is>
      </c>
      <c r="D5" s="50" t="inlineStr">
        <is>
          <t>70 — Prestations de services</t>
        </is>
      </c>
      <c r="E5" s="50" t="inlineStr">
        <is>
          <t>Produits</t>
        </is>
      </c>
      <c r="F5" s="50" t="inlineStr">
        <is>
          <t>Marge de contribution</t>
        </is>
      </c>
      <c r="G5" s="19" t="inlineStr">
        <is>
          <t>Produit</t>
        </is>
      </c>
      <c r="H5" s="21" t="inlineStr">
        <is>
          <t>Campus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</row>
    <row r="6">
      <c r="A6" s="49" t="inlineStr">
        <is>
          <t>708</t>
        </is>
      </c>
      <c r="B6" s="29" t="inlineStr">
        <is>
          <t>Frais de dossier &amp; droits d'inscription</t>
        </is>
      </c>
      <c r="C6" s="50" t="inlineStr">
        <is>
          <t>7 — Produits d'exploitation</t>
        </is>
      </c>
      <c r="D6" s="50" t="inlineStr">
        <is>
          <t>70 — Prestations de services</t>
        </is>
      </c>
      <c r="E6" s="50" t="inlineStr">
        <is>
          <t>Produits</t>
        </is>
      </c>
      <c r="F6" s="50" t="inlineStr">
        <is>
          <t>Marge de contribution</t>
        </is>
      </c>
      <c r="G6" s="19" t="inlineStr">
        <is>
          <t>Produit</t>
        </is>
      </c>
      <c r="H6" s="21" t="inlineStr">
        <is>
          <t>Campus</t>
        </is>
      </c>
      <c r="I6" s="21" t="inlineStr">
        <is>
          <t>—</t>
        </is>
      </c>
      <c r="J6" s="21" t="inlineStr">
        <is>
          <t>—</t>
        </is>
      </c>
      <c r="K6" s="21" t="inlineStr">
        <is>
          <t>—</t>
        </is>
      </c>
    </row>
    <row r="7">
      <c r="A7" s="21" t="inlineStr">
        <is>
          <t>621</t>
        </is>
      </c>
      <c r="B7" s="29" t="inlineStr">
        <is>
          <t>Personnel extérieur — vacataires &amp; intervenants</t>
        </is>
      </c>
      <c r="C7" s="50" t="inlineStr">
        <is>
          <t>6 — Charges d'exploitation</t>
        </is>
      </c>
      <c r="D7" s="50" t="inlineStr">
        <is>
          <t>62 — Autres services extérieurs</t>
        </is>
      </c>
      <c r="E7" s="50" t="inlineStr">
        <is>
          <t>Coûts directs</t>
        </is>
      </c>
      <c r="F7" s="50" t="inlineStr">
        <is>
          <t>Marge de contribution</t>
        </is>
      </c>
      <c r="G7" s="19" t="inlineStr">
        <is>
          <t>Charge</t>
        </is>
      </c>
      <c r="H7" s="21" t="inlineStr">
        <is>
          <t>Campus</t>
        </is>
      </c>
      <c r="I7" s="21" t="inlineStr">
        <is>
          <t>classes</t>
        </is>
      </c>
      <c r="J7" s="34" t="n">
        <v>0.07000000000000001</v>
      </c>
      <c r="K7" s="21" t="inlineStr">
        <is>
          <t>V</t>
        </is>
      </c>
    </row>
    <row r="8">
      <c r="A8" s="21" t="inlineStr">
        <is>
          <t>604</t>
        </is>
      </c>
      <c r="B8" s="29" t="inlineStr">
        <is>
          <t>Sous-traitance pédagogique</t>
        </is>
      </c>
      <c r="C8" s="50" t="inlineStr">
        <is>
          <t>6 — Charges d'exploitation</t>
        </is>
      </c>
      <c r="D8" s="50" t="inlineStr">
        <is>
          <t>60 — Achats</t>
        </is>
      </c>
      <c r="E8" s="50" t="inlineStr">
        <is>
          <t>Coûts directs</t>
        </is>
      </c>
      <c r="F8" s="50" t="inlineStr">
        <is>
          <t>Marge de contribution</t>
        </is>
      </c>
      <c r="G8" s="19" t="inlineStr">
        <is>
          <t>Charge</t>
        </is>
      </c>
      <c r="H8" s="21" t="inlineStr">
        <is>
          <t>Campus</t>
        </is>
      </c>
      <c r="I8" s="21" t="inlineStr">
        <is>
          <t>effectif</t>
        </is>
      </c>
      <c r="J8" s="34" t="n">
        <v>0.03</v>
      </c>
      <c r="K8" s="21" t="inlineStr">
        <is>
          <t>V</t>
        </is>
      </c>
    </row>
    <row r="9">
      <c r="A9" s="21" t="inlineStr">
        <is>
          <t>6063</t>
        </is>
      </c>
      <c r="B9" s="29" t="inlineStr">
        <is>
          <t>Fournitures pédagogiques &amp; petit équipement</t>
        </is>
      </c>
      <c r="C9" s="50" t="inlineStr">
        <is>
          <t>6 — Charges d'exploitation</t>
        </is>
      </c>
      <c r="D9" s="50" t="inlineStr">
        <is>
          <t>60 — Achats</t>
        </is>
      </c>
      <c r="E9" s="50" t="inlineStr">
        <is>
          <t>Coûts directs</t>
        </is>
      </c>
      <c r="F9" s="50" t="inlineStr">
        <is>
          <t>Marge de contribution</t>
        </is>
      </c>
      <c r="G9" s="19" t="inlineStr">
        <is>
          <t>Charge</t>
        </is>
      </c>
      <c r="H9" s="21" t="inlineStr">
        <is>
          <t>Campus</t>
        </is>
      </c>
      <c r="I9" s="21" t="inlineStr">
        <is>
          <t>effectif</t>
        </is>
      </c>
      <c r="J9" s="34" t="n">
        <v>0.02</v>
      </c>
      <c r="K9" s="21" t="inlineStr">
        <is>
          <t>V</t>
        </is>
      </c>
    </row>
    <row r="10">
      <c r="A10" s="21" t="inlineStr">
        <is>
          <t>6231</t>
        </is>
      </c>
      <c r="B10" s="29" t="inlineStr">
        <is>
          <t>Publicité &amp; marketing d'acquisition (leads)</t>
        </is>
      </c>
      <c r="C10" s="50" t="inlineStr">
        <is>
          <t>6 — Charges d'exploitation</t>
        </is>
      </c>
      <c r="D10" s="50" t="inlineStr">
        <is>
          <t>62 — Autres services extérieurs</t>
        </is>
      </c>
      <c r="E10" s="50" t="inlineStr">
        <is>
          <t>Coûts directs</t>
        </is>
      </c>
      <c r="F10" s="50" t="inlineStr">
        <is>
          <t>Marge de contribution</t>
        </is>
      </c>
      <c r="G10" s="19" t="inlineStr">
        <is>
          <t>Charge</t>
        </is>
      </c>
      <c r="H10" s="21" t="inlineStr">
        <is>
          <t>Campus</t>
        </is>
      </c>
      <c r="I10" s="21" t="inlineStr">
        <is>
          <t>classes</t>
        </is>
      </c>
      <c r="J10" s="34" t="n">
        <v>0.021</v>
      </c>
      <c r="K10" s="21" t="inlineStr">
        <is>
          <t>V</t>
        </is>
      </c>
    </row>
    <row r="11">
      <c r="A11" s="21" t="inlineStr">
        <is>
          <t>6411</t>
        </is>
      </c>
      <c r="B11" s="29" t="inlineStr">
        <is>
          <t>Rémunération enseignants permanents</t>
        </is>
      </c>
      <c r="C11" s="50" t="inlineStr">
        <is>
          <t>6 — Charges d'exploitation</t>
        </is>
      </c>
      <c r="D11" s="50" t="inlineStr">
        <is>
          <t>64 — Charges de personnel</t>
        </is>
      </c>
      <c r="E11" s="50" t="inlineStr">
        <is>
          <t>Personnel</t>
        </is>
      </c>
      <c r="F11" s="50" t="inlineStr">
        <is>
          <t>EBITDA</t>
        </is>
      </c>
      <c r="G11" s="19" t="inlineStr">
        <is>
          <t>Charge</t>
        </is>
      </c>
      <c r="H11" s="21" t="inlineStr">
        <is>
          <t>Campus</t>
        </is>
      </c>
      <c r="I11" s="21" t="inlineStr">
        <is>
          <t>classes</t>
        </is>
      </c>
      <c r="J11" s="34" t="n">
        <v>0.17</v>
      </c>
      <c r="K11" s="21" t="inlineStr">
        <is>
          <t>F</t>
        </is>
      </c>
    </row>
    <row r="12">
      <c r="A12" s="21" t="inlineStr">
        <is>
          <t>6413</t>
        </is>
      </c>
      <c r="B12" s="29" t="inlineStr">
        <is>
          <t>Rémunération personnel administratif &amp; pédagogique</t>
        </is>
      </c>
      <c r="C12" s="50" t="inlineStr">
        <is>
          <t>6 — Charges d'exploitation</t>
        </is>
      </c>
      <c r="D12" s="50" t="inlineStr">
        <is>
          <t>64 — Charges de personnel</t>
        </is>
      </c>
      <c r="E12" s="50" t="inlineStr">
        <is>
          <t>Personnel</t>
        </is>
      </c>
      <c r="F12" s="50" t="inlineStr">
        <is>
          <t>EBITDA</t>
        </is>
      </c>
      <c r="G12" s="19" t="inlineStr">
        <is>
          <t>Charge</t>
        </is>
      </c>
      <c r="H12" s="21" t="inlineStr">
        <is>
          <t>Campus</t>
        </is>
      </c>
      <c r="I12" s="21" t="inlineStr">
        <is>
          <t>effectif</t>
        </is>
      </c>
      <c r="J12" s="34" t="n">
        <v>0.09</v>
      </c>
      <c r="K12" s="21" t="inlineStr">
        <is>
          <t>F</t>
        </is>
      </c>
    </row>
    <row r="13">
      <c r="A13" s="21" t="inlineStr">
        <is>
          <t>6414</t>
        </is>
      </c>
      <c r="B13" s="29" t="inlineStr">
        <is>
          <t>Rémunération direction &amp; fonctions support (siège)</t>
        </is>
      </c>
      <c r="C13" s="50" t="inlineStr">
        <is>
          <t>6 — Charges d'exploitation</t>
        </is>
      </c>
      <c r="D13" s="50" t="inlineStr">
        <is>
          <t>64 — Charges de personnel</t>
        </is>
      </c>
      <c r="E13" s="50" t="inlineStr">
        <is>
          <t>Personnel</t>
        </is>
      </c>
      <c r="F13" s="50" t="inlineStr">
        <is>
          <t>EBITDA</t>
        </is>
      </c>
      <c r="G13" s="19" t="inlineStr">
        <is>
          <t>Charge</t>
        </is>
      </c>
      <c r="H13" s="21" t="inlineStr">
        <is>
          <t>Groupe</t>
        </is>
      </c>
      <c r="I13" s="21" t="inlineStr">
        <is>
          <t>CA</t>
        </is>
      </c>
      <c r="J13" s="34" t="n">
        <v>0.055</v>
      </c>
      <c r="K13" s="21" t="inlineStr">
        <is>
          <t>F</t>
        </is>
      </c>
    </row>
    <row r="14">
      <c r="A14" s="21" t="inlineStr">
        <is>
          <t>645</t>
        </is>
      </c>
      <c r="B14" s="29" t="inlineStr">
        <is>
          <t>Charges sociales &amp; de prévoyance</t>
        </is>
      </c>
      <c r="C14" s="50" t="inlineStr">
        <is>
          <t>6 — Charges d'exploitation</t>
        </is>
      </c>
      <c r="D14" s="50" t="inlineStr">
        <is>
          <t>64 — Charges de personnel</t>
        </is>
      </c>
      <c r="E14" s="50" t="inlineStr">
        <is>
          <t>Personnel</t>
        </is>
      </c>
      <c r="F14" s="50" t="inlineStr">
        <is>
          <t>EBITDA</t>
        </is>
      </c>
      <c r="G14" s="19" t="inlineStr">
        <is>
          <t>Charge</t>
        </is>
      </c>
      <c r="H14" s="21" t="inlineStr">
        <is>
          <t>Campus</t>
        </is>
      </c>
      <c r="I14" s="21" t="inlineStr">
        <is>
          <t>effectif</t>
        </is>
      </c>
      <c r="J14" s="34" t="n">
        <v>0.14</v>
      </c>
      <c r="K14" s="21" t="inlineStr">
        <is>
          <t>F</t>
        </is>
      </c>
    </row>
    <row r="15">
      <c r="A15" s="21" t="inlineStr">
        <is>
          <t>613</t>
        </is>
      </c>
      <c r="B15" s="29" t="inlineStr">
        <is>
          <t>Loyers &amp; charges locatives (campus)</t>
        </is>
      </c>
      <c r="C15" s="50" t="inlineStr">
        <is>
          <t>6 — Charges d'exploitation</t>
        </is>
      </c>
      <c r="D15" s="50" t="inlineStr">
        <is>
          <t>61 — Services extérieurs</t>
        </is>
      </c>
      <c r="E15" s="50" t="inlineStr">
        <is>
          <t>Structure</t>
        </is>
      </c>
      <c r="F15" s="50" t="inlineStr">
        <is>
          <t>EBITDA</t>
        </is>
      </c>
      <c r="G15" s="19" t="inlineStr">
        <is>
          <t>Charge</t>
        </is>
      </c>
      <c r="H15" s="21" t="inlineStr">
        <is>
          <t>Campus</t>
        </is>
      </c>
      <c r="I15" s="21" t="inlineStr">
        <is>
          <t>classes</t>
        </is>
      </c>
      <c r="J15" s="34" t="n">
        <v>0.105</v>
      </c>
      <c r="K15" s="21" t="inlineStr">
        <is>
          <t>F</t>
        </is>
      </c>
    </row>
    <row r="16">
      <c r="A16" s="21" t="inlineStr">
        <is>
          <t>615</t>
        </is>
      </c>
      <c r="B16" s="29" t="inlineStr">
        <is>
          <t>Entretien &amp; maintenance</t>
        </is>
      </c>
      <c r="C16" s="50" t="inlineStr">
        <is>
          <t>6 — Charges d'exploitation</t>
        </is>
      </c>
      <c r="D16" s="50" t="inlineStr">
        <is>
          <t>61 — Services extérieurs</t>
        </is>
      </c>
      <c r="E16" s="50" t="inlineStr">
        <is>
          <t>Structure</t>
        </is>
      </c>
      <c r="F16" s="50" t="inlineStr">
        <is>
          <t>EBITDA</t>
        </is>
      </c>
      <c r="G16" s="19" t="inlineStr">
        <is>
          <t>Charge</t>
        </is>
      </c>
      <c r="H16" s="21" t="inlineStr">
        <is>
          <t>Campus</t>
        </is>
      </c>
      <c r="I16" s="21" t="inlineStr">
        <is>
          <t>classes</t>
        </is>
      </c>
      <c r="J16" s="34" t="n">
        <v>0.015</v>
      </c>
      <c r="K16" s="21" t="inlineStr">
        <is>
          <t>F</t>
        </is>
      </c>
    </row>
    <row r="17">
      <c r="A17" s="21" t="inlineStr">
        <is>
          <t>616</t>
        </is>
      </c>
      <c r="B17" s="29" t="inlineStr">
        <is>
          <t>Primes d'assurance</t>
        </is>
      </c>
      <c r="C17" s="50" t="inlineStr">
        <is>
          <t>6 — Charges d'exploitation</t>
        </is>
      </c>
      <c r="D17" s="50" t="inlineStr">
        <is>
          <t>61 — Services extérieurs</t>
        </is>
      </c>
      <c r="E17" s="50" t="inlineStr">
        <is>
          <t>Structure</t>
        </is>
      </c>
      <c r="F17" s="50" t="inlineStr">
        <is>
          <t>EBITDA</t>
        </is>
      </c>
      <c r="G17" s="19" t="inlineStr">
        <is>
          <t>Charge</t>
        </is>
      </c>
      <c r="H17" s="21" t="inlineStr">
        <is>
          <t>Campus</t>
        </is>
      </c>
      <c r="I17" s="21" t="inlineStr">
        <is>
          <t>effectif</t>
        </is>
      </c>
      <c r="J17" s="34" t="n">
        <v>0.01</v>
      </c>
      <c r="K17" s="21" t="inlineStr">
        <is>
          <t>F</t>
        </is>
      </c>
    </row>
    <row r="18">
      <c r="A18" s="21" t="inlineStr">
        <is>
          <t>6226</t>
        </is>
      </c>
      <c r="B18" s="29" t="inlineStr">
        <is>
          <t>Honoraires (audit, conseil, juridique)</t>
        </is>
      </c>
      <c r="C18" s="50" t="inlineStr">
        <is>
          <t>6 — Charges d'exploitation</t>
        </is>
      </c>
      <c r="D18" s="50" t="inlineStr">
        <is>
          <t>62 — Autres services extérieurs</t>
        </is>
      </c>
      <c r="E18" s="50" t="inlineStr">
        <is>
          <t>Structure</t>
        </is>
      </c>
      <c r="F18" s="50" t="inlineStr">
        <is>
          <t>EBITDA</t>
        </is>
      </c>
      <c r="G18" s="19" t="inlineStr">
        <is>
          <t>Charge</t>
        </is>
      </c>
      <c r="H18" s="21" t="inlineStr">
        <is>
          <t>Groupe</t>
        </is>
      </c>
      <c r="I18" s="21" t="inlineStr">
        <is>
          <t>CA</t>
        </is>
      </c>
      <c r="J18" s="34" t="n">
        <v>0.025</v>
      </c>
      <c r="K18" s="21" t="inlineStr">
        <is>
          <t>F</t>
        </is>
      </c>
    </row>
    <row r="19">
      <c r="A19" s="21" t="inlineStr">
        <is>
          <t>6236</t>
        </is>
      </c>
      <c r="B19" s="29" t="inlineStr">
        <is>
          <t>Marketing de marque, salons &amp; JPO</t>
        </is>
      </c>
      <c r="C19" s="50" t="inlineStr">
        <is>
          <t>6 — Charges d'exploitation</t>
        </is>
      </c>
      <c r="D19" s="50" t="inlineStr">
        <is>
          <t>62 — Autres services extérieurs</t>
        </is>
      </c>
      <c r="E19" s="50" t="inlineStr">
        <is>
          <t>Structure</t>
        </is>
      </c>
      <c r="F19" s="50" t="inlineStr">
        <is>
          <t>EBITDA</t>
        </is>
      </c>
      <c r="G19" s="19" t="inlineStr">
        <is>
          <t>Charge</t>
        </is>
      </c>
      <c r="H19" s="21" t="inlineStr">
        <is>
          <t>Groupe</t>
        </is>
      </c>
      <c r="I19" s="21" t="inlineStr">
        <is>
          <t>CA</t>
        </is>
      </c>
      <c r="J19" s="34" t="n">
        <v>0.03</v>
      </c>
      <c r="K19" s="21" t="inlineStr">
        <is>
          <t>F</t>
        </is>
      </c>
    </row>
    <row r="20">
      <c r="A20" s="21" t="inlineStr">
        <is>
          <t>625</t>
        </is>
      </c>
      <c r="B20" s="29" t="inlineStr">
        <is>
          <t>Déplacements, missions &amp; réceptions</t>
        </is>
      </c>
      <c r="C20" s="50" t="inlineStr">
        <is>
          <t>6 — Charges d'exploitation</t>
        </is>
      </c>
      <c r="D20" s="50" t="inlineStr">
        <is>
          <t>62 — Autres services extérieurs</t>
        </is>
      </c>
      <c r="E20" s="50" t="inlineStr">
        <is>
          <t>Structure</t>
        </is>
      </c>
      <c r="F20" s="50" t="inlineStr">
        <is>
          <t>EBITDA</t>
        </is>
      </c>
      <c r="G20" s="19" t="inlineStr">
        <is>
          <t>Charge</t>
        </is>
      </c>
      <c r="H20" s="21" t="inlineStr">
        <is>
          <t>Campus</t>
        </is>
      </c>
      <c r="I20" s="21" t="inlineStr">
        <is>
          <t>effectif</t>
        </is>
      </c>
      <c r="J20" s="34" t="n">
        <v>0.015</v>
      </c>
      <c r="K20" s="21" t="inlineStr">
        <is>
          <t>F</t>
        </is>
      </c>
    </row>
    <row r="21">
      <c r="A21" s="21" t="inlineStr">
        <is>
          <t>626</t>
        </is>
      </c>
      <c r="B21" s="29" t="inlineStr">
        <is>
          <t>Télécom, systèmes d'information &amp; affranchissement</t>
        </is>
      </c>
      <c r="C21" s="50" t="inlineStr">
        <is>
          <t>6 — Charges d'exploitation</t>
        </is>
      </c>
      <c r="D21" s="50" t="inlineStr">
        <is>
          <t>62 — Autres services extérieurs</t>
        </is>
      </c>
      <c r="E21" s="50" t="inlineStr">
        <is>
          <t>Structure</t>
        </is>
      </c>
      <c r="F21" s="50" t="inlineStr">
        <is>
          <t>EBITDA</t>
        </is>
      </c>
      <c r="G21" s="19" t="inlineStr">
        <is>
          <t>Charge</t>
        </is>
      </c>
      <c r="H21" s="21" t="inlineStr">
        <is>
          <t>Groupe</t>
        </is>
      </c>
      <c r="I21" s="21" t="inlineStr">
        <is>
          <t>effectif</t>
        </is>
      </c>
      <c r="J21" s="34" t="n">
        <v>0.02</v>
      </c>
      <c r="K21" s="21" t="inlineStr">
        <is>
          <t>F</t>
        </is>
      </c>
    </row>
    <row r="22">
      <c r="A22" s="21" t="inlineStr">
        <is>
          <t>6281</t>
        </is>
      </c>
      <c r="B22" s="29" t="inlineStr">
        <is>
          <t>Cotisations, documentation &amp; abonnements</t>
        </is>
      </c>
      <c r="C22" s="50" t="inlineStr">
        <is>
          <t>6 — Charges d'exploitation</t>
        </is>
      </c>
      <c r="D22" s="50" t="inlineStr">
        <is>
          <t>62 — Autres services extérieurs</t>
        </is>
      </c>
      <c r="E22" s="50" t="inlineStr">
        <is>
          <t>Structure</t>
        </is>
      </c>
      <c r="F22" s="50" t="inlineStr">
        <is>
          <t>EBITDA</t>
        </is>
      </c>
      <c r="G22" s="19" t="inlineStr">
        <is>
          <t>Charge</t>
        </is>
      </c>
      <c r="H22" s="21" t="inlineStr">
        <is>
          <t>Groupe</t>
        </is>
      </c>
      <c r="I22" s="21" t="inlineStr">
        <is>
          <t>CA</t>
        </is>
      </c>
      <c r="J22" s="34" t="n">
        <v>0.008</v>
      </c>
      <c r="K22" s="21" t="inlineStr">
        <is>
          <t>F</t>
        </is>
      </c>
    </row>
    <row r="23">
      <c r="A23" s="21" t="inlineStr">
        <is>
          <t>6331</t>
        </is>
      </c>
      <c r="B23" s="29" t="inlineStr">
        <is>
          <t>Taxe sur les salaires</t>
        </is>
      </c>
      <c r="C23" s="50" t="inlineStr">
        <is>
          <t>6 — Charges d'exploitation</t>
        </is>
      </c>
      <c r="D23" s="50" t="inlineStr">
        <is>
          <t>63 — Impôts &amp; taxes</t>
        </is>
      </c>
      <c r="E23" s="50" t="inlineStr">
        <is>
          <t>Impôts &amp; taxes</t>
        </is>
      </c>
      <c r="F23" s="50" t="inlineStr">
        <is>
          <t>EBITDA</t>
        </is>
      </c>
      <c r="G23" s="19" t="inlineStr">
        <is>
          <t>Charge</t>
        </is>
      </c>
      <c r="H23" s="21" t="inlineStr">
        <is>
          <t>Groupe</t>
        </is>
      </c>
      <c r="I23" s="21" t="inlineStr">
        <is>
          <t>effectif</t>
        </is>
      </c>
      <c r="J23" s="34" t="n">
        <v>0.015</v>
      </c>
      <c r="K23" s="21" t="inlineStr">
        <is>
          <t>F</t>
        </is>
      </c>
    </row>
    <row r="24">
      <c r="A24" s="21" t="inlineStr">
        <is>
          <t>63511</t>
        </is>
      </c>
      <c r="B24" s="29" t="inlineStr">
        <is>
          <t>Cotisation foncière &amp; CVAE</t>
        </is>
      </c>
      <c r="C24" s="50" t="inlineStr">
        <is>
          <t>6 — Charges d'exploitation</t>
        </is>
      </c>
      <c r="D24" s="50" t="inlineStr">
        <is>
          <t>63 — Impôts &amp; taxes</t>
        </is>
      </c>
      <c r="E24" s="50" t="inlineStr">
        <is>
          <t>Impôts &amp; taxes</t>
        </is>
      </c>
      <c r="F24" s="50" t="inlineStr">
        <is>
          <t>EBITDA</t>
        </is>
      </c>
      <c r="G24" s="19" t="inlineStr">
        <is>
          <t>Charge</t>
        </is>
      </c>
      <c r="H24" s="21" t="inlineStr">
        <is>
          <t>Campus</t>
        </is>
      </c>
      <c r="I24" s="21" t="inlineStr">
        <is>
          <t>classes</t>
        </is>
      </c>
      <c r="J24" s="34" t="n">
        <v>0.01</v>
      </c>
      <c r="K24" s="21" t="inlineStr">
        <is>
          <t>F</t>
        </is>
      </c>
    </row>
    <row r="25">
      <c r="A25" s="21" t="inlineStr">
        <is>
          <t>6333</t>
        </is>
      </c>
      <c r="B25" s="29" t="inlineStr">
        <is>
          <t>Participation formation professionnelle</t>
        </is>
      </c>
      <c r="C25" s="50" t="inlineStr">
        <is>
          <t>6 — Charges d'exploitation</t>
        </is>
      </c>
      <c r="D25" s="50" t="inlineStr">
        <is>
          <t>63 — Impôts &amp; taxes</t>
        </is>
      </c>
      <c r="E25" s="50" t="inlineStr">
        <is>
          <t>Impôts &amp; taxes</t>
        </is>
      </c>
      <c r="F25" s="50" t="inlineStr">
        <is>
          <t>EBITDA</t>
        </is>
      </c>
      <c r="G25" s="19" t="inlineStr">
        <is>
          <t>Charge</t>
        </is>
      </c>
      <c r="H25" s="21" t="inlineStr">
        <is>
          <t>Groupe</t>
        </is>
      </c>
      <c r="I25" s="21" t="inlineStr">
        <is>
          <t>CA</t>
        </is>
      </c>
      <c r="J25" s="34" t="n">
        <v>0.005</v>
      </c>
      <c r="K25" s="21" t="inlineStr">
        <is>
          <t>F</t>
        </is>
      </c>
    </row>
    <row r="26">
      <c r="A26" s="21" t="inlineStr">
        <is>
          <t>6811</t>
        </is>
      </c>
      <c r="B26" s="29" t="inlineStr">
        <is>
          <t>Dotations aux amortissements (D&amp;A)</t>
        </is>
      </c>
      <c r="C26" s="50" t="inlineStr">
        <is>
          <t>6 — Charges d'exploitation</t>
        </is>
      </c>
      <c r="D26" s="50" t="inlineStr">
        <is>
          <t>68 — Dotations &amp; amort.</t>
        </is>
      </c>
      <c r="E26" s="50" t="inlineStr">
        <is>
          <t>Dotations</t>
        </is>
      </c>
      <c r="F26" s="50" t="inlineStr">
        <is>
          <t>Résultat d'exploitation (EBIT)</t>
        </is>
      </c>
      <c r="G26" s="19" t="inlineStr">
        <is>
          <t>Charge</t>
        </is>
      </c>
      <c r="H26" s="21" t="inlineStr">
        <is>
          <t>Campus</t>
        </is>
      </c>
      <c r="I26" s="21" t="inlineStr">
        <is>
          <t>classes</t>
        </is>
      </c>
      <c r="J26" s="34" t="n">
        <v>0.06</v>
      </c>
      <c r="K26" s="21" t="inlineStr">
        <is>
          <t>F</t>
        </is>
      </c>
    </row>
    <row r="29" ht="20" customHeight="1">
      <c r="A29" s="3" t="inlineStr">
        <is>
          <t>Hiérarchie de gestion (dimension Compte — parent → enfant, prêt Tagetik)</t>
        </is>
      </c>
      <c r="B29" s="4" t="n"/>
      <c r="C29" s="4" t="n"/>
      <c r="D29" s="4" t="n"/>
    </row>
    <row r="30">
      <c r="A30" s="11" t="inlineStr">
        <is>
          <t>Code nœud</t>
        </is>
      </c>
      <c r="B30" s="11" t="inlineStr">
        <is>
          <t>Libellé</t>
        </is>
      </c>
      <c r="C30" s="11" t="inlineStr">
        <is>
          <t>Parent</t>
        </is>
      </c>
      <c r="D30" s="11" t="inlineStr">
        <is>
          <t>Type</t>
        </is>
      </c>
    </row>
    <row r="31">
      <c r="A31" s="51" t="inlineStr">
        <is>
          <t>RESULTAT_EXPL</t>
        </is>
      </c>
      <c r="B31" s="12" t="inlineStr">
        <is>
          <t>Résultat d'exploitation (EBIT)</t>
        </is>
      </c>
      <c r="C31" s="50" t="inlineStr">
        <is>
          <t>(racine)</t>
        </is>
      </c>
      <c r="D31" s="52" t="inlineStr">
        <is>
          <t>Agrégat</t>
        </is>
      </c>
    </row>
    <row r="32">
      <c r="A32" s="51" t="inlineStr">
        <is>
          <t>EBITDA</t>
        </is>
      </c>
      <c r="B32" s="12" t="inlineStr">
        <is>
          <t>EBITDA</t>
        </is>
      </c>
      <c r="C32" s="50" t="inlineStr">
        <is>
          <t>RESULTAT_EXPL</t>
        </is>
      </c>
      <c r="D32" s="52" t="inlineStr">
        <is>
          <t>Agrégat</t>
        </is>
      </c>
    </row>
    <row r="33">
      <c r="A33" s="51" t="inlineStr">
        <is>
          <t>MARGE_CONTRIB</t>
        </is>
      </c>
      <c r="B33" s="12" t="inlineStr">
        <is>
          <t>Marge de contribution</t>
        </is>
      </c>
      <c r="C33" s="50" t="inlineStr">
        <is>
          <t>EBITDA</t>
        </is>
      </c>
      <c r="D33" s="52" t="inlineStr">
        <is>
          <t>Agrégat</t>
        </is>
      </c>
    </row>
    <row r="34">
      <c r="A34" s="51" t="inlineStr">
        <is>
          <t>SIG_PROD</t>
        </is>
      </c>
      <c r="B34" s="12" t="inlineStr">
        <is>
          <t>Produits d'exploitation</t>
        </is>
      </c>
      <c r="C34" s="50" t="inlineStr">
        <is>
          <t>MARGE_CONTRIB</t>
        </is>
      </c>
      <c r="D34" s="52" t="inlineStr">
        <is>
          <t>Regroupement</t>
        </is>
      </c>
    </row>
    <row r="35">
      <c r="A35" s="51" t="inlineStr">
        <is>
          <t>SIG_DIR</t>
        </is>
      </c>
      <c r="B35" s="12" t="inlineStr">
        <is>
          <t>Coûts directs</t>
        </is>
      </c>
      <c r="C35" s="50" t="inlineStr">
        <is>
          <t>MARGE_CONTRIB</t>
        </is>
      </c>
      <c r="D35" s="52" t="inlineStr">
        <is>
          <t>Regroupement</t>
        </is>
      </c>
    </row>
    <row r="36">
      <c r="A36" s="51" t="inlineStr">
        <is>
          <t>SIG_PERS</t>
        </is>
      </c>
      <c r="B36" s="12" t="inlineStr">
        <is>
          <t>Charges de personnel</t>
        </is>
      </c>
      <c r="C36" s="50" t="inlineStr">
        <is>
          <t>EBITDA</t>
        </is>
      </c>
      <c r="D36" s="52" t="inlineStr">
        <is>
          <t>Regroupement</t>
        </is>
      </c>
    </row>
    <row r="37">
      <c r="A37" s="51" t="inlineStr">
        <is>
          <t>SIG_STRUCT</t>
        </is>
      </c>
      <c r="B37" s="12" t="inlineStr">
        <is>
          <t>Charges de structure</t>
        </is>
      </c>
      <c r="C37" s="50" t="inlineStr">
        <is>
          <t>EBITDA</t>
        </is>
      </c>
      <c r="D37" s="52" t="inlineStr">
        <is>
          <t>Regroupement</t>
        </is>
      </c>
    </row>
    <row r="38">
      <c r="A38" s="51" t="inlineStr">
        <is>
          <t>SIG_IMP</t>
        </is>
      </c>
      <c r="B38" s="12" t="inlineStr">
        <is>
          <t>Impôts &amp; taxes</t>
        </is>
      </c>
      <c r="C38" s="50" t="inlineStr">
        <is>
          <t>EBITDA</t>
        </is>
      </c>
      <c r="D38" s="52" t="inlineStr">
        <is>
          <t>Regroupement</t>
        </is>
      </c>
    </row>
    <row r="39">
      <c r="A39" s="51" t="inlineStr">
        <is>
          <t>SIG_DOT</t>
        </is>
      </c>
      <c r="B39" s="12" t="inlineStr">
        <is>
          <t>Dotations aux amortissements</t>
        </is>
      </c>
      <c r="C39" s="50" t="inlineStr">
        <is>
          <t>RESULTAT_EXPL</t>
        </is>
      </c>
      <c r="D39" s="52" t="inlineStr">
        <is>
          <t>Regroupement</t>
        </is>
      </c>
    </row>
    <row r="40">
      <c r="A40" s="50" t="inlineStr">
        <is>
          <t>7062</t>
        </is>
      </c>
      <c r="B40" s="29" t="inlineStr">
        <is>
          <t>Prestations de formation — alternance (OPCO)</t>
        </is>
      </c>
      <c r="C40" s="50" t="inlineStr">
        <is>
          <t>SIG_PROD</t>
        </is>
      </c>
      <c r="D40" s="52" t="inlineStr">
        <is>
          <t>Compte (détail)</t>
        </is>
      </c>
    </row>
    <row r="41">
      <c r="A41" s="50" t="inlineStr">
        <is>
          <t>706</t>
        </is>
      </c>
      <c r="B41" s="29" t="inlineStr">
        <is>
          <t>Prestations de formation — scolarité (initial)</t>
        </is>
      </c>
      <c r="C41" s="50" t="inlineStr">
        <is>
          <t>SIG_PROD</t>
        </is>
      </c>
      <c r="D41" s="52" t="inlineStr">
        <is>
          <t>Compte (détail)</t>
        </is>
      </c>
    </row>
    <row r="42">
      <c r="A42" s="50" t="inlineStr">
        <is>
          <t>708</t>
        </is>
      </c>
      <c r="B42" s="29" t="inlineStr">
        <is>
          <t>Frais de dossier &amp; droits d'inscription</t>
        </is>
      </c>
      <c r="C42" s="50" t="inlineStr">
        <is>
          <t>SIG_PROD</t>
        </is>
      </c>
      <c r="D42" s="52" t="inlineStr">
        <is>
          <t>Compte (détail)</t>
        </is>
      </c>
    </row>
    <row r="43">
      <c r="A43" s="50" t="inlineStr">
        <is>
          <t>621</t>
        </is>
      </c>
      <c r="B43" s="29" t="inlineStr">
        <is>
          <t>Personnel extérieur — vacataires &amp; intervenants</t>
        </is>
      </c>
      <c r="C43" s="50" t="inlineStr">
        <is>
          <t>SIG_DIR</t>
        </is>
      </c>
      <c r="D43" s="52" t="inlineStr">
        <is>
          <t>Compte (détail)</t>
        </is>
      </c>
    </row>
    <row r="44">
      <c r="A44" s="50" t="inlineStr">
        <is>
          <t>604</t>
        </is>
      </c>
      <c r="B44" s="29" t="inlineStr">
        <is>
          <t>Sous-traitance pédagogique</t>
        </is>
      </c>
      <c r="C44" s="50" t="inlineStr">
        <is>
          <t>SIG_DIR</t>
        </is>
      </c>
      <c r="D44" s="52" t="inlineStr">
        <is>
          <t>Compte (détail)</t>
        </is>
      </c>
    </row>
    <row r="45">
      <c r="A45" s="50" t="inlineStr">
        <is>
          <t>6063</t>
        </is>
      </c>
      <c r="B45" s="29" t="inlineStr">
        <is>
          <t>Fournitures pédagogiques &amp; petit équipement</t>
        </is>
      </c>
      <c r="C45" s="50" t="inlineStr">
        <is>
          <t>SIG_DIR</t>
        </is>
      </c>
      <c r="D45" s="52" t="inlineStr">
        <is>
          <t>Compte (détail)</t>
        </is>
      </c>
    </row>
    <row r="46">
      <c r="A46" s="50" t="inlineStr">
        <is>
          <t>6231</t>
        </is>
      </c>
      <c r="B46" s="29" t="inlineStr">
        <is>
          <t>Publicité &amp; marketing d'acquisition (leads)</t>
        </is>
      </c>
      <c r="C46" s="50" t="inlineStr">
        <is>
          <t>SIG_DIR</t>
        </is>
      </c>
      <c r="D46" s="52" t="inlineStr">
        <is>
          <t>Compte (détail)</t>
        </is>
      </c>
    </row>
    <row r="47">
      <c r="A47" s="50" t="inlineStr">
        <is>
          <t>6411</t>
        </is>
      </c>
      <c r="B47" s="29" t="inlineStr">
        <is>
          <t>Rémunération enseignants permanents</t>
        </is>
      </c>
      <c r="C47" s="50" t="inlineStr">
        <is>
          <t>SIG_PERS</t>
        </is>
      </c>
      <c r="D47" s="52" t="inlineStr">
        <is>
          <t>Compte (détail)</t>
        </is>
      </c>
    </row>
    <row r="48">
      <c r="A48" s="50" t="inlineStr">
        <is>
          <t>6413</t>
        </is>
      </c>
      <c r="B48" s="29" t="inlineStr">
        <is>
          <t>Rémunération personnel administratif &amp; pédagogique</t>
        </is>
      </c>
      <c r="C48" s="50" t="inlineStr">
        <is>
          <t>SIG_PERS</t>
        </is>
      </c>
      <c r="D48" s="52" t="inlineStr">
        <is>
          <t>Compte (détail)</t>
        </is>
      </c>
    </row>
    <row r="49">
      <c r="A49" s="50" t="inlineStr">
        <is>
          <t>6414</t>
        </is>
      </c>
      <c r="B49" s="29" t="inlineStr">
        <is>
          <t>Rémunération direction &amp; fonctions support (siège)</t>
        </is>
      </c>
      <c r="C49" s="50" t="inlineStr">
        <is>
          <t>SIG_PERS</t>
        </is>
      </c>
      <c r="D49" s="52" t="inlineStr">
        <is>
          <t>Compte (détail)</t>
        </is>
      </c>
    </row>
    <row r="50">
      <c r="A50" s="50" t="inlineStr">
        <is>
          <t>645</t>
        </is>
      </c>
      <c r="B50" s="29" t="inlineStr">
        <is>
          <t>Charges sociales &amp; de prévoyance</t>
        </is>
      </c>
      <c r="C50" s="50" t="inlineStr">
        <is>
          <t>SIG_PERS</t>
        </is>
      </c>
      <c r="D50" s="52" t="inlineStr">
        <is>
          <t>Compte (détail)</t>
        </is>
      </c>
    </row>
    <row r="51">
      <c r="A51" s="50" t="inlineStr">
        <is>
          <t>613</t>
        </is>
      </c>
      <c r="B51" s="29" t="inlineStr">
        <is>
          <t>Loyers &amp; charges locatives (campus)</t>
        </is>
      </c>
      <c r="C51" s="50" t="inlineStr">
        <is>
          <t>SIG_STRUCT</t>
        </is>
      </c>
      <c r="D51" s="52" t="inlineStr">
        <is>
          <t>Compte (détail)</t>
        </is>
      </c>
    </row>
    <row r="52">
      <c r="A52" s="50" t="inlineStr">
        <is>
          <t>615</t>
        </is>
      </c>
      <c r="B52" s="29" t="inlineStr">
        <is>
          <t>Entretien &amp; maintenance</t>
        </is>
      </c>
      <c r="C52" s="50" t="inlineStr">
        <is>
          <t>SIG_STRUCT</t>
        </is>
      </c>
      <c r="D52" s="52" t="inlineStr">
        <is>
          <t>Compte (détail)</t>
        </is>
      </c>
    </row>
    <row r="53">
      <c r="A53" s="50" t="inlineStr">
        <is>
          <t>616</t>
        </is>
      </c>
      <c r="B53" s="29" t="inlineStr">
        <is>
          <t>Primes d'assurance</t>
        </is>
      </c>
      <c r="C53" s="50" t="inlineStr">
        <is>
          <t>SIG_STRUCT</t>
        </is>
      </c>
      <c r="D53" s="52" t="inlineStr">
        <is>
          <t>Compte (détail)</t>
        </is>
      </c>
    </row>
    <row r="54">
      <c r="A54" s="50" t="inlineStr">
        <is>
          <t>6226</t>
        </is>
      </c>
      <c r="B54" s="29" t="inlineStr">
        <is>
          <t>Honoraires (audit, conseil, juridique)</t>
        </is>
      </c>
      <c r="C54" s="50" t="inlineStr">
        <is>
          <t>SIG_STRUCT</t>
        </is>
      </c>
      <c r="D54" s="52" t="inlineStr">
        <is>
          <t>Compte (détail)</t>
        </is>
      </c>
    </row>
    <row r="55">
      <c r="A55" s="50" t="inlineStr">
        <is>
          <t>6236</t>
        </is>
      </c>
      <c r="B55" s="29" t="inlineStr">
        <is>
          <t>Marketing de marque, salons &amp; JPO</t>
        </is>
      </c>
      <c r="C55" s="50" t="inlineStr">
        <is>
          <t>SIG_STRUCT</t>
        </is>
      </c>
      <c r="D55" s="52" t="inlineStr">
        <is>
          <t>Compte (détail)</t>
        </is>
      </c>
    </row>
    <row r="56">
      <c r="A56" s="50" t="inlineStr">
        <is>
          <t>625</t>
        </is>
      </c>
      <c r="B56" s="29" t="inlineStr">
        <is>
          <t>Déplacements, missions &amp; réceptions</t>
        </is>
      </c>
      <c r="C56" s="50" t="inlineStr">
        <is>
          <t>SIG_STRUCT</t>
        </is>
      </c>
      <c r="D56" s="52" t="inlineStr">
        <is>
          <t>Compte (détail)</t>
        </is>
      </c>
    </row>
    <row r="57">
      <c r="A57" s="50" t="inlineStr">
        <is>
          <t>626</t>
        </is>
      </c>
      <c r="B57" s="29" t="inlineStr">
        <is>
          <t>Télécom, systèmes d'information &amp; affranchissement</t>
        </is>
      </c>
      <c r="C57" s="50" t="inlineStr">
        <is>
          <t>SIG_STRUCT</t>
        </is>
      </c>
      <c r="D57" s="52" t="inlineStr">
        <is>
          <t>Compte (détail)</t>
        </is>
      </c>
    </row>
    <row r="58">
      <c r="A58" s="50" t="inlineStr">
        <is>
          <t>6281</t>
        </is>
      </c>
      <c r="B58" s="29" t="inlineStr">
        <is>
          <t>Cotisations, documentation &amp; abonnements</t>
        </is>
      </c>
      <c r="C58" s="50" t="inlineStr">
        <is>
          <t>SIG_STRUCT</t>
        </is>
      </c>
      <c r="D58" s="52" t="inlineStr">
        <is>
          <t>Compte (détail)</t>
        </is>
      </c>
    </row>
    <row r="59">
      <c r="A59" s="50" t="inlineStr">
        <is>
          <t>6331</t>
        </is>
      </c>
      <c r="B59" s="29" t="inlineStr">
        <is>
          <t>Taxe sur les salaires</t>
        </is>
      </c>
      <c r="C59" s="50" t="inlineStr">
        <is>
          <t>SIG_IMP</t>
        </is>
      </c>
      <c r="D59" s="52" t="inlineStr">
        <is>
          <t>Compte (détail)</t>
        </is>
      </c>
    </row>
    <row r="60">
      <c r="A60" s="50" t="inlineStr">
        <is>
          <t>63511</t>
        </is>
      </c>
      <c r="B60" s="29" t="inlineStr">
        <is>
          <t>Cotisation foncière &amp; CVAE</t>
        </is>
      </c>
      <c r="C60" s="50" t="inlineStr">
        <is>
          <t>SIG_IMP</t>
        </is>
      </c>
      <c r="D60" s="52" t="inlineStr">
        <is>
          <t>Compte (détail)</t>
        </is>
      </c>
    </row>
    <row r="61">
      <c r="A61" s="50" t="inlineStr">
        <is>
          <t>6333</t>
        </is>
      </c>
      <c r="B61" s="29" t="inlineStr">
        <is>
          <t>Participation formation professionnelle</t>
        </is>
      </c>
      <c r="C61" s="50" t="inlineStr">
        <is>
          <t>SIG_IMP</t>
        </is>
      </c>
      <c r="D61" s="52" t="inlineStr">
        <is>
          <t>Compte (détail)</t>
        </is>
      </c>
    </row>
    <row r="62">
      <c r="A62" s="50" t="inlineStr">
        <is>
          <t>6811</t>
        </is>
      </c>
      <c r="B62" s="29" t="inlineStr">
        <is>
          <t>Dotations aux amortissements (D&amp;A)</t>
        </is>
      </c>
      <c r="C62" s="50" t="inlineStr">
        <is>
          <t>SIG_DOT</t>
        </is>
      </c>
      <c r="D62" s="52" t="inlineStr">
        <is>
          <t>Compte (détail)</t>
        </is>
      </c>
    </row>
    <row r="65" ht="20" customHeight="1">
      <c r="A65" s="3" t="inlineStr">
        <is>
          <t>Dimension Version (référentiel — prêt Tagetik)</t>
        </is>
      </c>
      <c r="B65" s="4" t="n"/>
      <c r="C65" s="4" t="n"/>
      <c r="D65" s="4" t="n"/>
    </row>
    <row r="66">
      <c r="A66" s="11" t="inlineStr">
        <is>
          <t>Code version</t>
        </is>
      </c>
      <c r="B66" s="11" t="inlineStr">
        <is>
          <t>Libellé</t>
        </is>
      </c>
      <c r="C66" s="11" t="inlineStr">
        <is>
          <t>Type</t>
        </is>
      </c>
      <c r="D66" s="11" t="inlineStr">
        <is>
          <t>Année</t>
        </is>
      </c>
    </row>
    <row r="67">
      <c r="A67" s="51" t="inlineStr">
        <is>
          <t>2024ACT_VDEF</t>
        </is>
      </c>
      <c r="B67" s="29" t="inlineStr">
        <is>
          <t>2024 (N-2)</t>
        </is>
      </c>
      <c r="C67" s="21" t="inlineStr">
        <is>
          <t>Actual</t>
        </is>
      </c>
      <c r="D67" s="21" t="n">
        <v>2024</v>
      </c>
    </row>
    <row r="68">
      <c r="A68" s="51" t="inlineStr">
        <is>
          <t>2025ACT_VDEF</t>
        </is>
      </c>
      <c r="B68" s="29" t="inlineStr">
        <is>
          <t>2025 (N-1)</t>
        </is>
      </c>
      <c r="C68" s="21" t="inlineStr">
        <is>
          <t>Actual</t>
        </is>
      </c>
      <c r="D68" s="21" t="n">
        <v>2025</v>
      </c>
    </row>
    <row r="69">
      <c r="A69" s="51" t="inlineStr">
        <is>
          <t>2026ATT_VDEF</t>
        </is>
      </c>
      <c r="B69" s="29" t="inlineStr">
        <is>
          <t>2026 (Atterr.)</t>
        </is>
      </c>
      <c r="C69" s="21" t="inlineStr">
        <is>
          <t>Forecast</t>
        </is>
      </c>
      <c r="D69" s="21" t="n">
        <v>2026</v>
      </c>
    </row>
  </sheetData>
  <mergeCells count="3">
    <mergeCell ref="A29:D29"/>
    <mergeCell ref="A65:D65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7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1" customWidth="1" min="4" max="4"/>
    <col width="9" customWidth="1" min="5" max="5"/>
    <col width="40" customWidth="1" min="6" max="6"/>
    <col width="28" customWidth="1" min="7" max="7"/>
    <col width="9" customWidth="1" min="8" max="8"/>
    <col width="15" customWidth="1" min="9" max="9"/>
    <col width="15" customWidth="1" min="10" max="10"/>
    <col width="15" customWidth="1" min="11" max="11"/>
    <col width="12" customWidth="1" min="12" max="12"/>
  </cols>
  <sheetData>
    <row r="1" ht="22" customHeight="1">
      <c r="A1" s="1" t="inlineStr">
        <is>
          <t>COMPTA CHARGÉE — écritures par entité × compte × version (format long, clés Tagetik)</t>
        </is>
      </c>
    </row>
    <row r="2" ht="16" customHeight="1">
      <c r="A2" s="7" t="inlineStr">
        <is>
          <t>Clés : code entité (marque_ville), compte PCG, poste, version (2023ACT_VDEF / 2024ACT_VDEF / 2025ATT_VDEF). Charges réparties par driver. Somme des comptes = CA &amp; EBITDA du P&amp;L.</t>
        </is>
      </c>
    </row>
    <row r="3">
      <c r="A3" s="11" t="inlineStr">
        <is>
          <t>Code entité</t>
        </is>
      </c>
      <c r="B3" s="11" t="inlineStr">
        <is>
          <t>Entité</t>
        </is>
      </c>
      <c r="C3" s="11" t="inlineStr">
        <is>
          <t>Marque</t>
        </is>
      </c>
      <c r="D3" s="11" t="inlineStr">
        <is>
          <t>Ville</t>
        </is>
      </c>
      <c r="E3" s="11" t="inlineStr">
        <is>
          <t>Compte</t>
        </is>
      </c>
      <c r="F3" s="11" t="inlineStr">
        <is>
          <t>Libellé compte</t>
        </is>
      </c>
      <c r="G3" s="11" t="inlineStr">
        <is>
          <t>Poste PCG</t>
        </is>
      </c>
      <c r="H3" s="11" t="inlineStr">
        <is>
          <t>Sens</t>
        </is>
      </c>
      <c r="I3" s="11" t="inlineStr">
        <is>
          <t>Ligne SIG</t>
        </is>
      </c>
      <c r="J3" s="11" t="inlineStr">
        <is>
          <t>Version</t>
        </is>
      </c>
      <c r="K3" s="11" t="inlineStr">
        <is>
          <t>Exercice</t>
        </is>
      </c>
      <c r="L3" s="11" t="inlineStr">
        <is>
          <t>Montant</t>
        </is>
      </c>
    </row>
    <row r="4">
      <c r="A4" s="19" t="inlineStr">
        <is>
          <t>MBWAY_PARIS</t>
        </is>
      </c>
      <c r="B4" s="18" t="inlineStr">
        <is>
          <t>MBway Paris</t>
        </is>
      </c>
      <c r="C4" s="19" t="inlineStr">
        <is>
          <t>MBway</t>
        </is>
      </c>
      <c r="D4" s="19" t="inlineStr">
        <is>
          <t>Paris</t>
        </is>
      </c>
      <c r="E4" s="19" t="inlineStr">
        <is>
          <t>7062</t>
        </is>
      </c>
      <c r="F4" s="18" t="inlineStr">
        <is>
          <t>Prestations de formation — alternance (OPCO)</t>
        </is>
      </c>
      <c r="G4" s="19" t="inlineStr">
        <is>
          <t>70 — Prestations de services</t>
        </is>
      </c>
      <c r="H4" s="19" t="inlineStr">
        <is>
          <t>Produit</t>
        </is>
      </c>
      <c r="I4" s="19" t="inlineStr">
        <is>
          <t>Produits</t>
        </is>
      </c>
      <c r="J4" s="19" t="inlineStr">
        <is>
          <t>2024ACT_VDEF</t>
        </is>
      </c>
      <c r="K4" s="19" t="inlineStr">
        <is>
          <t>2024 (N-2)</t>
        </is>
      </c>
      <c r="L4" s="13" t="n">
        <v>2134639</v>
      </c>
    </row>
    <row r="5">
      <c r="A5" s="19" t="inlineStr">
        <is>
          <t>MBWAY_LYON</t>
        </is>
      </c>
      <c r="B5" s="18" t="inlineStr">
        <is>
          <t>MBway Lyon</t>
        </is>
      </c>
      <c r="C5" s="19" t="inlineStr">
        <is>
          <t>MBway</t>
        </is>
      </c>
      <c r="D5" s="19" t="inlineStr">
        <is>
          <t>Lyon</t>
        </is>
      </c>
      <c r="E5" s="19" t="inlineStr">
        <is>
          <t>7062</t>
        </is>
      </c>
      <c r="F5" s="18" t="inlineStr">
        <is>
          <t>Prestations de formation — alternance (OPCO)</t>
        </is>
      </c>
      <c r="G5" s="19" t="inlineStr">
        <is>
          <t>70 — Prestations de services</t>
        </is>
      </c>
      <c r="H5" s="19" t="inlineStr">
        <is>
          <t>Produit</t>
        </is>
      </c>
      <c r="I5" s="19" t="inlineStr">
        <is>
          <t>Produits</t>
        </is>
      </c>
      <c r="J5" s="19" t="inlineStr">
        <is>
          <t>2024ACT_VDEF</t>
        </is>
      </c>
      <c r="K5" s="19" t="inlineStr">
        <is>
          <t>2024 (N-2)</t>
        </is>
      </c>
      <c r="L5" s="13" t="n">
        <v>1682561</v>
      </c>
    </row>
    <row r="6">
      <c r="A6" s="19" t="inlineStr">
        <is>
          <t>MBWAY_NANTES</t>
        </is>
      </c>
      <c r="B6" s="18" t="inlineStr">
        <is>
          <t>MBway Nantes</t>
        </is>
      </c>
      <c r="C6" s="19" t="inlineStr">
        <is>
          <t>MBway</t>
        </is>
      </c>
      <c r="D6" s="19" t="inlineStr">
        <is>
          <t>Nantes</t>
        </is>
      </c>
      <c r="E6" s="19" t="inlineStr">
        <is>
          <t>7062</t>
        </is>
      </c>
      <c r="F6" s="18" t="inlineStr">
        <is>
          <t>Prestations de formation — alternance (OPCO)</t>
        </is>
      </c>
      <c r="G6" s="19" t="inlineStr">
        <is>
          <t>70 — Prestations de services</t>
        </is>
      </c>
      <c r="H6" s="19" t="inlineStr">
        <is>
          <t>Produit</t>
        </is>
      </c>
      <c r="I6" s="19" t="inlineStr">
        <is>
          <t>Produits</t>
        </is>
      </c>
      <c r="J6" s="19" t="inlineStr">
        <is>
          <t>2024ACT_VDEF</t>
        </is>
      </c>
      <c r="K6" s="19" t="inlineStr">
        <is>
          <t>2024 (N-2)</t>
        </is>
      </c>
      <c r="L6" s="13" t="n">
        <v>1466714</v>
      </c>
    </row>
    <row r="7">
      <c r="A7" s="19" t="inlineStr">
        <is>
          <t>MBWAY_BORDEAUX</t>
        </is>
      </c>
      <c r="B7" s="18" t="inlineStr">
        <is>
          <t>MBway Bordeaux</t>
        </is>
      </c>
      <c r="C7" s="19" t="inlineStr">
        <is>
          <t>MBway</t>
        </is>
      </c>
      <c r="D7" s="19" t="inlineStr">
        <is>
          <t>Bordeaux</t>
        </is>
      </c>
      <c r="E7" s="19" t="inlineStr">
        <is>
          <t>7062</t>
        </is>
      </c>
      <c r="F7" s="18" t="inlineStr">
        <is>
          <t>Prestations de formation — alternance (OPCO)</t>
        </is>
      </c>
      <c r="G7" s="19" t="inlineStr">
        <is>
          <t>70 — Prestations de services</t>
        </is>
      </c>
      <c r="H7" s="19" t="inlineStr">
        <is>
          <t>Produit</t>
        </is>
      </c>
      <c r="I7" s="19" t="inlineStr">
        <is>
          <t>Produits</t>
        </is>
      </c>
      <c r="J7" s="19" t="inlineStr">
        <is>
          <t>2024ACT_VDEF</t>
        </is>
      </c>
      <c r="K7" s="19" t="inlineStr">
        <is>
          <t>2024 (N-2)</t>
        </is>
      </c>
      <c r="L7" s="13" t="n">
        <v>1203435</v>
      </c>
    </row>
    <row r="8">
      <c r="A8" s="19" t="inlineStr">
        <is>
          <t>ISCOM_PARIS</t>
        </is>
      </c>
      <c r="B8" s="18" t="inlineStr">
        <is>
          <t>ISCOM Paris</t>
        </is>
      </c>
      <c r="C8" s="19" t="inlineStr">
        <is>
          <t>ISCOM</t>
        </is>
      </c>
      <c r="D8" s="19" t="inlineStr">
        <is>
          <t>Paris</t>
        </is>
      </c>
      <c r="E8" s="19" t="inlineStr">
        <is>
          <t>7062</t>
        </is>
      </c>
      <c r="F8" s="18" t="inlineStr">
        <is>
          <t>Prestations de formation — alternance (OPCO)</t>
        </is>
      </c>
      <c r="G8" s="19" t="inlineStr">
        <is>
          <t>70 — Prestations de services</t>
        </is>
      </c>
      <c r="H8" s="19" t="inlineStr">
        <is>
          <t>Produit</t>
        </is>
      </c>
      <c r="I8" s="19" t="inlineStr">
        <is>
          <t>Produits</t>
        </is>
      </c>
      <c r="J8" s="19" t="inlineStr">
        <is>
          <t>2024ACT_VDEF</t>
        </is>
      </c>
      <c r="K8" s="19" t="inlineStr">
        <is>
          <t>2024 (N-2)</t>
        </is>
      </c>
      <c r="L8" s="13" t="n">
        <v>1968174</v>
      </c>
    </row>
    <row r="9">
      <c r="A9" s="19" t="inlineStr">
        <is>
          <t>ISCOM_LILLE</t>
        </is>
      </c>
      <c r="B9" s="18" t="inlineStr">
        <is>
          <t>ISCOM Lille</t>
        </is>
      </c>
      <c r="C9" s="19" t="inlineStr">
        <is>
          <t>ISCOM</t>
        </is>
      </c>
      <c r="D9" s="19" t="inlineStr">
        <is>
          <t>Lille</t>
        </is>
      </c>
      <c r="E9" s="19" t="inlineStr">
        <is>
          <t>7062</t>
        </is>
      </c>
      <c r="F9" s="18" t="inlineStr">
        <is>
          <t>Prestations de formation — alternance (OPCO)</t>
        </is>
      </c>
      <c r="G9" s="19" t="inlineStr">
        <is>
          <t>70 — Prestations de services</t>
        </is>
      </c>
      <c r="H9" s="19" t="inlineStr">
        <is>
          <t>Produit</t>
        </is>
      </c>
      <c r="I9" s="19" t="inlineStr">
        <is>
          <t>Produits</t>
        </is>
      </c>
      <c r="J9" s="19" t="inlineStr">
        <is>
          <t>2024ACT_VDEF</t>
        </is>
      </c>
      <c r="K9" s="19" t="inlineStr">
        <is>
          <t>2024 (N-2)</t>
        </is>
      </c>
      <c r="L9" s="13" t="n">
        <v>1190548</v>
      </c>
    </row>
    <row r="10">
      <c r="A10" s="19" t="inlineStr">
        <is>
          <t>ISCOM_TOULOUSE</t>
        </is>
      </c>
      <c r="B10" s="18" t="inlineStr">
        <is>
          <t>ISCOM Toulouse</t>
        </is>
      </c>
      <c r="C10" s="19" t="inlineStr">
        <is>
          <t>ISCOM</t>
        </is>
      </c>
      <c r="D10" s="19" t="inlineStr">
        <is>
          <t>Toulouse</t>
        </is>
      </c>
      <c r="E10" s="19" t="inlineStr">
        <is>
          <t>7062</t>
        </is>
      </c>
      <c r="F10" s="18" t="inlineStr">
        <is>
          <t>Prestations de formation — alternance (OPCO)</t>
        </is>
      </c>
      <c r="G10" s="19" t="inlineStr">
        <is>
          <t>70 — Prestations de services</t>
        </is>
      </c>
      <c r="H10" s="19" t="inlineStr">
        <is>
          <t>Produit</t>
        </is>
      </c>
      <c r="I10" s="19" t="inlineStr">
        <is>
          <t>Produits</t>
        </is>
      </c>
      <c r="J10" s="19" t="inlineStr">
        <is>
          <t>2024ACT_VDEF</t>
        </is>
      </c>
      <c r="K10" s="19" t="inlineStr">
        <is>
          <t>2024 (N-2)</t>
        </is>
      </c>
      <c r="L10" s="13" t="n">
        <v>1103880</v>
      </c>
    </row>
    <row r="11">
      <c r="A11" s="19" t="inlineStr">
        <is>
          <t>IPAC_BACHELOR_FACTORY_NANTES</t>
        </is>
      </c>
      <c r="B11" s="18" t="inlineStr">
        <is>
          <t>Ipac Bachelor Factory Nantes</t>
        </is>
      </c>
      <c r="C11" s="19" t="inlineStr">
        <is>
          <t>Ipac Bachelor Factory</t>
        </is>
      </c>
      <c r="D11" s="19" t="inlineStr">
        <is>
          <t>Nantes</t>
        </is>
      </c>
      <c r="E11" s="19" t="inlineStr">
        <is>
          <t>7062</t>
        </is>
      </c>
      <c r="F11" s="18" t="inlineStr">
        <is>
          <t>Prestations de formation — alternance (OPCO)</t>
        </is>
      </c>
      <c r="G11" s="19" t="inlineStr">
        <is>
          <t>70 — Prestations de services</t>
        </is>
      </c>
      <c r="H11" s="19" t="inlineStr">
        <is>
          <t>Produit</t>
        </is>
      </c>
      <c r="I11" s="19" t="inlineStr">
        <is>
          <t>Produits</t>
        </is>
      </c>
      <c r="J11" s="19" t="inlineStr">
        <is>
          <t>2024ACT_VDEF</t>
        </is>
      </c>
      <c r="K11" s="19" t="inlineStr">
        <is>
          <t>2024 (N-2)</t>
        </is>
      </c>
      <c r="L11" s="13" t="n">
        <v>872197</v>
      </c>
    </row>
    <row r="12">
      <c r="A12" s="19" t="inlineStr">
        <is>
          <t>IPAC_BACHELOR_FACTORY_RENNES</t>
        </is>
      </c>
      <c r="B12" s="18" t="inlineStr">
        <is>
          <t>Ipac Bachelor Factory Rennes</t>
        </is>
      </c>
      <c r="C12" s="19" t="inlineStr">
        <is>
          <t>Ipac Bachelor Factory</t>
        </is>
      </c>
      <c r="D12" s="19" t="inlineStr">
        <is>
          <t>Rennes</t>
        </is>
      </c>
      <c r="E12" s="19" t="inlineStr">
        <is>
          <t>7062</t>
        </is>
      </c>
      <c r="F12" s="18" t="inlineStr">
        <is>
          <t>Prestations de formation — alternance (OPCO)</t>
        </is>
      </c>
      <c r="G12" s="19" t="inlineStr">
        <is>
          <t>70 — Prestations de services</t>
        </is>
      </c>
      <c r="H12" s="19" t="inlineStr">
        <is>
          <t>Produit</t>
        </is>
      </c>
      <c r="I12" s="19" t="inlineStr">
        <is>
          <t>Produits</t>
        </is>
      </c>
      <c r="J12" s="19" t="inlineStr">
        <is>
          <t>2024ACT_VDEF</t>
        </is>
      </c>
      <c r="K12" s="19" t="inlineStr">
        <is>
          <t>2024 (N-2)</t>
        </is>
      </c>
      <c r="L12" s="13" t="n">
        <v>662869</v>
      </c>
    </row>
    <row r="13">
      <c r="A13" s="19" t="inlineStr">
        <is>
          <t>IPAC_BACHELOR_FACTORY_MONTPELLIER</t>
        </is>
      </c>
      <c r="B13" s="18" t="inlineStr">
        <is>
          <t>Ipac Bachelor Factory Montpellier</t>
        </is>
      </c>
      <c r="C13" s="19" t="inlineStr">
        <is>
          <t>Ipac Bachelor Factory</t>
        </is>
      </c>
      <c r="D13" s="19" t="inlineStr">
        <is>
          <t>Montpellier</t>
        </is>
      </c>
      <c r="E13" s="19" t="inlineStr">
        <is>
          <t>7062</t>
        </is>
      </c>
      <c r="F13" s="18" t="inlineStr">
        <is>
          <t>Prestations de formation — alternance (OPCO)</t>
        </is>
      </c>
      <c r="G13" s="19" t="inlineStr">
        <is>
          <t>70 — Prestations de services</t>
        </is>
      </c>
      <c r="H13" s="19" t="inlineStr">
        <is>
          <t>Produit</t>
        </is>
      </c>
      <c r="I13" s="19" t="inlineStr">
        <is>
          <t>Produits</t>
        </is>
      </c>
      <c r="J13" s="19" t="inlineStr">
        <is>
          <t>2024ACT_VDEF</t>
        </is>
      </c>
      <c r="K13" s="19" t="inlineStr">
        <is>
          <t>2024 (N-2)</t>
        </is>
      </c>
      <c r="L13" s="13" t="n">
        <v>662869</v>
      </c>
    </row>
    <row r="14">
      <c r="A14" s="19" t="inlineStr">
        <is>
          <t>PIGIER_LYON</t>
        </is>
      </c>
      <c r="B14" s="18" t="inlineStr">
        <is>
          <t>Pigier Lyon</t>
        </is>
      </c>
      <c r="C14" s="19" t="inlineStr">
        <is>
          <t>Pigier</t>
        </is>
      </c>
      <c r="D14" s="19" t="inlineStr">
        <is>
          <t>Lyon</t>
        </is>
      </c>
      <c r="E14" s="19" t="inlineStr">
        <is>
          <t>7062</t>
        </is>
      </c>
      <c r="F14" s="18" t="inlineStr">
        <is>
          <t>Prestations de formation — alternance (OPCO)</t>
        </is>
      </c>
      <c r="G14" s="19" t="inlineStr">
        <is>
          <t>70 — Prestations de services</t>
        </is>
      </c>
      <c r="H14" s="19" t="inlineStr">
        <is>
          <t>Produit</t>
        </is>
      </c>
      <c r="I14" s="19" t="inlineStr">
        <is>
          <t>Produits</t>
        </is>
      </c>
      <c r="J14" s="19" t="inlineStr">
        <is>
          <t>2024ACT_VDEF</t>
        </is>
      </c>
      <c r="K14" s="19" t="inlineStr">
        <is>
          <t>2024 (N-2)</t>
        </is>
      </c>
      <c r="L14" s="13" t="n">
        <v>1087754</v>
      </c>
    </row>
    <row r="15">
      <c r="A15" s="19" t="inlineStr">
        <is>
          <t>PIGIER_BORDEAUX</t>
        </is>
      </c>
      <c r="B15" s="18" t="inlineStr">
        <is>
          <t>Pigier Bordeaux</t>
        </is>
      </c>
      <c r="C15" s="19" t="inlineStr">
        <is>
          <t>Pigier</t>
        </is>
      </c>
      <c r="D15" s="19" t="inlineStr">
        <is>
          <t>Bordeaux</t>
        </is>
      </c>
      <c r="E15" s="19" t="inlineStr">
        <is>
          <t>7062</t>
        </is>
      </c>
      <c r="F15" s="18" t="inlineStr">
        <is>
          <t>Prestations de formation — alternance (OPCO)</t>
        </is>
      </c>
      <c r="G15" s="19" t="inlineStr">
        <is>
          <t>70 — Prestations de services</t>
        </is>
      </c>
      <c r="H15" s="19" t="inlineStr">
        <is>
          <t>Produit</t>
        </is>
      </c>
      <c r="I15" s="19" t="inlineStr">
        <is>
          <t>Produits</t>
        </is>
      </c>
      <c r="J15" s="19" t="inlineStr">
        <is>
          <t>2024ACT_VDEF</t>
        </is>
      </c>
      <c r="K15" s="19" t="inlineStr">
        <is>
          <t>2024 (N-2)</t>
        </is>
      </c>
      <c r="L15" s="13" t="n">
        <v>785600</v>
      </c>
    </row>
    <row r="16">
      <c r="A16" s="19" t="inlineStr">
        <is>
          <t>TUNON_PARIS</t>
        </is>
      </c>
      <c r="B16" s="18" t="inlineStr">
        <is>
          <t>Tunon Paris</t>
        </is>
      </c>
      <c r="C16" s="19" t="inlineStr">
        <is>
          <t>Tunon</t>
        </is>
      </c>
      <c r="D16" s="19" t="inlineStr">
        <is>
          <t>Paris</t>
        </is>
      </c>
      <c r="E16" s="19" t="inlineStr">
        <is>
          <t>7062</t>
        </is>
      </c>
      <c r="F16" s="18" t="inlineStr">
        <is>
          <t>Prestations de formation — alternance (OPCO)</t>
        </is>
      </c>
      <c r="G16" s="19" t="inlineStr">
        <is>
          <t>70 — Prestations de services</t>
        </is>
      </c>
      <c r="H16" s="19" t="inlineStr">
        <is>
          <t>Produit</t>
        </is>
      </c>
      <c r="I16" s="19" t="inlineStr">
        <is>
          <t>Produits</t>
        </is>
      </c>
      <c r="J16" s="19" t="inlineStr">
        <is>
          <t>2024ACT_VDEF</t>
        </is>
      </c>
      <c r="K16" s="19" t="inlineStr">
        <is>
          <t>2024 (N-2)</t>
        </is>
      </c>
      <c r="L16" s="13" t="n">
        <v>928017</v>
      </c>
    </row>
    <row r="17">
      <c r="A17" s="19" t="inlineStr">
        <is>
          <t>TUNON_LYON</t>
        </is>
      </c>
      <c r="B17" s="18" t="inlineStr">
        <is>
          <t>Tunon Lyon</t>
        </is>
      </c>
      <c r="C17" s="19" t="inlineStr">
        <is>
          <t>Tunon</t>
        </is>
      </c>
      <c r="D17" s="19" t="inlineStr">
        <is>
          <t>Lyon</t>
        </is>
      </c>
      <c r="E17" s="19" t="inlineStr">
        <is>
          <t>7062</t>
        </is>
      </c>
      <c r="F17" s="18" t="inlineStr">
        <is>
          <t>Prestations de formation — alternance (OPCO)</t>
        </is>
      </c>
      <c r="G17" s="19" t="inlineStr">
        <is>
          <t>70 — Prestations de services</t>
        </is>
      </c>
      <c r="H17" s="19" t="inlineStr">
        <is>
          <t>Produit</t>
        </is>
      </c>
      <c r="I17" s="19" t="inlineStr">
        <is>
          <t>Produits</t>
        </is>
      </c>
      <c r="J17" s="19" t="inlineStr">
        <is>
          <t>2024ACT_VDEF</t>
        </is>
      </c>
      <c r="K17" s="19" t="inlineStr">
        <is>
          <t>2024 (N-2)</t>
        </is>
      </c>
      <c r="L17" s="13" t="n">
        <v>732645</v>
      </c>
    </row>
    <row r="18">
      <c r="A18" s="19" t="inlineStr">
        <is>
          <t>MBWAY_PARIS</t>
        </is>
      </c>
      <c r="B18" s="18" t="inlineStr">
        <is>
          <t>MBway Paris</t>
        </is>
      </c>
      <c r="C18" s="19" t="inlineStr">
        <is>
          <t>MBway</t>
        </is>
      </c>
      <c r="D18" s="19" t="inlineStr">
        <is>
          <t>Paris</t>
        </is>
      </c>
      <c r="E18" s="19" t="inlineStr">
        <is>
          <t>7062</t>
        </is>
      </c>
      <c r="F18" s="18" t="inlineStr">
        <is>
          <t>Prestations de formation — alternance (OPCO)</t>
        </is>
      </c>
      <c r="G18" s="19" t="inlineStr">
        <is>
          <t>70 — Prestations de services</t>
        </is>
      </c>
      <c r="H18" s="19" t="inlineStr">
        <is>
          <t>Produit</t>
        </is>
      </c>
      <c r="I18" s="19" t="inlineStr">
        <is>
          <t>Produits</t>
        </is>
      </c>
      <c r="J18" s="19" t="inlineStr">
        <is>
          <t>2025ACT_VDEF</t>
        </is>
      </c>
      <c r="K18" s="19" t="inlineStr">
        <is>
          <t>2025 (N-1)</t>
        </is>
      </c>
      <c r="L18" s="13" t="n">
        <v>2262717</v>
      </c>
    </row>
    <row r="19">
      <c r="A19" s="19" t="inlineStr">
        <is>
          <t>MBWAY_LYON</t>
        </is>
      </c>
      <c r="B19" s="18" t="inlineStr">
        <is>
          <t>MBway Lyon</t>
        </is>
      </c>
      <c r="C19" s="19" t="inlineStr">
        <is>
          <t>MBway</t>
        </is>
      </c>
      <c r="D19" s="19" t="inlineStr">
        <is>
          <t>Lyon</t>
        </is>
      </c>
      <c r="E19" s="19" t="inlineStr">
        <is>
          <t>7062</t>
        </is>
      </c>
      <c r="F19" s="18" t="inlineStr">
        <is>
          <t>Prestations de formation — alternance (OPCO)</t>
        </is>
      </c>
      <c r="G19" s="19" t="inlineStr">
        <is>
          <t>70 — Prestations de services</t>
        </is>
      </c>
      <c r="H19" s="19" t="inlineStr">
        <is>
          <t>Produit</t>
        </is>
      </c>
      <c r="I19" s="19" t="inlineStr">
        <is>
          <t>Produits</t>
        </is>
      </c>
      <c r="J19" s="19" t="inlineStr">
        <is>
          <t>2025ACT_VDEF</t>
        </is>
      </c>
      <c r="K19" s="19" t="inlineStr">
        <is>
          <t>2025 (N-1)</t>
        </is>
      </c>
      <c r="L19" s="13" t="n">
        <v>1783514</v>
      </c>
    </row>
    <row r="20">
      <c r="A20" s="19" t="inlineStr">
        <is>
          <t>MBWAY_NANTES</t>
        </is>
      </c>
      <c r="B20" s="18" t="inlineStr">
        <is>
          <t>MBway Nantes</t>
        </is>
      </c>
      <c r="C20" s="19" t="inlineStr">
        <is>
          <t>MBway</t>
        </is>
      </c>
      <c r="D20" s="19" t="inlineStr">
        <is>
          <t>Nantes</t>
        </is>
      </c>
      <c r="E20" s="19" t="inlineStr">
        <is>
          <t>7062</t>
        </is>
      </c>
      <c r="F20" s="18" t="inlineStr">
        <is>
          <t>Prestations de formation — alternance (OPCO)</t>
        </is>
      </c>
      <c r="G20" s="19" t="inlineStr">
        <is>
          <t>70 — Prestations de services</t>
        </is>
      </c>
      <c r="H20" s="19" t="inlineStr">
        <is>
          <t>Produit</t>
        </is>
      </c>
      <c r="I20" s="19" t="inlineStr">
        <is>
          <t>Produits</t>
        </is>
      </c>
      <c r="J20" s="19" t="inlineStr">
        <is>
          <t>2025ACT_VDEF</t>
        </is>
      </c>
      <c r="K20" s="19" t="inlineStr">
        <is>
          <t>2025 (N-1)</t>
        </is>
      </c>
      <c r="L20" s="13" t="n">
        <v>1554717</v>
      </c>
    </row>
    <row r="21">
      <c r="A21" s="19" t="inlineStr">
        <is>
          <t>MBWAY_BORDEAUX</t>
        </is>
      </c>
      <c r="B21" s="18" t="inlineStr">
        <is>
          <t>MBway Bordeaux</t>
        </is>
      </c>
      <c r="C21" s="19" t="inlineStr">
        <is>
          <t>MBway</t>
        </is>
      </c>
      <c r="D21" s="19" t="inlineStr">
        <is>
          <t>Bordeaux</t>
        </is>
      </c>
      <c r="E21" s="19" t="inlineStr">
        <is>
          <t>7062</t>
        </is>
      </c>
      <c r="F21" s="18" t="inlineStr">
        <is>
          <t>Prestations de formation — alternance (OPCO)</t>
        </is>
      </c>
      <c r="G21" s="19" t="inlineStr">
        <is>
          <t>70 — Prestations de services</t>
        </is>
      </c>
      <c r="H21" s="19" t="inlineStr">
        <is>
          <t>Produit</t>
        </is>
      </c>
      <c r="I21" s="19" t="inlineStr">
        <is>
          <t>Produits</t>
        </is>
      </c>
      <c r="J21" s="19" t="inlineStr">
        <is>
          <t>2025ACT_VDEF</t>
        </is>
      </c>
      <c r="K21" s="19" t="inlineStr">
        <is>
          <t>2025 (N-1)</t>
        </is>
      </c>
      <c r="L21" s="13" t="n">
        <v>1275642</v>
      </c>
    </row>
    <row r="22">
      <c r="A22" s="19" t="inlineStr">
        <is>
          <t>ISCOM_PARIS</t>
        </is>
      </c>
      <c r="B22" s="18" t="inlineStr">
        <is>
          <t>ISCOM Paris</t>
        </is>
      </c>
      <c r="C22" s="19" t="inlineStr">
        <is>
          <t>ISCOM</t>
        </is>
      </c>
      <c r="D22" s="19" t="inlineStr">
        <is>
          <t>Paris</t>
        </is>
      </c>
      <c r="E22" s="19" t="inlineStr">
        <is>
          <t>7062</t>
        </is>
      </c>
      <c r="F22" s="18" t="inlineStr">
        <is>
          <t>Prestations de formation — alternance (OPCO)</t>
        </is>
      </c>
      <c r="G22" s="19" t="inlineStr">
        <is>
          <t>70 — Prestations de services</t>
        </is>
      </c>
      <c r="H22" s="19" t="inlineStr">
        <is>
          <t>Produit</t>
        </is>
      </c>
      <c r="I22" s="19" t="inlineStr">
        <is>
          <t>Produits</t>
        </is>
      </c>
      <c r="J22" s="19" t="inlineStr">
        <is>
          <t>2025ACT_VDEF</t>
        </is>
      </c>
      <c r="K22" s="19" t="inlineStr">
        <is>
          <t>2025 (N-1)</t>
        </is>
      </c>
      <c r="L22" s="13" t="n">
        <v>2086264</v>
      </c>
    </row>
    <row r="23">
      <c r="A23" s="19" t="inlineStr">
        <is>
          <t>ISCOM_LILLE</t>
        </is>
      </c>
      <c r="B23" s="18" t="inlineStr">
        <is>
          <t>ISCOM Lille</t>
        </is>
      </c>
      <c r="C23" s="19" t="inlineStr">
        <is>
          <t>ISCOM</t>
        </is>
      </c>
      <c r="D23" s="19" t="inlineStr">
        <is>
          <t>Lille</t>
        </is>
      </c>
      <c r="E23" s="19" t="inlineStr">
        <is>
          <t>7062</t>
        </is>
      </c>
      <c r="F23" s="18" t="inlineStr">
        <is>
          <t>Prestations de formation — alternance (OPCO)</t>
        </is>
      </c>
      <c r="G23" s="19" t="inlineStr">
        <is>
          <t>70 — Prestations de services</t>
        </is>
      </c>
      <c r="H23" s="19" t="inlineStr">
        <is>
          <t>Produit</t>
        </is>
      </c>
      <c r="I23" s="19" t="inlineStr">
        <is>
          <t>Produits</t>
        </is>
      </c>
      <c r="J23" s="19" t="inlineStr">
        <is>
          <t>2025ACT_VDEF</t>
        </is>
      </c>
      <c r="K23" s="19" t="inlineStr">
        <is>
          <t>2025 (N-1)</t>
        </is>
      </c>
      <c r="L23" s="13" t="n">
        <v>1261981</v>
      </c>
    </row>
    <row r="24">
      <c r="A24" s="19" t="inlineStr">
        <is>
          <t>ISCOM_TOULOUSE</t>
        </is>
      </c>
      <c r="B24" s="18" t="inlineStr">
        <is>
          <t>ISCOM Toulouse</t>
        </is>
      </c>
      <c r="C24" s="19" t="inlineStr">
        <is>
          <t>ISCOM</t>
        </is>
      </c>
      <c r="D24" s="19" t="inlineStr">
        <is>
          <t>Toulouse</t>
        </is>
      </c>
      <c r="E24" s="19" t="inlineStr">
        <is>
          <t>7062</t>
        </is>
      </c>
      <c r="F24" s="18" t="inlineStr">
        <is>
          <t>Prestations de formation — alternance (OPCO)</t>
        </is>
      </c>
      <c r="G24" s="19" t="inlineStr">
        <is>
          <t>70 — Prestations de services</t>
        </is>
      </c>
      <c r="H24" s="19" t="inlineStr">
        <is>
          <t>Produit</t>
        </is>
      </c>
      <c r="I24" s="19" t="inlineStr">
        <is>
          <t>Produits</t>
        </is>
      </c>
      <c r="J24" s="19" t="inlineStr">
        <is>
          <t>2025ACT_VDEF</t>
        </is>
      </c>
      <c r="K24" s="19" t="inlineStr">
        <is>
          <t>2025 (N-1)</t>
        </is>
      </c>
      <c r="L24" s="13" t="n">
        <v>1170113</v>
      </c>
    </row>
    <row r="25">
      <c r="A25" s="19" t="inlineStr">
        <is>
          <t>IPAC_BACHELOR_FACTORY_NANTES</t>
        </is>
      </c>
      <c r="B25" s="18" t="inlineStr">
        <is>
          <t>Ipac Bachelor Factory Nantes</t>
        </is>
      </c>
      <c r="C25" s="19" t="inlineStr">
        <is>
          <t>Ipac Bachelor Factory</t>
        </is>
      </c>
      <c r="D25" s="19" t="inlineStr">
        <is>
          <t>Nantes</t>
        </is>
      </c>
      <c r="E25" s="19" t="inlineStr">
        <is>
          <t>7062</t>
        </is>
      </c>
      <c r="F25" s="18" t="inlineStr">
        <is>
          <t>Prestations de formation — alternance (OPCO)</t>
        </is>
      </c>
      <c r="G25" s="19" t="inlineStr">
        <is>
          <t>70 — Prestations de services</t>
        </is>
      </c>
      <c r="H25" s="19" t="inlineStr">
        <is>
          <t>Produit</t>
        </is>
      </c>
      <c r="I25" s="19" t="inlineStr">
        <is>
          <t>Produits</t>
        </is>
      </c>
      <c r="J25" s="19" t="inlineStr">
        <is>
          <t>2025ACT_VDEF</t>
        </is>
      </c>
      <c r="K25" s="19" t="inlineStr">
        <is>
          <t>2025 (N-1)</t>
        </is>
      </c>
      <c r="L25" s="13" t="n">
        <v>924528</v>
      </c>
    </row>
    <row r="26">
      <c r="A26" s="19" t="inlineStr">
        <is>
          <t>IPAC_BACHELOR_FACTORY_RENNES</t>
        </is>
      </c>
      <c r="B26" s="18" t="inlineStr">
        <is>
          <t>Ipac Bachelor Factory Rennes</t>
        </is>
      </c>
      <c r="C26" s="19" t="inlineStr">
        <is>
          <t>Ipac Bachelor Factory</t>
        </is>
      </c>
      <c r="D26" s="19" t="inlineStr">
        <is>
          <t>Rennes</t>
        </is>
      </c>
      <c r="E26" s="19" t="inlineStr">
        <is>
          <t>7062</t>
        </is>
      </c>
      <c r="F26" s="18" t="inlineStr">
        <is>
          <t>Prestations de formation — alternance (OPCO)</t>
        </is>
      </c>
      <c r="G26" s="19" t="inlineStr">
        <is>
          <t>70 — Prestations de services</t>
        </is>
      </c>
      <c r="H26" s="19" t="inlineStr">
        <is>
          <t>Produit</t>
        </is>
      </c>
      <c r="I26" s="19" t="inlineStr">
        <is>
          <t>Produits</t>
        </is>
      </c>
      <c r="J26" s="19" t="inlineStr">
        <is>
          <t>2025ACT_VDEF</t>
        </is>
      </c>
      <c r="K26" s="19" t="inlineStr">
        <is>
          <t>2025 (N-1)</t>
        </is>
      </c>
      <c r="L26" s="13" t="n">
        <v>702642</v>
      </c>
    </row>
    <row r="27">
      <c r="A27" s="19" t="inlineStr">
        <is>
          <t>IPAC_BACHELOR_FACTORY_MONTPELLIER</t>
        </is>
      </c>
      <c r="B27" s="18" t="inlineStr">
        <is>
          <t>Ipac Bachelor Factory Montpellier</t>
        </is>
      </c>
      <c r="C27" s="19" t="inlineStr">
        <is>
          <t>Ipac Bachelor Factory</t>
        </is>
      </c>
      <c r="D27" s="19" t="inlineStr">
        <is>
          <t>Montpellier</t>
        </is>
      </c>
      <c r="E27" s="19" t="inlineStr">
        <is>
          <t>7062</t>
        </is>
      </c>
      <c r="F27" s="18" t="inlineStr">
        <is>
          <t>Prestations de formation — alternance (OPCO)</t>
        </is>
      </c>
      <c r="G27" s="19" t="inlineStr">
        <is>
          <t>70 — Prestations de services</t>
        </is>
      </c>
      <c r="H27" s="19" t="inlineStr">
        <is>
          <t>Produit</t>
        </is>
      </c>
      <c r="I27" s="19" t="inlineStr">
        <is>
          <t>Produits</t>
        </is>
      </c>
      <c r="J27" s="19" t="inlineStr">
        <is>
          <t>2025ACT_VDEF</t>
        </is>
      </c>
      <c r="K27" s="19" t="inlineStr">
        <is>
          <t>2025 (N-1)</t>
        </is>
      </c>
      <c r="L27" s="13" t="n">
        <v>702642</v>
      </c>
    </row>
    <row r="28">
      <c r="A28" s="19" t="inlineStr">
        <is>
          <t>PIGIER_LYON</t>
        </is>
      </c>
      <c r="B28" s="18" t="inlineStr">
        <is>
          <t>Pigier Lyon</t>
        </is>
      </c>
      <c r="C28" s="19" t="inlineStr">
        <is>
          <t>Pigier</t>
        </is>
      </c>
      <c r="D28" s="19" t="inlineStr">
        <is>
          <t>Lyon</t>
        </is>
      </c>
      <c r="E28" s="19" t="inlineStr">
        <is>
          <t>7062</t>
        </is>
      </c>
      <c r="F28" s="18" t="inlineStr">
        <is>
          <t>Prestations de formation — alternance (OPCO)</t>
        </is>
      </c>
      <c r="G28" s="19" t="inlineStr">
        <is>
          <t>70 — Prestations de services</t>
        </is>
      </c>
      <c r="H28" s="19" t="inlineStr">
        <is>
          <t>Produit</t>
        </is>
      </c>
      <c r="I28" s="19" t="inlineStr">
        <is>
          <t>Produits</t>
        </is>
      </c>
      <c r="J28" s="19" t="inlineStr">
        <is>
          <t>2025ACT_VDEF</t>
        </is>
      </c>
      <c r="K28" s="19" t="inlineStr">
        <is>
          <t>2025 (N-1)</t>
        </is>
      </c>
      <c r="L28" s="13" t="n">
        <v>1153019</v>
      </c>
    </row>
    <row r="29">
      <c r="A29" s="19" t="inlineStr">
        <is>
          <t>PIGIER_BORDEAUX</t>
        </is>
      </c>
      <c r="B29" s="18" t="inlineStr">
        <is>
          <t>Pigier Bordeaux</t>
        </is>
      </c>
      <c r="C29" s="19" t="inlineStr">
        <is>
          <t>Pigier</t>
        </is>
      </c>
      <c r="D29" s="19" t="inlineStr">
        <is>
          <t>Bordeaux</t>
        </is>
      </c>
      <c r="E29" s="19" t="inlineStr">
        <is>
          <t>7062</t>
        </is>
      </c>
      <c r="F29" s="18" t="inlineStr">
        <is>
          <t>Prestations de formation — alternance (OPCO)</t>
        </is>
      </c>
      <c r="G29" s="19" t="inlineStr">
        <is>
          <t>70 — Prestations de services</t>
        </is>
      </c>
      <c r="H29" s="19" t="inlineStr">
        <is>
          <t>Produit</t>
        </is>
      </c>
      <c r="I29" s="19" t="inlineStr">
        <is>
          <t>Produits</t>
        </is>
      </c>
      <c r="J29" s="19" t="inlineStr">
        <is>
          <t>2025ACT_VDEF</t>
        </is>
      </c>
      <c r="K29" s="19" t="inlineStr">
        <is>
          <t>2025 (N-1)</t>
        </is>
      </c>
      <c r="L29" s="13" t="n">
        <v>832736</v>
      </c>
    </row>
    <row r="30">
      <c r="A30" s="19" t="inlineStr">
        <is>
          <t>TUNON_PARIS</t>
        </is>
      </c>
      <c r="B30" s="18" t="inlineStr">
        <is>
          <t>Tunon Paris</t>
        </is>
      </c>
      <c r="C30" s="19" t="inlineStr">
        <is>
          <t>Tunon</t>
        </is>
      </c>
      <c r="D30" s="19" t="inlineStr">
        <is>
          <t>Paris</t>
        </is>
      </c>
      <c r="E30" s="19" t="inlineStr">
        <is>
          <t>7062</t>
        </is>
      </c>
      <c r="F30" s="18" t="inlineStr">
        <is>
          <t>Prestations de formation — alternance (OPCO)</t>
        </is>
      </c>
      <c r="G30" s="19" t="inlineStr">
        <is>
          <t>70 — Prestations de services</t>
        </is>
      </c>
      <c r="H30" s="19" t="inlineStr">
        <is>
          <t>Produit</t>
        </is>
      </c>
      <c r="I30" s="19" t="inlineStr">
        <is>
          <t>Produits</t>
        </is>
      </c>
      <c r="J30" s="19" t="inlineStr">
        <is>
          <t>2025ACT_VDEF</t>
        </is>
      </c>
      <c r="K30" s="19" t="inlineStr">
        <is>
          <t>2025 (N-1)</t>
        </is>
      </c>
      <c r="L30" s="13" t="n">
        <v>983698</v>
      </c>
    </row>
    <row r="31">
      <c r="A31" s="19" t="inlineStr">
        <is>
          <t>TUNON_LYON</t>
        </is>
      </c>
      <c r="B31" s="18" t="inlineStr">
        <is>
          <t>Tunon Lyon</t>
        </is>
      </c>
      <c r="C31" s="19" t="inlineStr">
        <is>
          <t>Tunon</t>
        </is>
      </c>
      <c r="D31" s="19" t="inlineStr">
        <is>
          <t>Lyon</t>
        </is>
      </c>
      <c r="E31" s="19" t="inlineStr">
        <is>
          <t>7062</t>
        </is>
      </c>
      <c r="F31" s="18" t="inlineStr">
        <is>
          <t>Prestations de formation — alternance (OPCO)</t>
        </is>
      </c>
      <c r="G31" s="19" t="inlineStr">
        <is>
          <t>70 — Prestations de services</t>
        </is>
      </c>
      <c r="H31" s="19" t="inlineStr">
        <is>
          <t>Produit</t>
        </is>
      </c>
      <c r="I31" s="19" t="inlineStr">
        <is>
          <t>Produits</t>
        </is>
      </c>
      <c r="J31" s="19" t="inlineStr">
        <is>
          <t>2025ACT_VDEF</t>
        </is>
      </c>
      <c r="K31" s="19" t="inlineStr">
        <is>
          <t>2025 (N-1)</t>
        </is>
      </c>
      <c r="L31" s="13" t="n">
        <v>776604</v>
      </c>
    </row>
    <row r="32">
      <c r="A32" s="19" t="inlineStr">
        <is>
          <t>MBWAY_PARIS</t>
        </is>
      </c>
      <c r="B32" s="18" t="inlineStr">
        <is>
          <t>MBway Paris</t>
        </is>
      </c>
      <c r="C32" s="19" t="inlineStr">
        <is>
          <t>MBway</t>
        </is>
      </c>
      <c r="D32" s="19" t="inlineStr">
        <is>
          <t>Paris</t>
        </is>
      </c>
      <c r="E32" s="19" t="inlineStr">
        <is>
          <t>7062</t>
        </is>
      </c>
      <c r="F32" s="18" t="inlineStr">
        <is>
          <t>Prestations de formation — alternance (OPCO)</t>
        </is>
      </c>
      <c r="G32" s="19" t="inlineStr">
        <is>
          <t>70 — Prestations de services</t>
        </is>
      </c>
      <c r="H32" s="19" t="inlineStr">
        <is>
          <t>Produit</t>
        </is>
      </c>
      <c r="I32" s="19" t="inlineStr">
        <is>
          <t>Produits</t>
        </is>
      </c>
      <c r="J32" s="19" t="inlineStr">
        <is>
          <t>2026ATT_VDEF</t>
        </is>
      </c>
      <c r="K32" s="19" t="inlineStr">
        <is>
          <t>2026 (Atterr.)</t>
        </is>
      </c>
      <c r="L32" s="13" t="n">
        <v>2398480</v>
      </c>
    </row>
    <row r="33">
      <c r="A33" s="19" t="inlineStr">
        <is>
          <t>MBWAY_LYON</t>
        </is>
      </c>
      <c r="B33" s="18" t="inlineStr">
        <is>
          <t>MBway Lyon</t>
        </is>
      </c>
      <c r="C33" s="19" t="inlineStr">
        <is>
          <t>MBway</t>
        </is>
      </c>
      <c r="D33" s="19" t="inlineStr">
        <is>
          <t>Lyon</t>
        </is>
      </c>
      <c r="E33" s="19" t="inlineStr">
        <is>
          <t>7062</t>
        </is>
      </c>
      <c r="F33" s="18" t="inlineStr">
        <is>
          <t>Prestations de formation — alternance (OPCO)</t>
        </is>
      </c>
      <c r="G33" s="19" t="inlineStr">
        <is>
          <t>70 — Prestations de services</t>
        </is>
      </c>
      <c r="H33" s="19" t="inlineStr">
        <is>
          <t>Produit</t>
        </is>
      </c>
      <c r="I33" s="19" t="inlineStr">
        <is>
          <t>Produits</t>
        </is>
      </c>
      <c r="J33" s="19" t="inlineStr">
        <is>
          <t>2026ATT_VDEF</t>
        </is>
      </c>
      <c r="K33" s="19" t="inlineStr">
        <is>
          <t>2026 (Atterr.)</t>
        </is>
      </c>
      <c r="L33" s="13" t="n">
        <v>1890525</v>
      </c>
    </row>
    <row r="34">
      <c r="A34" s="19" t="inlineStr">
        <is>
          <t>MBWAY_NANTES</t>
        </is>
      </c>
      <c r="B34" s="18" t="inlineStr">
        <is>
          <t>MBway Nantes</t>
        </is>
      </c>
      <c r="C34" s="19" t="inlineStr">
        <is>
          <t>MBway</t>
        </is>
      </c>
      <c r="D34" s="19" t="inlineStr">
        <is>
          <t>Nantes</t>
        </is>
      </c>
      <c r="E34" s="19" t="inlineStr">
        <is>
          <t>7062</t>
        </is>
      </c>
      <c r="F34" s="18" t="inlineStr">
        <is>
          <t>Prestations de formation — alternance (OPCO)</t>
        </is>
      </c>
      <c r="G34" s="19" t="inlineStr">
        <is>
          <t>70 — Prestations de services</t>
        </is>
      </c>
      <c r="H34" s="19" t="inlineStr">
        <is>
          <t>Produit</t>
        </is>
      </c>
      <c r="I34" s="19" t="inlineStr">
        <is>
          <t>Produits</t>
        </is>
      </c>
      <c r="J34" s="19" t="inlineStr">
        <is>
          <t>2026ATT_VDEF</t>
        </is>
      </c>
      <c r="K34" s="19" t="inlineStr">
        <is>
          <t>2026 (Atterr.)</t>
        </is>
      </c>
      <c r="L34" s="13" t="n">
        <v>1648000</v>
      </c>
    </row>
    <row r="35">
      <c r="A35" s="19" t="inlineStr">
        <is>
          <t>MBWAY_BORDEAUX</t>
        </is>
      </c>
      <c r="B35" s="18" t="inlineStr">
        <is>
          <t>MBway Bordeaux</t>
        </is>
      </c>
      <c r="C35" s="19" t="inlineStr">
        <is>
          <t>MBway</t>
        </is>
      </c>
      <c r="D35" s="19" t="inlineStr">
        <is>
          <t>Bordeaux</t>
        </is>
      </c>
      <c r="E35" s="19" t="inlineStr">
        <is>
          <t>7062</t>
        </is>
      </c>
      <c r="F35" s="18" t="inlineStr">
        <is>
          <t>Prestations de formation — alternance (OPCO)</t>
        </is>
      </c>
      <c r="G35" s="19" t="inlineStr">
        <is>
          <t>70 — Prestations de services</t>
        </is>
      </c>
      <c r="H35" s="19" t="inlineStr">
        <is>
          <t>Produit</t>
        </is>
      </c>
      <c r="I35" s="19" t="inlineStr">
        <is>
          <t>Produits</t>
        </is>
      </c>
      <c r="J35" s="19" t="inlineStr">
        <is>
          <t>2026ATT_VDEF</t>
        </is>
      </c>
      <c r="K35" s="19" t="inlineStr">
        <is>
          <t>2026 (Atterr.)</t>
        </is>
      </c>
      <c r="L35" s="13" t="n">
        <v>1352180</v>
      </c>
    </row>
    <row r="36">
      <c r="A36" s="19" t="inlineStr">
        <is>
          <t>ISCOM_PARIS</t>
        </is>
      </c>
      <c r="B36" s="18" t="inlineStr">
        <is>
          <t>ISCOM Paris</t>
        </is>
      </c>
      <c r="C36" s="19" t="inlineStr">
        <is>
          <t>ISCOM</t>
        </is>
      </c>
      <c r="D36" s="19" t="inlineStr">
        <is>
          <t>Paris</t>
        </is>
      </c>
      <c r="E36" s="19" t="inlineStr">
        <is>
          <t>7062</t>
        </is>
      </c>
      <c r="F36" s="18" t="inlineStr">
        <is>
          <t>Prestations de formation — alternance (OPCO)</t>
        </is>
      </c>
      <c r="G36" s="19" t="inlineStr">
        <is>
          <t>70 — Prestations de services</t>
        </is>
      </c>
      <c r="H36" s="19" t="inlineStr">
        <is>
          <t>Produit</t>
        </is>
      </c>
      <c r="I36" s="19" t="inlineStr">
        <is>
          <t>Produits</t>
        </is>
      </c>
      <c r="J36" s="19" t="inlineStr">
        <is>
          <t>2026ATT_VDEF</t>
        </is>
      </c>
      <c r="K36" s="19" t="inlineStr">
        <is>
          <t>2026 (Atterr.)</t>
        </is>
      </c>
      <c r="L36" s="13" t="n">
        <v>2211440</v>
      </c>
    </row>
    <row r="37">
      <c r="A37" s="19" t="inlineStr">
        <is>
          <t>ISCOM_LILLE</t>
        </is>
      </c>
      <c r="B37" s="18" t="inlineStr">
        <is>
          <t>ISCOM Lille</t>
        </is>
      </c>
      <c r="C37" s="19" t="inlineStr">
        <is>
          <t>ISCOM</t>
        </is>
      </c>
      <c r="D37" s="19" t="inlineStr">
        <is>
          <t>Lille</t>
        </is>
      </c>
      <c r="E37" s="19" t="inlineStr">
        <is>
          <t>7062</t>
        </is>
      </c>
      <c r="F37" s="18" t="inlineStr">
        <is>
          <t>Prestations de formation — alternance (OPCO)</t>
        </is>
      </c>
      <c r="G37" s="19" t="inlineStr">
        <is>
          <t>70 — Prestations de services</t>
        </is>
      </c>
      <c r="H37" s="19" t="inlineStr">
        <is>
          <t>Produit</t>
        </is>
      </c>
      <c r="I37" s="19" t="inlineStr">
        <is>
          <t>Produits</t>
        </is>
      </c>
      <c r="J37" s="19" t="inlineStr">
        <is>
          <t>2026ATT_VDEF</t>
        </is>
      </c>
      <c r="K37" s="19" t="inlineStr">
        <is>
          <t>2026 (Atterr.)</t>
        </is>
      </c>
      <c r="L37" s="13" t="n">
        <v>1337700</v>
      </c>
    </row>
    <row r="38">
      <c r="A38" s="19" t="inlineStr">
        <is>
          <t>ISCOM_TOULOUSE</t>
        </is>
      </c>
      <c r="B38" s="18" t="inlineStr">
        <is>
          <t>ISCOM Toulouse</t>
        </is>
      </c>
      <c r="C38" s="19" t="inlineStr">
        <is>
          <t>ISCOM</t>
        </is>
      </c>
      <c r="D38" s="19" t="inlineStr">
        <is>
          <t>Toulouse</t>
        </is>
      </c>
      <c r="E38" s="19" t="inlineStr">
        <is>
          <t>7062</t>
        </is>
      </c>
      <c r="F38" s="18" t="inlineStr">
        <is>
          <t>Prestations de formation — alternance (OPCO)</t>
        </is>
      </c>
      <c r="G38" s="19" t="inlineStr">
        <is>
          <t>70 — Prestations de services</t>
        </is>
      </c>
      <c r="H38" s="19" t="inlineStr">
        <is>
          <t>Produit</t>
        </is>
      </c>
      <c r="I38" s="19" t="inlineStr">
        <is>
          <t>Produits</t>
        </is>
      </c>
      <c r="J38" s="19" t="inlineStr">
        <is>
          <t>2026ATT_VDEF</t>
        </is>
      </c>
      <c r="K38" s="19" t="inlineStr">
        <is>
          <t>2026 (Atterr.)</t>
        </is>
      </c>
      <c r="L38" s="13" t="n">
        <v>1240320</v>
      </c>
    </row>
    <row r="39">
      <c r="A39" s="19" t="inlineStr">
        <is>
          <t>IPAC_BACHELOR_FACTORY_NANTES</t>
        </is>
      </c>
      <c r="B39" s="18" t="inlineStr">
        <is>
          <t>Ipac Bachelor Factory Nantes</t>
        </is>
      </c>
      <c r="C39" s="19" t="inlineStr">
        <is>
          <t>Ipac Bachelor Factory</t>
        </is>
      </c>
      <c r="D39" s="19" t="inlineStr">
        <is>
          <t>Nantes</t>
        </is>
      </c>
      <c r="E39" s="19" t="inlineStr">
        <is>
          <t>7062</t>
        </is>
      </c>
      <c r="F39" s="18" t="inlineStr">
        <is>
          <t>Prestations de formation — alternance (OPCO)</t>
        </is>
      </c>
      <c r="G39" s="19" t="inlineStr">
        <is>
          <t>70 — Prestations de services</t>
        </is>
      </c>
      <c r="H39" s="19" t="inlineStr">
        <is>
          <t>Produit</t>
        </is>
      </c>
      <c r="I39" s="19" t="inlineStr">
        <is>
          <t>Produits</t>
        </is>
      </c>
      <c r="J39" s="19" t="inlineStr">
        <is>
          <t>2026ATT_VDEF</t>
        </is>
      </c>
      <c r="K39" s="19" t="inlineStr">
        <is>
          <t>2026 (Atterr.)</t>
        </is>
      </c>
      <c r="L39" s="13" t="n">
        <v>980000</v>
      </c>
    </row>
    <row r="40">
      <c r="A40" s="19" t="inlineStr">
        <is>
          <t>IPAC_BACHELOR_FACTORY_RENNES</t>
        </is>
      </c>
      <c r="B40" s="18" t="inlineStr">
        <is>
          <t>Ipac Bachelor Factory Rennes</t>
        </is>
      </c>
      <c r="C40" s="19" t="inlineStr">
        <is>
          <t>Ipac Bachelor Factory</t>
        </is>
      </c>
      <c r="D40" s="19" t="inlineStr">
        <is>
          <t>Rennes</t>
        </is>
      </c>
      <c r="E40" s="19" t="inlineStr">
        <is>
          <t>7062</t>
        </is>
      </c>
      <c r="F40" s="18" t="inlineStr">
        <is>
          <t>Prestations de formation — alternance (OPCO)</t>
        </is>
      </c>
      <c r="G40" s="19" t="inlineStr">
        <is>
          <t>70 — Prestations de services</t>
        </is>
      </c>
      <c r="H40" s="19" t="inlineStr">
        <is>
          <t>Produit</t>
        </is>
      </c>
      <c r="I40" s="19" t="inlineStr">
        <is>
          <t>Produits</t>
        </is>
      </c>
      <c r="J40" s="19" t="inlineStr">
        <is>
          <t>2026ATT_VDEF</t>
        </is>
      </c>
      <c r="K40" s="19" t="inlineStr">
        <is>
          <t>2026 (Atterr.)</t>
        </is>
      </c>
      <c r="L40" s="13" t="n">
        <v>744800</v>
      </c>
    </row>
    <row r="41">
      <c r="A41" s="19" t="inlineStr">
        <is>
          <t>IPAC_BACHELOR_FACTORY_MONTPELLIER</t>
        </is>
      </c>
      <c r="B41" s="18" t="inlineStr">
        <is>
          <t>Ipac Bachelor Factory Montpellier</t>
        </is>
      </c>
      <c r="C41" s="19" t="inlineStr">
        <is>
          <t>Ipac Bachelor Factory</t>
        </is>
      </c>
      <c r="D41" s="19" t="inlineStr">
        <is>
          <t>Montpellier</t>
        </is>
      </c>
      <c r="E41" s="19" t="inlineStr">
        <is>
          <t>7062</t>
        </is>
      </c>
      <c r="F41" s="18" t="inlineStr">
        <is>
          <t>Prestations de formation — alternance (OPCO)</t>
        </is>
      </c>
      <c r="G41" s="19" t="inlineStr">
        <is>
          <t>70 — Prestations de services</t>
        </is>
      </c>
      <c r="H41" s="19" t="inlineStr">
        <is>
          <t>Produit</t>
        </is>
      </c>
      <c r="I41" s="19" t="inlineStr">
        <is>
          <t>Produits</t>
        </is>
      </c>
      <c r="J41" s="19" t="inlineStr">
        <is>
          <t>2026ATT_VDEF</t>
        </is>
      </c>
      <c r="K41" s="19" t="inlineStr">
        <is>
          <t>2026 (Atterr.)</t>
        </is>
      </c>
      <c r="L41" s="13" t="n">
        <v>744800</v>
      </c>
    </row>
    <row r="42">
      <c r="A42" s="19" t="inlineStr">
        <is>
          <t>PIGIER_LYON</t>
        </is>
      </c>
      <c r="B42" s="18" t="inlineStr">
        <is>
          <t>Pigier Lyon</t>
        </is>
      </c>
      <c r="C42" s="19" t="inlineStr">
        <is>
          <t>Pigier</t>
        </is>
      </c>
      <c r="D42" s="19" t="inlineStr">
        <is>
          <t>Lyon</t>
        </is>
      </c>
      <c r="E42" s="19" t="inlineStr">
        <is>
          <t>7062</t>
        </is>
      </c>
      <c r="F42" s="18" t="inlineStr">
        <is>
          <t>Prestations de formation — alternance (OPCO)</t>
        </is>
      </c>
      <c r="G42" s="19" t="inlineStr">
        <is>
          <t>70 — Prestations de services</t>
        </is>
      </c>
      <c r="H42" s="19" t="inlineStr">
        <is>
          <t>Produit</t>
        </is>
      </c>
      <c r="I42" s="19" t="inlineStr">
        <is>
          <t>Produits</t>
        </is>
      </c>
      <c r="J42" s="19" t="inlineStr">
        <is>
          <t>2026ATT_VDEF</t>
        </is>
      </c>
      <c r="K42" s="19" t="inlineStr">
        <is>
          <t>2026 (Atterr.)</t>
        </is>
      </c>
      <c r="L42" s="13" t="n">
        <v>1222200</v>
      </c>
    </row>
    <row r="43">
      <c r="A43" s="19" t="inlineStr">
        <is>
          <t>PIGIER_BORDEAUX</t>
        </is>
      </c>
      <c r="B43" s="18" t="inlineStr">
        <is>
          <t>Pigier Bordeaux</t>
        </is>
      </c>
      <c r="C43" s="19" t="inlineStr">
        <is>
          <t>Pigier</t>
        </is>
      </c>
      <c r="D43" s="19" t="inlineStr">
        <is>
          <t>Bordeaux</t>
        </is>
      </c>
      <c r="E43" s="19" t="inlineStr">
        <is>
          <t>7062</t>
        </is>
      </c>
      <c r="F43" s="18" t="inlineStr">
        <is>
          <t>Prestations de formation — alternance (OPCO)</t>
        </is>
      </c>
      <c r="G43" s="19" t="inlineStr">
        <is>
          <t>70 — Prestations de services</t>
        </is>
      </c>
      <c r="H43" s="19" t="inlineStr">
        <is>
          <t>Produit</t>
        </is>
      </c>
      <c r="I43" s="19" t="inlineStr">
        <is>
          <t>Produits</t>
        </is>
      </c>
      <c r="J43" s="19" t="inlineStr">
        <is>
          <t>2026ATT_VDEF</t>
        </is>
      </c>
      <c r="K43" s="19" t="inlineStr">
        <is>
          <t>2026 (Atterr.)</t>
        </is>
      </c>
      <c r="L43" s="13" t="n">
        <v>882700</v>
      </c>
    </row>
    <row r="44">
      <c r="A44" s="19" t="inlineStr">
        <is>
          <t>TUNON_PARIS</t>
        </is>
      </c>
      <c r="B44" s="18" t="inlineStr">
        <is>
          <t>Tunon Paris</t>
        </is>
      </c>
      <c r="C44" s="19" t="inlineStr">
        <is>
          <t>Tunon</t>
        </is>
      </c>
      <c r="D44" s="19" t="inlineStr">
        <is>
          <t>Paris</t>
        </is>
      </c>
      <c r="E44" s="19" t="inlineStr">
        <is>
          <t>7062</t>
        </is>
      </c>
      <c r="F44" s="18" t="inlineStr">
        <is>
          <t>Prestations de formation — alternance (OPCO)</t>
        </is>
      </c>
      <c r="G44" s="19" t="inlineStr">
        <is>
          <t>70 — Prestations de services</t>
        </is>
      </c>
      <c r="H44" s="19" t="inlineStr">
        <is>
          <t>Produit</t>
        </is>
      </c>
      <c r="I44" s="19" t="inlineStr">
        <is>
          <t>Produits</t>
        </is>
      </c>
      <c r="J44" s="19" t="inlineStr">
        <is>
          <t>2026ATT_VDEF</t>
        </is>
      </c>
      <c r="K44" s="19" t="inlineStr">
        <is>
          <t>2026 (Atterr.)</t>
        </is>
      </c>
      <c r="L44" s="13" t="n">
        <v>1042720</v>
      </c>
    </row>
    <row r="45">
      <c r="A45" s="19" t="inlineStr">
        <is>
          <t>TUNON_LYON</t>
        </is>
      </c>
      <c r="B45" s="18" t="inlineStr">
        <is>
          <t>Tunon Lyon</t>
        </is>
      </c>
      <c r="C45" s="19" t="inlineStr">
        <is>
          <t>Tunon</t>
        </is>
      </c>
      <c r="D45" s="19" t="inlineStr">
        <is>
          <t>Lyon</t>
        </is>
      </c>
      <c r="E45" s="19" t="inlineStr">
        <is>
          <t>7062</t>
        </is>
      </c>
      <c r="F45" s="18" t="inlineStr">
        <is>
          <t>Prestations de formation — alternance (OPCO)</t>
        </is>
      </c>
      <c r="G45" s="19" t="inlineStr">
        <is>
          <t>70 — Prestations de services</t>
        </is>
      </c>
      <c r="H45" s="19" t="inlineStr">
        <is>
          <t>Produit</t>
        </is>
      </c>
      <c r="I45" s="19" t="inlineStr">
        <is>
          <t>Produits</t>
        </is>
      </c>
      <c r="J45" s="19" t="inlineStr">
        <is>
          <t>2026ATT_VDEF</t>
        </is>
      </c>
      <c r="K45" s="19" t="inlineStr">
        <is>
          <t>2026 (Atterr.)</t>
        </is>
      </c>
      <c r="L45" s="13" t="n">
        <v>823200</v>
      </c>
    </row>
    <row r="46">
      <c r="A46" s="19" t="inlineStr">
        <is>
          <t>MBWAY_PARIS</t>
        </is>
      </c>
      <c r="B46" s="18" t="inlineStr">
        <is>
          <t>MBway Paris</t>
        </is>
      </c>
      <c r="C46" s="19" t="inlineStr">
        <is>
          <t>MBway</t>
        </is>
      </c>
      <c r="D46" s="19" t="inlineStr">
        <is>
          <t>Paris</t>
        </is>
      </c>
      <c r="E46" s="19" t="inlineStr">
        <is>
          <t>706</t>
        </is>
      </c>
      <c r="F46" s="18" t="inlineStr">
        <is>
          <t>Prestations de formation — scolarité (initial)</t>
        </is>
      </c>
      <c r="G46" s="19" t="inlineStr">
        <is>
          <t>70 — Prestations de services</t>
        </is>
      </c>
      <c r="H46" s="19" t="inlineStr">
        <is>
          <t>Produit</t>
        </is>
      </c>
      <c r="I46" s="19" t="inlineStr">
        <is>
          <t>Produits</t>
        </is>
      </c>
      <c r="J46" s="19" t="inlineStr">
        <is>
          <t>2024ACT_VDEF</t>
        </is>
      </c>
      <c r="K46" s="19" t="inlineStr">
        <is>
          <t>2024 (N-2)</t>
        </is>
      </c>
      <c r="L46" s="13" t="n">
        <v>583126</v>
      </c>
    </row>
    <row r="47">
      <c r="A47" s="19" t="inlineStr">
        <is>
          <t>MBWAY_LYON</t>
        </is>
      </c>
      <c r="B47" s="18" t="inlineStr">
        <is>
          <t>MBway Lyon</t>
        </is>
      </c>
      <c r="C47" s="19" t="inlineStr">
        <is>
          <t>MBway</t>
        </is>
      </c>
      <c r="D47" s="19" t="inlineStr">
        <is>
          <t>Lyon</t>
        </is>
      </c>
      <c r="E47" s="19" t="inlineStr">
        <is>
          <t>706</t>
        </is>
      </c>
      <c r="F47" s="18" t="inlineStr">
        <is>
          <t>Prestations de formation — scolarité (initial)</t>
        </is>
      </c>
      <c r="G47" s="19" t="inlineStr">
        <is>
          <t>70 — Prestations de services</t>
        </is>
      </c>
      <c r="H47" s="19" t="inlineStr">
        <is>
          <t>Produit</t>
        </is>
      </c>
      <c r="I47" s="19" t="inlineStr">
        <is>
          <t>Produits</t>
        </is>
      </c>
      <c r="J47" s="19" t="inlineStr">
        <is>
          <t>2024ACT_VDEF</t>
        </is>
      </c>
      <c r="K47" s="19" t="inlineStr">
        <is>
          <t>2024 (N-2)</t>
        </is>
      </c>
      <c r="L47" s="13" t="n">
        <v>462576</v>
      </c>
    </row>
    <row r="48">
      <c r="A48" s="19" t="inlineStr">
        <is>
          <t>MBWAY_NANTES</t>
        </is>
      </c>
      <c r="B48" s="18" t="inlineStr">
        <is>
          <t>MBway Nantes</t>
        </is>
      </c>
      <c r="C48" s="19" t="inlineStr">
        <is>
          <t>MBway</t>
        </is>
      </c>
      <c r="D48" s="19" t="inlineStr">
        <is>
          <t>Nantes</t>
        </is>
      </c>
      <c r="E48" s="19" t="inlineStr">
        <is>
          <t>706</t>
        </is>
      </c>
      <c r="F48" s="18" t="inlineStr">
        <is>
          <t>Prestations de formation — scolarité (initial)</t>
        </is>
      </c>
      <c r="G48" s="19" t="inlineStr">
        <is>
          <t>70 — Prestations de services</t>
        </is>
      </c>
      <c r="H48" s="19" t="inlineStr">
        <is>
          <t>Produit</t>
        </is>
      </c>
      <c r="I48" s="19" t="inlineStr">
        <is>
          <t>Produits</t>
        </is>
      </c>
      <c r="J48" s="19" t="inlineStr">
        <is>
          <t>2024ACT_VDEF</t>
        </is>
      </c>
      <c r="K48" s="19" t="inlineStr">
        <is>
          <t>2024 (N-2)</t>
        </is>
      </c>
      <c r="L48" s="13" t="n">
        <v>400498</v>
      </c>
    </row>
    <row r="49">
      <c r="A49" s="19" t="inlineStr">
        <is>
          <t>MBWAY_BORDEAUX</t>
        </is>
      </c>
      <c r="B49" s="18" t="inlineStr">
        <is>
          <t>MBway Bordeaux</t>
        </is>
      </c>
      <c r="C49" s="19" t="inlineStr">
        <is>
          <t>MBway</t>
        </is>
      </c>
      <c r="D49" s="19" t="inlineStr">
        <is>
          <t>Bordeaux</t>
        </is>
      </c>
      <c r="E49" s="19" t="inlineStr">
        <is>
          <t>706</t>
        </is>
      </c>
      <c r="F49" s="18" t="inlineStr">
        <is>
          <t>Prestations de formation — scolarité (initial)</t>
        </is>
      </c>
      <c r="G49" s="19" t="inlineStr">
        <is>
          <t>70 — Prestations de services</t>
        </is>
      </c>
      <c r="H49" s="19" t="inlineStr">
        <is>
          <t>Produit</t>
        </is>
      </c>
      <c r="I49" s="19" t="inlineStr">
        <is>
          <t>Produits</t>
        </is>
      </c>
      <c r="J49" s="19" t="inlineStr">
        <is>
          <t>2024ACT_VDEF</t>
        </is>
      </c>
      <c r="K49" s="19" t="inlineStr">
        <is>
          <t>2024 (N-2)</t>
        </is>
      </c>
      <c r="L49" s="13" t="n">
        <v>330211</v>
      </c>
    </row>
    <row r="50">
      <c r="A50" s="19" t="inlineStr">
        <is>
          <t>ISCOM_PARIS</t>
        </is>
      </c>
      <c r="B50" s="18" t="inlineStr">
        <is>
          <t>ISCOM Paris</t>
        </is>
      </c>
      <c r="C50" s="19" t="inlineStr">
        <is>
          <t>ISCOM</t>
        </is>
      </c>
      <c r="D50" s="19" t="inlineStr">
        <is>
          <t>Paris</t>
        </is>
      </c>
      <c r="E50" s="19" t="inlineStr">
        <is>
          <t>706</t>
        </is>
      </c>
      <c r="F50" s="18" t="inlineStr">
        <is>
          <t>Prestations de formation — scolarité (initial)</t>
        </is>
      </c>
      <c r="G50" s="19" t="inlineStr">
        <is>
          <t>70 — Prestations de services</t>
        </is>
      </c>
      <c r="H50" s="19" t="inlineStr">
        <is>
          <t>Produit</t>
        </is>
      </c>
      <c r="I50" s="19" t="inlineStr">
        <is>
          <t>Produits</t>
        </is>
      </c>
      <c r="J50" s="19" t="inlineStr">
        <is>
          <t>2024ACT_VDEF</t>
        </is>
      </c>
      <c r="K50" s="19" t="inlineStr">
        <is>
          <t>2024 (N-2)</t>
        </is>
      </c>
      <c r="L50" s="13" t="n">
        <v>538270</v>
      </c>
    </row>
    <row r="51">
      <c r="A51" s="19" t="inlineStr">
        <is>
          <t>ISCOM_LILLE</t>
        </is>
      </c>
      <c r="B51" s="18" t="inlineStr">
        <is>
          <t>ISCOM Lille</t>
        </is>
      </c>
      <c r="C51" s="19" t="inlineStr">
        <is>
          <t>ISCOM</t>
        </is>
      </c>
      <c r="D51" s="19" t="inlineStr">
        <is>
          <t>Lille</t>
        </is>
      </c>
      <c r="E51" s="19" t="inlineStr">
        <is>
          <t>706</t>
        </is>
      </c>
      <c r="F51" s="18" t="inlineStr">
        <is>
          <t>Prestations de formation — scolarité (initial)</t>
        </is>
      </c>
      <c r="G51" s="19" t="inlineStr">
        <is>
          <t>70 — Prestations de services</t>
        </is>
      </c>
      <c r="H51" s="19" t="inlineStr">
        <is>
          <t>Produit</t>
        </is>
      </c>
      <c r="I51" s="19" t="inlineStr">
        <is>
          <t>Produits</t>
        </is>
      </c>
      <c r="J51" s="19" t="inlineStr">
        <is>
          <t>2024ACT_VDEF</t>
        </is>
      </c>
      <c r="K51" s="19" t="inlineStr">
        <is>
          <t>2024 (N-2)</t>
        </is>
      </c>
      <c r="L51" s="13" t="n">
        <v>327074</v>
      </c>
    </row>
    <row r="52">
      <c r="A52" s="19" t="inlineStr">
        <is>
          <t>ISCOM_TOULOUSE</t>
        </is>
      </c>
      <c r="B52" s="18" t="inlineStr">
        <is>
          <t>ISCOM Toulouse</t>
        </is>
      </c>
      <c r="C52" s="19" t="inlineStr">
        <is>
          <t>ISCOM</t>
        </is>
      </c>
      <c r="D52" s="19" t="inlineStr">
        <is>
          <t>Toulouse</t>
        </is>
      </c>
      <c r="E52" s="19" t="inlineStr">
        <is>
          <t>706</t>
        </is>
      </c>
      <c r="F52" s="18" t="inlineStr">
        <is>
          <t>Prestations de formation — scolarité (initial)</t>
        </is>
      </c>
      <c r="G52" s="19" t="inlineStr">
        <is>
          <t>70 — Prestations de services</t>
        </is>
      </c>
      <c r="H52" s="19" t="inlineStr">
        <is>
          <t>Produit</t>
        </is>
      </c>
      <c r="I52" s="19" t="inlineStr">
        <is>
          <t>Produits</t>
        </is>
      </c>
      <c r="J52" s="19" t="inlineStr">
        <is>
          <t>2024ACT_VDEF</t>
        </is>
      </c>
      <c r="K52" s="19" t="inlineStr">
        <is>
          <t>2024 (N-2)</t>
        </is>
      </c>
      <c r="L52" s="13" t="n">
        <v>301175</v>
      </c>
    </row>
    <row r="53">
      <c r="A53" s="19" t="inlineStr">
        <is>
          <t>MBWAY_PARIS</t>
        </is>
      </c>
      <c r="B53" s="18" t="inlineStr">
        <is>
          <t>MBway Paris</t>
        </is>
      </c>
      <c r="C53" s="19" t="inlineStr">
        <is>
          <t>MBway</t>
        </is>
      </c>
      <c r="D53" s="19" t="inlineStr">
        <is>
          <t>Paris</t>
        </is>
      </c>
      <c r="E53" s="19" t="inlineStr">
        <is>
          <t>706</t>
        </is>
      </c>
      <c r="F53" s="18" t="inlineStr">
        <is>
          <t>Prestations de formation — scolarité (initial)</t>
        </is>
      </c>
      <c r="G53" s="19" t="inlineStr">
        <is>
          <t>70 — Prestations de services</t>
        </is>
      </c>
      <c r="H53" s="19" t="inlineStr">
        <is>
          <t>Produit</t>
        </is>
      </c>
      <c r="I53" s="19" t="inlineStr">
        <is>
          <t>Produits</t>
        </is>
      </c>
      <c r="J53" s="19" t="inlineStr">
        <is>
          <t>2025ACT_VDEF</t>
        </is>
      </c>
      <c r="K53" s="19" t="inlineStr">
        <is>
          <t>2025 (N-1)</t>
        </is>
      </c>
      <c r="L53" s="13" t="n">
        <v>618113</v>
      </c>
    </row>
    <row r="54">
      <c r="A54" s="19" t="inlineStr">
        <is>
          <t>MBWAY_LYON</t>
        </is>
      </c>
      <c r="B54" s="18" t="inlineStr">
        <is>
          <t>MBway Lyon</t>
        </is>
      </c>
      <c r="C54" s="19" t="inlineStr">
        <is>
          <t>MBway</t>
        </is>
      </c>
      <c r="D54" s="19" t="inlineStr">
        <is>
          <t>Lyon</t>
        </is>
      </c>
      <c r="E54" s="19" t="inlineStr">
        <is>
          <t>706</t>
        </is>
      </c>
      <c r="F54" s="18" t="inlineStr">
        <is>
          <t>Prestations de formation — scolarité (initial)</t>
        </is>
      </c>
      <c r="G54" s="19" t="inlineStr">
        <is>
          <t>70 — Prestations de services</t>
        </is>
      </c>
      <c r="H54" s="19" t="inlineStr">
        <is>
          <t>Produit</t>
        </is>
      </c>
      <c r="I54" s="19" t="inlineStr">
        <is>
          <t>Produits</t>
        </is>
      </c>
      <c r="J54" s="19" t="inlineStr">
        <is>
          <t>2025ACT_VDEF</t>
        </is>
      </c>
      <c r="K54" s="19" t="inlineStr">
        <is>
          <t>2025 (N-1)</t>
        </is>
      </c>
      <c r="L54" s="13" t="n">
        <v>490330</v>
      </c>
    </row>
    <row r="55">
      <c r="A55" s="19" t="inlineStr">
        <is>
          <t>MBWAY_NANTES</t>
        </is>
      </c>
      <c r="B55" s="18" t="inlineStr">
        <is>
          <t>MBway Nantes</t>
        </is>
      </c>
      <c r="C55" s="19" t="inlineStr">
        <is>
          <t>MBway</t>
        </is>
      </c>
      <c r="D55" s="19" t="inlineStr">
        <is>
          <t>Nantes</t>
        </is>
      </c>
      <c r="E55" s="19" t="inlineStr">
        <is>
          <t>706</t>
        </is>
      </c>
      <c r="F55" s="18" t="inlineStr">
        <is>
          <t>Prestations de formation — scolarité (initial)</t>
        </is>
      </c>
      <c r="G55" s="19" t="inlineStr">
        <is>
          <t>70 — Prestations de services</t>
        </is>
      </c>
      <c r="H55" s="19" t="inlineStr">
        <is>
          <t>Produit</t>
        </is>
      </c>
      <c r="I55" s="19" t="inlineStr">
        <is>
          <t>Produits</t>
        </is>
      </c>
      <c r="J55" s="19" t="inlineStr">
        <is>
          <t>2025ACT_VDEF</t>
        </is>
      </c>
      <c r="K55" s="19" t="inlineStr">
        <is>
          <t>2025 (N-1)</t>
        </is>
      </c>
      <c r="L55" s="13" t="n">
        <v>424528</v>
      </c>
    </row>
    <row r="56">
      <c r="A56" s="19" t="inlineStr">
        <is>
          <t>MBWAY_BORDEAUX</t>
        </is>
      </c>
      <c r="B56" s="18" t="inlineStr">
        <is>
          <t>MBway Bordeaux</t>
        </is>
      </c>
      <c r="C56" s="19" t="inlineStr">
        <is>
          <t>MBway</t>
        </is>
      </c>
      <c r="D56" s="19" t="inlineStr">
        <is>
          <t>Bordeaux</t>
        </is>
      </c>
      <c r="E56" s="19" t="inlineStr">
        <is>
          <t>706</t>
        </is>
      </c>
      <c r="F56" s="18" t="inlineStr">
        <is>
          <t>Prestations de formation — scolarité (initial)</t>
        </is>
      </c>
      <c r="G56" s="19" t="inlineStr">
        <is>
          <t>70 — Prestations de services</t>
        </is>
      </c>
      <c r="H56" s="19" t="inlineStr">
        <is>
          <t>Produit</t>
        </is>
      </c>
      <c r="I56" s="19" t="inlineStr">
        <is>
          <t>Produits</t>
        </is>
      </c>
      <c r="J56" s="19" t="inlineStr">
        <is>
          <t>2025ACT_VDEF</t>
        </is>
      </c>
      <c r="K56" s="19" t="inlineStr">
        <is>
          <t>2025 (N-1)</t>
        </is>
      </c>
      <c r="L56" s="13" t="n">
        <v>350024</v>
      </c>
    </row>
    <row r="57">
      <c r="A57" s="19" t="inlineStr">
        <is>
          <t>ISCOM_PARIS</t>
        </is>
      </c>
      <c r="B57" s="18" t="inlineStr">
        <is>
          <t>ISCOM Paris</t>
        </is>
      </c>
      <c r="C57" s="19" t="inlineStr">
        <is>
          <t>ISCOM</t>
        </is>
      </c>
      <c r="D57" s="19" t="inlineStr">
        <is>
          <t>Paris</t>
        </is>
      </c>
      <c r="E57" s="19" t="inlineStr">
        <is>
          <t>706</t>
        </is>
      </c>
      <c r="F57" s="18" t="inlineStr">
        <is>
          <t>Prestations de formation — scolarité (initial)</t>
        </is>
      </c>
      <c r="G57" s="19" t="inlineStr">
        <is>
          <t>70 — Prestations de services</t>
        </is>
      </c>
      <c r="H57" s="19" t="inlineStr">
        <is>
          <t>Produit</t>
        </is>
      </c>
      <c r="I57" s="19" t="inlineStr">
        <is>
          <t>Produits</t>
        </is>
      </c>
      <c r="J57" s="19" t="inlineStr">
        <is>
          <t>2025ACT_VDEF</t>
        </is>
      </c>
      <c r="K57" s="19" t="inlineStr">
        <is>
          <t>2025 (N-1)</t>
        </is>
      </c>
      <c r="L57" s="13" t="n">
        <v>570566</v>
      </c>
    </row>
    <row r="58">
      <c r="A58" s="19" t="inlineStr">
        <is>
          <t>ISCOM_LILLE</t>
        </is>
      </c>
      <c r="B58" s="18" t="inlineStr">
        <is>
          <t>ISCOM Lille</t>
        </is>
      </c>
      <c r="C58" s="19" t="inlineStr">
        <is>
          <t>ISCOM</t>
        </is>
      </c>
      <c r="D58" s="19" t="inlineStr">
        <is>
          <t>Lille</t>
        </is>
      </c>
      <c r="E58" s="19" t="inlineStr">
        <is>
          <t>706</t>
        </is>
      </c>
      <c r="F58" s="18" t="inlineStr">
        <is>
          <t>Prestations de formation — scolarité (initial)</t>
        </is>
      </c>
      <c r="G58" s="19" t="inlineStr">
        <is>
          <t>70 — Prestations de services</t>
        </is>
      </c>
      <c r="H58" s="19" t="inlineStr">
        <is>
          <t>Produit</t>
        </is>
      </c>
      <c r="I58" s="19" t="inlineStr">
        <is>
          <t>Produits</t>
        </is>
      </c>
      <c r="J58" s="19" t="inlineStr">
        <is>
          <t>2025ACT_VDEF</t>
        </is>
      </c>
      <c r="K58" s="19" t="inlineStr">
        <is>
          <t>2025 (N-1)</t>
        </is>
      </c>
      <c r="L58" s="13" t="n">
        <v>346698</v>
      </c>
    </row>
    <row r="59">
      <c r="A59" s="19" t="inlineStr">
        <is>
          <t>ISCOM_TOULOUSE</t>
        </is>
      </c>
      <c r="B59" s="18" t="inlineStr">
        <is>
          <t>ISCOM Toulouse</t>
        </is>
      </c>
      <c r="C59" s="19" t="inlineStr">
        <is>
          <t>ISCOM</t>
        </is>
      </c>
      <c r="D59" s="19" t="inlineStr">
        <is>
          <t>Toulouse</t>
        </is>
      </c>
      <c r="E59" s="19" t="inlineStr">
        <is>
          <t>706</t>
        </is>
      </c>
      <c r="F59" s="18" t="inlineStr">
        <is>
          <t>Prestations de formation — scolarité (initial)</t>
        </is>
      </c>
      <c r="G59" s="19" t="inlineStr">
        <is>
          <t>70 — Prestations de services</t>
        </is>
      </c>
      <c r="H59" s="19" t="inlineStr">
        <is>
          <t>Produit</t>
        </is>
      </c>
      <c r="I59" s="19" t="inlineStr">
        <is>
          <t>Produits</t>
        </is>
      </c>
      <c r="J59" s="19" t="inlineStr">
        <is>
          <t>2025ACT_VDEF</t>
        </is>
      </c>
      <c r="K59" s="19" t="inlineStr">
        <is>
          <t>2025 (N-1)</t>
        </is>
      </c>
      <c r="L59" s="13" t="n">
        <v>319245</v>
      </c>
    </row>
    <row r="60">
      <c r="A60" s="19" t="inlineStr">
        <is>
          <t>MBWAY_PARIS</t>
        </is>
      </c>
      <c r="B60" s="18" t="inlineStr">
        <is>
          <t>MBway Paris</t>
        </is>
      </c>
      <c r="C60" s="19" t="inlineStr">
        <is>
          <t>MBway</t>
        </is>
      </c>
      <c r="D60" s="19" t="inlineStr">
        <is>
          <t>Paris</t>
        </is>
      </c>
      <c r="E60" s="19" t="inlineStr">
        <is>
          <t>706</t>
        </is>
      </c>
      <c r="F60" s="18" t="inlineStr">
        <is>
          <t>Prestations de formation — scolarité (initial)</t>
        </is>
      </c>
      <c r="G60" s="19" t="inlineStr">
        <is>
          <t>70 — Prestations de services</t>
        </is>
      </c>
      <c r="H60" s="19" t="inlineStr">
        <is>
          <t>Produit</t>
        </is>
      </c>
      <c r="I60" s="19" t="inlineStr">
        <is>
          <t>Produits</t>
        </is>
      </c>
      <c r="J60" s="19" t="inlineStr">
        <is>
          <t>2026ATT_VDEF</t>
        </is>
      </c>
      <c r="K60" s="19" t="inlineStr">
        <is>
          <t>2026 (Atterr.)</t>
        </is>
      </c>
      <c r="L60" s="13" t="n">
        <v>655200</v>
      </c>
    </row>
    <row r="61">
      <c r="A61" s="19" t="inlineStr">
        <is>
          <t>MBWAY_LYON</t>
        </is>
      </c>
      <c r="B61" s="18" t="inlineStr">
        <is>
          <t>MBway Lyon</t>
        </is>
      </c>
      <c r="C61" s="19" t="inlineStr">
        <is>
          <t>MBway</t>
        </is>
      </c>
      <c r="D61" s="19" t="inlineStr">
        <is>
          <t>Lyon</t>
        </is>
      </c>
      <c r="E61" s="19" t="inlineStr">
        <is>
          <t>706</t>
        </is>
      </c>
      <c r="F61" s="18" t="inlineStr">
        <is>
          <t>Prestations de formation — scolarité (initial)</t>
        </is>
      </c>
      <c r="G61" s="19" t="inlineStr">
        <is>
          <t>70 — Prestations de services</t>
        </is>
      </c>
      <c r="H61" s="19" t="inlineStr">
        <is>
          <t>Produit</t>
        </is>
      </c>
      <c r="I61" s="19" t="inlineStr">
        <is>
          <t>Produits</t>
        </is>
      </c>
      <c r="J61" s="19" t="inlineStr">
        <is>
          <t>2026ATT_VDEF</t>
        </is>
      </c>
      <c r="K61" s="19" t="inlineStr">
        <is>
          <t>2026 (Atterr.)</t>
        </is>
      </c>
      <c r="L61" s="13" t="n">
        <v>519750</v>
      </c>
    </row>
    <row r="62">
      <c r="A62" s="19" t="inlineStr">
        <is>
          <t>MBWAY_NANTES</t>
        </is>
      </c>
      <c r="B62" s="18" t="inlineStr">
        <is>
          <t>MBway Nantes</t>
        </is>
      </c>
      <c r="C62" s="19" t="inlineStr">
        <is>
          <t>MBway</t>
        </is>
      </c>
      <c r="D62" s="19" t="inlineStr">
        <is>
          <t>Nantes</t>
        </is>
      </c>
      <c r="E62" s="19" t="inlineStr">
        <is>
          <t>706</t>
        </is>
      </c>
      <c r="F62" s="18" t="inlineStr">
        <is>
          <t>Prestations de formation — scolarité (initial)</t>
        </is>
      </c>
      <c r="G62" s="19" t="inlineStr">
        <is>
          <t>70 — Prestations de services</t>
        </is>
      </c>
      <c r="H62" s="19" t="inlineStr">
        <is>
          <t>Produit</t>
        </is>
      </c>
      <c r="I62" s="19" t="inlineStr">
        <is>
          <t>Produits</t>
        </is>
      </c>
      <c r="J62" s="19" t="inlineStr">
        <is>
          <t>2026ATT_VDEF</t>
        </is>
      </c>
      <c r="K62" s="19" t="inlineStr">
        <is>
          <t>2026 (Atterr.)</t>
        </is>
      </c>
      <c r="L62" s="13" t="n">
        <v>450000</v>
      </c>
    </row>
    <row r="63">
      <c r="A63" s="19" t="inlineStr">
        <is>
          <t>MBWAY_BORDEAUX</t>
        </is>
      </c>
      <c r="B63" s="18" t="inlineStr">
        <is>
          <t>MBway Bordeaux</t>
        </is>
      </c>
      <c r="C63" s="19" t="inlineStr">
        <is>
          <t>MBway</t>
        </is>
      </c>
      <c r="D63" s="19" t="inlineStr">
        <is>
          <t>Bordeaux</t>
        </is>
      </c>
      <c r="E63" s="19" t="inlineStr">
        <is>
          <t>706</t>
        </is>
      </c>
      <c r="F63" s="18" t="inlineStr">
        <is>
          <t>Prestations de formation — scolarité (initial)</t>
        </is>
      </c>
      <c r="G63" s="19" t="inlineStr">
        <is>
          <t>70 — Prestations de services</t>
        </is>
      </c>
      <c r="H63" s="19" t="inlineStr">
        <is>
          <t>Produit</t>
        </is>
      </c>
      <c r="I63" s="19" t="inlineStr">
        <is>
          <t>Produits</t>
        </is>
      </c>
      <c r="J63" s="19" t="inlineStr">
        <is>
          <t>2026ATT_VDEF</t>
        </is>
      </c>
      <c r="K63" s="19" t="inlineStr">
        <is>
          <t>2026 (Atterr.)</t>
        </is>
      </c>
      <c r="L63" s="13" t="n">
        <v>371025</v>
      </c>
    </row>
    <row r="64">
      <c r="A64" s="19" t="inlineStr">
        <is>
          <t>ISCOM_PARIS</t>
        </is>
      </c>
      <c r="B64" s="18" t="inlineStr">
        <is>
          <t>ISCOM Paris</t>
        </is>
      </c>
      <c r="C64" s="19" t="inlineStr">
        <is>
          <t>ISCOM</t>
        </is>
      </c>
      <c r="D64" s="19" t="inlineStr">
        <is>
          <t>Paris</t>
        </is>
      </c>
      <c r="E64" s="19" t="inlineStr">
        <is>
          <t>706</t>
        </is>
      </c>
      <c r="F64" s="18" t="inlineStr">
        <is>
          <t>Prestations de formation — scolarité (initial)</t>
        </is>
      </c>
      <c r="G64" s="19" t="inlineStr">
        <is>
          <t>70 — Prestations de services</t>
        </is>
      </c>
      <c r="H64" s="19" t="inlineStr">
        <is>
          <t>Produit</t>
        </is>
      </c>
      <c r="I64" s="19" t="inlineStr">
        <is>
          <t>Produits</t>
        </is>
      </c>
      <c r="J64" s="19" t="inlineStr">
        <is>
          <t>2026ATT_VDEF</t>
        </is>
      </c>
      <c r="K64" s="19" t="inlineStr">
        <is>
          <t>2026 (Atterr.)</t>
        </is>
      </c>
      <c r="L64" s="13" t="n">
        <v>604800</v>
      </c>
    </row>
    <row r="65">
      <c r="A65" s="19" t="inlineStr">
        <is>
          <t>ISCOM_LILLE</t>
        </is>
      </c>
      <c r="B65" s="18" t="inlineStr">
        <is>
          <t>ISCOM Lille</t>
        </is>
      </c>
      <c r="C65" s="19" t="inlineStr">
        <is>
          <t>ISCOM</t>
        </is>
      </c>
      <c r="D65" s="19" t="inlineStr">
        <is>
          <t>Lille</t>
        </is>
      </c>
      <c r="E65" s="19" t="inlineStr">
        <is>
          <t>706</t>
        </is>
      </c>
      <c r="F65" s="18" t="inlineStr">
        <is>
          <t>Prestations de formation — scolarité (initial)</t>
        </is>
      </c>
      <c r="G65" s="19" t="inlineStr">
        <is>
          <t>70 — Prestations de services</t>
        </is>
      </c>
      <c r="H65" s="19" t="inlineStr">
        <is>
          <t>Produit</t>
        </is>
      </c>
      <c r="I65" s="19" t="inlineStr">
        <is>
          <t>Produits</t>
        </is>
      </c>
      <c r="J65" s="19" t="inlineStr">
        <is>
          <t>2026ATT_VDEF</t>
        </is>
      </c>
      <c r="K65" s="19" t="inlineStr">
        <is>
          <t>2026 (Atterr.)</t>
        </is>
      </c>
      <c r="L65" s="13" t="n">
        <v>367500</v>
      </c>
    </row>
    <row r="66">
      <c r="A66" s="19" t="inlineStr">
        <is>
          <t>ISCOM_TOULOUSE</t>
        </is>
      </c>
      <c r="B66" s="18" t="inlineStr">
        <is>
          <t>ISCOM Toulouse</t>
        </is>
      </c>
      <c r="C66" s="19" t="inlineStr">
        <is>
          <t>ISCOM</t>
        </is>
      </c>
      <c r="D66" s="19" t="inlineStr">
        <is>
          <t>Toulouse</t>
        </is>
      </c>
      <c r="E66" s="19" t="inlineStr">
        <is>
          <t>706</t>
        </is>
      </c>
      <c r="F66" s="18" t="inlineStr">
        <is>
          <t>Prestations de formation — scolarité (initial)</t>
        </is>
      </c>
      <c r="G66" s="19" t="inlineStr">
        <is>
          <t>70 — Prestations de services</t>
        </is>
      </c>
      <c r="H66" s="19" t="inlineStr">
        <is>
          <t>Produit</t>
        </is>
      </c>
      <c r="I66" s="19" t="inlineStr">
        <is>
          <t>Produits</t>
        </is>
      </c>
      <c r="J66" s="19" t="inlineStr">
        <is>
          <t>2026ATT_VDEF</t>
        </is>
      </c>
      <c r="K66" s="19" t="inlineStr">
        <is>
          <t>2026 (Atterr.)</t>
        </is>
      </c>
      <c r="L66" s="13" t="n">
        <v>338400</v>
      </c>
    </row>
    <row r="67">
      <c r="A67" s="19" t="inlineStr">
        <is>
          <t>MBWAY_PARIS</t>
        </is>
      </c>
      <c r="B67" s="18" t="inlineStr">
        <is>
          <t>MBway Paris</t>
        </is>
      </c>
      <c r="C67" s="19" t="inlineStr">
        <is>
          <t>MBway</t>
        </is>
      </c>
      <c r="D67" s="19" t="inlineStr">
        <is>
          <t>Paris</t>
        </is>
      </c>
      <c r="E67" s="19" t="inlineStr">
        <is>
          <t>708</t>
        </is>
      </c>
      <c r="F67" s="18" t="inlineStr">
        <is>
          <t>Frais de dossier &amp; droits d'inscription</t>
        </is>
      </c>
      <c r="G67" s="19" t="inlineStr">
        <is>
          <t>70 — Prestations de services</t>
        </is>
      </c>
      <c r="H67" s="19" t="inlineStr">
        <is>
          <t>Produit</t>
        </is>
      </c>
      <c r="I67" s="19" t="inlineStr">
        <is>
          <t>Produits</t>
        </is>
      </c>
      <c r="J67" s="19" t="inlineStr">
        <is>
          <t>2024ACT_VDEF</t>
        </is>
      </c>
      <c r="K67" s="19" t="inlineStr">
        <is>
          <t>2024 (N-2)</t>
        </is>
      </c>
      <c r="L67" s="13" t="n">
        <v>12496</v>
      </c>
    </row>
    <row r="68">
      <c r="A68" s="19" t="inlineStr">
        <is>
          <t>MBWAY_LYON</t>
        </is>
      </c>
      <c r="B68" s="18" t="inlineStr">
        <is>
          <t>MBway Lyon</t>
        </is>
      </c>
      <c r="C68" s="19" t="inlineStr">
        <is>
          <t>MBway</t>
        </is>
      </c>
      <c r="D68" s="19" t="inlineStr">
        <is>
          <t>Lyon</t>
        </is>
      </c>
      <c r="E68" s="19" t="inlineStr">
        <is>
          <t>708</t>
        </is>
      </c>
      <c r="F68" s="18" t="inlineStr">
        <is>
          <t>Frais de dossier &amp; droits d'inscription</t>
        </is>
      </c>
      <c r="G68" s="19" t="inlineStr">
        <is>
          <t>70 — Prestations de services</t>
        </is>
      </c>
      <c r="H68" s="19" t="inlineStr">
        <is>
          <t>Produit</t>
        </is>
      </c>
      <c r="I68" s="19" t="inlineStr">
        <is>
          <t>Produits</t>
        </is>
      </c>
      <c r="J68" s="19" t="inlineStr">
        <is>
          <t>2024ACT_VDEF</t>
        </is>
      </c>
      <c r="K68" s="19" t="inlineStr">
        <is>
          <t>2024 (N-2)</t>
        </is>
      </c>
      <c r="L68" s="13" t="n">
        <v>10573</v>
      </c>
    </row>
    <row r="69">
      <c r="A69" s="19" t="inlineStr">
        <is>
          <t>MBWAY_NANTES</t>
        </is>
      </c>
      <c r="B69" s="18" t="inlineStr">
        <is>
          <t>MBway Nantes</t>
        </is>
      </c>
      <c r="C69" s="19" t="inlineStr">
        <is>
          <t>MBway</t>
        </is>
      </c>
      <c r="D69" s="19" t="inlineStr">
        <is>
          <t>Nantes</t>
        </is>
      </c>
      <c r="E69" s="19" t="inlineStr">
        <is>
          <t>708</t>
        </is>
      </c>
      <c r="F69" s="18" t="inlineStr">
        <is>
          <t>Frais de dossier &amp; droits d'inscription</t>
        </is>
      </c>
      <c r="G69" s="19" t="inlineStr">
        <is>
          <t>70 — Prestations de services</t>
        </is>
      </c>
      <c r="H69" s="19" t="inlineStr">
        <is>
          <t>Produit</t>
        </is>
      </c>
      <c r="I69" s="19" t="inlineStr">
        <is>
          <t>Produits</t>
        </is>
      </c>
      <c r="J69" s="19" t="inlineStr">
        <is>
          <t>2024ACT_VDEF</t>
        </is>
      </c>
      <c r="K69" s="19" t="inlineStr">
        <is>
          <t>2024 (N-2)</t>
        </is>
      </c>
      <c r="L69" s="13" t="n">
        <v>9612</v>
      </c>
    </row>
    <row r="70">
      <c r="A70" s="19" t="inlineStr">
        <is>
          <t>MBWAY_BORDEAUX</t>
        </is>
      </c>
      <c r="B70" s="18" t="inlineStr">
        <is>
          <t>MBway Bordeaux</t>
        </is>
      </c>
      <c r="C70" s="19" t="inlineStr">
        <is>
          <t>MBway</t>
        </is>
      </c>
      <c r="D70" s="19" t="inlineStr">
        <is>
          <t>Bordeaux</t>
        </is>
      </c>
      <c r="E70" s="19" t="inlineStr">
        <is>
          <t>708</t>
        </is>
      </c>
      <c r="F70" s="18" t="inlineStr">
        <is>
          <t>Frais de dossier &amp; droits d'inscription</t>
        </is>
      </c>
      <c r="G70" s="19" t="inlineStr">
        <is>
          <t>70 — Prestations de services</t>
        </is>
      </c>
      <c r="H70" s="19" t="inlineStr">
        <is>
          <t>Produit</t>
        </is>
      </c>
      <c r="I70" s="19" t="inlineStr">
        <is>
          <t>Produits</t>
        </is>
      </c>
      <c r="J70" s="19" t="inlineStr">
        <is>
          <t>2024ACT_VDEF</t>
        </is>
      </c>
      <c r="K70" s="19" t="inlineStr">
        <is>
          <t>2024 (N-2)</t>
        </is>
      </c>
      <c r="L70" s="13" t="n">
        <v>8170</v>
      </c>
    </row>
    <row r="71">
      <c r="A71" s="19" t="inlineStr">
        <is>
          <t>ISCOM_PARIS</t>
        </is>
      </c>
      <c r="B71" s="18" t="inlineStr">
        <is>
          <t>ISCOM Paris</t>
        </is>
      </c>
      <c r="C71" s="19" t="inlineStr">
        <is>
          <t>ISCOM</t>
        </is>
      </c>
      <c r="D71" s="19" t="inlineStr">
        <is>
          <t>Paris</t>
        </is>
      </c>
      <c r="E71" s="19" t="inlineStr">
        <is>
          <t>708</t>
        </is>
      </c>
      <c r="F71" s="18" t="inlineStr">
        <is>
          <t>Frais de dossier &amp; droits d'inscription</t>
        </is>
      </c>
      <c r="G71" s="19" t="inlineStr">
        <is>
          <t>70 — Prestations de services</t>
        </is>
      </c>
      <c r="H71" s="19" t="inlineStr">
        <is>
          <t>Produit</t>
        </is>
      </c>
      <c r="I71" s="19" t="inlineStr">
        <is>
          <t>Produits</t>
        </is>
      </c>
      <c r="J71" s="19" t="inlineStr">
        <is>
          <t>2024ACT_VDEF</t>
        </is>
      </c>
      <c r="K71" s="19" t="inlineStr">
        <is>
          <t>2024 (N-2)</t>
        </is>
      </c>
      <c r="L71" s="13" t="n">
        <v>11534</v>
      </c>
    </row>
    <row r="72">
      <c r="A72" s="19" t="inlineStr">
        <is>
          <t>ISCOM_LILLE</t>
        </is>
      </c>
      <c r="B72" s="18" t="inlineStr">
        <is>
          <t>ISCOM Lille</t>
        </is>
      </c>
      <c r="C72" s="19" t="inlineStr">
        <is>
          <t>ISCOM</t>
        </is>
      </c>
      <c r="D72" s="19" t="inlineStr">
        <is>
          <t>Lille</t>
        </is>
      </c>
      <c r="E72" s="19" t="inlineStr">
        <is>
          <t>708</t>
        </is>
      </c>
      <c r="F72" s="18" t="inlineStr">
        <is>
          <t>Frais de dossier &amp; droits d'inscription</t>
        </is>
      </c>
      <c r="G72" s="19" t="inlineStr">
        <is>
          <t>70 — Prestations de services</t>
        </is>
      </c>
      <c r="H72" s="19" t="inlineStr">
        <is>
          <t>Produit</t>
        </is>
      </c>
      <c r="I72" s="19" t="inlineStr">
        <is>
          <t>Produits</t>
        </is>
      </c>
      <c r="J72" s="19" t="inlineStr">
        <is>
          <t>2024ACT_VDEF</t>
        </is>
      </c>
      <c r="K72" s="19" t="inlineStr">
        <is>
          <t>2024 (N-2)</t>
        </is>
      </c>
      <c r="L72" s="13" t="n">
        <v>8010</v>
      </c>
    </row>
    <row r="73">
      <c r="A73" s="19" t="inlineStr">
        <is>
          <t>ISCOM_TOULOUSE</t>
        </is>
      </c>
      <c r="B73" s="18" t="inlineStr">
        <is>
          <t>ISCOM Toulouse</t>
        </is>
      </c>
      <c r="C73" s="19" t="inlineStr">
        <is>
          <t>ISCOM</t>
        </is>
      </c>
      <c r="D73" s="19" t="inlineStr">
        <is>
          <t>Toulouse</t>
        </is>
      </c>
      <c r="E73" s="19" t="inlineStr">
        <is>
          <t>708</t>
        </is>
      </c>
      <c r="F73" s="18" t="inlineStr">
        <is>
          <t>Frais de dossier &amp; droits d'inscription</t>
        </is>
      </c>
      <c r="G73" s="19" t="inlineStr">
        <is>
          <t>70 — Prestations de services</t>
        </is>
      </c>
      <c r="H73" s="19" t="inlineStr">
        <is>
          <t>Produit</t>
        </is>
      </c>
      <c r="I73" s="19" t="inlineStr">
        <is>
          <t>Produits</t>
        </is>
      </c>
      <c r="J73" s="19" t="inlineStr">
        <is>
          <t>2024ACT_VDEF</t>
        </is>
      </c>
      <c r="K73" s="19" t="inlineStr">
        <is>
          <t>2024 (N-2)</t>
        </is>
      </c>
      <c r="L73" s="13" t="n">
        <v>7529</v>
      </c>
    </row>
    <row r="74">
      <c r="A74" s="19" t="inlineStr">
        <is>
          <t>IPAC_BACHELOR_FACTORY_NANTES</t>
        </is>
      </c>
      <c r="B74" s="18" t="inlineStr">
        <is>
          <t>Ipac Bachelor Factory Nantes</t>
        </is>
      </c>
      <c r="C74" s="19" t="inlineStr">
        <is>
          <t>Ipac Bachelor Factory</t>
        </is>
      </c>
      <c r="D74" s="19" t="inlineStr">
        <is>
          <t>Nantes</t>
        </is>
      </c>
      <c r="E74" s="19" t="inlineStr">
        <is>
          <t>708</t>
        </is>
      </c>
      <c r="F74" s="18" t="inlineStr">
        <is>
          <t>Frais de dossier &amp; droits d'inscription</t>
        </is>
      </c>
      <c r="G74" s="19" t="inlineStr">
        <is>
          <t>70 — Prestations de services</t>
        </is>
      </c>
      <c r="H74" s="19" t="inlineStr">
        <is>
          <t>Produit</t>
        </is>
      </c>
      <c r="I74" s="19" t="inlineStr">
        <is>
          <t>Produits</t>
        </is>
      </c>
      <c r="J74" s="19" t="inlineStr">
        <is>
          <t>2024ACT_VDEF</t>
        </is>
      </c>
      <c r="K74" s="19" t="inlineStr">
        <is>
          <t>2024 (N-2)</t>
        </is>
      </c>
      <c r="L74" s="13" t="n">
        <v>4005</v>
      </c>
    </row>
    <row r="75">
      <c r="A75" s="19" t="inlineStr">
        <is>
          <t>IPAC_BACHELOR_FACTORY_RENNES</t>
        </is>
      </c>
      <c r="B75" s="18" t="inlineStr">
        <is>
          <t>Ipac Bachelor Factory Rennes</t>
        </is>
      </c>
      <c r="C75" s="19" t="inlineStr">
        <is>
          <t>Ipac Bachelor Factory</t>
        </is>
      </c>
      <c r="D75" s="19" t="inlineStr">
        <is>
          <t>Rennes</t>
        </is>
      </c>
      <c r="E75" s="19" t="inlineStr">
        <is>
          <t>708</t>
        </is>
      </c>
      <c r="F75" s="18" t="inlineStr">
        <is>
          <t>Frais de dossier &amp; droits d'inscription</t>
        </is>
      </c>
      <c r="G75" s="19" t="inlineStr">
        <is>
          <t>70 — Prestations de services</t>
        </is>
      </c>
      <c r="H75" s="19" t="inlineStr">
        <is>
          <t>Produit</t>
        </is>
      </c>
      <c r="I75" s="19" t="inlineStr">
        <is>
          <t>Produits</t>
        </is>
      </c>
      <c r="J75" s="19" t="inlineStr">
        <is>
          <t>2024ACT_VDEF</t>
        </is>
      </c>
      <c r="K75" s="19" t="inlineStr">
        <is>
          <t>2024 (N-2)</t>
        </is>
      </c>
      <c r="L75" s="13" t="n">
        <v>3204</v>
      </c>
    </row>
    <row r="76">
      <c r="A76" s="19" t="inlineStr">
        <is>
          <t>IPAC_BACHELOR_FACTORY_MONTPELLIER</t>
        </is>
      </c>
      <c r="B76" s="18" t="inlineStr">
        <is>
          <t>Ipac Bachelor Factory Montpellier</t>
        </is>
      </c>
      <c r="C76" s="19" t="inlineStr">
        <is>
          <t>Ipac Bachelor Factory</t>
        </is>
      </c>
      <c r="D76" s="19" t="inlineStr">
        <is>
          <t>Montpellier</t>
        </is>
      </c>
      <c r="E76" s="19" t="inlineStr">
        <is>
          <t>708</t>
        </is>
      </c>
      <c r="F76" s="18" t="inlineStr">
        <is>
          <t>Frais de dossier &amp; droits d'inscription</t>
        </is>
      </c>
      <c r="G76" s="19" t="inlineStr">
        <is>
          <t>70 — Prestations de services</t>
        </is>
      </c>
      <c r="H76" s="19" t="inlineStr">
        <is>
          <t>Produit</t>
        </is>
      </c>
      <c r="I76" s="19" t="inlineStr">
        <is>
          <t>Produits</t>
        </is>
      </c>
      <c r="J76" s="19" t="inlineStr">
        <is>
          <t>2024ACT_VDEF</t>
        </is>
      </c>
      <c r="K76" s="19" t="inlineStr">
        <is>
          <t>2024 (N-2)</t>
        </is>
      </c>
      <c r="L76" s="13" t="n">
        <v>3204</v>
      </c>
    </row>
    <row r="77">
      <c r="A77" s="19" t="inlineStr">
        <is>
          <t>PIGIER_LYON</t>
        </is>
      </c>
      <c r="B77" s="18" t="inlineStr">
        <is>
          <t>Pigier Lyon</t>
        </is>
      </c>
      <c r="C77" s="19" t="inlineStr">
        <is>
          <t>Pigier</t>
        </is>
      </c>
      <c r="D77" s="19" t="inlineStr">
        <is>
          <t>Lyon</t>
        </is>
      </c>
      <c r="E77" s="19" t="inlineStr">
        <is>
          <t>708</t>
        </is>
      </c>
      <c r="F77" s="18" t="inlineStr">
        <is>
          <t>Frais de dossier &amp; droits d'inscription</t>
        </is>
      </c>
      <c r="G77" s="19" t="inlineStr">
        <is>
          <t>70 — Prestations de services</t>
        </is>
      </c>
      <c r="H77" s="19" t="inlineStr">
        <is>
          <t>Produit</t>
        </is>
      </c>
      <c r="I77" s="19" t="inlineStr">
        <is>
          <t>Produits</t>
        </is>
      </c>
      <c r="J77" s="19" t="inlineStr">
        <is>
          <t>2024ACT_VDEF</t>
        </is>
      </c>
      <c r="K77" s="19" t="inlineStr">
        <is>
          <t>2024 (N-2)</t>
        </is>
      </c>
      <c r="L77" s="13" t="n">
        <v>7369</v>
      </c>
    </row>
    <row r="78">
      <c r="A78" s="19" t="inlineStr">
        <is>
          <t>PIGIER_BORDEAUX</t>
        </is>
      </c>
      <c r="B78" s="18" t="inlineStr">
        <is>
          <t>Pigier Bordeaux</t>
        </is>
      </c>
      <c r="C78" s="19" t="inlineStr">
        <is>
          <t>Pigier</t>
        </is>
      </c>
      <c r="D78" s="19" t="inlineStr">
        <is>
          <t>Bordeaux</t>
        </is>
      </c>
      <c r="E78" s="19" t="inlineStr">
        <is>
          <t>708</t>
        </is>
      </c>
      <c r="F78" s="18" t="inlineStr">
        <is>
          <t>Frais de dossier &amp; droits d'inscription</t>
        </is>
      </c>
      <c r="G78" s="19" t="inlineStr">
        <is>
          <t>70 — Prestations de services</t>
        </is>
      </c>
      <c r="H78" s="19" t="inlineStr">
        <is>
          <t>Produit</t>
        </is>
      </c>
      <c r="I78" s="19" t="inlineStr">
        <is>
          <t>Produits</t>
        </is>
      </c>
      <c r="J78" s="19" t="inlineStr">
        <is>
          <t>2024ACT_VDEF</t>
        </is>
      </c>
      <c r="K78" s="19" t="inlineStr">
        <is>
          <t>2024 (N-2)</t>
        </is>
      </c>
      <c r="L78" s="13" t="n">
        <v>5767</v>
      </c>
    </row>
    <row r="79">
      <c r="A79" s="19" t="inlineStr">
        <is>
          <t>TUNON_PARIS</t>
        </is>
      </c>
      <c r="B79" s="18" t="inlineStr">
        <is>
          <t>Tunon Paris</t>
        </is>
      </c>
      <c r="C79" s="19" t="inlineStr">
        <is>
          <t>Tunon</t>
        </is>
      </c>
      <c r="D79" s="19" t="inlineStr">
        <is>
          <t>Paris</t>
        </is>
      </c>
      <c r="E79" s="19" t="inlineStr">
        <is>
          <t>708</t>
        </is>
      </c>
      <c r="F79" s="18" t="inlineStr">
        <is>
          <t>Frais de dossier &amp; droits d'inscription</t>
        </is>
      </c>
      <c r="G79" s="19" t="inlineStr">
        <is>
          <t>70 — Prestations de services</t>
        </is>
      </c>
      <c r="H79" s="19" t="inlineStr">
        <is>
          <t>Produit</t>
        </is>
      </c>
      <c r="I79" s="19" t="inlineStr">
        <is>
          <t>Produits</t>
        </is>
      </c>
      <c r="J79" s="19" t="inlineStr">
        <is>
          <t>2024ACT_VDEF</t>
        </is>
      </c>
      <c r="K79" s="19" t="inlineStr">
        <is>
          <t>2024 (N-2)</t>
        </is>
      </c>
      <c r="L79" s="13" t="n">
        <v>3765</v>
      </c>
    </row>
    <row r="80">
      <c r="A80" s="19" t="inlineStr">
        <is>
          <t>TUNON_LYON</t>
        </is>
      </c>
      <c r="B80" s="18" t="inlineStr">
        <is>
          <t>Tunon Lyon</t>
        </is>
      </c>
      <c r="C80" s="19" t="inlineStr">
        <is>
          <t>Tunon</t>
        </is>
      </c>
      <c r="D80" s="19" t="inlineStr">
        <is>
          <t>Lyon</t>
        </is>
      </c>
      <c r="E80" s="19" t="inlineStr">
        <is>
          <t>708</t>
        </is>
      </c>
      <c r="F80" s="18" t="inlineStr">
        <is>
          <t>Frais de dossier &amp; droits d'inscription</t>
        </is>
      </c>
      <c r="G80" s="19" t="inlineStr">
        <is>
          <t>70 — Prestations de services</t>
        </is>
      </c>
      <c r="H80" s="19" t="inlineStr">
        <is>
          <t>Produit</t>
        </is>
      </c>
      <c r="I80" s="19" t="inlineStr">
        <is>
          <t>Produits</t>
        </is>
      </c>
      <c r="J80" s="19" t="inlineStr">
        <is>
          <t>2024ACT_VDEF</t>
        </is>
      </c>
      <c r="K80" s="19" t="inlineStr">
        <is>
          <t>2024 (N-2)</t>
        </is>
      </c>
      <c r="L80" s="13" t="n">
        <v>3204</v>
      </c>
    </row>
    <row r="81">
      <c r="A81" s="19" t="inlineStr">
        <is>
          <t>MBWAY_PARIS</t>
        </is>
      </c>
      <c r="B81" s="18" t="inlineStr">
        <is>
          <t>MBway Paris</t>
        </is>
      </c>
      <c r="C81" s="19" t="inlineStr">
        <is>
          <t>MBway</t>
        </is>
      </c>
      <c r="D81" s="19" t="inlineStr">
        <is>
          <t>Paris</t>
        </is>
      </c>
      <c r="E81" s="19" t="inlineStr">
        <is>
          <t>708</t>
        </is>
      </c>
      <c r="F81" s="18" t="inlineStr">
        <is>
          <t>Frais de dossier &amp; droits d'inscription</t>
        </is>
      </c>
      <c r="G81" s="19" t="inlineStr">
        <is>
          <t>70 — Prestations de services</t>
        </is>
      </c>
      <c r="H81" s="19" t="inlineStr">
        <is>
          <t>Produit</t>
        </is>
      </c>
      <c r="I81" s="19" t="inlineStr">
        <is>
          <t>Produits</t>
        </is>
      </c>
      <c r="J81" s="19" t="inlineStr">
        <is>
          <t>2025ACT_VDEF</t>
        </is>
      </c>
      <c r="K81" s="19" t="inlineStr">
        <is>
          <t>2025 (N-1)</t>
        </is>
      </c>
      <c r="L81" s="13" t="n">
        <v>13245</v>
      </c>
    </row>
    <row r="82">
      <c r="A82" s="19" t="inlineStr">
        <is>
          <t>MBWAY_LYON</t>
        </is>
      </c>
      <c r="B82" s="18" t="inlineStr">
        <is>
          <t>MBway Lyon</t>
        </is>
      </c>
      <c r="C82" s="19" t="inlineStr">
        <is>
          <t>MBway</t>
        </is>
      </c>
      <c r="D82" s="19" t="inlineStr">
        <is>
          <t>Lyon</t>
        </is>
      </c>
      <c r="E82" s="19" t="inlineStr">
        <is>
          <t>708</t>
        </is>
      </c>
      <c r="F82" s="18" t="inlineStr">
        <is>
          <t>Frais de dossier &amp; droits d'inscription</t>
        </is>
      </c>
      <c r="G82" s="19" t="inlineStr">
        <is>
          <t>70 — Prestations de services</t>
        </is>
      </c>
      <c r="H82" s="19" t="inlineStr">
        <is>
          <t>Produit</t>
        </is>
      </c>
      <c r="I82" s="19" t="inlineStr">
        <is>
          <t>Produits</t>
        </is>
      </c>
      <c r="J82" s="19" t="inlineStr">
        <is>
          <t>2025ACT_VDEF</t>
        </is>
      </c>
      <c r="K82" s="19" t="inlineStr">
        <is>
          <t>2025 (N-1)</t>
        </is>
      </c>
      <c r="L82" s="13" t="n">
        <v>11208</v>
      </c>
    </row>
    <row r="83">
      <c r="A83" s="19" t="inlineStr">
        <is>
          <t>MBWAY_NANTES</t>
        </is>
      </c>
      <c r="B83" s="18" t="inlineStr">
        <is>
          <t>MBway Nantes</t>
        </is>
      </c>
      <c r="C83" s="19" t="inlineStr">
        <is>
          <t>MBway</t>
        </is>
      </c>
      <c r="D83" s="19" t="inlineStr">
        <is>
          <t>Nantes</t>
        </is>
      </c>
      <c r="E83" s="19" t="inlineStr">
        <is>
          <t>708</t>
        </is>
      </c>
      <c r="F83" s="18" t="inlineStr">
        <is>
          <t>Frais de dossier &amp; droits d'inscription</t>
        </is>
      </c>
      <c r="G83" s="19" t="inlineStr">
        <is>
          <t>70 — Prestations de services</t>
        </is>
      </c>
      <c r="H83" s="19" t="inlineStr">
        <is>
          <t>Produit</t>
        </is>
      </c>
      <c r="I83" s="19" t="inlineStr">
        <is>
          <t>Produits</t>
        </is>
      </c>
      <c r="J83" s="19" t="inlineStr">
        <is>
          <t>2025ACT_VDEF</t>
        </is>
      </c>
      <c r="K83" s="19" t="inlineStr">
        <is>
          <t>2025 (N-1)</t>
        </is>
      </c>
      <c r="L83" s="13" t="n">
        <v>10189</v>
      </c>
    </row>
    <row r="84">
      <c r="A84" s="19" t="inlineStr">
        <is>
          <t>MBWAY_BORDEAUX</t>
        </is>
      </c>
      <c r="B84" s="18" t="inlineStr">
        <is>
          <t>MBway Bordeaux</t>
        </is>
      </c>
      <c r="C84" s="19" t="inlineStr">
        <is>
          <t>MBway</t>
        </is>
      </c>
      <c r="D84" s="19" t="inlineStr">
        <is>
          <t>Bordeaux</t>
        </is>
      </c>
      <c r="E84" s="19" t="inlineStr">
        <is>
          <t>708</t>
        </is>
      </c>
      <c r="F84" s="18" t="inlineStr">
        <is>
          <t>Frais de dossier &amp; droits d'inscription</t>
        </is>
      </c>
      <c r="G84" s="19" t="inlineStr">
        <is>
          <t>70 — Prestations de services</t>
        </is>
      </c>
      <c r="H84" s="19" t="inlineStr">
        <is>
          <t>Produit</t>
        </is>
      </c>
      <c r="I84" s="19" t="inlineStr">
        <is>
          <t>Produits</t>
        </is>
      </c>
      <c r="J84" s="19" t="inlineStr">
        <is>
          <t>2025ACT_VDEF</t>
        </is>
      </c>
      <c r="K84" s="19" t="inlineStr">
        <is>
          <t>2025 (N-1)</t>
        </is>
      </c>
      <c r="L84" s="13" t="n">
        <v>8660</v>
      </c>
    </row>
    <row r="85">
      <c r="A85" s="19" t="inlineStr">
        <is>
          <t>ISCOM_PARIS</t>
        </is>
      </c>
      <c r="B85" s="18" t="inlineStr">
        <is>
          <t>ISCOM Paris</t>
        </is>
      </c>
      <c r="C85" s="19" t="inlineStr">
        <is>
          <t>ISCOM</t>
        </is>
      </c>
      <c r="D85" s="19" t="inlineStr">
        <is>
          <t>Paris</t>
        </is>
      </c>
      <c r="E85" s="19" t="inlineStr">
        <is>
          <t>708</t>
        </is>
      </c>
      <c r="F85" s="18" t="inlineStr">
        <is>
          <t>Frais de dossier &amp; droits d'inscription</t>
        </is>
      </c>
      <c r="G85" s="19" t="inlineStr">
        <is>
          <t>70 — Prestations de services</t>
        </is>
      </c>
      <c r="H85" s="19" t="inlineStr">
        <is>
          <t>Produit</t>
        </is>
      </c>
      <c r="I85" s="19" t="inlineStr">
        <is>
          <t>Produits</t>
        </is>
      </c>
      <c r="J85" s="19" t="inlineStr">
        <is>
          <t>2025ACT_VDEF</t>
        </is>
      </c>
      <c r="K85" s="19" t="inlineStr">
        <is>
          <t>2025 (N-1)</t>
        </is>
      </c>
      <c r="L85" s="13" t="n">
        <v>12226</v>
      </c>
    </row>
    <row r="86">
      <c r="A86" s="19" t="inlineStr">
        <is>
          <t>ISCOM_LILLE</t>
        </is>
      </c>
      <c r="B86" s="18" t="inlineStr">
        <is>
          <t>ISCOM Lille</t>
        </is>
      </c>
      <c r="C86" s="19" t="inlineStr">
        <is>
          <t>ISCOM</t>
        </is>
      </c>
      <c r="D86" s="19" t="inlineStr">
        <is>
          <t>Lille</t>
        </is>
      </c>
      <c r="E86" s="19" t="inlineStr">
        <is>
          <t>708</t>
        </is>
      </c>
      <c r="F86" s="18" t="inlineStr">
        <is>
          <t>Frais de dossier &amp; droits d'inscription</t>
        </is>
      </c>
      <c r="G86" s="19" t="inlineStr">
        <is>
          <t>70 — Prestations de services</t>
        </is>
      </c>
      <c r="H86" s="19" t="inlineStr">
        <is>
          <t>Produit</t>
        </is>
      </c>
      <c r="I86" s="19" t="inlineStr">
        <is>
          <t>Produits</t>
        </is>
      </c>
      <c r="J86" s="19" t="inlineStr">
        <is>
          <t>2025ACT_VDEF</t>
        </is>
      </c>
      <c r="K86" s="19" t="inlineStr">
        <is>
          <t>2025 (N-1)</t>
        </is>
      </c>
      <c r="L86" s="13" t="n">
        <v>8491</v>
      </c>
    </row>
    <row r="87">
      <c r="A87" s="19" t="inlineStr">
        <is>
          <t>ISCOM_TOULOUSE</t>
        </is>
      </c>
      <c r="B87" s="18" t="inlineStr">
        <is>
          <t>ISCOM Toulouse</t>
        </is>
      </c>
      <c r="C87" s="19" t="inlineStr">
        <is>
          <t>ISCOM</t>
        </is>
      </c>
      <c r="D87" s="19" t="inlineStr">
        <is>
          <t>Toulouse</t>
        </is>
      </c>
      <c r="E87" s="19" t="inlineStr">
        <is>
          <t>708</t>
        </is>
      </c>
      <c r="F87" s="18" t="inlineStr">
        <is>
          <t>Frais de dossier &amp; droits d'inscription</t>
        </is>
      </c>
      <c r="G87" s="19" t="inlineStr">
        <is>
          <t>70 — Prestations de services</t>
        </is>
      </c>
      <c r="H87" s="19" t="inlineStr">
        <is>
          <t>Produit</t>
        </is>
      </c>
      <c r="I87" s="19" t="inlineStr">
        <is>
          <t>Produits</t>
        </is>
      </c>
      <c r="J87" s="19" t="inlineStr">
        <is>
          <t>2025ACT_VDEF</t>
        </is>
      </c>
      <c r="K87" s="19" t="inlineStr">
        <is>
          <t>2025 (N-1)</t>
        </is>
      </c>
      <c r="L87" s="13" t="n">
        <v>7981</v>
      </c>
    </row>
    <row r="88">
      <c r="A88" s="19" t="inlineStr">
        <is>
          <t>IPAC_BACHELOR_FACTORY_NANTES</t>
        </is>
      </c>
      <c r="B88" s="18" t="inlineStr">
        <is>
          <t>Ipac Bachelor Factory Nantes</t>
        </is>
      </c>
      <c r="C88" s="19" t="inlineStr">
        <is>
          <t>Ipac Bachelor Factory</t>
        </is>
      </c>
      <c r="D88" s="19" t="inlineStr">
        <is>
          <t>Nantes</t>
        </is>
      </c>
      <c r="E88" s="19" t="inlineStr">
        <is>
          <t>708</t>
        </is>
      </c>
      <c r="F88" s="18" t="inlineStr">
        <is>
          <t>Frais de dossier &amp; droits d'inscription</t>
        </is>
      </c>
      <c r="G88" s="19" t="inlineStr">
        <is>
          <t>70 — Prestations de services</t>
        </is>
      </c>
      <c r="H88" s="19" t="inlineStr">
        <is>
          <t>Produit</t>
        </is>
      </c>
      <c r="I88" s="19" t="inlineStr">
        <is>
          <t>Produits</t>
        </is>
      </c>
      <c r="J88" s="19" t="inlineStr">
        <is>
          <t>2025ACT_VDEF</t>
        </is>
      </c>
      <c r="K88" s="19" t="inlineStr">
        <is>
          <t>2025 (N-1)</t>
        </is>
      </c>
      <c r="L88" s="13" t="n">
        <v>4245</v>
      </c>
    </row>
    <row r="89">
      <c r="A89" s="19" t="inlineStr">
        <is>
          <t>IPAC_BACHELOR_FACTORY_RENNES</t>
        </is>
      </c>
      <c r="B89" s="18" t="inlineStr">
        <is>
          <t>Ipac Bachelor Factory Rennes</t>
        </is>
      </c>
      <c r="C89" s="19" t="inlineStr">
        <is>
          <t>Ipac Bachelor Factory</t>
        </is>
      </c>
      <c r="D89" s="19" t="inlineStr">
        <is>
          <t>Rennes</t>
        </is>
      </c>
      <c r="E89" s="19" t="inlineStr">
        <is>
          <t>708</t>
        </is>
      </c>
      <c r="F89" s="18" t="inlineStr">
        <is>
          <t>Frais de dossier &amp; droits d'inscription</t>
        </is>
      </c>
      <c r="G89" s="19" t="inlineStr">
        <is>
          <t>70 — Prestations de services</t>
        </is>
      </c>
      <c r="H89" s="19" t="inlineStr">
        <is>
          <t>Produit</t>
        </is>
      </c>
      <c r="I89" s="19" t="inlineStr">
        <is>
          <t>Produits</t>
        </is>
      </c>
      <c r="J89" s="19" t="inlineStr">
        <is>
          <t>2025ACT_VDEF</t>
        </is>
      </c>
      <c r="K89" s="19" t="inlineStr">
        <is>
          <t>2025 (N-1)</t>
        </is>
      </c>
      <c r="L89" s="13" t="n">
        <v>3396</v>
      </c>
    </row>
    <row r="90">
      <c r="A90" s="19" t="inlineStr">
        <is>
          <t>IPAC_BACHELOR_FACTORY_MONTPELLIER</t>
        </is>
      </c>
      <c r="B90" s="18" t="inlineStr">
        <is>
          <t>Ipac Bachelor Factory Montpellier</t>
        </is>
      </c>
      <c r="C90" s="19" t="inlineStr">
        <is>
          <t>Ipac Bachelor Factory</t>
        </is>
      </c>
      <c r="D90" s="19" t="inlineStr">
        <is>
          <t>Montpellier</t>
        </is>
      </c>
      <c r="E90" s="19" t="inlineStr">
        <is>
          <t>708</t>
        </is>
      </c>
      <c r="F90" s="18" t="inlineStr">
        <is>
          <t>Frais de dossier &amp; droits d'inscription</t>
        </is>
      </c>
      <c r="G90" s="19" t="inlineStr">
        <is>
          <t>70 — Prestations de services</t>
        </is>
      </c>
      <c r="H90" s="19" t="inlineStr">
        <is>
          <t>Produit</t>
        </is>
      </c>
      <c r="I90" s="19" t="inlineStr">
        <is>
          <t>Produits</t>
        </is>
      </c>
      <c r="J90" s="19" t="inlineStr">
        <is>
          <t>2025ACT_VDEF</t>
        </is>
      </c>
      <c r="K90" s="19" t="inlineStr">
        <is>
          <t>2025 (N-1)</t>
        </is>
      </c>
      <c r="L90" s="13" t="n">
        <v>3396</v>
      </c>
    </row>
    <row r="91">
      <c r="A91" s="19" t="inlineStr">
        <is>
          <t>PIGIER_LYON</t>
        </is>
      </c>
      <c r="B91" s="18" t="inlineStr">
        <is>
          <t>Pigier Lyon</t>
        </is>
      </c>
      <c r="C91" s="19" t="inlineStr">
        <is>
          <t>Pigier</t>
        </is>
      </c>
      <c r="D91" s="19" t="inlineStr">
        <is>
          <t>Lyon</t>
        </is>
      </c>
      <c r="E91" s="19" t="inlineStr">
        <is>
          <t>708</t>
        </is>
      </c>
      <c r="F91" s="18" t="inlineStr">
        <is>
          <t>Frais de dossier &amp; droits d'inscription</t>
        </is>
      </c>
      <c r="G91" s="19" t="inlineStr">
        <is>
          <t>70 — Prestations de services</t>
        </is>
      </c>
      <c r="H91" s="19" t="inlineStr">
        <is>
          <t>Produit</t>
        </is>
      </c>
      <c r="I91" s="19" t="inlineStr">
        <is>
          <t>Produits</t>
        </is>
      </c>
      <c r="J91" s="19" t="inlineStr">
        <is>
          <t>2025ACT_VDEF</t>
        </is>
      </c>
      <c r="K91" s="19" t="inlineStr">
        <is>
          <t>2025 (N-1)</t>
        </is>
      </c>
      <c r="L91" s="13" t="n">
        <v>7811</v>
      </c>
    </row>
    <row r="92">
      <c r="A92" s="19" t="inlineStr">
        <is>
          <t>PIGIER_BORDEAUX</t>
        </is>
      </c>
      <c r="B92" s="18" t="inlineStr">
        <is>
          <t>Pigier Bordeaux</t>
        </is>
      </c>
      <c r="C92" s="19" t="inlineStr">
        <is>
          <t>Pigier</t>
        </is>
      </c>
      <c r="D92" s="19" t="inlineStr">
        <is>
          <t>Bordeaux</t>
        </is>
      </c>
      <c r="E92" s="19" t="inlineStr">
        <is>
          <t>708</t>
        </is>
      </c>
      <c r="F92" s="18" t="inlineStr">
        <is>
          <t>Frais de dossier &amp; droits d'inscription</t>
        </is>
      </c>
      <c r="G92" s="19" t="inlineStr">
        <is>
          <t>70 — Prestations de services</t>
        </is>
      </c>
      <c r="H92" s="19" t="inlineStr">
        <is>
          <t>Produit</t>
        </is>
      </c>
      <c r="I92" s="19" t="inlineStr">
        <is>
          <t>Produits</t>
        </is>
      </c>
      <c r="J92" s="19" t="inlineStr">
        <is>
          <t>2025ACT_VDEF</t>
        </is>
      </c>
      <c r="K92" s="19" t="inlineStr">
        <is>
          <t>2025 (N-1)</t>
        </is>
      </c>
      <c r="L92" s="13" t="n">
        <v>6113</v>
      </c>
    </row>
    <row r="93">
      <c r="A93" s="19" t="inlineStr">
        <is>
          <t>TUNON_PARIS</t>
        </is>
      </c>
      <c r="B93" s="18" t="inlineStr">
        <is>
          <t>Tunon Paris</t>
        </is>
      </c>
      <c r="C93" s="19" t="inlineStr">
        <is>
          <t>Tunon</t>
        </is>
      </c>
      <c r="D93" s="19" t="inlineStr">
        <is>
          <t>Paris</t>
        </is>
      </c>
      <c r="E93" s="19" t="inlineStr">
        <is>
          <t>708</t>
        </is>
      </c>
      <c r="F93" s="18" t="inlineStr">
        <is>
          <t>Frais de dossier &amp; droits d'inscription</t>
        </is>
      </c>
      <c r="G93" s="19" t="inlineStr">
        <is>
          <t>70 — Prestations de services</t>
        </is>
      </c>
      <c r="H93" s="19" t="inlineStr">
        <is>
          <t>Produit</t>
        </is>
      </c>
      <c r="I93" s="19" t="inlineStr">
        <is>
          <t>Produits</t>
        </is>
      </c>
      <c r="J93" s="19" t="inlineStr">
        <is>
          <t>2025ACT_VDEF</t>
        </is>
      </c>
      <c r="K93" s="19" t="inlineStr">
        <is>
          <t>2025 (N-1)</t>
        </is>
      </c>
      <c r="L93" s="13" t="n">
        <v>3991</v>
      </c>
    </row>
    <row r="94">
      <c r="A94" s="19" t="inlineStr">
        <is>
          <t>TUNON_LYON</t>
        </is>
      </c>
      <c r="B94" s="18" t="inlineStr">
        <is>
          <t>Tunon Lyon</t>
        </is>
      </c>
      <c r="C94" s="19" t="inlineStr">
        <is>
          <t>Tunon</t>
        </is>
      </c>
      <c r="D94" s="19" t="inlineStr">
        <is>
          <t>Lyon</t>
        </is>
      </c>
      <c r="E94" s="19" t="inlineStr">
        <is>
          <t>708</t>
        </is>
      </c>
      <c r="F94" s="18" t="inlineStr">
        <is>
          <t>Frais de dossier &amp; droits d'inscription</t>
        </is>
      </c>
      <c r="G94" s="19" t="inlineStr">
        <is>
          <t>70 — Prestations de services</t>
        </is>
      </c>
      <c r="H94" s="19" t="inlineStr">
        <is>
          <t>Produit</t>
        </is>
      </c>
      <c r="I94" s="19" t="inlineStr">
        <is>
          <t>Produits</t>
        </is>
      </c>
      <c r="J94" s="19" t="inlineStr">
        <is>
          <t>2025ACT_VDEF</t>
        </is>
      </c>
      <c r="K94" s="19" t="inlineStr">
        <is>
          <t>2025 (N-1)</t>
        </is>
      </c>
      <c r="L94" s="13" t="n">
        <v>3396</v>
      </c>
    </row>
    <row r="95">
      <c r="A95" s="19" t="inlineStr">
        <is>
          <t>MBWAY_PARIS</t>
        </is>
      </c>
      <c r="B95" s="18" t="inlineStr">
        <is>
          <t>MBway Paris</t>
        </is>
      </c>
      <c r="C95" s="19" t="inlineStr">
        <is>
          <t>MBway</t>
        </is>
      </c>
      <c r="D95" s="19" t="inlineStr">
        <is>
          <t>Paris</t>
        </is>
      </c>
      <c r="E95" s="19" t="inlineStr">
        <is>
          <t>708</t>
        </is>
      </c>
      <c r="F95" s="18" t="inlineStr">
        <is>
          <t>Frais de dossier &amp; droits d'inscription</t>
        </is>
      </c>
      <c r="G95" s="19" t="inlineStr">
        <is>
          <t>70 — Prestations de services</t>
        </is>
      </c>
      <c r="H95" s="19" t="inlineStr">
        <is>
          <t>Produit</t>
        </is>
      </c>
      <c r="I95" s="19" t="inlineStr">
        <is>
          <t>Produits</t>
        </is>
      </c>
      <c r="J95" s="19" t="inlineStr">
        <is>
          <t>2026ATT_VDEF</t>
        </is>
      </c>
      <c r="K95" s="19" t="inlineStr">
        <is>
          <t>2026 (Atterr.)</t>
        </is>
      </c>
      <c r="L95" s="13" t="n">
        <v>14040</v>
      </c>
    </row>
    <row r="96">
      <c r="A96" s="19" t="inlineStr">
        <is>
          <t>MBWAY_LYON</t>
        </is>
      </c>
      <c r="B96" s="18" t="inlineStr">
        <is>
          <t>MBway Lyon</t>
        </is>
      </c>
      <c r="C96" s="19" t="inlineStr">
        <is>
          <t>MBway</t>
        </is>
      </c>
      <c r="D96" s="19" t="inlineStr">
        <is>
          <t>Lyon</t>
        </is>
      </c>
      <c r="E96" s="19" t="inlineStr">
        <is>
          <t>708</t>
        </is>
      </c>
      <c r="F96" s="18" t="inlineStr">
        <is>
          <t>Frais de dossier &amp; droits d'inscription</t>
        </is>
      </c>
      <c r="G96" s="19" t="inlineStr">
        <is>
          <t>70 — Prestations de services</t>
        </is>
      </c>
      <c r="H96" s="19" t="inlineStr">
        <is>
          <t>Produit</t>
        </is>
      </c>
      <c r="I96" s="19" t="inlineStr">
        <is>
          <t>Produits</t>
        </is>
      </c>
      <c r="J96" s="19" t="inlineStr">
        <is>
          <t>2026ATT_VDEF</t>
        </is>
      </c>
      <c r="K96" s="19" t="inlineStr">
        <is>
          <t>2026 (Atterr.)</t>
        </is>
      </c>
      <c r="L96" s="13" t="n">
        <v>11880</v>
      </c>
    </row>
    <row r="97">
      <c r="A97" s="19" t="inlineStr">
        <is>
          <t>MBWAY_NANTES</t>
        </is>
      </c>
      <c r="B97" s="18" t="inlineStr">
        <is>
          <t>MBway Nantes</t>
        </is>
      </c>
      <c r="C97" s="19" t="inlineStr">
        <is>
          <t>MBway</t>
        </is>
      </c>
      <c r="D97" s="19" t="inlineStr">
        <is>
          <t>Nantes</t>
        </is>
      </c>
      <c r="E97" s="19" t="inlineStr">
        <is>
          <t>708</t>
        </is>
      </c>
      <c r="F97" s="18" t="inlineStr">
        <is>
          <t>Frais de dossier &amp; droits d'inscription</t>
        </is>
      </c>
      <c r="G97" s="19" t="inlineStr">
        <is>
          <t>70 — Prestations de services</t>
        </is>
      </c>
      <c r="H97" s="19" t="inlineStr">
        <is>
          <t>Produit</t>
        </is>
      </c>
      <c r="I97" s="19" t="inlineStr">
        <is>
          <t>Produits</t>
        </is>
      </c>
      <c r="J97" s="19" t="inlineStr">
        <is>
          <t>2026ATT_VDEF</t>
        </is>
      </c>
      <c r="K97" s="19" t="inlineStr">
        <is>
          <t>2026 (Atterr.)</t>
        </is>
      </c>
      <c r="L97" s="13" t="n">
        <v>10800</v>
      </c>
    </row>
    <row r="98">
      <c r="A98" s="19" t="inlineStr">
        <is>
          <t>MBWAY_BORDEAUX</t>
        </is>
      </c>
      <c r="B98" s="18" t="inlineStr">
        <is>
          <t>MBway Bordeaux</t>
        </is>
      </c>
      <c r="C98" s="19" t="inlineStr">
        <is>
          <t>MBway</t>
        </is>
      </c>
      <c r="D98" s="19" t="inlineStr">
        <is>
          <t>Bordeaux</t>
        </is>
      </c>
      <c r="E98" s="19" t="inlineStr">
        <is>
          <t>708</t>
        </is>
      </c>
      <c r="F98" s="18" t="inlineStr">
        <is>
          <t>Frais de dossier &amp; droits d'inscription</t>
        </is>
      </c>
      <c r="G98" s="19" t="inlineStr">
        <is>
          <t>70 — Prestations de services</t>
        </is>
      </c>
      <c r="H98" s="19" t="inlineStr">
        <is>
          <t>Produit</t>
        </is>
      </c>
      <c r="I98" s="19" t="inlineStr">
        <is>
          <t>Produits</t>
        </is>
      </c>
      <c r="J98" s="19" t="inlineStr">
        <is>
          <t>2026ATT_VDEF</t>
        </is>
      </c>
      <c r="K98" s="19" t="inlineStr">
        <is>
          <t>2026 (Atterr.)</t>
        </is>
      </c>
      <c r="L98" s="13" t="n">
        <v>9180</v>
      </c>
    </row>
    <row r="99">
      <c r="A99" s="19" t="inlineStr">
        <is>
          <t>ISCOM_PARIS</t>
        </is>
      </c>
      <c r="B99" s="18" t="inlineStr">
        <is>
          <t>ISCOM Paris</t>
        </is>
      </c>
      <c r="C99" s="19" t="inlineStr">
        <is>
          <t>ISCOM</t>
        </is>
      </c>
      <c r="D99" s="19" t="inlineStr">
        <is>
          <t>Paris</t>
        </is>
      </c>
      <c r="E99" s="19" t="inlineStr">
        <is>
          <t>708</t>
        </is>
      </c>
      <c r="F99" s="18" t="inlineStr">
        <is>
          <t>Frais de dossier &amp; droits d'inscription</t>
        </is>
      </c>
      <c r="G99" s="19" t="inlineStr">
        <is>
          <t>70 — Prestations de services</t>
        </is>
      </c>
      <c r="H99" s="19" t="inlineStr">
        <is>
          <t>Produit</t>
        </is>
      </c>
      <c r="I99" s="19" t="inlineStr">
        <is>
          <t>Produits</t>
        </is>
      </c>
      <c r="J99" s="19" t="inlineStr">
        <is>
          <t>2026ATT_VDEF</t>
        </is>
      </c>
      <c r="K99" s="19" t="inlineStr">
        <is>
          <t>2026 (Atterr.)</t>
        </is>
      </c>
      <c r="L99" s="13" t="n">
        <v>12960</v>
      </c>
    </row>
    <row r="100">
      <c r="A100" s="19" t="inlineStr">
        <is>
          <t>ISCOM_LILLE</t>
        </is>
      </c>
      <c r="B100" s="18" t="inlineStr">
        <is>
          <t>ISCOM Lille</t>
        </is>
      </c>
      <c r="C100" s="19" t="inlineStr">
        <is>
          <t>ISCOM</t>
        </is>
      </c>
      <c r="D100" s="19" t="inlineStr">
        <is>
          <t>Lille</t>
        </is>
      </c>
      <c r="E100" s="19" t="inlineStr">
        <is>
          <t>708</t>
        </is>
      </c>
      <c r="F100" s="18" t="inlineStr">
        <is>
          <t>Frais de dossier &amp; droits d'inscription</t>
        </is>
      </c>
      <c r="G100" s="19" t="inlineStr">
        <is>
          <t>70 — Prestations de services</t>
        </is>
      </c>
      <c r="H100" s="19" t="inlineStr">
        <is>
          <t>Produit</t>
        </is>
      </c>
      <c r="I100" s="19" t="inlineStr">
        <is>
          <t>Produits</t>
        </is>
      </c>
      <c r="J100" s="19" t="inlineStr">
        <is>
          <t>2026ATT_VDEF</t>
        </is>
      </c>
      <c r="K100" s="19" t="inlineStr">
        <is>
          <t>2026 (Atterr.)</t>
        </is>
      </c>
      <c r="L100" s="13" t="n">
        <v>9000</v>
      </c>
    </row>
    <row r="101">
      <c r="A101" s="19" t="inlineStr">
        <is>
          <t>ISCOM_TOULOUSE</t>
        </is>
      </c>
      <c r="B101" s="18" t="inlineStr">
        <is>
          <t>ISCOM Toulouse</t>
        </is>
      </c>
      <c r="C101" s="19" t="inlineStr">
        <is>
          <t>ISCOM</t>
        </is>
      </c>
      <c r="D101" s="19" t="inlineStr">
        <is>
          <t>Toulouse</t>
        </is>
      </c>
      <c r="E101" s="19" t="inlineStr">
        <is>
          <t>708</t>
        </is>
      </c>
      <c r="F101" s="18" t="inlineStr">
        <is>
          <t>Frais de dossier &amp; droits d'inscription</t>
        </is>
      </c>
      <c r="G101" s="19" t="inlineStr">
        <is>
          <t>70 — Prestations de services</t>
        </is>
      </c>
      <c r="H101" s="19" t="inlineStr">
        <is>
          <t>Produit</t>
        </is>
      </c>
      <c r="I101" s="19" t="inlineStr">
        <is>
          <t>Produits</t>
        </is>
      </c>
      <c r="J101" s="19" t="inlineStr">
        <is>
          <t>2026ATT_VDEF</t>
        </is>
      </c>
      <c r="K101" s="19" t="inlineStr">
        <is>
          <t>2026 (Atterr.)</t>
        </is>
      </c>
      <c r="L101" s="13" t="n">
        <v>8460</v>
      </c>
    </row>
    <row r="102">
      <c r="A102" s="19" t="inlineStr">
        <is>
          <t>IPAC_BACHELOR_FACTORY_NANTES</t>
        </is>
      </c>
      <c r="B102" s="18" t="inlineStr">
        <is>
          <t>Ipac Bachelor Factory Nantes</t>
        </is>
      </c>
      <c r="C102" s="19" t="inlineStr">
        <is>
          <t>Ipac Bachelor Factory</t>
        </is>
      </c>
      <c r="D102" s="19" t="inlineStr">
        <is>
          <t>Nantes</t>
        </is>
      </c>
      <c r="E102" s="19" t="inlineStr">
        <is>
          <t>708</t>
        </is>
      </c>
      <c r="F102" s="18" t="inlineStr">
        <is>
          <t>Frais de dossier &amp; droits d'inscription</t>
        </is>
      </c>
      <c r="G102" s="19" t="inlineStr">
        <is>
          <t>70 — Prestations de services</t>
        </is>
      </c>
      <c r="H102" s="19" t="inlineStr">
        <is>
          <t>Produit</t>
        </is>
      </c>
      <c r="I102" s="19" t="inlineStr">
        <is>
          <t>Produits</t>
        </is>
      </c>
      <c r="J102" s="19" t="inlineStr">
        <is>
          <t>2026ATT_VDEF</t>
        </is>
      </c>
      <c r="K102" s="19" t="inlineStr">
        <is>
          <t>2026 (Atterr.)</t>
        </is>
      </c>
      <c r="L102" s="13" t="n">
        <v>4500</v>
      </c>
    </row>
    <row r="103">
      <c r="A103" s="19" t="inlineStr">
        <is>
          <t>IPAC_BACHELOR_FACTORY_RENNES</t>
        </is>
      </c>
      <c r="B103" s="18" t="inlineStr">
        <is>
          <t>Ipac Bachelor Factory Rennes</t>
        </is>
      </c>
      <c r="C103" s="19" t="inlineStr">
        <is>
          <t>Ipac Bachelor Factory</t>
        </is>
      </c>
      <c r="D103" s="19" t="inlineStr">
        <is>
          <t>Rennes</t>
        </is>
      </c>
      <c r="E103" s="19" t="inlineStr">
        <is>
          <t>708</t>
        </is>
      </c>
      <c r="F103" s="18" t="inlineStr">
        <is>
          <t>Frais de dossier &amp; droits d'inscription</t>
        </is>
      </c>
      <c r="G103" s="19" t="inlineStr">
        <is>
          <t>70 — Prestations de services</t>
        </is>
      </c>
      <c r="H103" s="19" t="inlineStr">
        <is>
          <t>Produit</t>
        </is>
      </c>
      <c r="I103" s="19" t="inlineStr">
        <is>
          <t>Produits</t>
        </is>
      </c>
      <c r="J103" s="19" t="inlineStr">
        <is>
          <t>2026ATT_VDEF</t>
        </is>
      </c>
      <c r="K103" s="19" t="inlineStr">
        <is>
          <t>2026 (Atterr.)</t>
        </is>
      </c>
      <c r="L103" s="13" t="n">
        <v>3600</v>
      </c>
    </row>
    <row r="104">
      <c r="A104" s="19" t="inlineStr">
        <is>
          <t>IPAC_BACHELOR_FACTORY_MONTPELLIER</t>
        </is>
      </c>
      <c r="B104" s="18" t="inlineStr">
        <is>
          <t>Ipac Bachelor Factory Montpellier</t>
        </is>
      </c>
      <c r="C104" s="19" t="inlineStr">
        <is>
          <t>Ipac Bachelor Factory</t>
        </is>
      </c>
      <c r="D104" s="19" t="inlineStr">
        <is>
          <t>Montpellier</t>
        </is>
      </c>
      <c r="E104" s="19" t="inlineStr">
        <is>
          <t>708</t>
        </is>
      </c>
      <c r="F104" s="18" t="inlineStr">
        <is>
          <t>Frais de dossier &amp; droits d'inscription</t>
        </is>
      </c>
      <c r="G104" s="19" t="inlineStr">
        <is>
          <t>70 — Prestations de services</t>
        </is>
      </c>
      <c r="H104" s="19" t="inlineStr">
        <is>
          <t>Produit</t>
        </is>
      </c>
      <c r="I104" s="19" t="inlineStr">
        <is>
          <t>Produits</t>
        </is>
      </c>
      <c r="J104" s="19" t="inlineStr">
        <is>
          <t>2026ATT_VDEF</t>
        </is>
      </c>
      <c r="K104" s="19" t="inlineStr">
        <is>
          <t>2026 (Atterr.)</t>
        </is>
      </c>
      <c r="L104" s="13" t="n">
        <v>3600</v>
      </c>
    </row>
    <row r="105">
      <c r="A105" s="19" t="inlineStr">
        <is>
          <t>PIGIER_LYON</t>
        </is>
      </c>
      <c r="B105" s="18" t="inlineStr">
        <is>
          <t>Pigier Lyon</t>
        </is>
      </c>
      <c r="C105" s="19" t="inlineStr">
        <is>
          <t>Pigier</t>
        </is>
      </c>
      <c r="D105" s="19" t="inlineStr">
        <is>
          <t>Lyon</t>
        </is>
      </c>
      <c r="E105" s="19" t="inlineStr">
        <is>
          <t>708</t>
        </is>
      </c>
      <c r="F105" s="18" t="inlineStr">
        <is>
          <t>Frais de dossier &amp; droits d'inscription</t>
        </is>
      </c>
      <c r="G105" s="19" t="inlineStr">
        <is>
          <t>70 — Prestations de services</t>
        </is>
      </c>
      <c r="H105" s="19" t="inlineStr">
        <is>
          <t>Produit</t>
        </is>
      </c>
      <c r="I105" s="19" t="inlineStr">
        <is>
          <t>Produits</t>
        </is>
      </c>
      <c r="J105" s="19" t="inlineStr">
        <is>
          <t>2026ATT_VDEF</t>
        </is>
      </c>
      <c r="K105" s="19" t="inlineStr">
        <is>
          <t>2026 (Atterr.)</t>
        </is>
      </c>
      <c r="L105" s="13" t="n">
        <v>8280</v>
      </c>
    </row>
    <row r="106">
      <c r="A106" s="19" t="inlineStr">
        <is>
          <t>PIGIER_BORDEAUX</t>
        </is>
      </c>
      <c r="B106" s="18" t="inlineStr">
        <is>
          <t>Pigier Bordeaux</t>
        </is>
      </c>
      <c r="C106" s="19" t="inlineStr">
        <is>
          <t>Pigier</t>
        </is>
      </c>
      <c r="D106" s="19" t="inlineStr">
        <is>
          <t>Bordeaux</t>
        </is>
      </c>
      <c r="E106" s="19" t="inlineStr">
        <is>
          <t>708</t>
        </is>
      </c>
      <c r="F106" s="18" t="inlineStr">
        <is>
          <t>Frais de dossier &amp; droits d'inscription</t>
        </is>
      </c>
      <c r="G106" s="19" t="inlineStr">
        <is>
          <t>70 — Prestations de services</t>
        </is>
      </c>
      <c r="H106" s="19" t="inlineStr">
        <is>
          <t>Produit</t>
        </is>
      </c>
      <c r="I106" s="19" t="inlineStr">
        <is>
          <t>Produits</t>
        </is>
      </c>
      <c r="J106" s="19" t="inlineStr">
        <is>
          <t>2026ATT_VDEF</t>
        </is>
      </c>
      <c r="K106" s="19" t="inlineStr">
        <is>
          <t>2026 (Atterr.)</t>
        </is>
      </c>
      <c r="L106" s="13" t="n">
        <v>6480</v>
      </c>
    </row>
    <row r="107">
      <c r="A107" s="19" t="inlineStr">
        <is>
          <t>TUNON_PARIS</t>
        </is>
      </c>
      <c r="B107" s="18" t="inlineStr">
        <is>
          <t>Tunon Paris</t>
        </is>
      </c>
      <c r="C107" s="19" t="inlineStr">
        <is>
          <t>Tunon</t>
        </is>
      </c>
      <c r="D107" s="19" t="inlineStr">
        <is>
          <t>Paris</t>
        </is>
      </c>
      <c r="E107" s="19" t="inlineStr">
        <is>
          <t>708</t>
        </is>
      </c>
      <c r="F107" s="18" t="inlineStr">
        <is>
          <t>Frais de dossier &amp; droits d'inscription</t>
        </is>
      </c>
      <c r="G107" s="19" t="inlineStr">
        <is>
          <t>70 — Prestations de services</t>
        </is>
      </c>
      <c r="H107" s="19" t="inlineStr">
        <is>
          <t>Produit</t>
        </is>
      </c>
      <c r="I107" s="19" t="inlineStr">
        <is>
          <t>Produits</t>
        </is>
      </c>
      <c r="J107" s="19" t="inlineStr">
        <is>
          <t>2026ATT_VDEF</t>
        </is>
      </c>
      <c r="K107" s="19" t="inlineStr">
        <is>
          <t>2026 (Atterr.)</t>
        </is>
      </c>
      <c r="L107" s="13" t="n">
        <v>4230</v>
      </c>
    </row>
    <row r="108">
      <c r="A108" s="19" t="inlineStr">
        <is>
          <t>TUNON_LYON</t>
        </is>
      </c>
      <c r="B108" s="18" t="inlineStr">
        <is>
          <t>Tunon Lyon</t>
        </is>
      </c>
      <c r="C108" s="19" t="inlineStr">
        <is>
          <t>Tunon</t>
        </is>
      </c>
      <c r="D108" s="19" t="inlineStr">
        <is>
          <t>Lyon</t>
        </is>
      </c>
      <c r="E108" s="19" t="inlineStr">
        <is>
          <t>708</t>
        </is>
      </c>
      <c r="F108" s="18" t="inlineStr">
        <is>
          <t>Frais de dossier &amp; droits d'inscription</t>
        </is>
      </c>
      <c r="G108" s="19" t="inlineStr">
        <is>
          <t>70 — Prestations de services</t>
        </is>
      </c>
      <c r="H108" s="19" t="inlineStr">
        <is>
          <t>Produit</t>
        </is>
      </c>
      <c r="I108" s="19" t="inlineStr">
        <is>
          <t>Produits</t>
        </is>
      </c>
      <c r="J108" s="19" t="inlineStr">
        <is>
          <t>2026ATT_VDEF</t>
        </is>
      </c>
      <c r="K108" s="19" t="inlineStr">
        <is>
          <t>2026 (Atterr.)</t>
        </is>
      </c>
      <c r="L108" s="13" t="n">
        <v>3600</v>
      </c>
    </row>
    <row r="109">
      <c r="A109" s="19" t="inlineStr">
        <is>
          <t>MBWAY_PARIS</t>
        </is>
      </c>
      <c r="B109" s="18" t="inlineStr">
        <is>
          <t>MBway Paris</t>
        </is>
      </c>
      <c r="C109" s="19" t="inlineStr">
        <is>
          <t>MBway</t>
        </is>
      </c>
      <c r="D109" s="19" t="inlineStr">
        <is>
          <t>Paris</t>
        </is>
      </c>
      <c r="E109" s="19" t="inlineStr">
        <is>
          <t>621</t>
        </is>
      </c>
      <c r="F109" s="18" t="inlineStr">
        <is>
          <t>Personnel extérieur — vacataires &amp; intervenants</t>
        </is>
      </c>
      <c r="G109" s="19" t="inlineStr">
        <is>
          <t>62 — Autres services extérieurs</t>
        </is>
      </c>
      <c r="H109" s="19" t="inlineStr">
        <is>
          <t>Charge</t>
        </is>
      </c>
      <c r="I109" s="19" t="inlineStr">
        <is>
          <t>Coûts directs</t>
        </is>
      </c>
      <c r="J109" s="19" t="inlineStr">
        <is>
          <t>2024ACT_VDEF</t>
        </is>
      </c>
      <c r="K109" s="19" t="inlineStr">
        <is>
          <t>2024 (N-2)</t>
        </is>
      </c>
      <c r="L109" s="13" t="n">
        <v>160273</v>
      </c>
    </row>
    <row r="110">
      <c r="A110" s="19" t="inlineStr">
        <is>
          <t>MBWAY_LYON</t>
        </is>
      </c>
      <c r="B110" s="18" t="inlineStr">
        <is>
          <t>MBway Lyon</t>
        </is>
      </c>
      <c r="C110" s="19" t="inlineStr">
        <is>
          <t>MBway</t>
        </is>
      </c>
      <c r="D110" s="19" t="inlineStr">
        <is>
          <t>Lyon</t>
        </is>
      </c>
      <c r="E110" s="19" t="inlineStr">
        <is>
          <t>621</t>
        </is>
      </c>
      <c r="F110" s="18" t="inlineStr">
        <is>
          <t>Personnel extérieur — vacataires &amp; intervenants</t>
        </is>
      </c>
      <c r="G110" s="19" t="inlineStr">
        <is>
          <t>62 — Autres services extérieurs</t>
        </is>
      </c>
      <c r="H110" s="19" t="inlineStr">
        <is>
          <t>Charge</t>
        </is>
      </c>
      <c r="I110" s="19" t="inlineStr">
        <is>
          <t>Coûts directs</t>
        </is>
      </c>
      <c r="J110" s="19" t="inlineStr">
        <is>
          <t>2024ACT_VDEF</t>
        </is>
      </c>
      <c r="K110" s="19" t="inlineStr">
        <is>
          <t>2024 (N-2)</t>
        </is>
      </c>
      <c r="L110" s="13" t="n">
        <v>138903</v>
      </c>
    </row>
    <row r="111">
      <c r="A111" s="19" t="inlineStr">
        <is>
          <t>MBWAY_NANTES</t>
        </is>
      </c>
      <c r="B111" s="18" t="inlineStr">
        <is>
          <t>MBway Nantes</t>
        </is>
      </c>
      <c r="C111" s="19" t="inlineStr">
        <is>
          <t>MBway</t>
        </is>
      </c>
      <c r="D111" s="19" t="inlineStr">
        <is>
          <t>Nantes</t>
        </is>
      </c>
      <c r="E111" s="19" t="inlineStr">
        <is>
          <t>621</t>
        </is>
      </c>
      <c r="F111" s="18" t="inlineStr">
        <is>
          <t>Personnel extérieur — vacataires &amp; intervenants</t>
        </is>
      </c>
      <c r="G111" s="19" t="inlineStr">
        <is>
          <t>62 — Autres services extérieurs</t>
        </is>
      </c>
      <c r="H111" s="19" t="inlineStr">
        <is>
          <t>Charge</t>
        </is>
      </c>
      <c r="I111" s="19" t="inlineStr">
        <is>
          <t>Coûts directs</t>
        </is>
      </c>
      <c r="J111" s="19" t="inlineStr">
        <is>
          <t>2024ACT_VDEF</t>
        </is>
      </c>
      <c r="K111" s="19" t="inlineStr">
        <is>
          <t>2024 (N-2)</t>
        </is>
      </c>
      <c r="L111" s="13" t="n">
        <v>128218</v>
      </c>
    </row>
    <row r="112">
      <c r="A112" s="19" t="inlineStr">
        <is>
          <t>MBWAY_BORDEAUX</t>
        </is>
      </c>
      <c r="B112" s="18" t="inlineStr">
        <is>
          <t>MBway Bordeaux</t>
        </is>
      </c>
      <c r="C112" s="19" t="inlineStr">
        <is>
          <t>MBway</t>
        </is>
      </c>
      <c r="D112" s="19" t="inlineStr">
        <is>
          <t>Bordeaux</t>
        </is>
      </c>
      <c r="E112" s="19" t="inlineStr">
        <is>
          <t>621</t>
        </is>
      </c>
      <c r="F112" s="18" t="inlineStr">
        <is>
          <t>Personnel extérieur — vacataires &amp; intervenants</t>
        </is>
      </c>
      <c r="G112" s="19" t="inlineStr">
        <is>
          <t>62 — Autres services extérieurs</t>
        </is>
      </c>
      <c r="H112" s="19" t="inlineStr">
        <is>
          <t>Charge</t>
        </is>
      </c>
      <c r="I112" s="19" t="inlineStr">
        <is>
          <t>Coûts directs</t>
        </is>
      </c>
      <c r="J112" s="19" t="inlineStr">
        <is>
          <t>2024ACT_VDEF</t>
        </is>
      </c>
      <c r="K112" s="19" t="inlineStr">
        <is>
          <t>2024 (N-2)</t>
        </is>
      </c>
      <c r="L112" s="13" t="n">
        <v>106849</v>
      </c>
    </row>
    <row r="113">
      <c r="A113" s="19" t="inlineStr">
        <is>
          <t>ISCOM_PARIS</t>
        </is>
      </c>
      <c r="B113" s="18" t="inlineStr">
        <is>
          <t>ISCOM Paris</t>
        </is>
      </c>
      <c r="C113" s="19" t="inlineStr">
        <is>
          <t>ISCOM</t>
        </is>
      </c>
      <c r="D113" s="19" t="inlineStr">
        <is>
          <t>Paris</t>
        </is>
      </c>
      <c r="E113" s="19" t="inlineStr">
        <is>
          <t>621</t>
        </is>
      </c>
      <c r="F113" s="18" t="inlineStr">
        <is>
          <t>Personnel extérieur — vacataires &amp; intervenants</t>
        </is>
      </c>
      <c r="G113" s="19" t="inlineStr">
        <is>
          <t>62 — Autres services extérieurs</t>
        </is>
      </c>
      <c r="H113" s="19" t="inlineStr">
        <is>
          <t>Charge</t>
        </is>
      </c>
      <c r="I113" s="19" t="inlineStr">
        <is>
          <t>Coûts directs</t>
        </is>
      </c>
      <c r="J113" s="19" t="inlineStr">
        <is>
          <t>2024ACT_VDEF</t>
        </is>
      </c>
      <c r="K113" s="19" t="inlineStr">
        <is>
          <t>2024 (N-2)</t>
        </is>
      </c>
      <c r="L113" s="13" t="n">
        <v>149588</v>
      </c>
    </row>
    <row r="114">
      <c r="A114" s="19" t="inlineStr">
        <is>
          <t>ISCOM_LILLE</t>
        </is>
      </c>
      <c r="B114" s="18" t="inlineStr">
        <is>
          <t>ISCOM Lille</t>
        </is>
      </c>
      <c r="C114" s="19" t="inlineStr">
        <is>
          <t>ISCOM</t>
        </is>
      </c>
      <c r="D114" s="19" t="inlineStr">
        <is>
          <t>Lille</t>
        </is>
      </c>
      <c r="E114" s="19" t="inlineStr">
        <is>
          <t>621</t>
        </is>
      </c>
      <c r="F114" s="18" t="inlineStr">
        <is>
          <t>Personnel extérieur — vacataires &amp; intervenants</t>
        </is>
      </c>
      <c r="G114" s="19" t="inlineStr">
        <is>
          <t>62 — Autres services extérieurs</t>
        </is>
      </c>
      <c r="H114" s="19" t="inlineStr">
        <is>
          <t>Charge</t>
        </is>
      </c>
      <c r="I114" s="19" t="inlineStr">
        <is>
          <t>Coûts directs</t>
        </is>
      </c>
      <c r="J114" s="19" t="inlineStr">
        <is>
          <t>2024ACT_VDEF</t>
        </is>
      </c>
      <c r="K114" s="19" t="inlineStr">
        <is>
          <t>2024 (N-2)</t>
        </is>
      </c>
      <c r="L114" s="13" t="n">
        <v>106849</v>
      </c>
    </row>
    <row r="115">
      <c r="A115" s="19" t="inlineStr">
        <is>
          <t>ISCOM_TOULOUSE</t>
        </is>
      </c>
      <c r="B115" s="18" t="inlineStr">
        <is>
          <t>ISCOM Toulouse</t>
        </is>
      </c>
      <c r="C115" s="19" t="inlineStr">
        <is>
          <t>ISCOM</t>
        </is>
      </c>
      <c r="D115" s="19" t="inlineStr">
        <is>
          <t>Toulouse</t>
        </is>
      </c>
      <c r="E115" s="19" t="inlineStr">
        <is>
          <t>621</t>
        </is>
      </c>
      <c r="F115" s="18" t="inlineStr">
        <is>
          <t>Personnel extérieur — vacataires &amp; intervenants</t>
        </is>
      </c>
      <c r="G115" s="19" t="inlineStr">
        <is>
          <t>62 — Autres services extérieurs</t>
        </is>
      </c>
      <c r="H115" s="19" t="inlineStr">
        <is>
          <t>Charge</t>
        </is>
      </c>
      <c r="I115" s="19" t="inlineStr">
        <is>
          <t>Coûts directs</t>
        </is>
      </c>
      <c r="J115" s="19" t="inlineStr">
        <is>
          <t>2024ACT_VDEF</t>
        </is>
      </c>
      <c r="K115" s="19" t="inlineStr">
        <is>
          <t>2024 (N-2)</t>
        </is>
      </c>
      <c r="L115" s="13" t="n">
        <v>106849</v>
      </c>
    </row>
    <row r="116">
      <c r="A116" s="19" t="inlineStr">
        <is>
          <t>IPAC_BACHELOR_FACTORY_NANTES</t>
        </is>
      </c>
      <c r="B116" s="18" t="inlineStr">
        <is>
          <t>Ipac Bachelor Factory Nantes</t>
        </is>
      </c>
      <c r="C116" s="19" t="inlineStr">
        <is>
          <t>Ipac Bachelor Factory</t>
        </is>
      </c>
      <c r="D116" s="19" t="inlineStr">
        <is>
          <t>Nantes</t>
        </is>
      </c>
      <c r="E116" s="19" t="inlineStr">
        <is>
          <t>621</t>
        </is>
      </c>
      <c r="F116" s="18" t="inlineStr">
        <is>
          <t>Personnel extérieur — vacataires &amp; intervenants</t>
        </is>
      </c>
      <c r="G116" s="19" t="inlineStr">
        <is>
          <t>62 — Autres services extérieurs</t>
        </is>
      </c>
      <c r="H116" s="19" t="inlineStr">
        <is>
          <t>Charge</t>
        </is>
      </c>
      <c r="I116" s="19" t="inlineStr">
        <is>
          <t>Coûts directs</t>
        </is>
      </c>
      <c r="J116" s="19" t="inlineStr">
        <is>
          <t>2024ACT_VDEF</t>
        </is>
      </c>
      <c r="K116" s="19" t="inlineStr">
        <is>
          <t>2024 (N-2)</t>
        </is>
      </c>
      <c r="L116" s="13" t="n">
        <v>64109</v>
      </c>
    </row>
    <row r="117">
      <c r="A117" s="19" t="inlineStr">
        <is>
          <t>IPAC_BACHELOR_FACTORY_RENNES</t>
        </is>
      </c>
      <c r="B117" s="18" t="inlineStr">
        <is>
          <t>Ipac Bachelor Factory Rennes</t>
        </is>
      </c>
      <c r="C117" s="19" t="inlineStr">
        <is>
          <t>Ipac Bachelor Factory</t>
        </is>
      </c>
      <c r="D117" s="19" t="inlineStr">
        <is>
          <t>Rennes</t>
        </is>
      </c>
      <c r="E117" s="19" t="inlineStr">
        <is>
          <t>621</t>
        </is>
      </c>
      <c r="F117" s="18" t="inlineStr">
        <is>
          <t>Personnel extérieur — vacataires &amp; intervenants</t>
        </is>
      </c>
      <c r="G117" s="19" t="inlineStr">
        <is>
          <t>62 — Autres services extérieurs</t>
        </is>
      </c>
      <c r="H117" s="19" t="inlineStr">
        <is>
          <t>Charge</t>
        </is>
      </c>
      <c r="I117" s="19" t="inlineStr">
        <is>
          <t>Coûts directs</t>
        </is>
      </c>
      <c r="J117" s="19" t="inlineStr">
        <is>
          <t>2024ACT_VDEF</t>
        </is>
      </c>
      <c r="K117" s="19" t="inlineStr">
        <is>
          <t>2024 (N-2)</t>
        </is>
      </c>
      <c r="L117" s="13" t="n">
        <v>64109</v>
      </c>
    </row>
    <row r="118">
      <c r="A118" s="19" t="inlineStr">
        <is>
          <t>IPAC_BACHELOR_FACTORY_MONTPELLIER</t>
        </is>
      </c>
      <c r="B118" s="18" t="inlineStr">
        <is>
          <t>Ipac Bachelor Factory Montpellier</t>
        </is>
      </c>
      <c r="C118" s="19" t="inlineStr">
        <is>
          <t>Ipac Bachelor Factory</t>
        </is>
      </c>
      <c r="D118" s="19" t="inlineStr">
        <is>
          <t>Montpellier</t>
        </is>
      </c>
      <c r="E118" s="19" t="inlineStr">
        <is>
          <t>621</t>
        </is>
      </c>
      <c r="F118" s="18" t="inlineStr">
        <is>
          <t>Personnel extérieur — vacataires &amp; intervenants</t>
        </is>
      </c>
      <c r="G118" s="19" t="inlineStr">
        <is>
          <t>62 — Autres services extérieurs</t>
        </is>
      </c>
      <c r="H118" s="19" t="inlineStr">
        <is>
          <t>Charge</t>
        </is>
      </c>
      <c r="I118" s="19" t="inlineStr">
        <is>
          <t>Coûts directs</t>
        </is>
      </c>
      <c r="J118" s="19" t="inlineStr">
        <is>
          <t>2024ACT_VDEF</t>
        </is>
      </c>
      <c r="K118" s="19" t="inlineStr">
        <is>
          <t>2024 (N-2)</t>
        </is>
      </c>
      <c r="L118" s="13" t="n">
        <v>64109</v>
      </c>
    </row>
    <row r="119">
      <c r="A119" s="19" t="inlineStr">
        <is>
          <t>PIGIER_LYON</t>
        </is>
      </c>
      <c r="B119" s="18" t="inlineStr">
        <is>
          <t>Pigier Lyon</t>
        </is>
      </c>
      <c r="C119" s="19" t="inlineStr">
        <is>
          <t>Pigier</t>
        </is>
      </c>
      <c r="D119" s="19" t="inlineStr">
        <is>
          <t>Lyon</t>
        </is>
      </c>
      <c r="E119" s="19" t="inlineStr">
        <is>
          <t>621</t>
        </is>
      </c>
      <c r="F119" s="18" t="inlineStr">
        <is>
          <t>Personnel extérieur — vacataires &amp; intervenants</t>
        </is>
      </c>
      <c r="G119" s="19" t="inlineStr">
        <is>
          <t>62 — Autres services extérieurs</t>
        </is>
      </c>
      <c r="H119" s="19" t="inlineStr">
        <is>
          <t>Charge</t>
        </is>
      </c>
      <c r="I119" s="19" t="inlineStr">
        <is>
          <t>Coûts directs</t>
        </is>
      </c>
      <c r="J119" s="19" t="inlineStr">
        <is>
          <t>2024ACT_VDEF</t>
        </is>
      </c>
      <c r="K119" s="19" t="inlineStr">
        <is>
          <t>2024 (N-2)</t>
        </is>
      </c>
      <c r="L119" s="13" t="n">
        <v>85479</v>
      </c>
    </row>
    <row r="120">
      <c r="A120" s="19" t="inlineStr">
        <is>
          <t>PIGIER_BORDEAUX</t>
        </is>
      </c>
      <c r="B120" s="18" t="inlineStr">
        <is>
          <t>Pigier Bordeaux</t>
        </is>
      </c>
      <c r="C120" s="19" t="inlineStr">
        <is>
          <t>Pigier</t>
        </is>
      </c>
      <c r="D120" s="19" t="inlineStr">
        <is>
          <t>Bordeaux</t>
        </is>
      </c>
      <c r="E120" s="19" t="inlineStr">
        <is>
          <t>621</t>
        </is>
      </c>
      <c r="F120" s="18" t="inlineStr">
        <is>
          <t>Personnel extérieur — vacataires &amp; intervenants</t>
        </is>
      </c>
      <c r="G120" s="19" t="inlineStr">
        <is>
          <t>62 — Autres services extérieurs</t>
        </is>
      </c>
      <c r="H120" s="19" t="inlineStr">
        <is>
          <t>Charge</t>
        </is>
      </c>
      <c r="I120" s="19" t="inlineStr">
        <is>
          <t>Coûts directs</t>
        </is>
      </c>
      <c r="J120" s="19" t="inlineStr">
        <is>
          <t>2024ACT_VDEF</t>
        </is>
      </c>
      <c r="K120" s="19" t="inlineStr">
        <is>
          <t>2024 (N-2)</t>
        </is>
      </c>
      <c r="L120" s="13" t="n">
        <v>85479</v>
      </c>
    </row>
    <row r="121">
      <c r="A121" s="19" t="inlineStr">
        <is>
          <t>TUNON_PARIS</t>
        </is>
      </c>
      <c r="B121" s="18" t="inlineStr">
        <is>
          <t>Tunon Paris</t>
        </is>
      </c>
      <c r="C121" s="19" t="inlineStr">
        <is>
          <t>Tunon</t>
        </is>
      </c>
      <c r="D121" s="19" t="inlineStr">
        <is>
          <t>Paris</t>
        </is>
      </c>
      <c r="E121" s="19" t="inlineStr">
        <is>
          <t>621</t>
        </is>
      </c>
      <c r="F121" s="18" t="inlineStr">
        <is>
          <t>Personnel extérieur — vacataires &amp; intervenants</t>
        </is>
      </c>
      <c r="G121" s="19" t="inlineStr">
        <is>
          <t>62 — Autres services extérieurs</t>
        </is>
      </c>
      <c r="H121" s="19" t="inlineStr">
        <is>
          <t>Charge</t>
        </is>
      </c>
      <c r="I121" s="19" t="inlineStr">
        <is>
          <t>Coûts directs</t>
        </is>
      </c>
      <c r="J121" s="19" t="inlineStr">
        <is>
          <t>2024ACT_VDEF</t>
        </is>
      </c>
      <c r="K121" s="19" t="inlineStr">
        <is>
          <t>2024 (N-2)</t>
        </is>
      </c>
      <c r="L121" s="13" t="n">
        <v>64109</v>
      </c>
    </row>
    <row r="122">
      <c r="A122" s="19" t="inlineStr">
        <is>
          <t>TUNON_LYON</t>
        </is>
      </c>
      <c r="B122" s="18" t="inlineStr">
        <is>
          <t>Tunon Lyon</t>
        </is>
      </c>
      <c r="C122" s="19" t="inlineStr">
        <is>
          <t>Tunon</t>
        </is>
      </c>
      <c r="D122" s="19" t="inlineStr">
        <is>
          <t>Lyon</t>
        </is>
      </c>
      <c r="E122" s="19" t="inlineStr">
        <is>
          <t>621</t>
        </is>
      </c>
      <c r="F122" s="18" t="inlineStr">
        <is>
          <t>Personnel extérieur — vacataires &amp; intervenants</t>
        </is>
      </c>
      <c r="G122" s="19" t="inlineStr">
        <is>
          <t>62 — Autres services extérieurs</t>
        </is>
      </c>
      <c r="H122" s="19" t="inlineStr">
        <is>
          <t>Charge</t>
        </is>
      </c>
      <c r="I122" s="19" t="inlineStr">
        <is>
          <t>Coûts directs</t>
        </is>
      </c>
      <c r="J122" s="19" t="inlineStr">
        <is>
          <t>2024ACT_VDEF</t>
        </is>
      </c>
      <c r="K122" s="19" t="inlineStr">
        <is>
          <t>2024 (N-2)</t>
        </is>
      </c>
      <c r="L122" s="13" t="n">
        <v>64109</v>
      </c>
    </row>
    <row r="123">
      <c r="A123" s="19" t="inlineStr">
        <is>
          <t>MBWAY_PARIS</t>
        </is>
      </c>
      <c r="B123" s="18" t="inlineStr">
        <is>
          <t>MBway Paris</t>
        </is>
      </c>
      <c r="C123" s="19" t="inlineStr">
        <is>
          <t>MBway</t>
        </is>
      </c>
      <c r="D123" s="19" t="inlineStr">
        <is>
          <t>Paris</t>
        </is>
      </c>
      <c r="E123" s="19" t="inlineStr">
        <is>
          <t>621</t>
        </is>
      </c>
      <c r="F123" s="18" t="inlineStr">
        <is>
          <t>Personnel extérieur — vacataires &amp; intervenants</t>
        </is>
      </c>
      <c r="G123" s="19" t="inlineStr">
        <is>
          <t>62 — Autres services extérieurs</t>
        </is>
      </c>
      <c r="H123" s="19" t="inlineStr">
        <is>
          <t>Charge</t>
        </is>
      </c>
      <c r="I123" s="19" t="inlineStr">
        <is>
          <t>Coûts directs</t>
        </is>
      </c>
      <c r="J123" s="19" t="inlineStr">
        <is>
          <t>2025ACT_VDEF</t>
        </is>
      </c>
      <c r="K123" s="19" t="inlineStr">
        <is>
          <t>2025 (N-1)</t>
        </is>
      </c>
      <c r="L123" s="13" t="n">
        <v>168324</v>
      </c>
    </row>
    <row r="124">
      <c r="A124" s="19" t="inlineStr">
        <is>
          <t>MBWAY_LYON</t>
        </is>
      </c>
      <c r="B124" s="18" t="inlineStr">
        <is>
          <t>MBway Lyon</t>
        </is>
      </c>
      <c r="C124" s="19" t="inlineStr">
        <is>
          <t>MBway</t>
        </is>
      </c>
      <c r="D124" s="19" t="inlineStr">
        <is>
          <t>Lyon</t>
        </is>
      </c>
      <c r="E124" s="19" t="inlineStr">
        <is>
          <t>621</t>
        </is>
      </c>
      <c r="F124" s="18" t="inlineStr">
        <is>
          <t>Personnel extérieur — vacataires &amp; intervenants</t>
        </is>
      </c>
      <c r="G124" s="19" t="inlineStr">
        <is>
          <t>62 — Autres services extérieurs</t>
        </is>
      </c>
      <c r="H124" s="19" t="inlineStr">
        <is>
          <t>Charge</t>
        </is>
      </c>
      <c r="I124" s="19" t="inlineStr">
        <is>
          <t>Coûts directs</t>
        </is>
      </c>
      <c r="J124" s="19" t="inlineStr">
        <is>
          <t>2025ACT_VDEF</t>
        </is>
      </c>
      <c r="K124" s="19" t="inlineStr">
        <is>
          <t>2025 (N-1)</t>
        </is>
      </c>
      <c r="L124" s="13" t="n">
        <v>145880</v>
      </c>
    </row>
    <row r="125">
      <c r="A125" s="19" t="inlineStr">
        <is>
          <t>MBWAY_NANTES</t>
        </is>
      </c>
      <c r="B125" s="18" t="inlineStr">
        <is>
          <t>MBway Nantes</t>
        </is>
      </c>
      <c r="C125" s="19" t="inlineStr">
        <is>
          <t>MBway</t>
        </is>
      </c>
      <c r="D125" s="19" t="inlineStr">
        <is>
          <t>Nantes</t>
        </is>
      </c>
      <c r="E125" s="19" t="inlineStr">
        <is>
          <t>621</t>
        </is>
      </c>
      <c r="F125" s="18" t="inlineStr">
        <is>
          <t>Personnel extérieur — vacataires &amp; intervenants</t>
        </is>
      </c>
      <c r="G125" s="19" t="inlineStr">
        <is>
          <t>62 — Autres services extérieurs</t>
        </is>
      </c>
      <c r="H125" s="19" t="inlineStr">
        <is>
          <t>Charge</t>
        </is>
      </c>
      <c r="I125" s="19" t="inlineStr">
        <is>
          <t>Coûts directs</t>
        </is>
      </c>
      <c r="J125" s="19" t="inlineStr">
        <is>
          <t>2025ACT_VDEF</t>
        </is>
      </c>
      <c r="K125" s="19" t="inlineStr">
        <is>
          <t>2025 (N-1)</t>
        </is>
      </c>
      <c r="L125" s="13" t="n">
        <v>134659</v>
      </c>
    </row>
    <row r="126">
      <c r="A126" s="19" t="inlineStr">
        <is>
          <t>MBWAY_BORDEAUX</t>
        </is>
      </c>
      <c r="B126" s="18" t="inlineStr">
        <is>
          <t>MBway Bordeaux</t>
        </is>
      </c>
      <c r="C126" s="19" t="inlineStr">
        <is>
          <t>MBway</t>
        </is>
      </c>
      <c r="D126" s="19" t="inlineStr">
        <is>
          <t>Bordeaux</t>
        </is>
      </c>
      <c r="E126" s="19" t="inlineStr">
        <is>
          <t>621</t>
        </is>
      </c>
      <c r="F126" s="18" t="inlineStr">
        <is>
          <t>Personnel extérieur — vacataires &amp; intervenants</t>
        </is>
      </c>
      <c r="G126" s="19" t="inlineStr">
        <is>
          <t>62 — Autres services extérieurs</t>
        </is>
      </c>
      <c r="H126" s="19" t="inlineStr">
        <is>
          <t>Charge</t>
        </is>
      </c>
      <c r="I126" s="19" t="inlineStr">
        <is>
          <t>Coûts directs</t>
        </is>
      </c>
      <c r="J126" s="19" t="inlineStr">
        <is>
          <t>2025ACT_VDEF</t>
        </is>
      </c>
      <c r="K126" s="19" t="inlineStr">
        <is>
          <t>2025 (N-1)</t>
        </is>
      </c>
      <c r="L126" s="13" t="n">
        <v>112216</v>
      </c>
    </row>
    <row r="127">
      <c r="A127" s="19" t="inlineStr">
        <is>
          <t>ISCOM_PARIS</t>
        </is>
      </c>
      <c r="B127" s="18" t="inlineStr">
        <is>
          <t>ISCOM Paris</t>
        </is>
      </c>
      <c r="C127" s="19" t="inlineStr">
        <is>
          <t>ISCOM</t>
        </is>
      </c>
      <c r="D127" s="19" t="inlineStr">
        <is>
          <t>Paris</t>
        </is>
      </c>
      <c r="E127" s="19" t="inlineStr">
        <is>
          <t>621</t>
        </is>
      </c>
      <c r="F127" s="18" t="inlineStr">
        <is>
          <t>Personnel extérieur — vacataires &amp; intervenants</t>
        </is>
      </c>
      <c r="G127" s="19" t="inlineStr">
        <is>
          <t>62 — Autres services extérieurs</t>
        </is>
      </c>
      <c r="H127" s="19" t="inlineStr">
        <is>
          <t>Charge</t>
        </is>
      </c>
      <c r="I127" s="19" t="inlineStr">
        <is>
          <t>Coûts directs</t>
        </is>
      </c>
      <c r="J127" s="19" t="inlineStr">
        <is>
          <t>2025ACT_VDEF</t>
        </is>
      </c>
      <c r="K127" s="19" t="inlineStr">
        <is>
          <t>2025 (N-1)</t>
        </is>
      </c>
      <c r="L127" s="13" t="n">
        <v>157102</v>
      </c>
    </row>
    <row r="128">
      <c r="A128" s="19" t="inlineStr">
        <is>
          <t>ISCOM_LILLE</t>
        </is>
      </c>
      <c r="B128" s="18" t="inlineStr">
        <is>
          <t>ISCOM Lille</t>
        </is>
      </c>
      <c r="C128" s="19" t="inlineStr">
        <is>
          <t>ISCOM</t>
        </is>
      </c>
      <c r="D128" s="19" t="inlineStr">
        <is>
          <t>Lille</t>
        </is>
      </c>
      <c r="E128" s="19" t="inlineStr">
        <is>
          <t>621</t>
        </is>
      </c>
      <c r="F128" s="18" t="inlineStr">
        <is>
          <t>Personnel extérieur — vacataires &amp; intervenants</t>
        </is>
      </c>
      <c r="G128" s="19" t="inlineStr">
        <is>
          <t>62 — Autres services extérieurs</t>
        </is>
      </c>
      <c r="H128" s="19" t="inlineStr">
        <is>
          <t>Charge</t>
        </is>
      </c>
      <c r="I128" s="19" t="inlineStr">
        <is>
          <t>Coûts directs</t>
        </is>
      </c>
      <c r="J128" s="19" t="inlineStr">
        <is>
          <t>2025ACT_VDEF</t>
        </is>
      </c>
      <c r="K128" s="19" t="inlineStr">
        <is>
          <t>2025 (N-1)</t>
        </is>
      </c>
      <c r="L128" s="13" t="n">
        <v>112216</v>
      </c>
    </row>
    <row r="129">
      <c r="A129" s="19" t="inlineStr">
        <is>
          <t>ISCOM_TOULOUSE</t>
        </is>
      </c>
      <c r="B129" s="18" t="inlineStr">
        <is>
          <t>ISCOM Toulouse</t>
        </is>
      </c>
      <c r="C129" s="19" t="inlineStr">
        <is>
          <t>ISCOM</t>
        </is>
      </c>
      <c r="D129" s="19" t="inlineStr">
        <is>
          <t>Toulouse</t>
        </is>
      </c>
      <c r="E129" s="19" t="inlineStr">
        <is>
          <t>621</t>
        </is>
      </c>
      <c r="F129" s="18" t="inlineStr">
        <is>
          <t>Personnel extérieur — vacataires &amp; intervenants</t>
        </is>
      </c>
      <c r="G129" s="19" t="inlineStr">
        <is>
          <t>62 — Autres services extérieurs</t>
        </is>
      </c>
      <c r="H129" s="19" t="inlineStr">
        <is>
          <t>Charge</t>
        </is>
      </c>
      <c r="I129" s="19" t="inlineStr">
        <is>
          <t>Coûts directs</t>
        </is>
      </c>
      <c r="J129" s="19" t="inlineStr">
        <is>
          <t>2025ACT_VDEF</t>
        </is>
      </c>
      <c r="K129" s="19" t="inlineStr">
        <is>
          <t>2025 (N-1)</t>
        </is>
      </c>
      <c r="L129" s="13" t="n">
        <v>112216</v>
      </c>
    </row>
    <row r="130">
      <c r="A130" s="19" t="inlineStr">
        <is>
          <t>IPAC_BACHELOR_FACTORY_NANTES</t>
        </is>
      </c>
      <c r="B130" s="18" t="inlineStr">
        <is>
          <t>Ipac Bachelor Factory Nantes</t>
        </is>
      </c>
      <c r="C130" s="19" t="inlineStr">
        <is>
          <t>Ipac Bachelor Factory</t>
        </is>
      </c>
      <c r="D130" s="19" t="inlineStr">
        <is>
          <t>Nantes</t>
        </is>
      </c>
      <c r="E130" s="19" t="inlineStr">
        <is>
          <t>621</t>
        </is>
      </c>
      <c r="F130" s="18" t="inlineStr">
        <is>
          <t>Personnel extérieur — vacataires &amp; intervenants</t>
        </is>
      </c>
      <c r="G130" s="19" t="inlineStr">
        <is>
          <t>62 — Autres services extérieurs</t>
        </is>
      </c>
      <c r="H130" s="19" t="inlineStr">
        <is>
          <t>Charge</t>
        </is>
      </c>
      <c r="I130" s="19" t="inlineStr">
        <is>
          <t>Coûts directs</t>
        </is>
      </c>
      <c r="J130" s="19" t="inlineStr">
        <is>
          <t>2025ACT_VDEF</t>
        </is>
      </c>
      <c r="K130" s="19" t="inlineStr">
        <is>
          <t>2025 (N-1)</t>
        </is>
      </c>
      <c r="L130" s="13" t="n">
        <v>67329</v>
      </c>
    </row>
    <row r="131">
      <c r="A131" s="19" t="inlineStr">
        <is>
          <t>IPAC_BACHELOR_FACTORY_RENNES</t>
        </is>
      </c>
      <c r="B131" s="18" t="inlineStr">
        <is>
          <t>Ipac Bachelor Factory Rennes</t>
        </is>
      </c>
      <c r="C131" s="19" t="inlineStr">
        <is>
          <t>Ipac Bachelor Factory</t>
        </is>
      </c>
      <c r="D131" s="19" t="inlineStr">
        <is>
          <t>Rennes</t>
        </is>
      </c>
      <c r="E131" s="19" t="inlineStr">
        <is>
          <t>621</t>
        </is>
      </c>
      <c r="F131" s="18" t="inlineStr">
        <is>
          <t>Personnel extérieur — vacataires &amp; intervenants</t>
        </is>
      </c>
      <c r="G131" s="19" t="inlineStr">
        <is>
          <t>62 — Autres services extérieurs</t>
        </is>
      </c>
      <c r="H131" s="19" t="inlineStr">
        <is>
          <t>Charge</t>
        </is>
      </c>
      <c r="I131" s="19" t="inlineStr">
        <is>
          <t>Coûts directs</t>
        </is>
      </c>
      <c r="J131" s="19" t="inlineStr">
        <is>
          <t>2025ACT_VDEF</t>
        </is>
      </c>
      <c r="K131" s="19" t="inlineStr">
        <is>
          <t>2025 (N-1)</t>
        </is>
      </c>
      <c r="L131" s="13" t="n">
        <v>67329</v>
      </c>
    </row>
    <row r="132">
      <c r="A132" s="19" t="inlineStr">
        <is>
          <t>IPAC_BACHELOR_FACTORY_MONTPELLIER</t>
        </is>
      </c>
      <c r="B132" s="18" t="inlineStr">
        <is>
          <t>Ipac Bachelor Factory Montpellier</t>
        </is>
      </c>
      <c r="C132" s="19" t="inlineStr">
        <is>
          <t>Ipac Bachelor Factory</t>
        </is>
      </c>
      <c r="D132" s="19" t="inlineStr">
        <is>
          <t>Montpellier</t>
        </is>
      </c>
      <c r="E132" s="19" t="inlineStr">
        <is>
          <t>621</t>
        </is>
      </c>
      <c r="F132" s="18" t="inlineStr">
        <is>
          <t>Personnel extérieur — vacataires &amp; intervenants</t>
        </is>
      </c>
      <c r="G132" s="19" t="inlineStr">
        <is>
          <t>62 — Autres services extérieurs</t>
        </is>
      </c>
      <c r="H132" s="19" t="inlineStr">
        <is>
          <t>Charge</t>
        </is>
      </c>
      <c r="I132" s="19" t="inlineStr">
        <is>
          <t>Coûts directs</t>
        </is>
      </c>
      <c r="J132" s="19" t="inlineStr">
        <is>
          <t>2025ACT_VDEF</t>
        </is>
      </c>
      <c r="K132" s="19" t="inlineStr">
        <is>
          <t>2025 (N-1)</t>
        </is>
      </c>
      <c r="L132" s="13" t="n">
        <v>67329</v>
      </c>
    </row>
    <row r="133">
      <c r="A133" s="19" t="inlineStr">
        <is>
          <t>PIGIER_LYON</t>
        </is>
      </c>
      <c r="B133" s="18" t="inlineStr">
        <is>
          <t>Pigier Lyon</t>
        </is>
      </c>
      <c r="C133" s="19" t="inlineStr">
        <is>
          <t>Pigier</t>
        </is>
      </c>
      <c r="D133" s="19" t="inlineStr">
        <is>
          <t>Lyon</t>
        </is>
      </c>
      <c r="E133" s="19" t="inlineStr">
        <is>
          <t>621</t>
        </is>
      </c>
      <c r="F133" s="18" t="inlineStr">
        <is>
          <t>Personnel extérieur — vacataires &amp; intervenants</t>
        </is>
      </c>
      <c r="G133" s="19" t="inlineStr">
        <is>
          <t>62 — Autres services extérieurs</t>
        </is>
      </c>
      <c r="H133" s="19" t="inlineStr">
        <is>
          <t>Charge</t>
        </is>
      </c>
      <c r="I133" s="19" t="inlineStr">
        <is>
          <t>Coûts directs</t>
        </is>
      </c>
      <c r="J133" s="19" t="inlineStr">
        <is>
          <t>2025ACT_VDEF</t>
        </is>
      </c>
      <c r="K133" s="19" t="inlineStr">
        <is>
          <t>2025 (N-1)</t>
        </is>
      </c>
      <c r="L133" s="13" t="n">
        <v>89773</v>
      </c>
    </row>
    <row r="134">
      <c r="A134" s="19" t="inlineStr">
        <is>
          <t>PIGIER_BORDEAUX</t>
        </is>
      </c>
      <c r="B134" s="18" t="inlineStr">
        <is>
          <t>Pigier Bordeaux</t>
        </is>
      </c>
      <c r="C134" s="19" t="inlineStr">
        <is>
          <t>Pigier</t>
        </is>
      </c>
      <c r="D134" s="19" t="inlineStr">
        <is>
          <t>Bordeaux</t>
        </is>
      </c>
      <c r="E134" s="19" t="inlineStr">
        <is>
          <t>621</t>
        </is>
      </c>
      <c r="F134" s="18" t="inlineStr">
        <is>
          <t>Personnel extérieur — vacataires &amp; intervenants</t>
        </is>
      </c>
      <c r="G134" s="19" t="inlineStr">
        <is>
          <t>62 — Autres services extérieurs</t>
        </is>
      </c>
      <c r="H134" s="19" t="inlineStr">
        <is>
          <t>Charge</t>
        </is>
      </c>
      <c r="I134" s="19" t="inlineStr">
        <is>
          <t>Coûts directs</t>
        </is>
      </c>
      <c r="J134" s="19" t="inlineStr">
        <is>
          <t>2025ACT_VDEF</t>
        </is>
      </c>
      <c r="K134" s="19" t="inlineStr">
        <is>
          <t>2025 (N-1)</t>
        </is>
      </c>
      <c r="L134" s="13" t="n">
        <v>89773</v>
      </c>
    </row>
    <row r="135">
      <c r="A135" s="19" t="inlineStr">
        <is>
          <t>TUNON_PARIS</t>
        </is>
      </c>
      <c r="B135" s="18" t="inlineStr">
        <is>
          <t>Tunon Paris</t>
        </is>
      </c>
      <c r="C135" s="19" t="inlineStr">
        <is>
          <t>Tunon</t>
        </is>
      </c>
      <c r="D135" s="19" t="inlineStr">
        <is>
          <t>Paris</t>
        </is>
      </c>
      <c r="E135" s="19" t="inlineStr">
        <is>
          <t>621</t>
        </is>
      </c>
      <c r="F135" s="18" t="inlineStr">
        <is>
          <t>Personnel extérieur — vacataires &amp; intervenants</t>
        </is>
      </c>
      <c r="G135" s="19" t="inlineStr">
        <is>
          <t>62 — Autres services extérieurs</t>
        </is>
      </c>
      <c r="H135" s="19" t="inlineStr">
        <is>
          <t>Charge</t>
        </is>
      </c>
      <c r="I135" s="19" t="inlineStr">
        <is>
          <t>Coûts directs</t>
        </is>
      </c>
      <c r="J135" s="19" t="inlineStr">
        <is>
          <t>2025ACT_VDEF</t>
        </is>
      </c>
      <c r="K135" s="19" t="inlineStr">
        <is>
          <t>2025 (N-1)</t>
        </is>
      </c>
      <c r="L135" s="13" t="n">
        <v>67329</v>
      </c>
    </row>
    <row r="136">
      <c r="A136" s="19" t="inlineStr">
        <is>
          <t>TUNON_LYON</t>
        </is>
      </c>
      <c r="B136" s="18" t="inlineStr">
        <is>
          <t>Tunon Lyon</t>
        </is>
      </c>
      <c r="C136" s="19" t="inlineStr">
        <is>
          <t>Tunon</t>
        </is>
      </c>
      <c r="D136" s="19" t="inlineStr">
        <is>
          <t>Lyon</t>
        </is>
      </c>
      <c r="E136" s="19" t="inlineStr">
        <is>
          <t>621</t>
        </is>
      </c>
      <c r="F136" s="18" t="inlineStr">
        <is>
          <t>Personnel extérieur — vacataires &amp; intervenants</t>
        </is>
      </c>
      <c r="G136" s="19" t="inlineStr">
        <is>
          <t>62 — Autres services extérieurs</t>
        </is>
      </c>
      <c r="H136" s="19" t="inlineStr">
        <is>
          <t>Charge</t>
        </is>
      </c>
      <c r="I136" s="19" t="inlineStr">
        <is>
          <t>Coûts directs</t>
        </is>
      </c>
      <c r="J136" s="19" t="inlineStr">
        <is>
          <t>2025ACT_VDEF</t>
        </is>
      </c>
      <c r="K136" s="19" t="inlineStr">
        <is>
          <t>2025 (N-1)</t>
        </is>
      </c>
      <c r="L136" s="13" t="n">
        <v>67329</v>
      </c>
    </row>
    <row r="137">
      <c r="A137" s="19" t="inlineStr">
        <is>
          <t>MBWAY_PARIS</t>
        </is>
      </c>
      <c r="B137" s="18" t="inlineStr">
        <is>
          <t>MBway Paris</t>
        </is>
      </c>
      <c r="C137" s="19" t="inlineStr">
        <is>
          <t>MBway</t>
        </is>
      </c>
      <c r="D137" s="19" t="inlineStr">
        <is>
          <t>Paris</t>
        </is>
      </c>
      <c r="E137" s="19" t="inlineStr">
        <is>
          <t>621</t>
        </is>
      </c>
      <c r="F137" s="18" t="inlineStr">
        <is>
          <t>Personnel extérieur — vacataires &amp; intervenants</t>
        </is>
      </c>
      <c r="G137" s="19" t="inlineStr">
        <is>
          <t>62 — Autres services extérieurs</t>
        </is>
      </c>
      <c r="H137" s="19" t="inlineStr">
        <is>
          <t>Charge</t>
        </is>
      </c>
      <c r="I137" s="19" t="inlineStr">
        <is>
          <t>Coûts directs</t>
        </is>
      </c>
      <c r="J137" s="19" t="inlineStr">
        <is>
          <t>2026ATT_VDEF</t>
        </is>
      </c>
      <c r="K137" s="19" t="inlineStr">
        <is>
          <t>2026 (Atterr.)</t>
        </is>
      </c>
      <c r="L137" s="13" t="n">
        <v>177178</v>
      </c>
    </row>
    <row r="138">
      <c r="A138" s="19" t="inlineStr">
        <is>
          <t>MBWAY_LYON</t>
        </is>
      </c>
      <c r="B138" s="18" t="inlineStr">
        <is>
          <t>MBway Lyon</t>
        </is>
      </c>
      <c r="C138" s="19" t="inlineStr">
        <is>
          <t>MBway</t>
        </is>
      </c>
      <c r="D138" s="19" t="inlineStr">
        <is>
          <t>Lyon</t>
        </is>
      </c>
      <c r="E138" s="19" t="inlineStr">
        <is>
          <t>621</t>
        </is>
      </c>
      <c r="F138" s="18" t="inlineStr">
        <is>
          <t>Personnel extérieur — vacataires &amp; intervenants</t>
        </is>
      </c>
      <c r="G138" s="19" t="inlineStr">
        <is>
          <t>62 — Autres services extérieurs</t>
        </is>
      </c>
      <c r="H138" s="19" t="inlineStr">
        <is>
          <t>Charge</t>
        </is>
      </c>
      <c r="I138" s="19" t="inlineStr">
        <is>
          <t>Coûts directs</t>
        </is>
      </c>
      <c r="J138" s="19" t="inlineStr">
        <is>
          <t>2026ATT_VDEF</t>
        </is>
      </c>
      <c r="K138" s="19" t="inlineStr">
        <is>
          <t>2026 (Atterr.)</t>
        </is>
      </c>
      <c r="L138" s="13" t="n">
        <v>153554</v>
      </c>
    </row>
    <row r="139">
      <c r="A139" s="19" t="inlineStr">
        <is>
          <t>MBWAY_NANTES</t>
        </is>
      </c>
      <c r="B139" s="18" t="inlineStr">
        <is>
          <t>MBway Nantes</t>
        </is>
      </c>
      <c r="C139" s="19" t="inlineStr">
        <is>
          <t>MBway</t>
        </is>
      </c>
      <c r="D139" s="19" t="inlineStr">
        <is>
          <t>Nantes</t>
        </is>
      </c>
      <c r="E139" s="19" t="inlineStr">
        <is>
          <t>621</t>
        </is>
      </c>
      <c r="F139" s="18" t="inlineStr">
        <is>
          <t>Personnel extérieur — vacataires &amp; intervenants</t>
        </is>
      </c>
      <c r="G139" s="19" t="inlineStr">
        <is>
          <t>62 — Autres services extérieurs</t>
        </is>
      </c>
      <c r="H139" s="19" t="inlineStr">
        <is>
          <t>Charge</t>
        </is>
      </c>
      <c r="I139" s="19" t="inlineStr">
        <is>
          <t>Coûts directs</t>
        </is>
      </c>
      <c r="J139" s="19" t="inlineStr">
        <is>
          <t>2026ATT_VDEF</t>
        </is>
      </c>
      <c r="K139" s="19" t="inlineStr">
        <is>
          <t>2026 (Atterr.)</t>
        </is>
      </c>
      <c r="L139" s="13" t="n">
        <v>141743</v>
      </c>
    </row>
    <row r="140">
      <c r="A140" s="19" t="inlineStr">
        <is>
          <t>MBWAY_BORDEAUX</t>
        </is>
      </c>
      <c r="B140" s="18" t="inlineStr">
        <is>
          <t>MBway Bordeaux</t>
        </is>
      </c>
      <c r="C140" s="19" t="inlineStr">
        <is>
          <t>MBway</t>
        </is>
      </c>
      <c r="D140" s="19" t="inlineStr">
        <is>
          <t>Bordeaux</t>
        </is>
      </c>
      <c r="E140" s="19" t="inlineStr">
        <is>
          <t>621</t>
        </is>
      </c>
      <c r="F140" s="18" t="inlineStr">
        <is>
          <t>Personnel extérieur — vacataires &amp; intervenants</t>
        </is>
      </c>
      <c r="G140" s="19" t="inlineStr">
        <is>
          <t>62 — Autres services extérieurs</t>
        </is>
      </c>
      <c r="H140" s="19" t="inlineStr">
        <is>
          <t>Charge</t>
        </is>
      </c>
      <c r="I140" s="19" t="inlineStr">
        <is>
          <t>Coûts directs</t>
        </is>
      </c>
      <c r="J140" s="19" t="inlineStr">
        <is>
          <t>2026ATT_VDEF</t>
        </is>
      </c>
      <c r="K140" s="19" t="inlineStr">
        <is>
          <t>2026 (Atterr.)</t>
        </is>
      </c>
      <c r="L140" s="13" t="n">
        <v>118119</v>
      </c>
    </row>
    <row r="141">
      <c r="A141" s="19" t="inlineStr">
        <is>
          <t>ISCOM_PARIS</t>
        </is>
      </c>
      <c r="B141" s="18" t="inlineStr">
        <is>
          <t>ISCOM Paris</t>
        </is>
      </c>
      <c r="C141" s="19" t="inlineStr">
        <is>
          <t>ISCOM</t>
        </is>
      </c>
      <c r="D141" s="19" t="inlineStr">
        <is>
          <t>Paris</t>
        </is>
      </c>
      <c r="E141" s="19" t="inlineStr">
        <is>
          <t>621</t>
        </is>
      </c>
      <c r="F141" s="18" t="inlineStr">
        <is>
          <t>Personnel extérieur — vacataires &amp; intervenants</t>
        </is>
      </c>
      <c r="G141" s="19" t="inlineStr">
        <is>
          <t>62 — Autres services extérieurs</t>
        </is>
      </c>
      <c r="H141" s="19" t="inlineStr">
        <is>
          <t>Charge</t>
        </is>
      </c>
      <c r="I141" s="19" t="inlineStr">
        <is>
          <t>Coûts directs</t>
        </is>
      </c>
      <c r="J141" s="19" t="inlineStr">
        <is>
          <t>2026ATT_VDEF</t>
        </is>
      </c>
      <c r="K141" s="19" t="inlineStr">
        <is>
          <t>2026 (Atterr.)</t>
        </is>
      </c>
      <c r="L141" s="13" t="n">
        <v>165366</v>
      </c>
    </row>
    <row r="142">
      <c r="A142" s="19" t="inlineStr">
        <is>
          <t>ISCOM_LILLE</t>
        </is>
      </c>
      <c r="B142" s="18" t="inlineStr">
        <is>
          <t>ISCOM Lille</t>
        </is>
      </c>
      <c r="C142" s="19" t="inlineStr">
        <is>
          <t>ISCOM</t>
        </is>
      </c>
      <c r="D142" s="19" t="inlineStr">
        <is>
          <t>Lille</t>
        </is>
      </c>
      <c r="E142" s="19" t="inlineStr">
        <is>
          <t>621</t>
        </is>
      </c>
      <c r="F142" s="18" t="inlineStr">
        <is>
          <t>Personnel extérieur — vacataires &amp; intervenants</t>
        </is>
      </c>
      <c r="G142" s="19" t="inlineStr">
        <is>
          <t>62 — Autres services extérieurs</t>
        </is>
      </c>
      <c r="H142" s="19" t="inlineStr">
        <is>
          <t>Charge</t>
        </is>
      </c>
      <c r="I142" s="19" t="inlineStr">
        <is>
          <t>Coûts directs</t>
        </is>
      </c>
      <c r="J142" s="19" t="inlineStr">
        <is>
          <t>2026ATT_VDEF</t>
        </is>
      </c>
      <c r="K142" s="19" t="inlineStr">
        <is>
          <t>2026 (Atterr.)</t>
        </is>
      </c>
      <c r="L142" s="13" t="n">
        <v>118119</v>
      </c>
    </row>
    <row r="143">
      <c r="A143" s="19" t="inlineStr">
        <is>
          <t>ISCOM_TOULOUSE</t>
        </is>
      </c>
      <c r="B143" s="18" t="inlineStr">
        <is>
          <t>ISCOM Toulouse</t>
        </is>
      </c>
      <c r="C143" s="19" t="inlineStr">
        <is>
          <t>ISCOM</t>
        </is>
      </c>
      <c r="D143" s="19" t="inlineStr">
        <is>
          <t>Toulouse</t>
        </is>
      </c>
      <c r="E143" s="19" t="inlineStr">
        <is>
          <t>621</t>
        </is>
      </c>
      <c r="F143" s="18" t="inlineStr">
        <is>
          <t>Personnel extérieur — vacataires &amp; intervenants</t>
        </is>
      </c>
      <c r="G143" s="19" t="inlineStr">
        <is>
          <t>62 — Autres services extérieurs</t>
        </is>
      </c>
      <c r="H143" s="19" t="inlineStr">
        <is>
          <t>Charge</t>
        </is>
      </c>
      <c r="I143" s="19" t="inlineStr">
        <is>
          <t>Coûts directs</t>
        </is>
      </c>
      <c r="J143" s="19" t="inlineStr">
        <is>
          <t>2026ATT_VDEF</t>
        </is>
      </c>
      <c r="K143" s="19" t="inlineStr">
        <is>
          <t>2026 (Atterr.)</t>
        </is>
      </c>
      <c r="L143" s="13" t="n">
        <v>118119</v>
      </c>
    </row>
    <row r="144">
      <c r="A144" s="19" t="inlineStr">
        <is>
          <t>IPAC_BACHELOR_FACTORY_NANTES</t>
        </is>
      </c>
      <c r="B144" s="18" t="inlineStr">
        <is>
          <t>Ipac Bachelor Factory Nantes</t>
        </is>
      </c>
      <c r="C144" s="19" t="inlineStr">
        <is>
          <t>Ipac Bachelor Factory</t>
        </is>
      </c>
      <c r="D144" s="19" t="inlineStr">
        <is>
          <t>Nantes</t>
        </is>
      </c>
      <c r="E144" s="19" t="inlineStr">
        <is>
          <t>621</t>
        </is>
      </c>
      <c r="F144" s="18" t="inlineStr">
        <is>
          <t>Personnel extérieur — vacataires &amp; intervenants</t>
        </is>
      </c>
      <c r="G144" s="19" t="inlineStr">
        <is>
          <t>62 — Autres services extérieurs</t>
        </is>
      </c>
      <c r="H144" s="19" t="inlineStr">
        <is>
          <t>Charge</t>
        </is>
      </c>
      <c r="I144" s="19" t="inlineStr">
        <is>
          <t>Coûts directs</t>
        </is>
      </c>
      <c r="J144" s="19" t="inlineStr">
        <is>
          <t>2026ATT_VDEF</t>
        </is>
      </c>
      <c r="K144" s="19" t="inlineStr">
        <is>
          <t>2026 (Atterr.)</t>
        </is>
      </c>
      <c r="L144" s="13" t="n">
        <v>70871</v>
      </c>
    </row>
    <row r="145">
      <c r="A145" s="19" t="inlineStr">
        <is>
          <t>IPAC_BACHELOR_FACTORY_RENNES</t>
        </is>
      </c>
      <c r="B145" s="18" t="inlineStr">
        <is>
          <t>Ipac Bachelor Factory Rennes</t>
        </is>
      </c>
      <c r="C145" s="19" t="inlineStr">
        <is>
          <t>Ipac Bachelor Factory</t>
        </is>
      </c>
      <c r="D145" s="19" t="inlineStr">
        <is>
          <t>Rennes</t>
        </is>
      </c>
      <c r="E145" s="19" t="inlineStr">
        <is>
          <t>621</t>
        </is>
      </c>
      <c r="F145" s="18" t="inlineStr">
        <is>
          <t>Personnel extérieur — vacataires &amp; intervenants</t>
        </is>
      </c>
      <c r="G145" s="19" t="inlineStr">
        <is>
          <t>62 — Autres services extérieurs</t>
        </is>
      </c>
      <c r="H145" s="19" t="inlineStr">
        <is>
          <t>Charge</t>
        </is>
      </c>
      <c r="I145" s="19" t="inlineStr">
        <is>
          <t>Coûts directs</t>
        </is>
      </c>
      <c r="J145" s="19" t="inlineStr">
        <is>
          <t>2026ATT_VDEF</t>
        </is>
      </c>
      <c r="K145" s="19" t="inlineStr">
        <is>
          <t>2026 (Atterr.)</t>
        </is>
      </c>
      <c r="L145" s="13" t="n">
        <v>70871</v>
      </c>
    </row>
    <row r="146">
      <c r="A146" s="19" t="inlineStr">
        <is>
          <t>IPAC_BACHELOR_FACTORY_MONTPELLIER</t>
        </is>
      </c>
      <c r="B146" s="18" t="inlineStr">
        <is>
          <t>Ipac Bachelor Factory Montpellier</t>
        </is>
      </c>
      <c r="C146" s="19" t="inlineStr">
        <is>
          <t>Ipac Bachelor Factory</t>
        </is>
      </c>
      <c r="D146" s="19" t="inlineStr">
        <is>
          <t>Montpellier</t>
        </is>
      </c>
      <c r="E146" s="19" t="inlineStr">
        <is>
          <t>621</t>
        </is>
      </c>
      <c r="F146" s="18" t="inlineStr">
        <is>
          <t>Personnel extérieur — vacataires &amp; intervenants</t>
        </is>
      </c>
      <c r="G146" s="19" t="inlineStr">
        <is>
          <t>62 — Autres services extérieurs</t>
        </is>
      </c>
      <c r="H146" s="19" t="inlineStr">
        <is>
          <t>Charge</t>
        </is>
      </c>
      <c r="I146" s="19" t="inlineStr">
        <is>
          <t>Coûts directs</t>
        </is>
      </c>
      <c r="J146" s="19" t="inlineStr">
        <is>
          <t>2026ATT_VDEF</t>
        </is>
      </c>
      <c r="K146" s="19" t="inlineStr">
        <is>
          <t>2026 (Atterr.)</t>
        </is>
      </c>
      <c r="L146" s="13" t="n">
        <v>70871</v>
      </c>
    </row>
    <row r="147">
      <c r="A147" s="19" t="inlineStr">
        <is>
          <t>PIGIER_LYON</t>
        </is>
      </c>
      <c r="B147" s="18" t="inlineStr">
        <is>
          <t>Pigier Lyon</t>
        </is>
      </c>
      <c r="C147" s="19" t="inlineStr">
        <is>
          <t>Pigier</t>
        </is>
      </c>
      <c r="D147" s="19" t="inlineStr">
        <is>
          <t>Lyon</t>
        </is>
      </c>
      <c r="E147" s="19" t="inlineStr">
        <is>
          <t>621</t>
        </is>
      </c>
      <c r="F147" s="18" t="inlineStr">
        <is>
          <t>Personnel extérieur — vacataires &amp; intervenants</t>
        </is>
      </c>
      <c r="G147" s="19" t="inlineStr">
        <is>
          <t>62 — Autres services extérieurs</t>
        </is>
      </c>
      <c r="H147" s="19" t="inlineStr">
        <is>
          <t>Charge</t>
        </is>
      </c>
      <c r="I147" s="19" t="inlineStr">
        <is>
          <t>Coûts directs</t>
        </is>
      </c>
      <c r="J147" s="19" t="inlineStr">
        <is>
          <t>2026ATT_VDEF</t>
        </is>
      </c>
      <c r="K147" s="19" t="inlineStr">
        <is>
          <t>2026 (Atterr.)</t>
        </is>
      </c>
      <c r="L147" s="13" t="n">
        <v>94495</v>
      </c>
    </row>
    <row r="148">
      <c r="A148" s="19" t="inlineStr">
        <is>
          <t>PIGIER_BORDEAUX</t>
        </is>
      </c>
      <c r="B148" s="18" t="inlineStr">
        <is>
          <t>Pigier Bordeaux</t>
        </is>
      </c>
      <c r="C148" s="19" t="inlineStr">
        <is>
          <t>Pigier</t>
        </is>
      </c>
      <c r="D148" s="19" t="inlineStr">
        <is>
          <t>Bordeaux</t>
        </is>
      </c>
      <c r="E148" s="19" t="inlineStr">
        <is>
          <t>621</t>
        </is>
      </c>
      <c r="F148" s="18" t="inlineStr">
        <is>
          <t>Personnel extérieur — vacataires &amp; intervenants</t>
        </is>
      </c>
      <c r="G148" s="19" t="inlineStr">
        <is>
          <t>62 — Autres services extérieurs</t>
        </is>
      </c>
      <c r="H148" s="19" t="inlineStr">
        <is>
          <t>Charge</t>
        </is>
      </c>
      <c r="I148" s="19" t="inlineStr">
        <is>
          <t>Coûts directs</t>
        </is>
      </c>
      <c r="J148" s="19" t="inlineStr">
        <is>
          <t>2026ATT_VDEF</t>
        </is>
      </c>
      <c r="K148" s="19" t="inlineStr">
        <is>
          <t>2026 (Atterr.)</t>
        </is>
      </c>
      <c r="L148" s="13" t="n">
        <v>94495</v>
      </c>
    </row>
    <row r="149">
      <c r="A149" s="19" t="inlineStr">
        <is>
          <t>TUNON_PARIS</t>
        </is>
      </c>
      <c r="B149" s="18" t="inlineStr">
        <is>
          <t>Tunon Paris</t>
        </is>
      </c>
      <c r="C149" s="19" t="inlineStr">
        <is>
          <t>Tunon</t>
        </is>
      </c>
      <c r="D149" s="19" t="inlineStr">
        <is>
          <t>Paris</t>
        </is>
      </c>
      <c r="E149" s="19" t="inlineStr">
        <is>
          <t>621</t>
        </is>
      </c>
      <c r="F149" s="18" t="inlineStr">
        <is>
          <t>Personnel extérieur — vacataires &amp; intervenants</t>
        </is>
      </c>
      <c r="G149" s="19" t="inlineStr">
        <is>
          <t>62 — Autres services extérieurs</t>
        </is>
      </c>
      <c r="H149" s="19" t="inlineStr">
        <is>
          <t>Charge</t>
        </is>
      </c>
      <c r="I149" s="19" t="inlineStr">
        <is>
          <t>Coûts directs</t>
        </is>
      </c>
      <c r="J149" s="19" t="inlineStr">
        <is>
          <t>2026ATT_VDEF</t>
        </is>
      </c>
      <c r="K149" s="19" t="inlineStr">
        <is>
          <t>2026 (Atterr.)</t>
        </is>
      </c>
      <c r="L149" s="13" t="n">
        <v>70871</v>
      </c>
    </row>
    <row r="150">
      <c r="A150" s="19" t="inlineStr">
        <is>
          <t>TUNON_LYON</t>
        </is>
      </c>
      <c r="B150" s="18" t="inlineStr">
        <is>
          <t>Tunon Lyon</t>
        </is>
      </c>
      <c r="C150" s="19" t="inlineStr">
        <is>
          <t>Tunon</t>
        </is>
      </c>
      <c r="D150" s="19" t="inlineStr">
        <is>
          <t>Lyon</t>
        </is>
      </c>
      <c r="E150" s="19" t="inlineStr">
        <is>
          <t>621</t>
        </is>
      </c>
      <c r="F150" s="18" t="inlineStr">
        <is>
          <t>Personnel extérieur — vacataires &amp; intervenants</t>
        </is>
      </c>
      <c r="G150" s="19" t="inlineStr">
        <is>
          <t>62 — Autres services extérieurs</t>
        </is>
      </c>
      <c r="H150" s="19" t="inlineStr">
        <is>
          <t>Charge</t>
        </is>
      </c>
      <c r="I150" s="19" t="inlineStr">
        <is>
          <t>Coûts directs</t>
        </is>
      </c>
      <c r="J150" s="19" t="inlineStr">
        <is>
          <t>2026ATT_VDEF</t>
        </is>
      </c>
      <c r="K150" s="19" t="inlineStr">
        <is>
          <t>2026 (Atterr.)</t>
        </is>
      </c>
      <c r="L150" s="13" t="n">
        <v>70871</v>
      </c>
    </row>
    <row r="151">
      <c r="A151" s="19" t="inlineStr">
        <is>
          <t>MBWAY_PARIS</t>
        </is>
      </c>
      <c r="B151" s="18" t="inlineStr">
        <is>
          <t>MBway Paris</t>
        </is>
      </c>
      <c r="C151" s="19" t="inlineStr">
        <is>
          <t>MBway</t>
        </is>
      </c>
      <c r="D151" s="19" t="inlineStr">
        <is>
          <t>Paris</t>
        </is>
      </c>
      <c r="E151" s="19" t="inlineStr">
        <is>
          <t>604</t>
        </is>
      </c>
      <c r="F151" s="18" t="inlineStr">
        <is>
          <t>Sous-traitance pédagogique</t>
        </is>
      </c>
      <c r="G151" s="19" t="inlineStr">
        <is>
          <t>60 — Achats</t>
        </is>
      </c>
      <c r="H151" s="19" t="inlineStr">
        <is>
          <t>Charge</t>
        </is>
      </c>
      <c r="I151" s="19" t="inlineStr">
        <is>
          <t>Coûts directs</t>
        </is>
      </c>
      <c r="J151" s="19" t="inlineStr">
        <is>
          <t>2024ACT_VDEF</t>
        </is>
      </c>
      <c r="K151" s="19" t="inlineStr">
        <is>
          <t>2024 (N-2)</t>
        </is>
      </c>
      <c r="L151" s="13" t="n">
        <v>75219</v>
      </c>
    </row>
    <row r="152">
      <c r="A152" s="19" t="inlineStr">
        <is>
          <t>MBWAY_LYON</t>
        </is>
      </c>
      <c r="B152" s="18" t="inlineStr">
        <is>
          <t>MBway Lyon</t>
        </is>
      </c>
      <c r="C152" s="19" t="inlineStr">
        <is>
          <t>MBway</t>
        </is>
      </c>
      <c r="D152" s="19" t="inlineStr">
        <is>
          <t>Lyon</t>
        </is>
      </c>
      <c r="E152" s="19" t="inlineStr">
        <is>
          <t>604</t>
        </is>
      </c>
      <c r="F152" s="18" t="inlineStr">
        <is>
          <t>Sous-traitance pédagogique</t>
        </is>
      </c>
      <c r="G152" s="19" t="inlineStr">
        <is>
          <t>60 — Achats</t>
        </is>
      </c>
      <c r="H152" s="19" t="inlineStr">
        <is>
          <t>Charge</t>
        </is>
      </c>
      <c r="I152" s="19" t="inlineStr">
        <is>
          <t>Coûts directs</t>
        </is>
      </c>
      <c r="J152" s="19" t="inlineStr">
        <is>
          <t>2024ACT_VDEF</t>
        </is>
      </c>
      <c r="K152" s="19" t="inlineStr">
        <is>
          <t>2024 (N-2)</t>
        </is>
      </c>
      <c r="L152" s="13" t="n">
        <v>63321</v>
      </c>
    </row>
    <row r="153">
      <c r="A153" s="19" t="inlineStr">
        <is>
          <t>MBWAY_NANTES</t>
        </is>
      </c>
      <c r="B153" s="18" t="inlineStr">
        <is>
          <t>MBway Nantes</t>
        </is>
      </c>
      <c r="C153" s="19" t="inlineStr">
        <is>
          <t>MBway</t>
        </is>
      </c>
      <c r="D153" s="19" t="inlineStr">
        <is>
          <t>Nantes</t>
        </is>
      </c>
      <c r="E153" s="19" t="inlineStr">
        <is>
          <t>604</t>
        </is>
      </c>
      <c r="F153" s="18" t="inlineStr">
        <is>
          <t>Sous-traitance pédagogique</t>
        </is>
      </c>
      <c r="G153" s="19" t="inlineStr">
        <is>
          <t>60 — Achats</t>
        </is>
      </c>
      <c r="H153" s="19" t="inlineStr">
        <is>
          <t>Charge</t>
        </is>
      </c>
      <c r="I153" s="19" t="inlineStr">
        <is>
          <t>Coûts directs</t>
        </is>
      </c>
      <c r="J153" s="19" t="inlineStr">
        <is>
          <t>2024ACT_VDEF</t>
        </is>
      </c>
      <c r="K153" s="19" t="inlineStr">
        <is>
          <t>2024 (N-2)</t>
        </is>
      </c>
      <c r="L153" s="13" t="n">
        <v>57876</v>
      </c>
    </row>
    <row r="154">
      <c r="A154" s="19" t="inlineStr">
        <is>
          <t>MBWAY_BORDEAUX</t>
        </is>
      </c>
      <c r="B154" s="18" t="inlineStr">
        <is>
          <t>MBway Bordeaux</t>
        </is>
      </c>
      <c r="C154" s="19" t="inlineStr">
        <is>
          <t>MBway</t>
        </is>
      </c>
      <c r="D154" s="19" t="inlineStr">
        <is>
          <t>Bordeaux</t>
        </is>
      </c>
      <c r="E154" s="19" t="inlineStr">
        <is>
          <t>604</t>
        </is>
      </c>
      <c r="F154" s="18" t="inlineStr">
        <is>
          <t>Sous-traitance pédagogique</t>
        </is>
      </c>
      <c r="G154" s="19" t="inlineStr">
        <is>
          <t>60 — Achats</t>
        </is>
      </c>
      <c r="H154" s="19" t="inlineStr">
        <is>
          <t>Charge</t>
        </is>
      </c>
      <c r="I154" s="19" t="inlineStr">
        <is>
          <t>Coûts directs</t>
        </is>
      </c>
      <c r="J154" s="19" t="inlineStr">
        <is>
          <t>2024ACT_VDEF</t>
        </is>
      </c>
      <c r="K154" s="19" t="inlineStr">
        <is>
          <t>2024 (N-2)</t>
        </is>
      </c>
      <c r="L154" s="13" t="n">
        <v>49003</v>
      </c>
    </row>
    <row r="155">
      <c r="A155" s="19" t="inlineStr">
        <is>
          <t>ISCOM_PARIS</t>
        </is>
      </c>
      <c r="B155" s="18" t="inlineStr">
        <is>
          <t>ISCOM Paris</t>
        </is>
      </c>
      <c r="C155" s="19" t="inlineStr">
        <is>
          <t>ISCOM</t>
        </is>
      </c>
      <c r="D155" s="19" t="inlineStr">
        <is>
          <t>Paris</t>
        </is>
      </c>
      <c r="E155" s="19" t="inlineStr">
        <is>
          <t>604</t>
        </is>
      </c>
      <c r="F155" s="18" t="inlineStr">
        <is>
          <t>Sous-traitance pédagogique</t>
        </is>
      </c>
      <c r="G155" s="19" t="inlineStr">
        <is>
          <t>60 — Achats</t>
        </is>
      </c>
      <c r="H155" s="19" t="inlineStr">
        <is>
          <t>Charge</t>
        </is>
      </c>
      <c r="I155" s="19" t="inlineStr">
        <is>
          <t>Coûts directs</t>
        </is>
      </c>
      <c r="J155" s="19" t="inlineStr">
        <is>
          <t>2024ACT_VDEF</t>
        </is>
      </c>
      <c r="K155" s="19" t="inlineStr">
        <is>
          <t>2024 (N-2)</t>
        </is>
      </c>
      <c r="L155" s="13" t="n">
        <v>69371</v>
      </c>
    </row>
    <row r="156">
      <c r="A156" s="19" t="inlineStr">
        <is>
          <t>ISCOM_LILLE</t>
        </is>
      </c>
      <c r="B156" s="18" t="inlineStr">
        <is>
          <t>ISCOM Lille</t>
        </is>
      </c>
      <c r="C156" s="19" t="inlineStr">
        <is>
          <t>ISCOM</t>
        </is>
      </c>
      <c r="D156" s="19" t="inlineStr">
        <is>
          <t>Lille</t>
        </is>
      </c>
      <c r="E156" s="19" t="inlineStr">
        <is>
          <t>604</t>
        </is>
      </c>
      <c r="F156" s="18" t="inlineStr">
        <is>
          <t>Sous-traitance pédagogique</t>
        </is>
      </c>
      <c r="G156" s="19" t="inlineStr">
        <is>
          <t>60 — Achats</t>
        </is>
      </c>
      <c r="H156" s="19" t="inlineStr">
        <is>
          <t>Charge</t>
        </is>
      </c>
      <c r="I156" s="19" t="inlineStr">
        <is>
          <t>Coûts directs</t>
        </is>
      </c>
      <c r="J156" s="19" t="inlineStr">
        <is>
          <t>2024ACT_VDEF</t>
        </is>
      </c>
      <c r="K156" s="19" t="inlineStr">
        <is>
          <t>2024 (N-2)</t>
        </is>
      </c>
      <c r="L156" s="13" t="n">
        <v>47995</v>
      </c>
    </row>
    <row r="157">
      <c r="A157" s="19" t="inlineStr">
        <is>
          <t>ISCOM_TOULOUSE</t>
        </is>
      </c>
      <c r="B157" s="18" t="inlineStr">
        <is>
          <t>ISCOM Toulouse</t>
        </is>
      </c>
      <c r="C157" s="19" t="inlineStr">
        <is>
          <t>ISCOM</t>
        </is>
      </c>
      <c r="D157" s="19" t="inlineStr">
        <is>
          <t>Toulouse</t>
        </is>
      </c>
      <c r="E157" s="19" t="inlineStr">
        <is>
          <t>604</t>
        </is>
      </c>
      <c r="F157" s="18" t="inlineStr">
        <is>
          <t>Sous-traitance pédagogique</t>
        </is>
      </c>
      <c r="G157" s="19" t="inlineStr">
        <is>
          <t>60 — Achats</t>
        </is>
      </c>
      <c r="H157" s="19" t="inlineStr">
        <is>
          <t>Charge</t>
        </is>
      </c>
      <c r="I157" s="19" t="inlineStr">
        <is>
          <t>Coûts directs</t>
        </is>
      </c>
      <c r="J157" s="19" t="inlineStr">
        <is>
          <t>2024ACT_VDEF</t>
        </is>
      </c>
      <c r="K157" s="19" t="inlineStr">
        <is>
          <t>2024 (N-2)</t>
        </is>
      </c>
      <c r="L157" s="13" t="n">
        <v>45373</v>
      </c>
    </row>
    <row r="158">
      <c r="A158" s="19" t="inlineStr">
        <is>
          <t>IPAC_BACHELOR_FACTORY_NANTES</t>
        </is>
      </c>
      <c r="B158" s="18" t="inlineStr">
        <is>
          <t>Ipac Bachelor Factory Nantes</t>
        </is>
      </c>
      <c r="C158" s="19" t="inlineStr">
        <is>
          <t>Ipac Bachelor Factory</t>
        </is>
      </c>
      <c r="D158" s="19" t="inlineStr">
        <is>
          <t>Nantes</t>
        </is>
      </c>
      <c r="E158" s="19" t="inlineStr">
        <is>
          <t>604</t>
        </is>
      </c>
      <c r="F158" s="18" t="inlineStr">
        <is>
          <t>Sous-traitance pédagogique</t>
        </is>
      </c>
      <c r="G158" s="19" t="inlineStr">
        <is>
          <t>60 — Achats</t>
        </is>
      </c>
      <c r="H158" s="19" t="inlineStr">
        <is>
          <t>Charge</t>
        </is>
      </c>
      <c r="I158" s="19" t="inlineStr">
        <is>
          <t>Coûts directs</t>
        </is>
      </c>
      <c r="J158" s="19" t="inlineStr">
        <is>
          <t>2024ACT_VDEF</t>
        </is>
      </c>
      <c r="K158" s="19" t="inlineStr">
        <is>
          <t>2024 (N-2)</t>
        </is>
      </c>
      <c r="L158" s="13" t="n">
        <v>28232</v>
      </c>
    </row>
    <row r="159">
      <c r="A159" s="19" t="inlineStr">
        <is>
          <t>IPAC_BACHELOR_FACTORY_RENNES</t>
        </is>
      </c>
      <c r="B159" s="18" t="inlineStr">
        <is>
          <t>Ipac Bachelor Factory Rennes</t>
        </is>
      </c>
      <c r="C159" s="19" t="inlineStr">
        <is>
          <t>Ipac Bachelor Factory</t>
        </is>
      </c>
      <c r="D159" s="19" t="inlineStr">
        <is>
          <t>Rennes</t>
        </is>
      </c>
      <c r="E159" s="19" t="inlineStr">
        <is>
          <t>604</t>
        </is>
      </c>
      <c r="F159" s="18" t="inlineStr">
        <is>
          <t>Sous-traitance pédagogique</t>
        </is>
      </c>
      <c r="G159" s="19" t="inlineStr">
        <is>
          <t>60 — Achats</t>
        </is>
      </c>
      <c r="H159" s="19" t="inlineStr">
        <is>
          <t>Charge</t>
        </is>
      </c>
      <c r="I159" s="19" t="inlineStr">
        <is>
          <t>Coûts directs</t>
        </is>
      </c>
      <c r="J159" s="19" t="inlineStr">
        <is>
          <t>2024ACT_VDEF</t>
        </is>
      </c>
      <c r="K159" s="19" t="inlineStr">
        <is>
          <t>2024 (N-2)</t>
        </is>
      </c>
      <c r="L159" s="13" t="n">
        <v>22586</v>
      </c>
    </row>
    <row r="160">
      <c r="A160" s="19" t="inlineStr">
        <is>
          <t>IPAC_BACHELOR_FACTORY_MONTPELLIER</t>
        </is>
      </c>
      <c r="B160" s="18" t="inlineStr">
        <is>
          <t>Ipac Bachelor Factory Montpellier</t>
        </is>
      </c>
      <c r="C160" s="19" t="inlineStr">
        <is>
          <t>Ipac Bachelor Factory</t>
        </is>
      </c>
      <c r="D160" s="19" t="inlineStr">
        <is>
          <t>Montpellier</t>
        </is>
      </c>
      <c r="E160" s="19" t="inlineStr">
        <is>
          <t>604</t>
        </is>
      </c>
      <c r="F160" s="18" t="inlineStr">
        <is>
          <t>Sous-traitance pédagogique</t>
        </is>
      </c>
      <c r="G160" s="19" t="inlineStr">
        <is>
          <t>60 — Achats</t>
        </is>
      </c>
      <c r="H160" s="19" t="inlineStr">
        <is>
          <t>Charge</t>
        </is>
      </c>
      <c r="I160" s="19" t="inlineStr">
        <is>
          <t>Coûts directs</t>
        </is>
      </c>
      <c r="J160" s="19" t="inlineStr">
        <is>
          <t>2024ACT_VDEF</t>
        </is>
      </c>
      <c r="K160" s="19" t="inlineStr">
        <is>
          <t>2024 (N-2)</t>
        </is>
      </c>
      <c r="L160" s="13" t="n">
        <v>22586</v>
      </c>
    </row>
    <row r="161">
      <c r="A161" s="19" t="inlineStr">
        <is>
          <t>PIGIER_LYON</t>
        </is>
      </c>
      <c r="B161" s="18" t="inlineStr">
        <is>
          <t>Pigier Lyon</t>
        </is>
      </c>
      <c r="C161" s="19" t="inlineStr">
        <is>
          <t>Pigier</t>
        </is>
      </c>
      <c r="D161" s="19" t="inlineStr">
        <is>
          <t>Lyon</t>
        </is>
      </c>
      <c r="E161" s="19" t="inlineStr">
        <is>
          <t>604</t>
        </is>
      </c>
      <c r="F161" s="18" t="inlineStr">
        <is>
          <t>Sous-traitance pédagogique</t>
        </is>
      </c>
      <c r="G161" s="19" t="inlineStr">
        <is>
          <t>60 — Achats</t>
        </is>
      </c>
      <c r="H161" s="19" t="inlineStr">
        <is>
          <t>Charge</t>
        </is>
      </c>
      <c r="I161" s="19" t="inlineStr">
        <is>
          <t>Coûts directs</t>
        </is>
      </c>
      <c r="J161" s="19" t="inlineStr">
        <is>
          <t>2024ACT_VDEF</t>
        </is>
      </c>
      <c r="K161" s="19" t="inlineStr">
        <is>
          <t>2024 (N-2)</t>
        </is>
      </c>
      <c r="L161" s="13" t="n">
        <v>36097</v>
      </c>
    </row>
    <row r="162">
      <c r="A162" s="19" t="inlineStr">
        <is>
          <t>PIGIER_BORDEAUX</t>
        </is>
      </c>
      <c r="B162" s="18" t="inlineStr">
        <is>
          <t>Pigier Bordeaux</t>
        </is>
      </c>
      <c r="C162" s="19" t="inlineStr">
        <is>
          <t>Pigier</t>
        </is>
      </c>
      <c r="D162" s="19" t="inlineStr">
        <is>
          <t>Bordeaux</t>
        </is>
      </c>
      <c r="E162" s="19" t="inlineStr">
        <is>
          <t>604</t>
        </is>
      </c>
      <c r="F162" s="18" t="inlineStr">
        <is>
          <t>Sous-traitance pédagogique</t>
        </is>
      </c>
      <c r="G162" s="19" t="inlineStr">
        <is>
          <t>60 — Achats</t>
        </is>
      </c>
      <c r="H162" s="19" t="inlineStr">
        <is>
          <t>Charge</t>
        </is>
      </c>
      <c r="I162" s="19" t="inlineStr">
        <is>
          <t>Coûts directs</t>
        </is>
      </c>
      <c r="J162" s="19" t="inlineStr">
        <is>
          <t>2024ACT_VDEF</t>
        </is>
      </c>
      <c r="K162" s="19" t="inlineStr">
        <is>
          <t>2024 (N-2)</t>
        </is>
      </c>
      <c r="L162" s="13" t="n">
        <v>28232</v>
      </c>
    </row>
    <row r="163">
      <c r="A163" s="19" t="inlineStr">
        <is>
          <t>TUNON_PARIS</t>
        </is>
      </c>
      <c r="B163" s="18" t="inlineStr">
        <is>
          <t>Tunon Paris</t>
        </is>
      </c>
      <c r="C163" s="19" t="inlineStr">
        <is>
          <t>Tunon</t>
        </is>
      </c>
      <c r="D163" s="19" t="inlineStr">
        <is>
          <t>Paris</t>
        </is>
      </c>
      <c r="E163" s="19" t="inlineStr">
        <is>
          <t>604</t>
        </is>
      </c>
      <c r="F163" s="18" t="inlineStr">
        <is>
          <t>Sous-traitance pédagogique</t>
        </is>
      </c>
      <c r="G163" s="19" t="inlineStr">
        <is>
          <t>60 — Achats</t>
        </is>
      </c>
      <c r="H163" s="19" t="inlineStr">
        <is>
          <t>Charge</t>
        </is>
      </c>
      <c r="I163" s="19" t="inlineStr">
        <is>
          <t>Coûts directs</t>
        </is>
      </c>
      <c r="J163" s="19" t="inlineStr">
        <is>
          <t>2024ACT_VDEF</t>
        </is>
      </c>
      <c r="K163" s="19" t="inlineStr">
        <is>
          <t>2024 (N-2)</t>
        </is>
      </c>
      <c r="L163" s="13" t="n">
        <v>26821</v>
      </c>
    </row>
    <row r="164">
      <c r="A164" s="19" t="inlineStr">
        <is>
          <t>TUNON_LYON</t>
        </is>
      </c>
      <c r="B164" s="18" t="inlineStr">
        <is>
          <t>Tunon Lyon</t>
        </is>
      </c>
      <c r="C164" s="19" t="inlineStr">
        <is>
          <t>Tunon</t>
        </is>
      </c>
      <c r="D164" s="19" t="inlineStr">
        <is>
          <t>Lyon</t>
        </is>
      </c>
      <c r="E164" s="19" t="inlineStr">
        <is>
          <t>604</t>
        </is>
      </c>
      <c r="F164" s="18" t="inlineStr">
        <is>
          <t>Sous-traitance pédagogique</t>
        </is>
      </c>
      <c r="G164" s="19" t="inlineStr">
        <is>
          <t>60 — Achats</t>
        </is>
      </c>
      <c r="H164" s="19" t="inlineStr">
        <is>
          <t>Charge</t>
        </is>
      </c>
      <c r="I164" s="19" t="inlineStr">
        <is>
          <t>Coûts directs</t>
        </is>
      </c>
      <c r="J164" s="19" t="inlineStr">
        <is>
          <t>2024ACT_VDEF</t>
        </is>
      </c>
      <c r="K164" s="19" t="inlineStr">
        <is>
          <t>2024 (N-2)</t>
        </is>
      </c>
      <c r="L164" s="13" t="n">
        <v>22586</v>
      </c>
    </row>
    <row r="165">
      <c r="A165" s="19" t="inlineStr">
        <is>
          <t>MBWAY_PARIS</t>
        </is>
      </c>
      <c r="B165" s="18" t="inlineStr">
        <is>
          <t>MBway Paris</t>
        </is>
      </c>
      <c r="C165" s="19" t="inlineStr">
        <is>
          <t>MBway</t>
        </is>
      </c>
      <c r="D165" s="19" t="inlineStr">
        <is>
          <t>Paris</t>
        </is>
      </c>
      <c r="E165" s="19" t="inlineStr">
        <is>
          <t>604</t>
        </is>
      </c>
      <c r="F165" s="18" t="inlineStr">
        <is>
          <t>Sous-traitance pédagogique</t>
        </is>
      </c>
      <c r="G165" s="19" t="inlineStr">
        <is>
          <t>60 — Achats</t>
        </is>
      </c>
      <c r="H165" s="19" t="inlineStr">
        <is>
          <t>Charge</t>
        </is>
      </c>
      <c r="I165" s="19" t="inlineStr">
        <is>
          <t>Coûts directs</t>
        </is>
      </c>
      <c r="J165" s="19" t="inlineStr">
        <is>
          <t>2025ACT_VDEF</t>
        </is>
      </c>
      <c r="K165" s="19" t="inlineStr">
        <is>
          <t>2025 (N-1)</t>
        </is>
      </c>
      <c r="L165" s="13" t="n">
        <v>78997</v>
      </c>
    </row>
    <row r="166">
      <c r="A166" s="19" t="inlineStr">
        <is>
          <t>MBWAY_LYON</t>
        </is>
      </c>
      <c r="B166" s="18" t="inlineStr">
        <is>
          <t>MBway Lyon</t>
        </is>
      </c>
      <c r="C166" s="19" t="inlineStr">
        <is>
          <t>MBway</t>
        </is>
      </c>
      <c r="D166" s="19" t="inlineStr">
        <is>
          <t>Lyon</t>
        </is>
      </c>
      <c r="E166" s="19" t="inlineStr">
        <is>
          <t>604</t>
        </is>
      </c>
      <c r="F166" s="18" t="inlineStr">
        <is>
          <t>Sous-traitance pédagogique</t>
        </is>
      </c>
      <c r="G166" s="19" t="inlineStr">
        <is>
          <t>60 — Achats</t>
        </is>
      </c>
      <c r="H166" s="19" t="inlineStr">
        <is>
          <t>Charge</t>
        </is>
      </c>
      <c r="I166" s="19" t="inlineStr">
        <is>
          <t>Coûts directs</t>
        </is>
      </c>
      <c r="J166" s="19" t="inlineStr">
        <is>
          <t>2025ACT_VDEF</t>
        </is>
      </c>
      <c r="K166" s="19" t="inlineStr">
        <is>
          <t>2025 (N-1)</t>
        </is>
      </c>
      <c r="L166" s="13" t="n">
        <v>66502</v>
      </c>
    </row>
    <row r="167">
      <c r="A167" s="19" t="inlineStr">
        <is>
          <t>MBWAY_NANTES</t>
        </is>
      </c>
      <c r="B167" s="18" t="inlineStr">
        <is>
          <t>MBway Nantes</t>
        </is>
      </c>
      <c r="C167" s="19" t="inlineStr">
        <is>
          <t>MBway</t>
        </is>
      </c>
      <c r="D167" s="19" t="inlineStr">
        <is>
          <t>Nantes</t>
        </is>
      </c>
      <c r="E167" s="19" t="inlineStr">
        <is>
          <t>604</t>
        </is>
      </c>
      <c r="F167" s="18" t="inlineStr">
        <is>
          <t>Sous-traitance pédagogique</t>
        </is>
      </c>
      <c r="G167" s="19" t="inlineStr">
        <is>
          <t>60 — Achats</t>
        </is>
      </c>
      <c r="H167" s="19" t="inlineStr">
        <is>
          <t>Charge</t>
        </is>
      </c>
      <c r="I167" s="19" t="inlineStr">
        <is>
          <t>Coûts directs</t>
        </is>
      </c>
      <c r="J167" s="19" t="inlineStr">
        <is>
          <t>2025ACT_VDEF</t>
        </is>
      </c>
      <c r="K167" s="19" t="inlineStr">
        <is>
          <t>2025 (N-1)</t>
        </is>
      </c>
      <c r="L167" s="13" t="n">
        <v>60784</v>
      </c>
    </row>
    <row r="168">
      <c r="A168" s="19" t="inlineStr">
        <is>
          <t>MBWAY_BORDEAUX</t>
        </is>
      </c>
      <c r="B168" s="18" t="inlineStr">
        <is>
          <t>MBway Bordeaux</t>
        </is>
      </c>
      <c r="C168" s="19" t="inlineStr">
        <is>
          <t>MBway</t>
        </is>
      </c>
      <c r="D168" s="19" t="inlineStr">
        <is>
          <t>Bordeaux</t>
        </is>
      </c>
      <c r="E168" s="19" t="inlineStr">
        <is>
          <t>604</t>
        </is>
      </c>
      <c r="F168" s="18" t="inlineStr">
        <is>
          <t>Sous-traitance pédagogique</t>
        </is>
      </c>
      <c r="G168" s="19" t="inlineStr">
        <is>
          <t>60 — Achats</t>
        </is>
      </c>
      <c r="H168" s="19" t="inlineStr">
        <is>
          <t>Charge</t>
        </is>
      </c>
      <c r="I168" s="19" t="inlineStr">
        <is>
          <t>Coûts directs</t>
        </is>
      </c>
      <c r="J168" s="19" t="inlineStr">
        <is>
          <t>2025ACT_VDEF</t>
        </is>
      </c>
      <c r="K168" s="19" t="inlineStr">
        <is>
          <t>2025 (N-1)</t>
        </is>
      </c>
      <c r="L168" s="13" t="n">
        <v>51465</v>
      </c>
    </row>
    <row r="169">
      <c r="A169" s="19" t="inlineStr">
        <is>
          <t>ISCOM_PARIS</t>
        </is>
      </c>
      <c r="B169" s="18" t="inlineStr">
        <is>
          <t>ISCOM Paris</t>
        </is>
      </c>
      <c r="C169" s="19" t="inlineStr">
        <is>
          <t>ISCOM</t>
        </is>
      </c>
      <c r="D169" s="19" t="inlineStr">
        <is>
          <t>Paris</t>
        </is>
      </c>
      <c r="E169" s="19" t="inlineStr">
        <is>
          <t>604</t>
        </is>
      </c>
      <c r="F169" s="18" t="inlineStr">
        <is>
          <t>Sous-traitance pédagogique</t>
        </is>
      </c>
      <c r="G169" s="19" t="inlineStr">
        <is>
          <t>60 — Achats</t>
        </is>
      </c>
      <c r="H169" s="19" t="inlineStr">
        <is>
          <t>Charge</t>
        </is>
      </c>
      <c r="I169" s="19" t="inlineStr">
        <is>
          <t>Coûts directs</t>
        </is>
      </c>
      <c r="J169" s="19" t="inlineStr">
        <is>
          <t>2025ACT_VDEF</t>
        </is>
      </c>
      <c r="K169" s="19" t="inlineStr">
        <is>
          <t>2025 (N-1)</t>
        </is>
      </c>
      <c r="L169" s="13" t="n">
        <v>72856</v>
      </c>
    </row>
    <row r="170">
      <c r="A170" s="19" t="inlineStr">
        <is>
          <t>ISCOM_LILLE</t>
        </is>
      </c>
      <c r="B170" s="18" t="inlineStr">
        <is>
          <t>ISCOM Lille</t>
        </is>
      </c>
      <c r="C170" s="19" t="inlineStr">
        <is>
          <t>ISCOM</t>
        </is>
      </c>
      <c r="D170" s="19" t="inlineStr">
        <is>
          <t>Lille</t>
        </is>
      </c>
      <c r="E170" s="19" t="inlineStr">
        <is>
          <t>604</t>
        </is>
      </c>
      <c r="F170" s="18" t="inlineStr">
        <is>
          <t>Sous-traitance pédagogique</t>
        </is>
      </c>
      <c r="G170" s="19" t="inlineStr">
        <is>
          <t>60 — Achats</t>
        </is>
      </c>
      <c r="H170" s="19" t="inlineStr">
        <is>
          <t>Charge</t>
        </is>
      </c>
      <c r="I170" s="19" t="inlineStr">
        <is>
          <t>Coûts directs</t>
        </is>
      </c>
      <c r="J170" s="19" t="inlineStr">
        <is>
          <t>2025ACT_VDEF</t>
        </is>
      </c>
      <c r="K170" s="19" t="inlineStr">
        <is>
          <t>2025 (N-1)</t>
        </is>
      </c>
      <c r="L170" s="13" t="n">
        <v>50406</v>
      </c>
    </row>
    <row r="171">
      <c r="A171" s="19" t="inlineStr">
        <is>
          <t>ISCOM_TOULOUSE</t>
        </is>
      </c>
      <c r="B171" s="18" t="inlineStr">
        <is>
          <t>ISCOM Toulouse</t>
        </is>
      </c>
      <c r="C171" s="19" t="inlineStr">
        <is>
          <t>ISCOM</t>
        </is>
      </c>
      <c r="D171" s="19" t="inlineStr">
        <is>
          <t>Toulouse</t>
        </is>
      </c>
      <c r="E171" s="19" t="inlineStr">
        <is>
          <t>604</t>
        </is>
      </c>
      <c r="F171" s="18" t="inlineStr">
        <is>
          <t>Sous-traitance pédagogique</t>
        </is>
      </c>
      <c r="G171" s="19" t="inlineStr">
        <is>
          <t>60 — Achats</t>
        </is>
      </c>
      <c r="H171" s="19" t="inlineStr">
        <is>
          <t>Charge</t>
        </is>
      </c>
      <c r="I171" s="19" t="inlineStr">
        <is>
          <t>Coûts directs</t>
        </is>
      </c>
      <c r="J171" s="19" t="inlineStr">
        <is>
          <t>2025ACT_VDEF</t>
        </is>
      </c>
      <c r="K171" s="19" t="inlineStr">
        <is>
          <t>2025 (N-1)</t>
        </is>
      </c>
      <c r="L171" s="13" t="n">
        <v>47653</v>
      </c>
    </row>
    <row r="172">
      <c r="A172" s="19" t="inlineStr">
        <is>
          <t>IPAC_BACHELOR_FACTORY_NANTES</t>
        </is>
      </c>
      <c r="B172" s="18" t="inlineStr">
        <is>
          <t>Ipac Bachelor Factory Nantes</t>
        </is>
      </c>
      <c r="C172" s="19" t="inlineStr">
        <is>
          <t>Ipac Bachelor Factory</t>
        </is>
      </c>
      <c r="D172" s="19" t="inlineStr">
        <is>
          <t>Nantes</t>
        </is>
      </c>
      <c r="E172" s="19" t="inlineStr">
        <is>
          <t>604</t>
        </is>
      </c>
      <c r="F172" s="18" t="inlineStr">
        <is>
          <t>Sous-traitance pédagogique</t>
        </is>
      </c>
      <c r="G172" s="19" t="inlineStr">
        <is>
          <t>60 — Achats</t>
        </is>
      </c>
      <c r="H172" s="19" t="inlineStr">
        <is>
          <t>Charge</t>
        </is>
      </c>
      <c r="I172" s="19" t="inlineStr">
        <is>
          <t>Coûts directs</t>
        </is>
      </c>
      <c r="J172" s="19" t="inlineStr">
        <is>
          <t>2025ACT_VDEF</t>
        </is>
      </c>
      <c r="K172" s="19" t="inlineStr">
        <is>
          <t>2025 (N-1)</t>
        </is>
      </c>
      <c r="L172" s="13" t="n">
        <v>29650</v>
      </c>
    </row>
    <row r="173">
      <c r="A173" s="19" t="inlineStr">
        <is>
          <t>IPAC_BACHELOR_FACTORY_RENNES</t>
        </is>
      </c>
      <c r="B173" s="18" t="inlineStr">
        <is>
          <t>Ipac Bachelor Factory Rennes</t>
        </is>
      </c>
      <c r="C173" s="19" t="inlineStr">
        <is>
          <t>Ipac Bachelor Factory</t>
        </is>
      </c>
      <c r="D173" s="19" t="inlineStr">
        <is>
          <t>Rennes</t>
        </is>
      </c>
      <c r="E173" s="19" t="inlineStr">
        <is>
          <t>604</t>
        </is>
      </c>
      <c r="F173" s="18" t="inlineStr">
        <is>
          <t>Sous-traitance pédagogique</t>
        </is>
      </c>
      <c r="G173" s="19" t="inlineStr">
        <is>
          <t>60 — Achats</t>
        </is>
      </c>
      <c r="H173" s="19" t="inlineStr">
        <is>
          <t>Charge</t>
        </is>
      </c>
      <c r="I173" s="19" t="inlineStr">
        <is>
          <t>Coûts directs</t>
        </is>
      </c>
      <c r="J173" s="19" t="inlineStr">
        <is>
          <t>2025ACT_VDEF</t>
        </is>
      </c>
      <c r="K173" s="19" t="inlineStr">
        <is>
          <t>2025 (N-1)</t>
        </is>
      </c>
      <c r="L173" s="13" t="n">
        <v>23720</v>
      </c>
    </row>
    <row r="174">
      <c r="A174" s="19" t="inlineStr">
        <is>
          <t>IPAC_BACHELOR_FACTORY_MONTPELLIER</t>
        </is>
      </c>
      <c r="B174" s="18" t="inlineStr">
        <is>
          <t>Ipac Bachelor Factory Montpellier</t>
        </is>
      </c>
      <c r="C174" s="19" t="inlineStr">
        <is>
          <t>Ipac Bachelor Factory</t>
        </is>
      </c>
      <c r="D174" s="19" t="inlineStr">
        <is>
          <t>Montpellier</t>
        </is>
      </c>
      <c r="E174" s="19" t="inlineStr">
        <is>
          <t>604</t>
        </is>
      </c>
      <c r="F174" s="18" t="inlineStr">
        <is>
          <t>Sous-traitance pédagogique</t>
        </is>
      </c>
      <c r="G174" s="19" t="inlineStr">
        <is>
          <t>60 — Achats</t>
        </is>
      </c>
      <c r="H174" s="19" t="inlineStr">
        <is>
          <t>Charge</t>
        </is>
      </c>
      <c r="I174" s="19" t="inlineStr">
        <is>
          <t>Coûts directs</t>
        </is>
      </c>
      <c r="J174" s="19" t="inlineStr">
        <is>
          <t>2025ACT_VDEF</t>
        </is>
      </c>
      <c r="K174" s="19" t="inlineStr">
        <is>
          <t>2025 (N-1)</t>
        </is>
      </c>
      <c r="L174" s="13" t="n">
        <v>23720</v>
      </c>
    </row>
    <row r="175">
      <c r="A175" s="19" t="inlineStr">
        <is>
          <t>PIGIER_LYON</t>
        </is>
      </c>
      <c r="B175" s="18" t="inlineStr">
        <is>
          <t>Pigier Lyon</t>
        </is>
      </c>
      <c r="C175" s="19" t="inlineStr">
        <is>
          <t>Pigier</t>
        </is>
      </c>
      <c r="D175" s="19" t="inlineStr">
        <is>
          <t>Lyon</t>
        </is>
      </c>
      <c r="E175" s="19" t="inlineStr">
        <is>
          <t>604</t>
        </is>
      </c>
      <c r="F175" s="18" t="inlineStr">
        <is>
          <t>Sous-traitance pédagogique</t>
        </is>
      </c>
      <c r="G175" s="19" t="inlineStr">
        <is>
          <t>60 — Achats</t>
        </is>
      </c>
      <c r="H175" s="19" t="inlineStr">
        <is>
          <t>Charge</t>
        </is>
      </c>
      <c r="I175" s="19" t="inlineStr">
        <is>
          <t>Coûts directs</t>
        </is>
      </c>
      <c r="J175" s="19" t="inlineStr">
        <is>
          <t>2025ACT_VDEF</t>
        </is>
      </c>
      <c r="K175" s="19" t="inlineStr">
        <is>
          <t>2025 (N-1)</t>
        </is>
      </c>
      <c r="L175" s="13" t="n">
        <v>37910</v>
      </c>
    </row>
    <row r="176">
      <c r="A176" s="19" t="inlineStr">
        <is>
          <t>PIGIER_BORDEAUX</t>
        </is>
      </c>
      <c r="B176" s="18" t="inlineStr">
        <is>
          <t>Pigier Bordeaux</t>
        </is>
      </c>
      <c r="C176" s="19" t="inlineStr">
        <is>
          <t>Pigier</t>
        </is>
      </c>
      <c r="D176" s="19" t="inlineStr">
        <is>
          <t>Bordeaux</t>
        </is>
      </c>
      <c r="E176" s="19" t="inlineStr">
        <is>
          <t>604</t>
        </is>
      </c>
      <c r="F176" s="18" t="inlineStr">
        <is>
          <t>Sous-traitance pédagogique</t>
        </is>
      </c>
      <c r="G176" s="19" t="inlineStr">
        <is>
          <t>60 — Achats</t>
        </is>
      </c>
      <c r="H176" s="19" t="inlineStr">
        <is>
          <t>Charge</t>
        </is>
      </c>
      <c r="I176" s="19" t="inlineStr">
        <is>
          <t>Coûts directs</t>
        </is>
      </c>
      <c r="J176" s="19" t="inlineStr">
        <is>
          <t>2025ACT_VDEF</t>
        </is>
      </c>
      <c r="K176" s="19" t="inlineStr">
        <is>
          <t>2025 (N-1)</t>
        </is>
      </c>
      <c r="L176" s="13" t="n">
        <v>29650</v>
      </c>
    </row>
    <row r="177">
      <c r="A177" s="19" t="inlineStr">
        <is>
          <t>TUNON_PARIS</t>
        </is>
      </c>
      <c r="B177" s="18" t="inlineStr">
        <is>
          <t>Tunon Paris</t>
        </is>
      </c>
      <c r="C177" s="19" t="inlineStr">
        <is>
          <t>Tunon</t>
        </is>
      </c>
      <c r="D177" s="19" t="inlineStr">
        <is>
          <t>Paris</t>
        </is>
      </c>
      <c r="E177" s="19" t="inlineStr">
        <is>
          <t>604</t>
        </is>
      </c>
      <c r="F177" s="18" t="inlineStr">
        <is>
          <t>Sous-traitance pédagogique</t>
        </is>
      </c>
      <c r="G177" s="19" t="inlineStr">
        <is>
          <t>60 — Achats</t>
        </is>
      </c>
      <c r="H177" s="19" t="inlineStr">
        <is>
          <t>Charge</t>
        </is>
      </c>
      <c r="I177" s="19" t="inlineStr">
        <is>
          <t>Coûts directs</t>
        </is>
      </c>
      <c r="J177" s="19" t="inlineStr">
        <is>
          <t>2025ACT_VDEF</t>
        </is>
      </c>
      <c r="K177" s="19" t="inlineStr">
        <is>
          <t>2025 (N-1)</t>
        </is>
      </c>
      <c r="L177" s="13" t="n">
        <v>28168</v>
      </c>
    </row>
    <row r="178">
      <c r="A178" s="19" t="inlineStr">
        <is>
          <t>TUNON_LYON</t>
        </is>
      </c>
      <c r="B178" s="18" t="inlineStr">
        <is>
          <t>Tunon Lyon</t>
        </is>
      </c>
      <c r="C178" s="19" t="inlineStr">
        <is>
          <t>Tunon</t>
        </is>
      </c>
      <c r="D178" s="19" t="inlineStr">
        <is>
          <t>Lyon</t>
        </is>
      </c>
      <c r="E178" s="19" t="inlineStr">
        <is>
          <t>604</t>
        </is>
      </c>
      <c r="F178" s="18" t="inlineStr">
        <is>
          <t>Sous-traitance pédagogique</t>
        </is>
      </c>
      <c r="G178" s="19" t="inlineStr">
        <is>
          <t>60 — Achats</t>
        </is>
      </c>
      <c r="H178" s="19" t="inlineStr">
        <is>
          <t>Charge</t>
        </is>
      </c>
      <c r="I178" s="19" t="inlineStr">
        <is>
          <t>Coûts directs</t>
        </is>
      </c>
      <c r="J178" s="19" t="inlineStr">
        <is>
          <t>2025ACT_VDEF</t>
        </is>
      </c>
      <c r="K178" s="19" t="inlineStr">
        <is>
          <t>2025 (N-1)</t>
        </is>
      </c>
      <c r="L178" s="13" t="n">
        <v>23720</v>
      </c>
    </row>
    <row r="179">
      <c r="A179" s="19" t="inlineStr">
        <is>
          <t>MBWAY_PARIS</t>
        </is>
      </c>
      <c r="B179" s="18" t="inlineStr">
        <is>
          <t>MBway Paris</t>
        </is>
      </c>
      <c r="C179" s="19" t="inlineStr">
        <is>
          <t>MBway</t>
        </is>
      </c>
      <c r="D179" s="19" t="inlineStr">
        <is>
          <t>Paris</t>
        </is>
      </c>
      <c r="E179" s="19" t="inlineStr">
        <is>
          <t>604</t>
        </is>
      </c>
      <c r="F179" s="18" t="inlineStr">
        <is>
          <t>Sous-traitance pédagogique</t>
        </is>
      </c>
      <c r="G179" s="19" t="inlineStr">
        <is>
          <t>60 — Achats</t>
        </is>
      </c>
      <c r="H179" s="19" t="inlineStr">
        <is>
          <t>Charge</t>
        </is>
      </c>
      <c r="I179" s="19" t="inlineStr">
        <is>
          <t>Coûts directs</t>
        </is>
      </c>
      <c r="J179" s="19" t="inlineStr">
        <is>
          <t>2026ATT_VDEF</t>
        </is>
      </c>
      <c r="K179" s="19" t="inlineStr">
        <is>
          <t>2026 (Atterr.)</t>
        </is>
      </c>
      <c r="L179" s="13" t="n">
        <v>83153</v>
      </c>
    </row>
    <row r="180">
      <c r="A180" s="19" t="inlineStr">
        <is>
          <t>MBWAY_LYON</t>
        </is>
      </c>
      <c r="B180" s="18" t="inlineStr">
        <is>
          <t>MBway Lyon</t>
        </is>
      </c>
      <c r="C180" s="19" t="inlineStr">
        <is>
          <t>MBway</t>
        </is>
      </c>
      <c r="D180" s="19" t="inlineStr">
        <is>
          <t>Lyon</t>
        </is>
      </c>
      <c r="E180" s="19" t="inlineStr">
        <is>
          <t>604</t>
        </is>
      </c>
      <c r="F180" s="18" t="inlineStr">
        <is>
          <t>Sous-traitance pédagogique</t>
        </is>
      </c>
      <c r="G180" s="19" t="inlineStr">
        <is>
          <t>60 — Achats</t>
        </is>
      </c>
      <c r="H180" s="19" t="inlineStr">
        <is>
          <t>Charge</t>
        </is>
      </c>
      <c r="I180" s="19" t="inlineStr">
        <is>
          <t>Coûts directs</t>
        </is>
      </c>
      <c r="J180" s="19" t="inlineStr">
        <is>
          <t>2026ATT_VDEF</t>
        </is>
      </c>
      <c r="K180" s="19" t="inlineStr">
        <is>
          <t>2026 (Atterr.)</t>
        </is>
      </c>
      <c r="L180" s="13" t="n">
        <v>70000</v>
      </c>
    </row>
    <row r="181">
      <c r="A181" s="19" t="inlineStr">
        <is>
          <t>MBWAY_NANTES</t>
        </is>
      </c>
      <c r="B181" s="18" t="inlineStr">
        <is>
          <t>MBway Nantes</t>
        </is>
      </c>
      <c r="C181" s="19" t="inlineStr">
        <is>
          <t>MBway</t>
        </is>
      </c>
      <c r="D181" s="19" t="inlineStr">
        <is>
          <t>Nantes</t>
        </is>
      </c>
      <c r="E181" s="19" t="inlineStr">
        <is>
          <t>604</t>
        </is>
      </c>
      <c r="F181" s="18" t="inlineStr">
        <is>
          <t>Sous-traitance pédagogique</t>
        </is>
      </c>
      <c r="G181" s="19" t="inlineStr">
        <is>
          <t>60 — Achats</t>
        </is>
      </c>
      <c r="H181" s="19" t="inlineStr">
        <is>
          <t>Charge</t>
        </is>
      </c>
      <c r="I181" s="19" t="inlineStr">
        <is>
          <t>Coûts directs</t>
        </is>
      </c>
      <c r="J181" s="19" t="inlineStr">
        <is>
          <t>2026ATT_VDEF</t>
        </is>
      </c>
      <c r="K181" s="19" t="inlineStr">
        <is>
          <t>2026 (Atterr.)</t>
        </is>
      </c>
      <c r="L181" s="13" t="n">
        <v>63981</v>
      </c>
    </row>
    <row r="182">
      <c r="A182" s="19" t="inlineStr">
        <is>
          <t>MBWAY_BORDEAUX</t>
        </is>
      </c>
      <c r="B182" s="18" t="inlineStr">
        <is>
          <t>MBway Bordeaux</t>
        </is>
      </c>
      <c r="C182" s="19" t="inlineStr">
        <is>
          <t>MBway</t>
        </is>
      </c>
      <c r="D182" s="19" t="inlineStr">
        <is>
          <t>Bordeaux</t>
        </is>
      </c>
      <c r="E182" s="19" t="inlineStr">
        <is>
          <t>604</t>
        </is>
      </c>
      <c r="F182" s="18" t="inlineStr">
        <is>
          <t>Sous-traitance pédagogique</t>
        </is>
      </c>
      <c r="G182" s="19" t="inlineStr">
        <is>
          <t>60 — Achats</t>
        </is>
      </c>
      <c r="H182" s="19" t="inlineStr">
        <is>
          <t>Charge</t>
        </is>
      </c>
      <c r="I182" s="19" t="inlineStr">
        <is>
          <t>Coûts directs</t>
        </is>
      </c>
      <c r="J182" s="19" t="inlineStr">
        <is>
          <t>2026ATT_VDEF</t>
        </is>
      </c>
      <c r="K182" s="19" t="inlineStr">
        <is>
          <t>2026 (Atterr.)</t>
        </is>
      </c>
      <c r="L182" s="13" t="n">
        <v>54172</v>
      </c>
    </row>
    <row r="183">
      <c r="A183" s="19" t="inlineStr">
        <is>
          <t>ISCOM_PARIS</t>
        </is>
      </c>
      <c r="B183" s="18" t="inlineStr">
        <is>
          <t>ISCOM Paris</t>
        </is>
      </c>
      <c r="C183" s="19" t="inlineStr">
        <is>
          <t>ISCOM</t>
        </is>
      </c>
      <c r="D183" s="19" t="inlineStr">
        <is>
          <t>Paris</t>
        </is>
      </c>
      <c r="E183" s="19" t="inlineStr">
        <is>
          <t>604</t>
        </is>
      </c>
      <c r="F183" s="18" t="inlineStr">
        <is>
          <t>Sous-traitance pédagogique</t>
        </is>
      </c>
      <c r="G183" s="19" t="inlineStr">
        <is>
          <t>60 — Achats</t>
        </is>
      </c>
      <c r="H183" s="19" t="inlineStr">
        <is>
          <t>Charge</t>
        </is>
      </c>
      <c r="I183" s="19" t="inlineStr">
        <is>
          <t>Coûts directs</t>
        </is>
      </c>
      <c r="J183" s="19" t="inlineStr">
        <is>
          <t>2026ATT_VDEF</t>
        </is>
      </c>
      <c r="K183" s="19" t="inlineStr">
        <is>
          <t>2026 (Atterr.)</t>
        </is>
      </c>
      <c r="L183" s="13" t="n">
        <v>76688</v>
      </c>
    </row>
    <row r="184">
      <c r="A184" s="19" t="inlineStr">
        <is>
          <t>ISCOM_LILLE</t>
        </is>
      </c>
      <c r="B184" s="18" t="inlineStr">
        <is>
          <t>ISCOM Lille</t>
        </is>
      </c>
      <c r="C184" s="19" t="inlineStr">
        <is>
          <t>ISCOM</t>
        </is>
      </c>
      <c r="D184" s="19" t="inlineStr">
        <is>
          <t>Lille</t>
        </is>
      </c>
      <c r="E184" s="19" t="inlineStr">
        <is>
          <t>604</t>
        </is>
      </c>
      <c r="F184" s="18" t="inlineStr">
        <is>
          <t>Sous-traitance pédagogique</t>
        </is>
      </c>
      <c r="G184" s="19" t="inlineStr">
        <is>
          <t>60 — Achats</t>
        </is>
      </c>
      <c r="H184" s="19" t="inlineStr">
        <is>
          <t>Charge</t>
        </is>
      </c>
      <c r="I184" s="19" t="inlineStr">
        <is>
          <t>Coûts directs</t>
        </is>
      </c>
      <c r="J184" s="19" t="inlineStr">
        <is>
          <t>2026ATT_VDEF</t>
        </is>
      </c>
      <c r="K184" s="19" t="inlineStr">
        <is>
          <t>2026 (Atterr.)</t>
        </is>
      </c>
      <c r="L184" s="13" t="n">
        <v>53057</v>
      </c>
    </row>
    <row r="185">
      <c r="A185" s="19" t="inlineStr">
        <is>
          <t>ISCOM_TOULOUSE</t>
        </is>
      </c>
      <c r="B185" s="18" t="inlineStr">
        <is>
          <t>ISCOM Toulouse</t>
        </is>
      </c>
      <c r="C185" s="19" t="inlineStr">
        <is>
          <t>ISCOM</t>
        </is>
      </c>
      <c r="D185" s="19" t="inlineStr">
        <is>
          <t>Toulouse</t>
        </is>
      </c>
      <c r="E185" s="19" t="inlineStr">
        <is>
          <t>604</t>
        </is>
      </c>
      <c r="F185" s="18" t="inlineStr">
        <is>
          <t>Sous-traitance pédagogique</t>
        </is>
      </c>
      <c r="G185" s="19" t="inlineStr">
        <is>
          <t>60 — Achats</t>
        </is>
      </c>
      <c r="H185" s="19" t="inlineStr">
        <is>
          <t>Charge</t>
        </is>
      </c>
      <c r="I185" s="19" t="inlineStr">
        <is>
          <t>Coûts directs</t>
        </is>
      </c>
      <c r="J185" s="19" t="inlineStr">
        <is>
          <t>2026ATT_VDEF</t>
        </is>
      </c>
      <c r="K185" s="19" t="inlineStr">
        <is>
          <t>2026 (Atterr.)</t>
        </is>
      </c>
      <c r="L185" s="13" t="n">
        <v>50159</v>
      </c>
    </row>
    <row r="186">
      <c r="A186" s="19" t="inlineStr">
        <is>
          <t>IPAC_BACHELOR_FACTORY_NANTES</t>
        </is>
      </c>
      <c r="B186" s="18" t="inlineStr">
        <is>
          <t>Ipac Bachelor Factory Nantes</t>
        </is>
      </c>
      <c r="C186" s="19" t="inlineStr">
        <is>
          <t>Ipac Bachelor Factory</t>
        </is>
      </c>
      <c r="D186" s="19" t="inlineStr">
        <is>
          <t>Nantes</t>
        </is>
      </c>
      <c r="E186" s="19" t="inlineStr">
        <is>
          <t>604</t>
        </is>
      </c>
      <c r="F186" s="18" t="inlineStr">
        <is>
          <t>Sous-traitance pédagogique</t>
        </is>
      </c>
      <c r="G186" s="19" t="inlineStr">
        <is>
          <t>60 — Achats</t>
        </is>
      </c>
      <c r="H186" s="19" t="inlineStr">
        <is>
          <t>Charge</t>
        </is>
      </c>
      <c r="I186" s="19" t="inlineStr">
        <is>
          <t>Coûts directs</t>
        </is>
      </c>
      <c r="J186" s="19" t="inlineStr">
        <is>
          <t>2026ATT_VDEF</t>
        </is>
      </c>
      <c r="K186" s="19" t="inlineStr">
        <is>
          <t>2026 (Atterr.)</t>
        </is>
      </c>
      <c r="L186" s="13" t="n">
        <v>31210</v>
      </c>
    </row>
    <row r="187">
      <c r="A187" s="19" t="inlineStr">
        <is>
          <t>IPAC_BACHELOR_FACTORY_RENNES</t>
        </is>
      </c>
      <c r="B187" s="18" t="inlineStr">
        <is>
          <t>Ipac Bachelor Factory Rennes</t>
        </is>
      </c>
      <c r="C187" s="19" t="inlineStr">
        <is>
          <t>Ipac Bachelor Factory</t>
        </is>
      </c>
      <c r="D187" s="19" t="inlineStr">
        <is>
          <t>Rennes</t>
        </is>
      </c>
      <c r="E187" s="19" t="inlineStr">
        <is>
          <t>604</t>
        </is>
      </c>
      <c r="F187" s="18" t="inlineStr">
        <is>
          <t>Sous-traitance pédagogique</t>
        </is>
      </c>
      <c r="G187" s="19" t="inlineStr">
        <is>
          <t>60 — Achats</t>
        </is>
      </c>
      <c r="H187" s="19" t="inlineStr">
        <is>
          <t>Charge</t>
        </is>
      </c>
      <c r="I187" s="19" t="inlineStr">
        <is>
          <t>Coûts directs</t>
        </is>
      </c>
      <c r="J187" s="19" t="inlineStr">
        <is>
          <t>2026ATT_VDEF</t>
        </is>
      </c>
      <c r="K187" s="19" t="inlineStr">
        <is>
          <t>2026 (Atterr.)</t>
        </is>
      </c>
      <c r="L187" s="13" t="n">
        <v>24968</v>
      </c>
    </row>
    <row r="188">
      <c r="A188" s="19" t="inlineStr">
        <is>
          <t>IPAC_BACHELOR_FACTORY_MONTPELLIER</t>
        </is>
      </c>
      <c r="B188" s="18" t="inlineStr">
        <is>
          <t>Ipac Bachelor Factory Montpellier</t>
        </is>
      </c>
      <c r="C188" s="19" t="inlineStr">
        <is>
          <t>Ipac Bachelor Factory</t>
        </is>
      </c>
      <c r="D188" s="19" t="inlineStr">
        <is>
          <t>Montpellier</t>
        </is>
      </c>
      <c r="E188" s="19" t="inlineStr">
        <is>
          <t>604</t>
        </is>
      </c>
      <c r="F188" s="18" t="inlineStr">
        <is>
          <t>Sous-traitance pédagogique</t>
        </is>
      </c>
      <c r="G188" s="19" t="inlineStr">
        <is>
          <t>60 — Achats</t>
        </is>
      </c>
      <c r="H188" s="19" t="inlineStr">
        <is>
          <t>Charge</t>
        </is>
      </c>
      <c r="I188" s="19" t="inlineStr">
        <is>
          <t>Coûts directs</t>
        </is>
      </c>
      <c r="J188" s="19" t="inlineStr">
        <is>
          <t>2026ATT_VDEF</t>
        </is>
      </c>
      <c r="K188" s="19" t="inlineStr">
        <is>
          <t>2026 (Atterr.)</t>
        </is>
      </c>
      <c r="L188" s="13" t="n">
        <v>24968</v>
      </c>
    </row>
    <row r="189">
      <c r="A189" s="19" t="inlineStr">
        <is>
          <t>PIGIER_LYON</t>
        </is>
      </c>
      <c r="B189" s="18" t="inlineStr">
        <is>
          <t>Pigier Lyon</t>
        </is>
      </c>
      <c r="C189" s="19" t="inlineStr">
        <is>
          <t>Pigier</t>
        </is>
      </c>
      <c r="D189" s="19" t="inlineStr">
        <is>
          <t>Lyon</t>
        </is>
      </c>
      <c r="E189" s="19" t="inlineStr">
        <is>
          <t>604</t>
        </is>
      </c>
      <c r="F189" s="18" t="inlineStr">
        <is>
          <t>Sous-traitance pédagogique</t>
        </is>
      </c>
      <c r="G189" s="19" t="inlineStr">
        <is>
          <t>60 — Achats</t>
        </is>
      </c>
      <c r="H189" s="19" t="inlineStr">
        <is>
          <t>Charge</t>
        </is>
      </c>
      <c r="I189" s="19" t="inlineStr">
        <is>
          <t>Coûts directs</t>
        </is>
      </c>
      <c r="J189" s="19" t="inlineStr">
        <is>
          <t>2026ATT_VDEF</t>
        </is>
      </c>
      <c r="K189" s="19" t="inlineStr">
        <is>
          <t>2026 (Atterr.)</t>
        </is>
      </c>
      <c r="L189" s="13" t="n">
        <v>39905</v>
      </c>
    </row>
    <row r="190">
      <c r="A190" s="19" t="inlineStr">
        <is>
          <t>PIGIER_BORDEAUX</t>
        </is>
      </c>
      <c r="B190" s="18" t="inlineStr">
        <is>
          <t>Pigier Bordeaux</t>
        </is>
      </c>
      <c r="C190" s="19" t="inlineStr">
        <is>
          <t>Pigier</t>
        </is>
      </c>
      <c r="D190" s="19" t="inlineStr">
        <is>
          <t>Bordeaux</t>
        </is>
      </c>
      <c r="E190" s="19" t="inlineStr">
        <is>
          <t>604</t>
        </is>
      </c>
      <c r="F190" s="18" t="inlineStr">
        <is>
          <t>Sous-traitance pédagogique</t>
        </is>
      </c>
      <c r="G190" s="19" t="inlineStr">
        <is>
          <t>60 — Achats</t>
        </is>
      </c>
      <c r="H190" s="19" t="inlineStr">
        <is>
          <t>Charge</t>
        </is>
      </c>
      <c r="I190" s="19" t="inlineStr">
        <is>
          <t>Coûts directs</t>
        </is>
      </c>
      <c r="J190" s="19" t="inlineStr">
        <is>
          <t>2026ATT_VDEF</t>
        </is>
      </c>
      <c r="K190" s="19" t="inlineStr">
        <is>
          <t>2026 (Atterr.)</t>
        </is>
      </c>
      <c r="L190" s="13" t="n">
        <v>31210</v>
      </c>
    </row>
    <row r="191">
      <c r="A191" s="19" t="inlineStr">
        <is>
          <t>TUNON_PARIS</t>
        </is>
      </c>
      <c r="B191" s="18" t="inlineStr">
        <is>
          <t>Tunon Paris</t>
        </is>
      </c>
      <c r="C191" s="19" t="inlineStr">
        <is>
          <t>Tunon</t>
        </is>
      </c>
      <c r="D191" s="19" t="inlineStr">
        <is>
          <t>Paris</t>
        </is>
      </c>
      <c r="E191" s="19" t="inlineStr">
        <is>
          <t>604</t>
        </is>
      </c>
      <c r="F191" s="18" t="inlineStr">
        <is>
          <t>Sous-traitance pédagogique</t>
        </is>
      </c>
      <c r="G191" s="19" t="inlineStr">
        <is>
          <t>60 — Achats</t>
        </is>
      </c>
      <c r="H191" s="19" t="inlineStr">
        <is>
          <t>Charge</t>
        </is>
      </c>
      <c r="I191" s="19" t="inlineStr">
        <is>
          <t>Coûts directs</t>
        </is>
      </c>
      <c r="J191" s="19" t="inlineStr">
        <is>
          <t>2026ATT_VDEF</t>
        </is>
      </c>
      <c r="K191" s="19" t="inlineStr">
        <is>
          <t>2026 (Atterr.)</t>
        </is>
      </c>
      <c r="L191" s="13" t="n">
        <v>29650</v>
      </c>
    </row>
    <row r="192">
      <c r="A192" s="19" t="inlineStr">
        <is>
          <t>TUNON_LYON</t>
        </is>
      </c>
      <c r="B192" s="18" t="inlineStr">
        <is>
          <t>Tunon Lyon</t>
        </is>
      </c>
      <c r="C192" s="19" t="inlineStr">
        <is>
          <t>Tunon</t>
        </is>
      </c>
      <c r="D192" s="19" t="inlineStr">
        <is>
          <t>Lyon</t>
        </is>
      </c>
      <c r="E192" s="19" t="inlineStr">
        <is>
          <t>604</t>
        </is>
      </c>
      <c r="F192" s="18" t="inlineStr">
        <is>
          <t>Sous-traitance pédagogique</t>
        </is>
      </c>
      <c r="G192" s="19" t="inlineStr">
        <is>
          <t>60 — Achats</t>
        </is>
      </c>
      <c r="H192" s="19" t="inlineStr">
        <is>
          <t>Charge</t>
        </is>
      </c>
      <c r="I192" s="19" t="inlineStr">
        <is>
          <t>Coûts directs</t>
        </is>
      </c>
      <c r="J192" s="19" t="inlineStr">
        <is>
          <t>2026ATT_VDEF</t>
        </is>
      </c>
      <c r="K192" s="19" t="inlineStr">
        <is>
          <t>2026 (Atterr.)</t>
        </is>
      </c>
      <c r="L192" s="13" t="n">
        <v>24968</v>
      </c>
    </row>
    <row r="193">
      <c r="A193" s="19" t="inlineStr">
        <is>
          <t>MBWAY_PARIS</t>
        </is>
      </c>
      <c r="B193" s="18" t="inlineStr">
        <is>
          <t>MBway Paris</t>
        </is>
      </c>
      <c r="C193" s="19" t="inlineStr">
        <is>
          <t>MBway</t>
        </is>
      </c>
      <c r="D193" s="19" t="inlineStr">
        <is>
          <t>Paris</t>
        </is>
      </c>
      <c r="E193" s="19" t="inlineStr">
        <is>
          <t>6063</t>
        </is>
      </c>
      <c r="F193" s="18" t="inlineStr">
        <is>
          <t>Fournitures pédagogiques &amp; petit équipement</t>
        </is>
      </c>
      <c r="G193" s="19" t="inlineStr">
        <is>
          <t>60 — Achats</t>
        </is>
      </c>
      <c r="H193" s="19" t="inlineStr">
        <is>
          <t>Charge</t>
        </is>
      </c>
      <c r="I193" s="19" t="inlineStr">
        <is>
          <t>Coûts directs</t>
        </is>
      </c>
      <c r="J193" s="19" t="inlineStr">
        <is>
          <t>2024ACT_VDEF</t>
        </is>
      </c>
      <c r="K193" s="19" t="inlineStr">
        <is>
          <t>2024 (N-2)</t>
        </is>
      </c>
      <c r="L193" s="13" t="n">
        <v>50146</v>
      </c>
    </row>
    <row r="194">
      <c r="A194" s="19" t="inlineStr">
        <is>
          <t>MBWAY_LYON</t>
        </is>
      </c>
      <c r="B194" s="18" t="inlineStr">
        <is>
          <t>MBway Lyon</t>
        </is>
      </c>
      <c r="C194" s="19" t="inlineStr">
        <is>
          <t>MBway</t>
        </is>
      </c>
      <c r="D194" s="19" t="inlineStr">
        <is>
          <t>Lyon</t>
        </is>
      </c>
      <c r="E194" s="19" t="inlineStr">
        <is>
          <t>6063</t>
        </is>
      </c>
      <c r="F194" s="18" t="inlineStr">
        <is>
          <t>Fournitures pédagogiques &amp; petit équipement</t>
        </is>
      </c>
      <c r="G194" s="19" t="inlineStr">
        <is>
          <t>60 — Achats</t>
        </is>
      </c>
      <c r="H194" s="19" t="inlineStr">
        <is>
          <t>Charge</t>
        </is>
      </c>
      <c r="I194" s="19" t="inlineStr">
        <is>
          <t>Coûts directs</t>
        </is>
      </c>
      <c r="J194" s="19" t="inlineStr">
        <is>
          <t>2024ACT_VDEF</t>
        </is>
      </c>
      <c r="K194" s="19" t="inlineStr">
        <is>
          <t>2024 (N-2)</t>
        </is>
      </c>
      <c r="L194" s="13" t="n">
        <v>42214</v>
      </c>
    </row>
    <row r="195">
      <c r="A195" s="19" t="inlineStr">
        <is>
          <t>MBWAY_NANTES</t>
        </is>
      </c>
      <c r="B195" s="18" t="inlineStr">
        <is>
          <t>MBway Nantes</t>
        </is>
      </c>
      <c r="C195" s="19" t="inlineStr">
        <is>
          <t>MBway</t>
        </is>
      </c>
      <c r="D195" s="19" t="inlineStr">
        <is>
          <t>Nantes</t>
        </is>
      </c>
      <c r="E195" s="19" t="inlineStr">
        <is>
          <t>6063</t>
        </is>
      </c>
      <c r="F195" s="18" t="inlineStr">
        <is>
          <t>Fournitures pédagogiques &amp; petit équipement</t>
        </is>
      </c>
      <c r="G195" s="19" t="inlineStr">
        <is>
          <t>60 — Achats</t>
        </is>
      </c>
      <c r="H195" s="19" t="inlineStr">
        <is>
          <t>Charge</t>
        </is>
      </c>
      <c r="I195" s="19" t="inlineStr">
        <is>
          <t>Coûts directs</t>
        </is>
      </c>
      <c r="J195" s="19" t="inlineStr">
        <is>
          <t>2024ACT_VDEF</t>
        </is>
      </c>
      <c r="K195" s="19" t="inlineStr">
        <is>
          <t>2024 (N-2)</t>
        </is>
      </c>
      <c r="L195" s="13" t="n">
        <v>38584</v>
      </c>
    </row>
    <row r="196">
      <c r="A196" s="19" t="inlineStr">
        <is>
          <t>MBWAY_BORDEAUX</t>
        </is>
      </c>
      <c r="B196" s="18" t="inlineStr">
        <is>
          <t>MBway Bordeaux</t>
        </is>
      </c>
      <c r="C196" s="19" t="inlineStr">
        <is>
          <t>MBway</t>
        </is>
      </c>
      <c r="D196" s="19" t="inlineStr">
        <is>
          <t>Bordeaux</t>
        </is>
      </c>
      <c r="E196" s="19" t="inlineStr">
        <is>
          <t>6063</t>
        </is>
      </c>
      <c r="F196" s="18" t="inlineStr">
        <is>
          <t>Fournitures pédagogiques &amp; petit équipement</t>
        </is>
      </c>
      <c r="G196" s="19" t="inlineStr">
        <is>
          <t>60 — Achats</t>
        </is>
      </c>
      <c r="H196" s="19" t="inlineStr">
        <is>
          <t>Charge</t>
        </is>
      </c>
      <c r="I196" s="19" t="inlineStr">
        <is>
          <t>Coûts directs</t>
        </is>
      </c>
      <c r="J196" s="19" t="inlineStr">
        <is>
          <t>2024ACT_VDEF</t>
        </is>
      </c>
      <c r="K196" s="19" t="inlineStr">
        <is>
          <t>2024 (N-2)</t>
        </is>
      </c>
      <c r="L196" s="13" t="n">
        <v>32669</v>
      </c>
    </row>
    <row r="197">
      <c r="A197" s="19" t="inlineStr">
        <is>
          <t>ISCOM_PARIS</t>
        </is>
      </c>
      <c r="B197" s="18" t="inlineStr">
        <is>
          <t>ISCOM Paris</t>
        </is>
      </c>
      <c r="C197" s="19" t="inlineStr">
        <is>
          <t>ISCOM</t>
        </is>
      </c>
      <c r="D197" s="19" t="inlineStr">
        <is>
          <t>Paris</t>
        </is>
      </c>
      <c r="E197" s="19" t="inlineStr">
        <is>
          <t>6063</t>
        </is>
      </c>
      <c r="F197" s="18" t="inlineStr">
        <is>
          <t>Fournitures pédagogiques &amp; petit équipement</t>
        </is>
      </c>
      <c r="G197" s="19" t="inlineStr">
        <is>
          <t>60 — Achats</t>
        </is>
      </c>
      <c r="H197" s="19" t="inlineStr">
        <is>
          <t>Charge</t>
        </is>
      </c>
      <c r="I197" s="19" t="inlineStr">
        <is>
          <t>Coûts directs</t>
        </is>
      </c>
      <c r="J197" s="19" t="inlineStr">
        <is>
          <t>2024ACT_VDEF</t>
        </is>
      </c>
      <c r="K197" s="19" t="inlineStr">
        <is>
          <t>2024 (N-2)</t>
        </is>
      </c>
      <c r="L197" s="13" t="n">
        <v>46247</v>
      </c>
    </row>
    <row r="198">
      <c r="A198" s="19" t="inlineStr">
        <is>
          <t>ISCOM_LILLE</t>
        </is>
      </c>
      <c r="B198" s="18" t="inlineStr">
        <is>
          <t>ISCOM Lille</t>
        </is>
      </c>
      <c r="C198" s="19" t="inlineStr">
        <is>
          <t>ISCOM</t>
        </is>
      </c>
      <c r="D198" s="19" t="inlineStr">
        <is>
          <t>Lille</t>
        </is>
      </c>
      <c r="E198" s="19" t="inlineStr">
        <is>
          <t>6063</t>
        </is>
      </c>
      <c r="F198" s="18" t="inlineStr">
        <is>
          <t>Fournitures pédagogiques &amp; petit équipement</t>
        </is>
      </c>
      <c r="G198" s="19" t="inlineStr">
        <is>
          <t>60 — Achats</t>
        </is>
      </c>
      <c r="H198" s="19" t="inlineStr">
        <is>
          <t>Charge</t>
        </is>
      </c>
      <c r="I198" s="19" t="inlineStr">
        <is>
          <t>Coûts directs</t>
        </is>
      </c>
      <c r="J198" s="19" t="inlineStr">
        <is>
          <t>2024ACT_VDEF</t>
        </is>
      </c>
      <c r="K198" s="19" t="inlineStr">
        <is>
          <t>2024 (N-2)</t>
        </is>
      </c>
      <c r="L198" s="13" t="n">
        <v>31997</v>
      </c>
    </row>
    <row r="199">
      <c r="A199" s="19" t="inlineStr">
        <is>
          <t>ISCOM_TOULOUSE</t>
        </is>
      </c>
      <c r="B199" s="18" t="inlineStr">
        <is>
          <t>ISCOM Toulouse</t>
        </is>
      </c>
      <c r="C199" s="19" t="inlineStr">
        <is>
          <t>ISCOM</t>
        </is>
      </c>
      <c r="D199" s="19" t="inlineStr">
        <is>
          <t>Toulouse</t>
        </is>
      </c>
      <c r="E199" s="19" t="inlineStr">
        <is>
          <t>6063</t>
        </is>
      </c>
      <c r="F199" s="18" t="inlineStr">
        <is>
          <t>Fournitures pédagogiques &amp; petit équipement</t>
        </is>
      </c>
      <c r="G199" s="19" t="inlineStr">
        <is>
          <t>60 — Achats</t>
        </is>
      </c>
      <c r="H199" s="19" t="inlineStr">
        <is>
          <t>Charge</t>
        </is>
      </c>
      <c r="I199" s="19" t="inlineStr">
        <is>
          <t>Coûts directs</t>
        </is>
      </c>
      <c r="J199" s="19" t="inlineStr">
        <is>
          <t>2024ACT_VDEF</t>
        </is>
      </c>
      <c r="K199" s="19" t="inlineStr">
        <is>
          <t>2024 (N-2)</t>
        </is>
      </c>
      <c r="L199" s="13" t="n">
        <v>30249</v>
      </c>
    </row>
    <row r="200">
      <c r="A200" s="19" t="inlineStr">
        <is>
          <t>IPAC_BACHELOR_FACTORY_NANTES</t>
        </is>
      </c>
      <c r="B200" s="18" t="inlineStr">
        <is>
          <t>Ipac Bachelor Factory Nantes</t>
        </is>
      </c>
      <c r="C200" s="19" t="inlineStr">
        <is>
          <t>Ipac Bachelor Factory</t>
        </is>
      </c>
      <c r="D200" s="19" t="inlineStr">
        <is>
          <t>Nantes</t>
        </is>
      </c>
      <c r="E200" s="19" t="inlineStr">
        <is>
          <t>6063</t>
        </is>
      </c>
      <c r="F200" s="18" t="inlineStr">
        <is>
          <t>Fournitures pédagogiques &amp; petit équipement</t>
        </is>
      </c>
      <c r="G200" s="19" t="inlineStr">
        <is>
          <t>60 — Achats</t>
        </is>
      </c>
      <c r="H200" s="19" t="inlineStr">
        <is>
          <t>Charge</t>
        </is>
      </c>
      <c r="I200" s="19" t="inlineStr">
        <is>
          <t>Coûts directs</t>
        </is>
      </c>
      <c r="J200" s="19" t="inlineStr">
        <is>
          <t>2024ACT_VDEF</t>
        </is>
      </c>
      <c r="K200" s="19" t="inlineStr">
        <is>
          <t>2024 (N-2)</t>
        </is>
      </c>
      <c r="L200" s="13" t="n">
        <v>18822</v>
      </c>
    </row>
    <row r="201">
      <c r="A201" s="19" t="inlineStr">
        <is>
          <t>IPAC_BACHELOR_FACTORY_RENNES</t>
        </is>
      </c>
      <c r="B201" s="18" t="inlineStr">
        <is>
          <t>Ipac Bachelor Factory Rennes</t>
        </is>
      </c>
      <c r="C201" s="19" t="inlineStr">
        <is>
          <t>Ipac Bachelor Factory</t>
        </is>
      </c>
      <c r="D201" s="19" t="inlineStr">
        <is>
          <t>Rennes</t>
        </is>
      </c>
      <c r="E201" s="19" t="inlineStr">
        <is>
          <t>6063</t>
        </is>
      </c>
      <c r="F201" s="18" t="inlineStr">
        <is>
          <t>Fournitures pédagogiques &amp; petit équipement</t>
        </is>
      </c>
      <c r="G201" s="19" t="inlineStr">
        <is>
          <t>60 — Achats</t>
        </is>
      </c>
      <c r="H201" s="19" t="inlineStr">
        <is>
          <t>Charge</t>
        </is>
      </c>
      <c r="I201" s="19" t="inlineStr">
        <is>
          <t>Coûts directs</t>
        </is>
      </c>
      <c r="J201" s="19" t="inlineStr">
        <is>
          <t>2024ACT_VDEF</t>
        </is>
      </c>
      <c r="K201" s="19" t="inlineStr">
        <is>
          <t>2024 (N-2)</t>
        </is>
      </c>
      <c r="L201" s="13" t="n">
        <v>15057</v>
      </c>
    </row>
    <row r="202">
      <c r="A202" s="19" t="inlineStr">
        <is>
          <t>IPAC_BACHELOR_FACTORY_MONTPELLIER</t>
        </is>
      </c>
      <c r="B202" s="18" t="inlineStr">
        <is>
          <t>Ipac Bachelor Factory Montpellier</t>
        </is>
      </c>
      <c r="C202" s="19" t="inlineStr">
        <is>
          <t>Ipac Bachelor Factory</t>
        </is>
      </c>
      <c r="D202" s="19" t="inlineStr">
        <is>
          <t>Montpellier</t>
        </is>
      </c>
      <c r="E202" s="19" t="inlineStr">
        <is>
          <t>6063</t>
        </is>
      </c>
      <c r="F202" s="18" t="inlineStr">
        <is>
          <t>Fournitures pédagogiques &amp; petit équipement</t>
        </is>
      </c>
      <c r="G202" s="19" t="inlineStr">
        <is>
          <t>60 — Achats</t>
        </is>
      </c>
      <c r="H202" s="19" t="inlineStr">
        <is>
          <t>Charge</t>
        </is>
      </c>
      <c r="I202" s="19" t="inlineStr">
        <is>
          <t>Coûts directs</t>
        </is>
      </c>
      <c r="J202" s="19" t="inlineStr">
        <is>
          <t>2024ACT_VDEF</t>
        </is>
      </c>
      <c r="K202" s="19" t="inlineStr">
        <is>
          <t>2024 (N-2)</t>
        </is>
      </c>
      <c r="L202" s="13" t="n">
        <v>15057</v>
      </c>
    </row>
    <row r="203">
      <c r="A203" s="19" t="inlineStr">
        <is>
          <t>PIGIER_LYON</t>
        </is>
      </c>
      <c r="B203" s="18" t="inlineStr">
        <is>
          <t>Pigier Lyon</t>
        </is>
      </c>
      <c r="C203" s="19" t="inlineStr">
        <is>
          <t>Pigier</t>
        </is>
      </c>
      <c r="D203" s="19" t="inlineStr">
        <is>
          <t>Lyon</t>
        </is>
      </c>
      <c r="E203" s="19" t="inlineStr">
        <is>
          <t>6063</t>
        </is>
      </c>
      <c r="F203" s="18" t="inlineStr">
        <is>
          <t>Fournitures pédagogiques &amp; petit équipement</t>
        </is>
      </c>
      <c r="G203" s="19" t="inlineStr">
        <is>
          <t>60 — Achats</t>
        </is>
      </c>
      <c r="H203" s="19" t="inlineStr">
        <is>
          <t>Charge</t>
        </is>
      </c>
      <c r="I203" s="19" t="inlineStr">
        <is>
          <t>Coûts directs</t>
        </is>
      </c>
      <c r="J203" s="19" t="inlineStr">
        <is>
          <t>2024ACT_VDEF</t>
        </is>
      </c>
      <c r="K203" s="19" t="inlineStr">
        <is>
          <t>2024 (N-2)</t>
        </is>
      </c>
      <c r="L203" s="13" t="n">
        <v>24065</v>
      </c>
    </row>
    <row r="204">
      <c r="A204" s="19" t="inlineStr">
        <is>
          <t>PIGIER_BORDEAUX</t>
        </is>
      </c>
      <c r="B204" s="18" t="inlineStr">
        <is>
          <t>Pigier Bordeaux</t>
        </is>
      </c>
      <c r="C204" s="19" t="inlineStr">
        <is>
          <t>Pigier</t>
        </is>
      </c>
      <c r="D204" s="19" t="inlineStr">
        <is>
          <t>Bordeaux</t>
        </is>
      </c>
      <c r="E204" s="19" t="inlineStr">
        <is>
          <t>6063</t>
        </is>
      </c>
      <c r="F204" s="18" t="inlineStr">
        <is>
          <t>Fournitures pédagogiques &amp; petit équipement</t>
        </is>
      </c>
      <c r="G204" s="19" t="inlineStr">
        <is>
          <t>60 — Achats</t>
        </is>
      </c>
      <c r="H204" s="19" t="inlineStr">
        <is>
          <t>Charge</t>
        </is>
      </c>
      <c r="I204" s="19" t="inlineStr">
        <is>
          <t>Coûts directs</t>
        </is>
      </c>
      <c r="J204" s="19" t="inlineStr">
        <is>
          <t>2024ACT_VDEF</t>
        </is>
      </c>
      <c r="K204" s="19" t="inlineStr">
        <is>
          <t>2024 (N-2)</t>
        </is>
      </c>
      <c r="L204" s="13" t="n">
        <v>18822</v>
      </c>
    </row>
    <row r="205">
      <c r="A205" s="19" t="inlineStr">
        <is>
          <t>TUNON_PARIS</t>
        </is>
      </c>
      <c r="B205" s="18" t="inlineStr">
        <is>
          <t>Tunon Paris</t>
        </is>
      </c>
      <c r="C205" s="19" t="inlineStr">
        <is>
          <t>Tunon</t>
        </is>
      </c>
      <c r="D205" s="19" t="inlineStr">
        <is>
          <t>Paris</t>
        </is>
      </c>
      <c r="E205" s="19" t="inlineStr">
        <is>
          <t>6063</t>
        </is>
      </c>
      <c r="F205" s="18" t="inlineStr">
        <is>
          <t>Fournitures pédagogiques &amp; petit équipement</t>
        </is>
      </c>
      <c r="G205" s="19" t="inlineStr">
        <is>
          <t>60 — Achats</t>
        </is>
      </c>
      <c r="H205" s="19" t="inlineStr">
        <is>
          <t>Charge</t>
        </is>
      </c>
      <c r="I205" s="19" t="inlineStr">
        <is>
          <t>Coûts directs</t>
        </is>
      </c>
      <c r="J205" s="19" t="inlineStr">
        <is>
          <t>2024ACT_VDEF</t>
        </is>
      </c>
      <c r="K205" s="19" t="inlineStr">
        <is>
          <t>2024 (N-2)</t>
        </is>
      </c>
      <c r="L205" s="13" t="n">
        <v>17881</v>
      </c>
    </row>
    <row r="206">
      <c r="A206" s="19" t="inlineStr">
        <is>
          <t>TUNON_LYON</t>
        </is>
      </c>
      <c r="B206" s="18" t="inlineStr">
        <is>
          <t>Tunon Lyon</t>
        </is>
      </c>
      <c r="C206" s="19" t="inlineStr">
        <is>
          <t>Tunon</t>
        </is>
      </c>
      <c r="D206" s="19" t="inlineStr">
        <is>
          <t>Lyon</t>
        </is>
      </c>
      <c r="E206" s="19" t="inlineStr">
        <is>
          <t>6063</t>
        </is>
      </c>
      <c r="F206" s="18" t="inlineStr">
        <is>
          <t>Fournitures pédagogiques &amp; petit équipement</t>
        </is>
      </c>
      <c r="G206" s="19" t="inlineStr">
        <is>
          <t>60 — Achats</t>
        </is>
      </c>
      <c r="H206" s="19" t="inlineStr">
        <is>
          <t>Charge</t>
        </is>
      </c>
      <c r="I206" s="19" t="inlineStr">
        <is>
          <t>Coûts directs</t>
        </is>
      </c>
      <c r="J206" s="19" t="inlineStr">
        <is>
          <t>2024ACT_VDEF</t>
        </is>
      </c>
      <c r="K206" s="19" t="inlineStr">
        <is>
          <t>2024 (N-2)</t>
        </is>
      </c>
      <c r="L206" s="13" t="n">
        <v>15057</v>
      </c>
    </row>
    <row r="207">
      <c r="A207" s="19" t="inlineStr">
        <is>
          <t>MBWAY_PARIS</t>
        </is>
      </c>
      <c r="B207" s="18" t="inlineStr">
        <is>
          <t>MBway Paris</t>
        </is>
      </c>
      <c r="C207" s="19" t="inlineStr">
        <is>
          <t>MBway</t>
        </is>
      </c>
      <c r="D207" s="19" t="inlineStr">
        <is>
          <t>Paris</t>
        </is>
      </c>
      <c r="E207" s="19" t="inlineStr">
        <is>
          <t>6063</t>
        </is>
      </c>
      <c r="F207" s="18" t="inlineStr">
        <is>
          <t>Fournitures pédagogiques &amp; petit équipement</t>
        </is>
      </c>
      <c r="G207" s="19" t="inlineStr">
        <is>
          <t>60 — Achats</t>
        </is>
      </c>
      <c r="H207" s="19" t="inlineStr">
        <is>
          <t>Charge</t>
        </is>
      </c>
      <c r="I207" s="19" t="inlineStr">
        <is>
          <t>Coûts directs</t>
        </is>
      </c>
      <c r="J207" s="19" t="inlineStr">
        <is>
          <t>2025ACT_VDEF</t>
        </is>
      </c>
      <c r="K207" s="19" t="inlineStr">
        <is>
          <t>2025 (N-1)</t>
        </is>
      </c>
      <c r="L207" s="13" t="n">
        <v>52665</v>
      </c>
    </row>
    <row r="208">
      <c r="A208" s="19" t="inlineStr">
        <is>
          <t>MBWAY_LYON</t>
        </is>
      </c>
      <c r="B208" s="18" t="inlineStr">
        <is>
          <t>MBway Lyon</t>
        </is>
      </c>
      <c r="C208" s="19" t="inlineStr">
        <is>
          <t>MBway</t>
        </is>
      </c>
      <c r="D208" s="19" t="inlineStr">
        <is>
          <t>Lyon</t>
        </is>
      </c>
      <c r="E208" s="19" t="inlineStr">
        <is>
          <t>6063</t>
        </is>
      </c>
      <c r="F208" s="18" t="inlineStr">
        <is>
          <t>Fournitures pédagogiques &amp; petit équipement</t>
        </is>
      </c>
      <c r="G208" s="19" t="inlineStr">
        <is>
          <t>60 — Achats</t>
        </is>
      </c>
      <c r="H208" s="19" t="inlineStr">
        <is>
          <t>Charge</t>
        </is>
      </c>
      <c r="I208" s="19" t="inlineStr">
        <is>
          <t>Coûts directs</t>
        </is>
      </c>
      <c r="J208" s="19" t="inlineStr">
        <is>
          <t>2025ACT_VDEF</t>
        </is>
      </c>
      <c r="K208" s="19" t="inlineStr">
        <is>
          <t>2025 (N-1)</t>
        </is>
      </c>
      <c r="L208" s="13" t="n">
        <v>44335</v>
      </c>
    </row>
    <row r="209">
      <c r="A209" s="19" t="inlineStr">
        <is>
          <t>MBWAY_NANTES</t>
        </is>
      </c>
      <c r="B209" s="18" t="inlineStr">
        <is>
          <t>MBway Nantes</t>
        </is>
      </c>
      <c r="C209" s="19" t="inlineStr">
        <is>
          <t>MBway</t>
        </is>
      </c>
      <c r="D209" s="19" t="inlineStr">
        <is>
          <t>Nantes</t>
        </is>
      </c>
      <c r="E209" s="19" t="inlineStr">
        <is>
          <t>6063</t>
        </is>
      </c>
      <c r="F209" s="18" t="inlineStr">
        <is>
          <t>Fournitures pédagogiques &amp; petit équipement</t>
        </is>
      </c>
      <c r="G209" s="19" t="inlineStr">
        <is>
          <t>60 — Achats</t>
        </is>
      </c>
      <c r="H209" s="19" t="inlineStr">
        <is>
          <t>Charge</t>
        </is>
      </c>
      <c r="I209" s="19" t="inlineStr">
        <is>
          <t>Coûts directs</t>
        </is>
      </c>
      <c r="J209" s="19" t="inlineStr">
        <is>
          <t>2025ACT_VDEF</t>
        </is>
      </c>
      <c r="K209" s="19" t="inlineStr">
        <is>
          <t>2025 (N-1)</t>
        </is>
      </c>
      <c r="L209" s="13" t="n">
        <v>40522</v>
      </c>
    </row>
    <row r="210">
      <c r="A210" s="19" t="inlineStr">
        <is>
          <t>MBWAY_BORDEAUX</t>
        </is>
      </c>
      <c r="B210" s="18" t="inlineStr">
        <is>
          <t>MBway Bordeaux</t>
        </is>
      </c>
      <c r="C210" s="19" t="inlineStr">
        <is>
          <t>MBway</t>
        </is>
      </c>
      <c r="D210" s="19" t="inlineStr">
        <is>
          <t>Bordeaux</t>
        </is>
      </c>
      <c r="E210" s="19" t="inlineStr">
        <is>
          <t>6063</t>
        </is>
      </c>
      <c r="F210" s="18" t="inlineStr">
        <is>
          <t>Fournitures pédagogiques &amp; petit équipement</t>
        </is>
      </c>
      <c r="G210" s="19" t="inlineStr">
        <is>
          <t>60 — Achats</t>
        </is>
      </c>
      <c r="H210" s="19" t="inlineStr">
        <is>
          <t>Charge</t>
        </is>
      </c>
      <c r="I210" s="19" t="inlineStr">
        <is>
          <t>Coûts directs</t>
        </is>
      </c>
      <c r="J210" s="19" t="inlineStr">
        <is>
          <t>2025ACT_VDEF</t>
        </is>
      </c>
      <c r="K210" s="19" t="inlineStr">
        <is>
          <t>2025 (N-1)</t>
        </is>
      </c>
      <c r="L210" s="13" t="n">
        <v>34310</v>
      </c>
    </row>
    <row r="211">
      <c r="A211" s="19" t="inlineStr">
        <is>
          <t>ISCOM_PARIS</t>
        </is>
      </c>
      <c r="B211" s="18" t="inlineStr">
        <is>
          <t>ISCOM Paris</t>
        </is>
      </c>
      <c r="C211" s="19" t="inlineStr">
        <is>
          <t>ISCOM</t>
        </is>
      </c>
      <c r="D211" s="19" t="inlineStr">
        <is>
          <t>Paris</t>
        </is>
      </c>
      <c r="E211" s="19" t="inlineStr">
        <is>
          <t>6063</t>
        </is>
      </c>
      <c r="F211" s="18" t="inlineStr">
        <is>
          <t>Fournitures pédagogiques &amp; petit équipement</t>
        </is>
      </c>
      <c r="G211" s="19" t="inlineStr">
        <is>
          <t>60 — Achats</t>
        </is>
      </c>
      <c r="H211" s="19" t="inlineStr">
        <is>
          <t>Charge</t>
        </is>
      </c>
      <c r="I211" s="19" t="inlineStr">
        <is>
          <t>Coûts directs</t>
        </is>
      </c>
      <c r="J211" s="19" t="inlineStr">
        <is>
          <t>2025ACT_VDEF</t>
        </is>
      </c>
      <c r="K211" s="19" t="inlineStr">
        <is>
          <t>2025 (N-1)</t>
        </is>
      </c>
      <c r="L211" s="13" t="n">
        <v>48570</v>
      </c>
    </row>
    <row r="212">
      <c r="A212" s="19" t="inlineStr">
        <is>
          <t>ISCOM_LILLE</t>
        </is>
      </c>
      <c r="B212" s="18" t="inlineStr">
        <is>
          <t>ISCOM Lille</t>
        </is>
      </c>
      <c r="C212" s="19" t="inlineStr">
        <is>
          <t>ISCOM</t>
        </is>
      </c>
      <c r="D212" s="19" t="inlineStr">
        <is>
          <t>Lille</t>
        </is>
      </c>
      <c r="E212" s="19" t="inlineStr">
        <is>
          <t>6063</t>
        </is>
      </c>
      <c r="F212" s="18" t="inlineStr">
        <is>
          <t>Fournitures pédagogiques &amp; petit équipement</t>
        </is>
      </c>
      <c r="G212" s="19" t="inlineStr">
        <is>
          <t>60 — Achats</t>
        </is>
      </c>
      <c r="H212" s="19" t="inlineStr">
        <is>
          <t>Charge</t>
        </is>
      </c>
      <c r="I212" s="19" t="inlineStr">
        <is>
          <t>Coûts directs</t>
        </is>
      </c>
      <c r="J212" s="19" t="inlineStr">
        <is>
          <t>2025ACT_VDEF</t>
        </is>
      </c>
      <c r="K212" s="19" t="inlineStr">
        <is>
          <t>2025 (N-1)</t>
        </is>
      </c>
      <c r="L212" s="13" t="n">
        <v>33604</v>
      </c>
    </row>
    <row r="213">
      <c r="A213" s="19" t="inlineStr">
        <is>
          <t>ISCOM_TOULOUSE</t>
        </is>
      </c>
      <c r="B213" s="18" t="inlineStr">
        <is>
          <t>ISCOM Toulouse</t>
        </is>
      </c>
      <c r="C213" s="19" t="inlineStr">
        <is>
          <t>ISCOM</t>
        </is>
      </c>
      <c r="D213" s="19" t="inlineStr">
        <is>
          <t>Toulouse</t>
        </is>
      </c>
      <c r="E213" s="19" t="inlineStr">
        <is>
          <t>6063</t>
        </is>
      </c>
      <c r="F213" s="18" t="inlineStr">
        <is>
          <t>Fournitures pédagogiques &amp; petit équipement</t>
        </is>
      </c>
      <c r="G213" s="19" t="inlineStr">
        <is>
          <t>60 — Achats</t>
        </is>
      </c>
      <c r="H213" s="19" t="inlineStr">
        <is>
          <t>Charge</t>
        </is>
      </c>
      <c r="I213" s="19" t="inlineStr">
        <is>
          <t>Coûts directs</t>
        </is>
      </c>
      <c r="J213" s="19" t="inlineStr">
        <is>
          <t>2025ACT_VDEF</t>
        </is>
      </c>
      <c r="K213" s="19" t="inlineStr">
        <is>
          <t>2025 (N-1)</t>
        </is>
      </c>
      <c r="L213" s="13" t="n">
        <v>31768</v>
      </c>
    </row>
    <row r="214">
      <c r="A214" s="19" t="inlineStr">
        <is>
          <t>IPAC_BACHELOR_FACTORY_NANTES</t>
        </is>
      </c>
      <c r="B214" s="18" t="inlineStr">
        <is>
          <t>Ipac Bachelor Factory Nantes</t>
        </is>
      </c>
      <c r="C214" s="19" t="inlineStr">
        <is>
          <t>Ipac Bachelor Factory</t>
        </is>
      </c>
      <c r="D214" s="19" t="inlineStr">
        <is>
          <t>Nantes</t>
        </is>
      </c>
      <c r="E214" s="19" t="inlineStr">
        <is>
          <t>6063</t>
        </is>
      </c>
      <c r="F214" s="18" t="inlineStr">
        <is>
          <t>Fournitures pédagogiques &amp; petit équipement</t>
        </is>
      </c>
      <c r="G214" s="19" t="inlineStr">
        <is>
          <t>60 — Achats</t>
        </is>
      </c>
      <c r="H214" s="19" t="inlineStr">
        <is>
          <t>Charge</t>
        </is>
      </c>
      <c r="I214" s="19" t="inlineStr">
        <is>
          <t>Coûts directs</t>
        </is>
      </c>
      <c r="J214" s="19" t="inlineStr">
        <is>
          <t>2025ACT_VDEF</t>
        </is>
      </c>
      <c r="K214" s="19" t="inlineStr">
        <is>
          <t>2025 (N-1)</t>
        </is>
      </c>
      <c r="L214" s="13" t="n">
        <v>19767</v>
      </c>
    </row>
    <row r="215">
      <c r="A215" s="19" t="inlineStr">
        <is>
          <t>IPAC_BACHELOR_FACTORY_RENNES</t>
        </is>
      </c>
      <c r="B215" s="18" t="inlineStr">
        <is>
          <t>Ipac Bachelor Factory Rennes</t>
        </is>
      </c>
      <c r="C215" s="19" t="inlineStr">
        <is>
          <t>Ipac Bachelor Factory</t>
        </is>
      </c>
      <c r="D215" s="19" t="inlineStr">
        <is>
          <t>Rennes</t>
        </is>
      </c>
      <c r="E215" s="19" t="inlineStr">
        <is>
          <t>6063</t>
        </is>
      </c>
      <c r="F215" s="18" t="inlineStr">
        <is>
          <t>Fournitures pédagogiques &amp; petit équipement</t>
        </is>
      </c>
      <c r="G215" s="19" t="inlineStr">
        <is>
          <t>60 — Achats</t>
        </is>
      </c>
      <c r="H215" s="19" t="inlineStr">
        <is>
          <t>Charge</t>
        </is>
      </c>
      <c r="I215" s="19" t="inlineStr">
        <is>
          <t>Coûts directs</t>
        </is>
      </c>
      <c r="J215" s="19" t="inlineStr">
        <is>
          <t>2025ACT_VDEF</t>
        </is>
      </c>
      <c r="K215" s="19" t="inlineStr">
        <is>
          <t>2025 (N-1)</t>
        </is>
      </c>
      <c r="L215" s="13" t="n">
        <v>15814</v>
      </c>
    </row>
    <row r="216">
      <c r="A216" s="19" t="inlineStr">
        <is>
          <t>IPAC_BACHELOR_FACTORY_MONTPELLIER</t>
        </is>
      </c>
      <c r="B216" s="18" t="inlineStr">
        <is>
          <t>Ipac Bachelor Factory Montpellier</t>
        </is>
      </c>
      <c r="C216" s="19" t="inlineStr">
        <is>
          <t>Ipac Bachelor Factory</t>
        </is>
      </c>
      <c r="D216" s="19" t="inlineStr">
        <is>
          <t>Montpellier</t>
        </is>
      </c>
      <c r="E216" s="19" t="inlineStr">
        <is>
          <t>6063</t>
        </is>
      </c>
      <c r="F216" s="18" t="inlineStr">
        <is>
          <t>Fournitures pédagogiques &amp; petit équipement</t>
        </is>
      </c>
      <c r="G216" s="19" t="inlineStr">
        <is>
          <t>60 — Achats</t>
        </is>
      </c>
      <c r="H216" s="19" t="inlineStr">
        <is>
          <t>Charge</t>
        </is>
      </c>
      <c r="I216" s="19" t="inlineStr">
        <is>
          <t>Coûts directs</t>
        </is>
      </c>
      <c r="J216" s="19" t="inlineStr">
        <is>
          <t>2025ACT_VDEF</t>
        </is>
      </c>
      <c r="K216" s="19" t="inlineStr">
        <is>
          <t>2025 (N-1)</t>
        </is>
      </c>
      <c r="L216" s="13" t="n">
        <v>15814</v>
      </c>
    </row>
    <row r="217">
      <c r="A217" s="19" t="inlineStr">
        <is>
          <t>PIGIER_LYON</t>
        </is>
      </c>
      <c r="B217" s="18" t="inlineStr">
        <is>
          <t>Pigier Lyon</t>
        </is>
      </c>
      <c r="C217" s="19" t="inlineStr">
        <is>
          <t>Pigier</t>
        </is>
      </c>
      <c r="D217" s="19" t="inlineStr">
        <is>
          <t>Lyon</t>
        </is>
      </c>
      <c r="E217" s="19" t="inlineStr">
        <is>
          <t>6063</t>
        </is>
      </c>
      <c r="F217" s="18" t="inlineStr">
        <is>
          <t>Fournitures pédagogiques &amp; petit équipement</t>
        </is>
      </c>
      <c r="G217" s="19" t="inlineStr">
        <is>
          <t>60 — Achats</t>
        </is>
      </c>
      <c r="H217" s="19" t="inlineStr">
        <is>
          <t>Charge</t>
        </is>
      </c>
      <c r="I217" s="19" t="inlineStr">
        <is>
          <t>Coûts directs</t>
        </is>
      </c>
      <c r="J217" s="19" t="inlineStr">
        <is>
          <t>2025ACT_VDEF</t>
        </is>
      </c>
      <c r="K217" s="19" t="inlineStr">
        <is>
          <t>2025 (N-1)</t>
        </is>
      </c>
      <c r="L217" s="13" t="n">
        <v>25274</v>
      </c>
    </row>
    <row r="218">
      <c r="A218" s="19" t="inlineStr">
        <is>
          <t>PIGIER_BORDEAUX</t>
        </is>
      </c>
      <c r="B218" s="18" t="inlineStr">
        <is>
          <t>Pigier Bordeaux</t>
        </is>
      </c>
      <c r="C218" s="19" t="inlineStr">
        <is>
          <t>Pigier</t>
        </is>
      </c>
      <c r="D218" s="19" t="inlineStr">
        <is>
          <t>Bordeaux</t>
        </is>
      </c>
      <c r="E218" s="19" t="inlineStr">
        <is>
          <t>6063</t>
        </is>
      </c>
      <c r="F218" s="18" t="inlineStr">
        <is>
          <t>Fournitures pédagogiques &amp; petit équipement</t>
        </is>
      </c>
      <c r="G218" s="19" t="inlineStr">
        <is>
          <t>60 — Achats</t>
        </is>
      </c>
      <c r="H218" s="19" t="inlineStr">
        <is>
          <t>Charge</t>
        </is>
      </c>
      <c r="I218" s="19" t="inlineStr">
        <is>
          <t>Coûts directs</t>
        </is>
      </c>
      <c r="J218" s="19" t="inlineStr">
        <is>
          <t>2025ACT_VDEF</t>
        </is>
      </c>
      <c r="K218" s="19" t="inlineStr">
        <is>
          <t>2025 (N-1)</t>
        </is>
      </c>
      <c r="L218" s="13" t="n">
        <v>19767</v>
      </c>
    </row>
    <row r="219">
      <c r="A219" s="19" t="inlineStr">
        <is>
          <t>TUNON_PARIS</t>
        </is>
      </c>
      <c r="B219" s="18" t="inlineStr">
        <is>
          <t>Tunon Paris</t>
        </is>
      </c>
      <c r="C219" s="19" t="inlineStr">
        <is>
          <t>Tunon</t>
        </is>
      </c>
      <c r="D219" s="19" t="inlineStr">
        <is>
          <t>Paris</t>
        </is>
      </c>
      <c r="E219" s="19" t="inlineStr">
        <is>
          <t>6063</t>
        </is>
      </c>
      <c r="F219" s="18" t="inlineStr">
        <is>
          <t>Fournitures pédagogiques &amp; petit équipement</t>
        </is>
      </c>
      <c r="G219" s="19" t="inlineStr">
        <is>
          <t>60 — Achats</t>
        </is>
      </c>
      <c r="H219" s="19" t="inlineStr">
        <is>
          <t>Charge</t>
        </is>
      </c>
      <c r="I219" s="19" t="inlineStr">
        <is>
          <t>Coûts directs</t>
        </is>
      </c>
      <c r="J219" s="19" t="inlineStr">
        <is>
          <t>2025ACT_VDEF</t>
        </is>
      </c>
      <c r="K219" s="19" t="inlineStr">
        <is>
          <t>2025 (N-1)</t>
        </is>
      </c>
      <c r="L219" s="13" t="n">
        <v>18779</v>
      </c>
    </row>
    <row r="220">
      <c r="A220" s="19" t="inlineStr">
        <is>
          <t>TUNON_LYON</t>
        </is>
      </c>
      <c r="B220" s="18" t="inlineStr">
        <is>
          <t>Tunon Lyon</t>
        </is>
      </c>
      <c r="C220" s="19" t="inlineStr">
        <is>
          <t>Tunon</t>
        </is>
      </c>
      <c r="D220" s="19" t="inlineStr">
        <is>
          <t>Lyon</t>
        </is>
      </c>
      <c r="E220" s="19" t="inlineStr">
        <is>
          <t>6063</t>
        </is>
      </c>
      <c r="F220" s="18" t="inlineStr">
        <is>
          <t>Fournitures pédagogiques &amp; petit équipement</t>
        </is>
      </c>
      <c r="G220" s="19" t="inlineStr">
        <is>
          <t>60 — Achats</t>
        </is>
      </c>
      <c r="H220" s="19" t="inlineStr">
        <is>
          <t>Charge</t>
        </is>
      </c>
      <c r="I220" s="19" t="inlineStr">
        <is>
          <t>Coûts directs</t>
        </is>
      </c>
      <c r="J220" s="19" t="inlineStr">
        <is>
          <t>2025ACT_VDEF</t>
        </is>
      </c>
      <c r="K220" s="19" t="inlineStr">
        <is>
          <t>2025 (N-1)</t>
        </is>
      </c>
      <c r="L220" s="13" t="n">
        <v>15814</v>
      </c>
    </row>
    <row r="221">
      <c r="A221" s="19" t="inlineStr">
        <is>
          <t>MBWAY_PARIS</t>
        </is>
      </c>
      <c r="B221" s="18" t="inlineStr">
        <is>
          <t>MBway Paris</t>
        </is>
      </c>
      <c r="C221" s="19" t="inlineStr">
        <is>
          <t>MBway</t>
        </is>
      </c>
      <c r="D221" s="19" t="inlineStr">
        <is>
          <t>Paris</t>
        </is>
      </c>
      <c r="E221" s="19" t="inlineStr">
        <is>
          <t>6063</t>
        </is>
      </c>
      <c r="F221" s="18" t="inlineStr">
        <is>
          <t>Fournitures pédagogiques &amp; petit équipement</t>
        </is>
      </c>
      <c r="G221" s="19" t="inlineStr">
        <is>
          <t>60 — Achats</t>
        </is>
      </c>
      <c r="H221" s="19" t="inlineStr">
        <is>
          <t>Charge</t>
        </is>
      </c>
      <c r="I221" s="19" t="inlineStr">
        <is>
          <t>Coûts directs</t>
        </is>
      </c>
      <c r="J221" s="19" t="inlineStr">
        <is>
          <t>2026ATT_VDEF</t>
        </is>
      </c>
      <c r="K221" s="19" t="inlineStr">
        <is>
          <t>2026 (Atterr.)</t>
        </is>
      </c>
      <c r="L221" s="13" t="n">
        <v>55435</v>
      </c>
    </row>
    <row r="222">
      <c r="A222" s="19" t="inlineStr">
        <is>
          <t>MBWAY_LYON</t>
        </is>
      </c>
      <c r="B222" s="18" t="inlineStr">
        <is>
          <t>MBway Lyon</t>
        </is>
      </c>
      <c r="C222" s="19" t="inlineStr">
        <is>
          <t>MBway</t>
        </is>
      </c>
      <c r="D222" s="19" t="inlineStr">
        <is>
          <t>Lyon</t>
        </is>
      </c>
      <c r="E222" s="19" t="inlineStr">
        <is>
          <t>6063</t>
        </is>
      </c>
      <c r="F222" s="18" t="inlineStr">
        <is>
          <t>Fournitures pédagogiques &amp; petit équipement</t>
        </is>
      </c>
      <c r="G222" s="19" t="inlineStr">
        <is>
          <t>60 — Achats</t>
        </is>
      </c>
      <c r="H222" s="19" t="inlineStr">
        <is>
          <t>Charge</t>
        </is>
      </c>
      <c r="I222" s="19" t="inlineStr">
        <is>
          <t>Coûts directs</t>
        </is>
      </c>
      <c r="J222" s="19" t="inlineStr">
        <is>
          <t>2026ATT_VDEF</t>
        </is>
      </c>
      <c r="K222" s="19" t="inlineStr">
        <is>
          <t>2026 (Atterr.)</t>
        </is>
      </c>
      <c r="L222" s="13" t="n">
        <v>46667</v>
      </c>
    </row>
    <row r="223">
      <c r="A223" s="19" t="inlineStr">
        <is>
          <t>MBWAY_NANTES</t>
        </is>
      </c>
      <c r="B223" s="18" t="inlineStr">
        <is>
          <t>MBway Nantes</t>
        </is>
      </c>
      <c r="C223" s="19" t="inlineStr">
        <is>
          <t>MBway</t>
        </is>
      </c>
      <c r="D223" s="19" t="inlineStr">
        <is>
          <t>Nantes</t>
        </is>
      </c>
      <c r="E223" s="19" t="inlineStr">
        <is>
          <t>6063</t>
        </is>
      </c>
      <c r="F223" s="18" t="inlineStr">
        <is>
          <t>Fournitures pédagogiques &amp; petit équipement</t>
        </is>
      </c>
      <c r="G223" s="19" t="inlineStr">
        <is>
          <t>60 — Achats</t>
        </is>
      </c>
      <c r="H223" s="19" t="inlineStr">
        <is>
          <t>Charge</t>
        </is>
      </c>
      <c r="I223" s="19" t="inlineStr">
        <is>
          <t>Coûts directs</t>
        </is>
      </c>
      <c r="J223" s="19" t="inlineStr">
        <is>
          <t>2026ATT_VDEF</t>
        </is>
      </c>
      <c r="K223" s="19" t="inlineStr">
        <is>
          <t>2026 (Atterr.)</t>
        </is>
      </c>
      <c r="L223" s="13" t="n">
        <v>42654</v>
      </c>
    </row>
    <row r="224">
      <c r="A224" s="19" t="inlineStr">
        <is>
          <t>MBWAY_BORDEAUX</t>
        </is>
      </c>
      <c r="B224" s="18" t="inlineStr">
        <is>
          <t>MBway Bordeaux</t>
        </is>
      </c>
      <c r="C224" s="19" t="inlineStr">
        <is>
          <t>MBway</t>
        </is>
      </c>
      <c r="D224" s="19" t="inlineStr">
        <is>
          <t>Bordeaux</t>
        </is>
      </c>
      <c r="E224" s="19" t="inlineStr">
        <is>
          <t>6063</t>
        </is>
      </c>
      <c r="F224" s="18" t="inlineStr">
        <is>
          <t>Fournitures pédagogiques &amp; petit équipement</t>
        </is>
      </c>
      <c r="G224" s="19" t="inlineStr">
        <is>
          <t>60 — Achats</t>
        </is>
      </c>
      <c r="H224" s="19" t="inlineStr">
        <is>
          <t>Charge</t>
        </is>
      </c>
      <c r="I224" s="19" t="inlineStr">
        <is>
          <t>Coûts directs</t>
        </is>
      </c>
      <c r="J224" s="19" t="inlineStr">
        <is>
          <t>2026ATT_VDEF</t>
        </is>
      </c>
      <c r="K224" s="19" t="inlineStr">
        <is>
          <t>2026 (Atterr.)</t>
        </is>
      </c>
      <c r="L224" s="13" t="n">
        <v>36115</v>
      </c>
    </row>
    <row r="225">
      <c r="A225" s="19" t="inlineStr">
        <is>
          <t>ISCOM_PARIS</t>
        </is>
      </c>
      <c r="B225" s="18" t="inlineStr">
        <is>
          <t>ISCOM Paris</t>
        </is>
      </c>
      <c r="C225" s="19" t="inlineStr">
        <is>
          <t>ISCOM</t>
        </is>
      </c>
      <c r="D225" s="19" t="inlineStr">
        <is>
          <t>Paris</t>
        </is>
      </c>
      <c r="E225" s="19" t="inlineStr">
        <is>
          <t>6063</t>
        </is>
      </c>
      <c r="F225" s="18" t="inlineStr">
        <is>
          <t>Fournitures pédagogiques &amp; petit équipement</t>
        </is>
      </c>
      <c r="G225" s="19" t="inlineStr">
        <is>
          <t>60 — Achats</t>
        </is>
      </c>
      <c r="H225" s="19" t="inlineStr">
        <is>
          <t>Charge</t>
        </is>
      </c>
      <c r="I225" s="19" t="inlineStr">
        <is>
          <t>Coûts directs</t>
        </is>
      </c>
      <c r="J225" s="19" t="inlineStr">
        <is>
          <t>2026ATT_VDEF</t>
        </is>
      </c>
      <c r="K225" s="19" t="inlineStr">
        <is>
          <t>2026 (Atterr.)</t>
        </is>
      </c>
      <c r="L225" s="13" t="n">
        <v>51125</v>
      </c>
    </row>
    <row r="226">
      <c r="A226" s="19" t="inlineStr">
        <is>
          <t>ISCOM_LILLE</t>
        </is>
      </c>
      <c r="B226" s="18" t="inlineStr">
        <is>
          <t>ISCOM Lille</t>
        </is>
      </c>
      <c r="C226" s="19" t="inlineStr">
        <is>
          <t>ISCOM</t>
        </is>
      </c>
      <c r="D226" s="19" t="inlineStr">
        <is>
          <t>Lille</t>
        </is>
      </c>
      <c r="E226" s="19" t="inlineStr">
        <is>
          <t>6063</t>
        </is>
      </c>
      <c r="F226" s="18" t="inlineStr">
        <is>
          <t>Fournitures pédagogiques &amp; petit équipement</t>
        </is>
      </c>
      <c r="G226" s="19" t="inlineStr">
        <is>
          <t>60 — Achats</t>
        </is>
      </c>
      <c r="H226" s="19" t="inlineStr">
        <is>
          <t>Charge</t>
        </is>
      </c>
      <c r="I226" s="19" t="inlineStr">
        <is>
          <t>Coûts directs</t>
        </is>
      </c>
      <c r="J226" s="19" t="inlineStr">
        <is>
          <t>2026ATT_VDEF</t>
        </is>
      </c>
      <c r="K226" s="19" t="inlineStr">
        <is>
          <t>2026 (Atterr.)</t>
        </is>
      </c>
      <c r="L226" s="13" t="n">
        <v>35372</v>
      </c>
    </row>
    <row r="227">
      <c r="A227" s="19" t="inlineStr">
        <is>
          <t>ISCOM_TOULOUSE</t>
        </is>
      </c>
      <c r="B227" s="18" t="inlineStr">
        <is>
          <t>ISCOM Toulouse</t>
        </is>
      </c>
      <c r="C227" s="19" t="inlineStr">
        <is>
          <t>ISCOM</t>
        </is>
      </c>
      <c r="D227" s="19" t="inlineStr">
        <is>
          <t>Toulouse</t>
        </is>
      </c>
      <c r="E227" s="19" t="inlineStr">
        <is>
          <t>6063</t>
        </is>
      </c>
      <c r="F227" s="18" t="inlineStr">
        <is>
          <t>Fournitures pédagogiques &amp; petit équipement</t>
        </is>
      </c>
      <c r="G227" s="19" t="inlineStr">
        <is>
          <t>60 — Achats</t>
        </is>
      </c>
      <c r="H227" s="19" t="inlineStr">
        <is>
          <t>Charge</t>
        </is>
      </c>
      <c r="I227" s="19" t="inlineStr">
        <is>
          <t>Coûts directs</t>
        </is>
      </c>
      <c r="J227" s="19" t="inlineStr">
        <is>
          <t>2026ATT_VDEF</t>
        </is>
      </c>
      <c r="K227" s="19" t="inlineStr">
        <is>
          <t>2026 (Atterr.)</t>
        </is>
      </c>
      <c r="L227" s="13" t="n">
        <v>33440</v>
      </c>
    </row>
    <row r="228">
      <c r="A228" s="19" t="inlineStr">
        <is>
          <t>IPAC_BACHELOR_FACTORY_NANTES</t>
        </is>
      </c>
      <c r="B228" s="18" t="inlineStr">
        <is>
          <t>Ipac Bachelor Factory Nantes</t>
        </is>
      </c>
      <c r="C228" s="19" t="inlineStr">
        <is>
          <t>Ipac Bachelor Factory</t>
        </is>
      </c>
      <c r="D228" s="19" t="inlineStr">
        <is>
          <t>Nantes</t>
        </is>
      </c>
      <c r="E228" s="19" t="inlineStr">
        <is>
          <t>6063</t>
        </is>
      </c>
      <c r="F228" s="18" t="inlineStr">
        <is>
          <t>Fournitures pédagogiques &amp; petit équipement</t>
        </is>
      </c>
      <c r="G228" s="19" t="inlineStr">
        <is>
          <t>60 — Achats</t>
        </is>
      </c>
      <c r="H228" s="19" t="inlineStr">
        <is>
          <t>Charge</t>
        </is>
      </c>
      <c r="I228" s="19" t="inlineStr">
        <is>
          <t>Coûts directs</t>
        </is>
      </c>
      <c r="J228" s="19" t="inlineStr">
        <is>
          <t>2026ATT_VDEF</t>
        </is>
      </c>
      <c r="K228" s="19" t="inlineStr">
        <is>
          <t>2026 (Atterr.)</t>
        </is>
      </c>
      <c r="L228" s="13" t="n">
        <v>20807</v>
      </c>
    </row>
    <row r="229">
      <c r="A229" s="19" t="inlineStr">
        <is>
          <t>IPAC_BACHELOR_FACTORY_RENNES</t>
        </is>
      </c>
      <c r="B229" s="18" t="inlineStr">
        <is>
          <t>Ipac Bachelor Factory Rennes</t>
        </is>
      </c>
      <c r="C229" s="19" t="inlineStr">
        <is>
          <t>Ipac Bachelor Factory</t>
        </is>
      </c>
      <c r="D229" s="19" t="inlineStr">
        <is>
          <t>Rennes</t>
        </is>
      </c>
      <c r="E229" s="19" t="inlineStr">
        <is>
          <t>6063</t>
        </is>
      </c>
      <c r="F229" s="18" t="inlineStr">
        <is>
          <t>Fournitures pédagogiques &amp; petit équipement</t>
        </is>
      </c>
      <c r="G229" s="19" t="inlineStr">
        <is>
          <t>60 — Achats</t>
        </is>
      </c>
      <c r="H229" s="19" t="inlineStr">
        <is>
          <t>Charge</t>
        </is>
      </c>
      <c r="I229" s="19" t="inlineStr">
        <is>
          <t>Coûts directs</t>
        </is>
      </c>
      <c r="J229" s="19" t="inlineStr">
        <is>
          <t>2026ATT_VDEF</t>
        </is>
      </c>
      <c r="K229" s="19" t="inlineStr">
        <is>
          <t>2026 (Atterr.)</t>
        </is>
      </c>
      <c r="L229" s="13" t="n">
        <v>16645</v>
      </c>
    </row>
    <row r="230">
      <c r="A230" s="19" t="inlineStr">
        <is>
          <t>IPAC_BACHELOR_FACTORY_MONTPELLIER</t>
        </is>
      </c>
      <c r="B230" s="18" t="inlineStr">
        <is>
          <t>Ipac Bachelor Factory Montpellier</t>
        </is>
      </c>
      <c r="C230" s="19" t="inlineStr">
        <is>
          <t>Ipac Bachelor Factory</t>
        </is>
      </c>
      <c r="D230" s="19" t="inlineStr">
        <is>
          <t>Montpellier</t>
        </is>
      </c>
      <c r="E230" s="19" t="inlineStr">
        <is>
          <t>6063</t>
        </is>
      </c>
      <c r="F230" s="18" t="inlineStr">
        <is>
          <t>Fournitures pédagogiques &amp; petit équipement</t>
        </is>
      </c>
      <c r="G230" s="19" t="inlineStr">
        <is>
          <t>60 — Achats</t>
        </is>
      </c>
      <c r="H230" s="19" t="inlineStr">
        <is>
          <t>Charge</t>
        </is>
      </c>
      <c r="I230" s="19" t="inlineStr">
        <is>
          <t>Coûts directs</t>
        </is>
      </c>
      <c r="J230" s="19" t="inlineStr">
        <is>
          <t>2026ATT_VDEF</t>
        </is>
      </c>
      <c r="K230" s="19" t="inlineStr">
        <is>
          <t>2026 (Atterr.)</t>
        </is>
      </c>
      <c r="L230" s="13" t="n">
        <v>16645</v>
      </c>
    </row>
    <row r="231">
      <c r="A231" s="19" t="inlineStr">
        <is>
          <t>PIGIER_LYON</t>
        </is>
      </c>
      <c r="B231" s="18" t="inlineStr">
        <is>
          <t>Pigier Lyon</t>
        </is>
      </c>
      <c r="C231" s="19" t="inlineStr">
        <is>
          <t>Pigier</t>
        </is>
      </c>
      <c r="D231" s="19" t="inlineStr">
        <is>
          <t>Lyon</t>
        </is>
      </c>
      <c r="E231" s="19" t="inlineStr">
        <is>
          <t>6063</t>
        </is>
      </c>
      <c r="F231" s="18" t="inlineStr">
        <is>
          <t>Fournitures pédagogiques &amp; petit équipement</t>
        </is>
      </c>
      <c r="G231" s="19" t="inlineStr">
        <is>
          <t>60 — Achats</t>
        </is>
      </c>
      <c r="H231" s="19" t="inlineStr">
        <is>
          <t>Charge</t>
        </is>
      </c>
      <c r="I231" s="19" t="inlineStr">
        <is>
          <t>Coûts directs</t>
        </is>
      </c>
      <c r="J231" s="19" t="inlineStr">
        <is>
          <t>2026ATT_VDEF</t>
        </is>
      </c>
      <c r="K231" s="19" t="inlineStr">
        <is>
          <t>2026 (Atterr.)</t>
        </is>
      </c>
      <c r="L231" s="13" t="n">
        <v>26603</v>
      </c>
    </row>
    <row r="232">
      <c r="A232" s="19" t="inlineStr">
        <is>
          <t>PIGIER_BORDEAUX</t>
        </is>
      </c>
      <c r="B232" s="18" t="inlineStr">
        <is>
          <t>Pigier Bordeaux</t>
        </is>
      </c>
      <c r="C232" s="19" t="inlineStr">
        <is>
          <t>Pigier</t>
        </is>
      </c>
      <c r="D232" s="19" t="inlineStr">
        <is>
          <t>Bordeaux</t>
        </is>
      </c>
      <c r="E232" s="19" t="inlineStr">
        <is>
          <t>6063</t>
        </is>
      </c>
      <c r="F232" s="18" t="inlineStr">
        <is>
          <t>Fournitures pédagogiques &amp; petit équipement</t>
        </is>
      </c>
      <c r="G232" s="19" t="inlineStr">
        <is>
          <t>60 — Achats</t>
        </is>
      </c>
      <c r="H232" s="19" t="inlineStr">
        <is>
          <t>Charge</t>
        </is>
      </c>
      <c r="I232" s="19" t="inlineStr">
        <is>
          <t>Coûts directs</t>
        </is>
      </c>
      <c r="J232" s="19" t="inlineStr">
        <is>
          <t>2026ATT_VDEF</t>
        </is>
      </c>
      <c r="K232" s="19" t="inlineStr">
        <is>
          <t>2026 (Atterr.)</t>
        </is>
      </c>
      <c r="L232" s="13" t="n">
        <v>20807</v>
      </c>
    </row>
    <row r="233">
      <c r="A233" s="19" t="inlineStr">
        <is>
          <t>TUNON_PARIS</t>
        </is>
      </c>
      <c r="B233" s="18" t="inlineStr">
        <is>
          <t>Tunon Paris</t>
        </is>
      </c>
      <c r="C233" s="19" t="inlineStr">
        <is>
          <t>Tunon</t>
        </is>
      </c>
      <c r="D233" s="19" t="inlineStr">
        <is>
          <t>Paris</t>
        </is>
      </c>
      <c r="E233" s="19" t="inlineStr">
        <is>
          <t>6063</t>
        </is>
      </c>
      <c r="F233" s="18" t="inlineStr">
        <is>
          <t>Fournitures pédagogiques &amp; petit équipement</t>
        </is>
      </c>
      <c r="G233" s="19" t="inlineStr">
        <is>
          <t>60 — Achats</t>
        </is>
      </c>
      <c r="H233" s="19" t="inlineStr">
        <is>
          <t>Charge</t>
        </is>
      </c>
      <c r="I233" s="19" t="inlineStr">
        <is>
          <t>Coûts directs</t>
        </is>
      </c>
      <c r="J233" s="19" t="inlineStr">
        <is>
          <t>2026ATT_VDEF</t>
        </is>
      </c>
      <c r="K233" s="19" t="inlineStr">
        <is>
          <t>2026 (Atterr.)</t>
        </is>
      </c>
      <c r="L233" s="13" t="n">
        <v>19766</v>
      </c>
    </row>
    <row r="234">
      <c r="A234" s="19" t="inlineStr">
        <is>
          <t>TUNON_LYON</t>
        </is>
      </c>
      <c r="B234" s="18" t="inlineStr">
        <is>
          <t>Tunon Lyon</t>
        </is>
      </c>
      <c r="C234" s="19" t="inlineStr">
        <is>
          <t>Tunon</t>
        </is>
      </c>
      <c r="D234" s="19" t="inlineStr">
        <is>
          <t>Lyon</t>
        </is>
      </c>
      <c r="E234" s="19" t="inlineStr">
        <is>
          <t>6063</t>
        </is>
      </c>
      <c r="F234" s="18" t="inlineStr">
        <is>
          <t>Fournitures pédagogiques &amp; petit équipement</t>
        </is>
      </c>
      <c r="G234" s="19" t="inlineStr">
        <is>
          <t>60 — Achats</t>
        </is>
      </c>
      <c r="H234" s="19" t="inlineStr">
        <is>
          <t>Charge</t>
        </is>
      </c>
      <c r="I234" s="19" t="inlineStr">
        <is>
          <t>Coûts directs</t>
        </is>
      </c>
      <c r="J234" s="19" t="inlineStr">
        <is>
          <t>2026ATT_VDEF</t>
        </is>
      </c>
      <c r="K234" s="19" t="inlineStr">
        <is>
          <t>2026 (Atterr.)</t>
        </is>
      </c>
      <c r="L234" s="13" t="n">
        <v>16645</v>
      </c>
    </row>
    <row r="235">
      <c r="A235" s="19" t="inlineStr">
        <is>
          <t>MBWAY_PARIS</t>
        </is>
      </c>
      <c r="B235" s="18" t="inlineStr">
        <is>
          <t>MBway Paris</t>
        </is>
      </c>
      <c r="C235" s="19" t="inlineStr">
        <is>
          <t>MBway</t>
        </is>
      </c>
      <c r="D235" s="19" t="inlineStr">
        <is>
          <t>Paris</t>
        </is>
      </c>
      <c r="E235" s="19" t="inlineStr">
        <is>
          <t>6231</t>
        </is>
      </c>
      <c r="F235" s="18" t="inlineStr">
        <is>
          <t>Publicité &amp; marketing d'acquisition (leads)</t>
        </is>
      </c>
      <c r="G235" s="19" t="inlineStr">
        <is>
          <t>62 — Autres services extérieurs</t>
        </is>
      </c>
      <c r="H235" s="19" t="inlineStr">
        <is>
          <t>Charge</t>
        </is>
      </c>
      <c r="I235" s="19" t="inlineStr">
        <is>
          <t>Coûts directs</t>
        </is>
      </c>
      <c r="J235" s="19" t="inlineStr">
        <is>
          <t>2024ACT_VDEF</t>
        </is>
      </c>
      <c r="K235" s="19" t="inlineStr">
        <is>
          <t>2024 (N-2)</t>
        </is>
      </c>
      <c r="L235" s="13" t="n">
        <v>48082</v>
      </c>
    </row>
    <row r="236">
      <c r="A236" s="19" t="inlineStr">
        <is>
          <t>MBWAY_LYON</t>
        </is>
      </c>
      <c r="B236" s="18" t="inlineStr">
        <is>
          <t>MBway Lyon</t>
        </is>
      </c>
      <c r="C236" s="19" t="inlineStr">
        <is>
          <t>MBway</t>
        </is>
      </c>
      <c r="D236" s="19" t="inlineStr">
        <is>
          <t>Lyon</t>
        </is>
      </c>
      <c r="E236" s="19" t="inlineStr">
        <is>
          <t>6231</t>
        </is>
      </c>
      <c r="F236" s="18" t="inlineStr">
        <is>
          <t>Publicité &amp; marketing d'acquisition (leads)</t>
        </is>
      </c>
      <c r="G236" s="19" t="inlineStr">
        <is>
          <t>62 — Autres services extérieurs</t>
        </is>
      </c>
      <c r="H236" s="19" t="inlineStr">
        <is>
          <t>Charge</t>
        </is>
      </c>
      <c r="I236" s="19" t="inlineStr">
        <is>
          <t>Coûts directs</t>
        </is>
      </c>
      <c r="J236" s="19" t="inlineStr">
        <is>
          <t>2024ACT_VDEF</t>
        </is>
      </c>
      <c r="K236" s="19" t="inlineStr">
        <is>
          <t>2024 (N-2)</t>
        </is>
      </c>
      <c r="L236" s="13" t="n">
        <v>41671</v>
      </c>
    </row>
    <row r="237">
      <c r="A237" s="19" t="inlineStr">
        <is>
          <t>MBWAY_NANTES</t>
        </is>
      </c>
      <c r="B237" s="18" t="inlineStr">
        <is>
          <t>MBway Nantes</t>
        </is>
      </c>
      <c r="C237" s="19" t="inlineStr">
        <is>
          <t>MBway</t>
        </is>
      </c>
      <c r="D237" s="19" t="inlineStr">
        <is>
          <t>Nantes</t>
        </is>
      </c>
      <c r="E237" s="19" t="inlineStr">
        <is>
          <t>6231</t>
        </is>
      </c>
      <c r="F237" s="18" t="inlineStr">
        <is>
          <t>Publicité &amp; marketing d'acquisition (leads)</t>
        </is>
      </c>
      <c r="G237" s="19" t="inlineStr">
        <is>
          <t>62 — Autres services extérieurs</t>
        </is>
      </c>
      <c r="H237" s="19" t="inlineStr">
        <is>
          <t>Charge</t>
        </is>
      </c>
      <c r="I237" s="19" t="inlineStr">
        <is>
          <t>Coûts directs</t>
        </is>
      </c>
      <c r="J237" s="19" t="inlineStr">
        <is>
          <t>2024ACT_VDEF</t>
        </is>
      </c>
      <c r="K237" s="19" t="inlineStr">
        <is>
          <t>2024 (N-2)</t>
        </is>
      </c>
      <c r="L237" s="13" t="n">
        <v>38466</v>
      </c>
    </row>
    <row r="238">
      <c r="A238" s="19" t="inlineStr">
        <is>
          <t>MBWAY_BORDEAUX</t>
        </is>
      </c>
      <c r="B238" s="18" t="inlineStr">
        <is>
          <t>MBway Bordeaux</t>
        </is>
      </c>
      <c r="C238" s="19" t="inlineStr">
        <is>
          <t>MBway</t>
        </is>
      </c>
      <c r="D238" s="19" t="inlineStr">
        <is>
          <t>Bordeaux</t>
        </is>
      </c>
      <c r="E238" s="19" t="inlineStr">
        <is>
          <t>6231</t>
        </is>
      </c>
      <c r="F238" s="18" t="inlineStr">
        <is>
          <t>Publicité &amp; marketing d'acquisition (leads)</t>
        </is>
      </c>
      <c r="G238" s="19" t="inlineStr">
        <is>
          <t>62 — Autres services extérieurs</t>
        </is>
      </c>
      <c r="H238" s="19" t="inlineStr">
        <is>
          <t>Charge</t>
        </is>
      </c>
      <c r="I238" s="19" t="inlineStr">
        <is>
          <t>Coûts directs</t>
        </is>
      </c>
      <c r="J238" s="19" t="inlineStr">
        <is>
          <t>2024ACT_VDEF</t>
        </is>
      </c>
      <c r="K238" s="19" t="inlineStr">
        <is>
          <t>2024 (N-2)</t>
        </is>
      </c>
      <c r="L238" s="13" t="n">
        <v>32055</v>
      </c>
    </row>
    <row r="239">
      <c r="A239" s="19" t="inlineStr">
        <is>
          <t>ISCOM_PARIS</t>
        </is>
      </c>
      <c r="B239" s="18" t="inlineStr">
        <is>
          <t>ISCOM Paris</t>
        </is>
      </c>
      <c r="C239" s="19" t="inlineStr">
        <is>
          <t>ISCOM</t>
        </is>
      </c>
      <c r="D239" s="19" t="inlineStr">
        <is>
          <t>Paris</t>
        </is>
      </c>
      <c r="E239" s="19" t="inlineStr">
        <is>
          <t>6231</t>
        </is>
      </c>
      <c r="F239" s="18" t="inlineStr">
        <is>
          <t>Publicité &amp; marketing d'acquisition (leads)</t>
        </is>
      </c>
      <c r="G239" s="19" t="inlineStr">
        <is>
          <t>62 — Autres services extérieurs</t>
        </is>
      </c>
      <c r="H239" s="19" t="inlineStr">
        <is>
          <t>Charge</t>
        </is>
      </c>
      <c r="I239" s="19" t="inlineStr">
        <is>
          <t>Coûts directs</t>
        </is>
      </c>
      <c r="J239" s="19" t="inlineStr">
        <is>
          <t>2024ACT_VDEF</t>
        </is>
      </c>
      <c r="K239" s="19" t="inlineStr">
        <is>
          <t>2024 (N-2)</t>
        </is>
      </c>
      <c r="L239" s="13" t="n">
        <v>44876</v>
      </c>
    </row>
    <row r="240">
      <c r="A240" s="19" t="inlineStr">
        <is>
          <t>ISCOM_LILLE</t>
        </is>
      </c>
      <c r="B240" s="18" t="inlineStr">
        <is>
          <t>ISCOM Lille</t>
        </is>
      </c>
      <c r="C240" s="19" t="inlineStr">
        <is>
          <t>ISCOM</t>
        </is>
      </c>
      <c r="D240" s="19" t="inlineStr">
        <is>
          <t>Lille</t>
        </is>
      </c>
      <c r="E240" s="19" t="inlineStr">
        <is>
          <t>6231</t>
        </is>
      </c>
      <c r="F240" s="18" t="inlineStr">
        <is>
          <t>Publicité &amp; marketing d'acquisition (leads)</t>
        </is>
      </c>
      <c r="G240" s="19" t="inlineStr">
        <is>
          <t>62 — Autres services extérieurs</t>
        </is>
      </c>
      <c r="H240" s="19" t="inlineStr">
        <is>
          <t>Charge</t>
        </is>
      </c>
      <c r="I240" s="19" t="inlineStr">
        <is>
          <t>Coûts directs</t>
        </is>
      </c>
      <c r="J240" s="19" t="inlineStr">
        <is>
          <t>2024ACT_VDEF</t>
        </is>
      </c>
      <c r="K240" s="19" t="inlineStr">
        <is>
          <t>2024 (N-2)</t>
        </is>
      </c>
      <c r="L240" s="13" t="n">
        <v>32055</v>
      </c>
    </row>
    <row r="241">
      <c r="A241" s="19" t="inlineStr">
        <is>
          <t>ISCOM_TOULOUSE</t>
        </is>
      </c>
      <c r="B241" s="18" t="inlineStr">
        <is>
          <t>ISCOM Toulouse</t>
        </is>
      </c>
      <c r="C241" s="19" t="inlineStr">
        <is>
          <t>ISCOM</t>
        </is>
      </c>
      <c r="D241" s="19" t="inlineStr">
        <is>
          <t>Toulouse</t>
        </is>
      </c>
      <c r="E241" s="19" t="inlineStr">
        <is>
          <t>6231</t>
        </is>
      </c>
      <c r="F241" s="18" t="inlineStr">
        <is>
          <t>Publicité &amp; marketing d'acquisition (leads)</t>
        </is>
      </c>
      <c r="G241" s="19" t="inlineStr">
        <is>
          <t>62 — Autres services extérieurs</t>
        </is>
      </c>
      <c r="H241" s="19" t="inlineStr">
        <is>
          <t>Charge</t>
        </is>
      </c>
      <c r="I241" s="19" t="inlineStr">
        <is>
          <t>Coûts directs</t>
        </is>
      </c>
      <c r="J241" s="19" t="inlineStr">
        <is>
          <t>2024ACT_VDEF</t>
        </is>
      </c>
      <c r="K241" s="19" t="inlineStr">
        <is>
          <t>2024 (N-2)</t>
        </is>
      </c>
      <c r="L241" s="13" t="n">
        <v>32055</v>
      </c>
    </row>
    <row r="242">
      <c r="A242" s="19" t="inlineStr">
        <is>
          <t>IPAC_BACHELOR_FACTORY_NANTES</t>
        </is>
      </c>
      <c r="B242" s="18" t="inlineStr">
        <is>
          <t>Ipac Bachelor Factory Nantes</t>
        </is>
      </c>
      <c r="C242" s="19" t="inlineStr">
        <is>
          <t>Ipac Bachelor Factory</t>
        </is>
      </c>
      <c r="D242" s="19" t="inlineStr">
        <is>
          <t>Nantes</t>
        </is>
      </c>
      <c r="E242" s="19" t="inlineStr">
        <is>
          <t>6231</t>
        </is>
      </c>
      <c r="F242" s="18" t="inlineStr">
        <is>
          <t>Publicité &amp; marketing d'acquisition (leads)</t>
        </is>
      </c>
      <c r="G242" s="19" t="inlineStr">
        <is>
          <t>62 — Autres services extérieurs</t>
        </is>
      </c>
      <c r="H242" s="19" t="inlineStr">
        <is>
          <t>Charge</t>
        </is>
      </c>
      <c r="I242" s="19" t="inlineStr">
        <is>
          <t>Coûts directs</t>
        </is>
      </c>
      <c r="J242" s="19" t="inlineStr">
        <is>
          <t>2024ACT_VDEF</t>
        </is>
      </c>
      <c r="K242" s="19" t="inlineStr">
        <is>
          <t>2024 (N-2)</t>
        </is>
      </c>
      <c r="L242" s="13" t="n">
        <v>19233</v>
      </c>
    </row>
    <row r="243">
      <c r="A243" s="19" t="inlineStr">
        <is>
          <t>IPAC_BACHELOR_FACTORY_RENNES</t>
        </is>
      </c>
      <c r="B243" s="18" t="inlineStr">
        <is>
          <t>Ipac Bachelor Factory Rennes</t>
        </is>
      </c>
      <c r="C243" s="19" t="inlineStr">
        <is>
          <t>Ipac Bachelor Factory</t>
        </is>
      </c>
      <c r="D243" s="19" t="inlineStr">
        <is>
          <t>Rennes</t>
        </is>
      </c>
      <c r="E243" s="19" t="inlineStr">
        <is>
          <t>6231</t>
        </is>
      </c>
      <c r="F243" s="18" t="inlineStr">
        <is>
          <t>Publicité &amp; marketing d'acquisition (leads)</t>
        </is>
      </c>
      <c r="G243" s="19" t="inlineStr">
        <is>
          <t>62 — Autres services extérieurs</t>
        </is>
      </c>
      <c r="H243" s="19" t="inlineStr">
        <is>
          <t>Charge</t>
        </is>
      </c>
      <c r="I243" s="19" t="inlineStr">
        <is>
          <t>Coûts directs</t>
        </is>
      </c>
      <c r="J243" s="19" t="inlineStr">
        <is>
          <t>2024ACT_VDEF</t>
        </is>
      </c>
      <c r="K243" s="19" t="inlineStr">
        <is>
          <t>2024 (N-2)</t>
        </is>
      </c>
      <c r="L243" s="13" t="n">
        <v>19233</v>
      </c>
    </row>
    <row r="244">
      <c r="A244" s="19" t="inlineStr">
        <is>
          <t>IPAC_BACHELOR_FACTORY_MONTPELLIER</t>
        </is>
      </c>
      <c r="B244" s="18" t="inlineStr">
        <is>
          <t>Ipac Bachelor Factory Montpellier</t>
        </is>
      </c>
      <c r="C244" s="19" t="inlineStr">
        <is>
          <t>Ipac Bachelor Factory</t>
        </is>
      </c>
      <c r="D244" s="19" t="inlineStr">
        <is>
          <t>Montpellier</t>
        </is>
      </c>
      <c r="E244" s="19" t="inlineStr">
        <is>
          <t>6231</t>
        </is>
      </c>
      <c r="F244" s="18" t="inlineStr">
        <is>
          <t>Publicité &amp; marketing d'acquisition (leads)</t>
        </is>
      </c>
      <c r="G244" s="19" t="inlineStr">
        <is>
          <t>62 — Autres services extérieurs</t>
        </is>
      </c>
      <c r="H244" s="19" t="inlineStr">
        <is>
          <t>Charge</t>
        </is>
      </c>
      <c r="I244" s="19" t="inlineStr">
        <is>
          <t>Coûts directs</t>
        </is>
      </c>
      <c r="J244" s="19" t="inlineStr">
        <is>
          <t>2024ACT_VDEF</t>
        </is>
      </c>
      <c r="K244" s="19" t="inlineStr">
        <is>
          <t>2024 (N-2)</t>
        </is>
      </c>
      <c r="L244" s="13" t="n">
        <v>19233</v>
      </c>
    </row>
    <row r="245">
      <c r="A245" s="19" t="inlineStr">
        <is>
          <t>PIGIER_LYON</t>
        </is>
      </c>
      <c r="B245" s="18" t="inlineStr">
        <is>
          <t>Pigier Lyon</t>
        </is>
      </c>
      <c r="C245" s="19" t="inlineStr">
        <is>
          <t>Pigier</t>
        </is>
      </c>
      <c r="D245" s="19" t="inlineStr">
        <is>
          <t>Lyon</t>
        </is>
      </c>
      <c r="E245" s="19" t="inlineStr">
        <is>
          <t>6231</t>
        </is>
      </c>
      <c r="F245" s="18" t="inlineStr">
        <is>
          <t>Publicité &amp; marketing d'acquisition (leads)</t>
        </is>
      </c>
      <c r="G245" s="19" t="inlineStr">
        <is>
          <t>62 — Autres services extérieurs</t>
        </is>
      </c>
      <c r="H245" s="19" t="inlineStr">
        <is>
          <t>Charge</t>
        </is>
      </c>
      <c r="I245" s="19" t="inlineStr">
        <is>
          <t>Coûts directs</t>
        </is>
      </c>
      <c r="J245" s="19" t="inlineStr">
        <is>
          <t>2024ACT_VDEF</t>
        </is>
      </c>
      <c r="K245" s="19" t="inlineStr">
        <is>
          <t>2024 (N-2)</t>
        </is>
      </c>
      <c r="L245" s="13" t="n">
        <v>25644</v>
      </c>
    </row>
    <row r="246">
      <c r="A246" s="19" t="inlineStr">
        <is>
          <t>PIGIER_BORDEAUX</t>
        </is>
      </c>
      <c r="B246" s="18" t="inlineStr">
        <is>
          <t>Pigier Bordeaux</t>
        </is>
      </c>
      <c r="C246" s="19" t="inlineStr">
        <is>
          <t>Pigier</t>
        </is>
      </c>
      <c r="D246" s="19" t="inlineStr">
        <is>
          <t>Bordeaux</t>
        </is>
      </c>
      <c r="E246" s="19" t="inlineStr">
        <is>
          <t>6231</t>
        </is>
      </c>
      <c r="F246" s="18" t="inlineStr">
        <is>
          <t>Publicité &amp; marketing d'acquisition (leads)</t>
        </is>
      </c>
      <c r="G246" s="19" t="inlineStr">
        <is>
          <t>62 — Autres services extérieurs</t>
        </is>
      </c>
      <c r="H246" s="19" t="inlineStr">
        <is>
          <t>Charge</t>
        </is>
      </c>
      <c r="I246" s="19" t="inlineStr">
        <is>
          <t>Coûts directs</t>
        </is>
      </c>
      <c r="J246" s="19" t="inlineStr">
        <is>
          <t>2024ACT_VDEF</t>
        </is>
      </c>
      <c r="K246" s="19" t="inlineStr">
        <is>
          <t>2024 (N-2)</t>
        </is>
      </c>
      <c r="L246" s="13" t="n">
        <v>25644</v>
      </c>
    </row>
    <row r="247">
      <c r="A247" s="19" t="inlineStr">
        <is>
          <t>TUNON_PARIS</t>
        </is>
      </c>
      <c r="B247" s="18" t="inlineStr">
        <is>
          <t>Tunon Paris</t>
        </is>
      </c>
      <c r="C247" s="19" t="inlineStr">
        <is>
          <t>Tunon</t>
        </is>
      </c>
      <c r="D247" s="19" t="inlineStr">
        <is>
          <t>Paris</t>
        </is>
      </c>
      <c r="E247" s="19" t="inlineStr">
        <is>
          <t>6231</t>
        </is>
      </c>
      <c r="F247" s="18" t="inlineStr">
        <is>
          <t>Publicité &amp; marketing d'acquisition (leads)</t>
        </is>
      </c>
      <c r="G247" s="19" t="inlineStr">
        <is>
          <t>62 — Autres services extérieurs</t>
        </is>
      </c>
      <c r="H247" s="19" t="inlineStr">
        <is>
          <t>Charge</t>
        </is>
      </c>
      <c r="I247" s="19" t="inlineStr">
        <is>
          <t>Coûts directs</t>
        </is>
      </c>
      <c r="J247" s="19" t="inlineStr">
        <is>
          <t>2024ACT_VDEF</t>
        </is>
      </c>
      <c r="K247" s="19" t="inlineStr">
        <is>
          <t>2024 (N-2)</t>
        </is>
      </c>
      <c r="L247" s="13" t="n">
        <v>19233</v>
      </c>
    </row>
    <row r="248">
      <c r="A248" s="19" t="inlineStr">
        <is>
          <t>TUNON_LYON</t>
        </is>
      </c>
      <c r="B248" s="18" t="inlineStr">
        <is>
          <t>Tunon Lyon</t>
        </is>
      </c>
      <c r="C248" s="19" t="inlineStr">
        <is>
          <t>Tunon</t>
        </is>
      </c>
      <c r="D248" s="19" t="inlineStr">
        <is>
          <t>Lyon</t>
        </is>
      </c>
      <c r="E248" s="19" t="inlineStr">
        <is>
          <t>6231</t>
        </is>
      </c>
      <c r="F248" s="18" t="inlineStr">
        <is>
          <t>Publicité &amp; marketing d'acquisition (leads)</t>
        </is>
      </c>
      <c r="G248" s="19" t="inlineStr">
        <is>
          <t>62 — Autres services extérieurs</t>
        </is>
      </c>
      <c r="H248" s="19" t="inlineStr">
        <is>
          <t>Charge</t>
        </is>
      </c>
      <c r="I248" s="19" t="inlineStr">
        <is>
          <t>Coûts directs</t>
        </is>
      </c>
      <c r="J248" s="19" t="inlineStr">
        <is>
          <t>2024ACT_VDEF</t>
        </is>
      </c>
      <c r="K248" s="19" t="inlineStr">
        <is>
          <t>2024 (N-2)</t>
        </is>
      </c>
      <c r="L248" s="13" t="n">
        <v>19233</v>
      </c>
    </row>
    <row r="249">
      <c r="A249" s="19" t="inlineStr">
        <is>
          <t>MBWAY_PARIS</t>
        </is>
      </c>
      <c r="B249" s="18" t="inlineStr">
        <is>
          <t>MBway Paris</t>
        </is>
      </c>
      <c r="C249" s="19" t="inlineStr">
        <is>
          <t>MBway</t>
        </is>
      </c>
      <c r="D249" s="19" t="inlineStr">
        <is>
          <t>Paris</t>
        </is>
      </c>
      <c r="E249" s="19" t="inlineStr">
        <is>
          <t>6231</t>
        </is>
      </c>
      <c r="F249" s="18" t="inlineStr">
        <is>
          <t>Publicité &amp; marketing d'acquisition (leads)</t>
        </is>
      </c>
      <c r="G249" s="19" t="inlineStr">
        <is>
          <t>62 — Autres services extérieurs</t>
        </is>
      </c>
      <c r="H249" s="19" t="inlineStr">
        <is>
          <t>Charge</t>
        </is>
      </c>
      <c r="I249" s="19" t="inlineStr">
        <is>
          <t>Coûts directs</t>
        </is>
      </c>
      <c r="J249" s="19" t="inlineStr">
        <is>
          <t>2025ACT_VDEF</t>
        </is>
      </c>
      <c r="K249" s="19" t="inlineStr">
        <is>
          <t>2025 (N-1)</t>
        </is>
      </c>
      <c r="L249" s="13" t="n">
        <v>50497</v>
      </c>
    </row>
    <row r="250">
      <c r="A250" s="19" t="inlineStr">
        <is>
          <t>MBWAY_LYON</t>
        </is>
      </c>
      <c r="B250" s="18" t="inlineStr">
        <is>
          <t>MBway Lyon</t>
        </is>
      </c>
      <c r="C250" s="19" t="inlineStr">
        <is>
          <t>MBway</t>
        </is>
      </c>
      <c r="D250" s="19" t="inlineStr">
        <is>
          <t>Lyon</t>
        </is>
      </c>
      <c r="E250" s="19" t="inlineStr">
        <is>
          <t>6231</t>
        </is>
      </c>
      <c r="F250" s="18" t="inlineStr">
        <is>
          <t>Publicité &amp; marketing d'acquisition (leads)</t>
        </is>
      </c>
      <c r="G250" s="19" t="inlineStr">
        <is>
          <t>62 — Autres services extérieurs</t>
        </is>
      </c>
      <c r="H250" s="19" t="inlineStr">
        <is>
          <t>Charge</t>
        </is>
      </c>
      <c r="I250" s="19" t="inlineStr">
        <is>
          <t>Coûts directs</t>
        </is>
      </c>
      <c r="J250" s="19" t="inlineStr">
        <is>
          <t>2025ACT_VDEF</t>
        </is>
      </c>
      <c r="K250" s="19" t="inlineStr">
        <is>
          <t>2025 (N-1)</t>
        </is>
      </c>
      <c r="L250" s="13" t="n">
        <v>43764</v>
      </c>
    </row>
    <row r="251">
      <c r="A251" s="19" t="inlineStr">
        <is>
          <t>MBWAY_NANTES</t>
        </is>
      </c>
      <c r="B251" s="18" t="inlineStr">
        <is>
          <t>MBway Nantes</t>
        </is>
      </c>
      <c r="C251" s="19" t="inlineStr">
        <is>
          <t>MBway</t>
        </is>
      </c>
      <c r="D251" s="19" t="inlineStr">
        <is>
          <t>Nantes</t>
        </is>
      </c>
      <c r="E251" s="19" t="inlineStr">
        <is>
          <t>6231</t>
        </is>
      </c>
      <c r="F251" s="18" t="inlineStr">
        <is>
          <t>Publicité &amp; marketing d'acquisition (leads)</t>
        </is>
      </c>
      <c r="G251" s="19" t="inlineStr">
        <is>
          <t>62 — Autres services extérieurs</t>
        </is>
      </c>
      <c r="H251" s="19" t="inlineStr">
        <is>
          <t>Charge</t>
        </is>
      </c>
      <c r="I251" s="19" t="inlineStr">
        <is>
          <t>Coûts directs</t>
        </is>
      </c>
      <c r="J251" s="19" t="inlineStr">
        <is>
          <t>2025ACT_VDEF</t>
        </is>
      </c>
      <c r="K251" s="19" t="inlineStr">
        <is>
          <t>2025 (N-1)</t>
        </is>
      </c>
      <c r="L251" s="13" t="n">
        <v>40398</v>
      </c>
    </row>
    <row r="252">
      <c r="A252" s="19" t="inlineStr">
        <is>
          <t>MBWAY_BORDEAUX</t>
        </is>
      </c>
      <c r="B252" s="18" t="inlineStr">
        <is>
          <t>MBway Bordeaux</t>
        </is>
      </c>
      <c r="C252" s="19" t="inlineStr">
        <is>
          <t>MBway</t>
        </is>
      </c>
      <c r="D252" s="19" t="inlineStr">
        <is>
          <t>Bordeaux</t>
        </is>
      </c>
      <c r="E252" s="19" t="inlineStr">
        <is>
          <t>6231</t>
        </is>
      </c>
      <c r="F252" s="18" t="inlineStr">
        <is>
          <t>Publicité &amp; marketing d'acquisition (leads)</t>
        </is>
      </c>
      <c r="G252" s="19" t="inlineStr">
        <is>
          <t>62 — Autres services extérieurs</t>
        </is>
      </c>
      <c r="H252" s="19" t="inlineStr">
        <is>
          <t>Charge</t>
        </is>
      </c>
      <c r="I252" s="19" t="inlineStr">
        <is>
          <t>Coûts directs</t>
        </is>
      </c>
      <c r="J252" s="19" t="inlineStr">
        <is>
          <t>2025ACT_VDEF</t>
        </is>
      </c>
      <c r="K252" s="19" t="inlineStr">
        <is>
          <t>2025 (N-1)</t>
        </is>
      </c>
      <c r="L252" s="13" t="n">
        <v>33665</v>
      </c>
    </row>
    <row r="253">
      <c r="A253" s="19" t="inlineStr">
        <is>
          <t>ISCOM_PARIS</t>
        </is>
      </c>
      <c r="B253" s="18" t="inlineStr">
        <is>
          <t>ISCOM Paris</t>
        </is>
      </c>
      <c r="C253" s="19" t="inlineStr">
        <is>
          <t>ISCOM</t>
        </is>
      </c>
      <c r="D253" s="19" t="inlineStr">
        <is>
          <t>Paris</t>
        </is>
      </c>
      <c r="E253" s="19" t="inlineStr">
        <is>
          <t>6231</t>
        </is>
      </c>
      <c r="F253" s="18" t="inlineStr">
        <is>
          <t>Publicité &amp; marketing d'acquisition (leads)</t>
        </is>
      </c>
      <c r="G253" s="19" t="inlineStr">
        <is>
          <t>62 — Autres services extérieurs</t>
        </is>
      </c>
      <c r="H253" s="19" t="inlineStr">
        <is>
          <t>Charge</t>
        </is>
      </c>
      <c r="I253" s="19" t="inlineStr">
        <is>
          <t>Coûts directs</t>
        </is>
      </c>
      <c r="J253" s="19" t="inlineStr">
        <is>
          <t>2025ACT_VDEF</t>
        </is>
      </c>
      <c r="K253" s="19" t="inlineStr">
        <is>
          <t>2025 (N-1)</t>
        </is>
      </c>
      <c r="L253" s="13" t="n">
        <v>47131</v>
      </c>
    </row>
    <row r="254">
      <c r="A254" s="19" t="inlineStr">
        <is>
          <t>ISCOM_LILLE</t>
        </is>
      </c>
      <c r="B254" s="18" t="inlineStr">
        <is>
          <t>ISCOM Lille</t>
        </is>
      </c>
      <c r="C254" s="19" t="inlineStr">
        <is>
          <t>ISCOM</t>
        </is>
      </c>
      <c r="D254" s="19" t="inlineStr">
        <is>
          <t>Lille</t>
        </is>
      </c>
      <c r="E254" s="19" t="inlineStr">
        <is>
          <t>6231</t>
        </is>
      </c>
      <c r="F254" s="18" t="inlineStr">
        <is>
          <t>Publicité &amp; marketing d'acquisition (leads)</t>
        </is>
      </c>
      <c r="G254" s="19" t="inlineStr">
        <is>
          <t>62 — Autres services extérieurs</t>
        </is>
      </c>
      <c r="H254" s="19" t="inlineStr">
        <is>
          <t>Charge</t>
        </is>
      </c>
      <c r="I254" s="19" t="inlineStr">
        <is>
          <t>Coûts directs</t>
        </is>
      </c>
      <c r="J254" s="19" t="inlineStr">
        <is>
          <t>2025ACT_VDEF</t>
        </is>
      </c>
      <c r="K254" s="19" t="inlineStr">
        <is>
          <t>2025 (N-1)</t>
        </is>
      </c>
      <c r="L254" s="13" t="n">
        <v>33665</v>
      </c>
    </row>
    <row r="255">
      <c r="A255" s="19" t="inlineStr">
        <is>
          <t>ISCOM_TOULOUSE</t>
        </is>
      </c>
      <c r="B255" s="18" t="inlineStr">
        <is>
          <t>ISCOM Toulouse</t>
        </is>
      </c>
      <c r="C255" s="19" t="inlineStr">
        <is>
          <t>ISCOM</t>
        </is>
      </c>
      <c r="D255" s="19" t="inlineStr">
        <is>
          <t>Toulouse</t>
        </is>
      </c>
      <c r="E255" s="19" t="inlineStr">
        <is>
          <t>6231</t>
        </is>
      </c>
      <c r="F255" s="18" t="inlineStr">
        <is>
          <t>Publicité &amp; marketing d'acquisition (leads)</t>
        </is>
      </c>
      <c r="G255" s="19" t="inlineStr">
        <is>
          <t>62 — Autres services extérieurs</t>
        </is>
      </c>
      <c r="H255" s="19" t="inlineStr">
        <is>
          <t>Charge</t>
        </is>
      </c>
      <c r="I255" s="19" t="inlineStr">
        <is>
          <t>Coûts directs</t>
        </is>
      </c>
      <c r="J255" s="19" t="inlineStr">
        <is>
          <t>2025ACT_VDEF</t>
        </is>
      </c>
      <c r="K255" s="19" t="inlineStr">
        <is>
          <t>2025 (N-1)</t>
        </is>
      </c>
      <c r="L255" s="13" t="n">
        <v>33665</v>
      </c>
    </row>
    <row r="256">
      <c r="A256" s="19" t="inlineStr">
        <is>
          <t>IPAC_BACHELOR_FACTORY_NANTES</t>
        </is>
      </c>
      <c r="B256" s="18" t="inlineStr">
        <is>
          <t>Ipac Bachelor Factory Nantes</t>
        </is>
      </c>
      <c r="C256" s="19" t="inlineStr">
        <is>
          <t>Ipac Bachelor Factory</t>
        </is>
      </c>
      <c r="D256" s="19" t="inlineStr">
        <is>
          <t>Nantes</t>
        </is>
      </c>
      <c r="E256" s="19" t="inlineStr">
        <is>
          <t>6231</t>
        </is>
      </c>
      <c r="F256" s="18" t="inlineStr">
        <is>
          <t>Publicité &amp; marketing d'acquisition (leads)</t>
        </is>
      </c>
      <c r="G256" s="19" t="inlineStr">
        <is>
          <t>62 — Autres services extérieurs</t>
        </is>
      </c>
      <c r="H256" s="19" t="inlineStr">
        <is>
          <t>Charge</t>
        </is>
      </c>
      <c r="I256" s="19" t="inlineStr">
        <is>
          <t>Coûts directs</t>
        </is>
      </c>
      <c r="J256" s="19" t="inlineStr">
        <is>
          <t>2025ACT_VDEF</t>
        </is>
      </c>
      <c r="K256" s="19" t="inlineStr">
        <is>
          <t>2025 (N-1)</t>
        </is>
      </c>
      <c r="L256" s="13" t="n">
        <v>20199</v>
      </c>
    </row>
    <row r="257">
      <c r="A257" s="19" t="inlineStr">
        <is>
          <t>IPAC_BACHELOR_FACTORY_RENNES</t>
        </is>
      </c>
      <c r="B257" s="18" t="inlineStr">
        <is>
          <t>Ipac Bachelor Factory Rennes</t>
        </is>
      </c>
      <c r="C257" s="19" t="inlineStr">
        <is>
          <t>Ipac Bachelor Factory</t>
        </is>
      </c>
      <c r="D257" s="19" t="inlineStr">
        <is>
          <t>Rennes</t>
        </is>
      </c>
      <c r="E257" s="19" t="inlineStr">
        <is>
          <t>6231</t>
        </is>
      </c>
      <c r="F257" s="18" t="inlineStr">
        <is>
          <t>Publicité &amp; marketing d'acquisition (leads)</t>
        </is>
      </c>
      <c r="G257" s="19" t="inlineStr">
        <is>
          <t>62 — Autres services extérieurs</t>
        </is>
      </c>
      <c r="H257" s="19" t="inlineStr">
        <is>
          <t>Charge</t>
        </is>
      </c>
      <c r="I257" s="19" t="inlineStr">
        <is>
          <t>Coûts directs</t>
        </is>
      </c>
      <c r="J257" s="19" t="inlineStr">
        <is>
          <t>2025ACT_VDEF</t>
        </is>
      </c>
      <c r="K257" s="19" t="inlineStr">
        <is>
          <t>2025 (N-1)</t>
        </is>
      </c>
      <c r="L257" s="13" t="n">
        <v>20199</v>
      </c>
    </row>
    <row r="258">
      <c r="A258" s="19" t="inlineStr">
        <is>
          <t>IPAC_BACHELOR_FACTORY_MONTPELLIER</t>
        </is>
      </c>
      <c r="B258" s="18" t="inlineStr">
        <is>
          <t>Ipac Bachelor Factory Montpellier</t>
        </is>
      </c>
      <c r="C258" s="19" t="inlineStr">
        <is>
          <t>Ipac Bachelor Factory</t>
        </is>
      </c>
      <c r="D258" s="19" t="inlineStr">
        <is>
          <t>Montpellier</t>
        </is>
      </c>
      <c r="E258" s="19" t="inlineStr">
        <is>
          <t>6231</t>
        </is>
      </c>
      <c r="F258" s="18" t="inlineStr">
        <is>
          <t>Publicité &amp; marketing d'acquisition (leads)</t>
        </is>
      </c>
      <c r="G258" s="19" t="inlineStr">
        <is>
          <t>62 — Autres services extérieurs</t>
        </is>
      </c>
      <c r="H258" s="19" t="inlineStr">
        <is>
          <t>Charge</t>
        </is>
      </c>
      <c r="I258" s="19" t="inlineStr">
        <is>
          <t>Coûts directs</t>
        </is>
      </c>
      <c r="J258" s="19" t="inlineStr">
        <is>
          <t>2025ACT_VDEF</t>
        </is>
      </c>
      <c r="K258" s="19" t="inlineStr">
        <is>
          <t>2025 (N-1)</t>
        </is>
      </c>
      <c r="L258" s="13" t="n">
        <v>20199</v>
      </c>
    </row>
    <row r="259">
      <c r="A259" s="19" t="inlineStr">
        <is>
          <t>PIGIER_LYON</t>
        </is>
      </c>
      <c r="B259" s="18" t="inlineStr">
        <is>
          <t>Pigier Lyon</t>
        </is>
      </c>
      <c r="C259" s="19" t="inlineStr">
        <is>
          <t>Pigier</t>
        </is>
      </c>
      <c r="D259" s="19" t="inlineStr">
        <is>
          <t>Lyon</t>
        </is>
      </c>
      <c r="E259" s="19" t="inlineStr">
        <is>
          <t>6231</t>
        </is>
      </c>
      <c r="F259" s="18" t="inlineStr">
        <is>
          <t>Publicité &amp; marketing d'acquisition (leads)</t>
        </is>
      </c>
      <c r="G259" s="19" t="inlineStr">
        <is>
          <t>62 — Autres services extérieurs</t>
        </is>
      </c>
      <c r="H259" s="19" t="inlineStr">
        <is>
          <t>Charge</t>
        </is>
      </c>
      <c r="I259" s="19" t="inlineStr">
        <is>
          <t>Coûts directs</t>
        </is>
      </c>
      <c r="J259" s="19" t="inlineStr">
        <is>
          <t>2025ACT_VDEF</t>
        </is>
      </c>
      <c r="K259" s="19" t="inlineStr">
        <is>
          <t>2025 (N-1)</t>
        </is>
      </c>
      <c r="L259" s="13" t="n">
        <v>26932</v>
      </c>
    </row>
    <row r="260">
      <c r="A260" s="19" t="inlineStr">
        <is>
          <t>PIGIER_BORDEAUX</t>
        </is>
      </c>
      <c r="B260" s="18" t="inlineStr">
        <is>
          <t>Pigier Bordeaux</t>
        </is>
      </c>
      <c r="C260" s="19" t="inlineStr">
        <is>
          <t>Pigier</t>
        </is>
      </c>
      <c r="D260" s="19" t="inlineStr">
        <is>
          <t>Bordeaux</t>
        </is>
      </c>
      <c r="E260" s="19" t="inlineStr">
        <is>
          <t>6231</t>
        </is>
      </c>
      <c r="F260" s="18" t="inlineStr">
        <is>
          <t>Publicité &amp; marketing d'acquisition (leads)</t>
        </is>
      </c>
      <c r="G260" s="19" t="inlineStr">
        <is>
          <t>62 — Autres services extérieurs</t>
        </is>
      </c>
      <c r="H260" s="19" t="inlineStr">
        <is>
          <t>Charge</t>
        </is>
      </c>
      <c r="I260" s="19" t="inlineStr">
        <is>
          <t>Coûts directs</t>
        </is>
      </c>
      <c r="J260" s="19" t="inlineStr">
        <is>
          <t>2025ACT_VDEF</t>
        </is>
      </c>
      <c r="K260" s="19" t="inlineStr">
        <is>
          <t>2025 (N-1)</t>
        </is>
      </c>
      <c r="L260" s="13" t="n">
        <v>26932</v>
      </c>
    </row>
    <row r="261">
      <c r="A261" s="19" t="inlineStr">
        <is>
          <t>TUNON_PARIS</t>
        </is>
      </c>
      <c r="B261" s="18" t="inlineStr">
        <is>
          <t>Tunon Paris</t>
        </is>
      </c>
      <c r="C261" s="19" t="inlineStr">
        <is>
          <t>Tunon</t>
        </is>
      </c>
      <c r="D261" s="19" t="inlineStr">
        <is>
          <t>Paris</t>
        </is>
      </c>
      <c r="E261" s="19" t="inlineStr">
        <is>
          <t>6231</t>
        </is>
      </c>
      <c r="F261" s="18" t="inlineStr">
        <is>
          <t>Publicité &amp; marketing d'acquisition (leads)</t>
        </is>
      </c>
      <c r="G261" s="19" t="inlineStr">
        <is>
          <t>62 — Autres services extérieurs</t>
        </is>
      </c>
      <c r="H261" s="19" t="inlineStr">
        <is>
          <t>Charge</t>
        </is>
      </c>
      <c r="I261" s="19" t="inlineStr">
        <is>
          <t>Coûts directs</t>
        </is>
      </c>
      <c r="J261" s="19" t="inlineStr">
        <is>
          <t>2025ACT_VDEF</t>
        </is>
      </c>
      <c r="K261" s="19" t="inlineStr">
        <is>
          <t>2025 (N-1)</t>
        </is>
      </c>
      <c r="L261" s="13" t="n">
        <v>20199</v>
      </c>
    </row>
    <row r="262">
      <c r="A262" s="19" t="inlineStr">
        <is>
          <t>TUNON_LYON</t>
        </is>
      </c>
      <c r="B262" s="18" t="inlineStr">
        <is>
          <t>Tunon Lyon</t>
        </is>
      </c>
      <c r="C262" s="19" t="inlineStr">
        <is>
          <t>Tunon</t>
        </is>
      </c>
      <c r="D262" s="19" t="inlineStr">
        <is>
          <t>Lyon</t>
        </is>
      </c>
      <c r="E262" s="19" t="inlineStr">
        <is>
          <t>6231</t>
        </is>
      </c>
      <c r="F262" s="18" t="inlineStr">
        <is>
          <t>Publicité &amp; marketing d'acquisition (leads)</t>
        </is>
      </c>
      <c r="G262" s="19" t="inlineStr">
        <is>
          <t>62 — Autres services extérieurs</t>
        </is>
      </c>
      <c r="H262" s="19" t="inlineStr">
        <is>
          <t>Charge</t>
        </is>
      </c>
      <c r="I262" s="19" t="inlineStr">
        <is>
          <t>Coûts directs</t>
        </is>
      </c>
      <c r="J262" s="19" t="inlineStr">
        <is>
          <t>2025ACT_VDEF</t>
        </is>
      </c>
      <c r="K262" s="19" t="inlineStr">
        <is>
          <t>2025 (N-1)</t>
        </is>
      </c>
      <c r="L262" s="13" t="n">
        <v>20199</v>
      </c>
    </row>
    <row r="263">
      <c r="A263" s="19" t="inlineStr">
        <is>
          <t>MBWAY_PARIS</t>
        </is>
      </c>
      <c r="B263" s="18" t="inlineStr">
        <is>
          <t>MBway Paris</t>
        </is>
      </c>
      <c r="C263" s="19" t="inlineStr">
        <is>
          <t>MBway</t>
        </is>
      </c>
      <c r="D263" s="19" t="inlineStr">
        <is>
          <t>Paris</t>
        </is>
      </c>
      <c r="E263" s="19" t="inlineStr">
        <is>
          <t>6231</t>
        </is>
      </c>
      <c r="F263" s="18" t="inlineStr">
        <is>
          <t>Publicité &amp; marketing d'acquisition (leads)</t>
        </is>
      </c>
      <c r="G263" s="19" t="inlineStr">
        <is>
          <t>62 — Autres services extérieurs</t>
        </is>
      </c>
      <c r="H263" s="19" t="inlineStr">
        <is>
          <t>Charge</t>
        </is>
      </c>
      <c r="I263" s="19" t="inlineStr">
        <is>
          <t>Coûts directs</t>
        </is>
      </c>
      <c r="J263" s="19" t="inlineStr">
        <is>
          <t>2026ATT_VDEF</t>
        </is>
      </c>
      <c r="K263" s="19" t="inlineStr">
        <is>
          <t>2026 (Atterr.)</t>
        </is>
      </c>
      <c r="L263" s="13" t="n">
        <v>53153</v>
      </c>
    </row>
    <row r="264">
      <c r="A264" s="19" t="inlineStr">
        <is>
          <t>MBWAY_LYON</t>
        </is>
      </c>
      <c r="B264" s="18" t="inlineStr">
        <is>
          <t>MBway Lyon</t>
        </is>
      </c>
      <c r="C264" s="19" t="inlineStr">
        <is>
          <t>MBway</t>
        </is>
      </c>
      <c r="D264" s="19" t="inlineStr">
        <is>
          <t>Lyon</t>
        </is>
      </c>
      <c r="E264" s="19" t="inlineStr">
        <is>
          <t>6231</t>
        </is>
      </c>
      <c r="F264" s="18" t="inlineStr">
        <is>
          <t>Publicité &amp; marketing d'acquisition (leads)</t>
        </is>
      </c>
      <c r="G264" s="19" t="inlineStr">
        <is>
          <t>62 — Autres services extérieurs</t>
        </is>
      </c>
      <c r="H264" s="19" t="inlineStr">
        <is>
          <t>Charge</t>
        </is>
      </c>
      <c r="I264" s="19" t="inlineStr">
        <is>
          <t>Coûts directs</t>
        </is>
      </c>
      <c r="J264" s="19" t="inlineStr">
        <is>
          <t>2026ATT_VDEF</t>
        </is>
      </c>
      <c r="K264" s="19" t="inlineStr">
        <is>
          <t>2026 (Atterr.)</t>
        </is>
      </c>
      <c r="L264" s="13" t="n">
        <v>46066</v>
      </c>
    </row>
    <row r="265">
      <c r="A265" s="19" t="inlineStr">
        <is>
          <t>MBWAY_NANTES</t>
        </is>
      </c>
      <c r="B265" s="18" t="inlineStr">
        <is>
          <t>MBway Nantes</t>
        </is>
      </c>
      <c r="C265" s="19" t="inlineStr">
        <is>
          <t>MBway</t>
        </is>
      </c>
      <c r="D265" s="19" t="inlineStr">
        <is>
          <t>Nantes</t>
        </is>
      </c>
      <c r="E265" s="19" t="inlineStr">
        <is>
          <t>6231</t>
        </is>
      </c>
      <c r="F265" s="18" t="inlineStr">
        <is>
          <t>Publicité &amp; marketing d'acquisition (leads)</t>
        </is>
      </c>
      <c r="G265" s="19" t="inlineStr">
        <is>
          <t>62 — Autres services extérieurs</t>
        </is>
      </c>
      <c r="H265" s="19" t="inlineStr">
        <is>
          <t>Charge</t>
        </is>
      </c>
      <c r="I265" s="19" t="inlineStr">
        <is>
          <t>Coûts directs</t>
        </is>
      </c>
      <c r="J265" s="19" t="inlineStr">
        <is>
          <t>2026ATT_VDEF</t>
        </is>
      </c>
      <c r="K265" s="19" t="inlineStr">
        <is>
          <t>2026 (Atterr.)</t>
        </is>
      </c>
      <c r="L265" s="13" t="n">
        <v>42523</v>
      </c>
    </row>
    <row r="266">
      <c r="A266" s="19" t="inlineStr">
        <is>
          <t>MBWAY_BORDEAUX</t>
        </is>
      </c>
      <c r="B266" s="18" t="inlineStr">
        <is>
          <t>MBway Bordeaux</t>
        </is>
      </c>
      <c r="C266" s="19" t="inlineStr">
        <is>
          <t>MBway</t>
        </is>
      </c>
      <c r="D266" s="19" t="inlineStr">
        <is>
          <t>Bordeaux</t>
        </is>
      </c>
      <c r="E266" s="19" t="inlineStr">
        <is>
          <t>6231</t>
        </is>
      </c>
      <c r="F266" s="18" t="inlineStr">
        <is>
          <t>Publicité &amp; marketing d'acquisition (leads)</t>
        </is>
      </c>
      <c r="G266" s="19" t="inlineStr">
        <is>
          <t>62 — Autres services extérieurs</t>
        </is>
      </c>
      <c r="H266" s="19" t="inlineStr">
        <is>
          <t>Charge</t>
        </is>
      </c>
      <c r="I266" s="19" t="inlineStr">
        <is>
          <t>Coûts directs</t>
        </is>
      </c>
      <c r="J266" s="19" t="inlineStr">
        <is>
          <t>2026ATT_VDEF</t>
        </is>
      </c>
      <c r="K266" s="19" t="inlineStr">
        <is>
          <t>2026 (Atterr.)</t>
        </is>
      </c>
      <c r="L266" s="13" t="n">
        <v>35436</v>
      </c>
    </row>
    <row r="267">
      <c r="A267" s="19" t="inlineStr">
        <is>
          <t>ISCOM_PARIS</t>
        </is>
      </c>
      <c r="B267" s="18" t="inlineStr">
        <is>
          <t>ISCOM Paris</t>
        </is>
      </c>
      <c r="C267" s="19" t="inlineStr">
        <is>
          <t>ISCOM</t>
        </is>
      </c>
      <c r="D267" s="19" t="inlineStr">
        <is>
          <t>Paris</t>
        </is>
      </c>
      <c r="E267" s="19" t="inlineStr">
        <is>
          <t>6231</t>
        </is>
      </c>
      <c r="F267" s="18" t="inlineStr">
        <is>
          <t>Publicité &amp; marketing d'acquisition (leads)</t>
        </is>
      </c>
      <c r="G267" s="19" t="inlineStr">
        <is>
          <t>62 — Autres services extérieurs</t>
        </is>
      </c>
      <c r="H267" s="19" t="inlineStr">
        <is>
          <t>Charge</t>
        </is>
      </c>
      <c r="I267" s="19" t="inlineStr">
        <is>
          <t>Coûts directs</t>
        </is>
      </c>
      <c r="J267" s="19" t="inlineStr">
        <is>
          <t>2026ATT_VDEF</t>
        </is>
      </c>
      <c r="K267" s="19" t="inlineStr">
        <is>
          <t>2026 (Atterr.)</t>
        </is>
      </c>
      <c r="L267" s="13" t="n">
        <v>49610</v>
      </c>
    </row>
    <row r="268">
      <c r="A268" s="19" t="inlineStr">
        <is>
          <t>ISCOM_LILLE</t>
        </is>
      </c>
      <c r="B268" s="18" t="inlineStr">
        <is>
          <t>ISCOM Lille</t>
        </is>
      </c>
      <c r="C268" s="19" t="inlineStr">
        <is>
          <t>ISCOM</t>
        </is>
      </c>
      <c r="D268" s="19" t="inlineStr">
        <is>
          <t>Lille</t>
        </is>
      </c>
      <c r="E268" s="19" t="inlineStr">
        <is>
          <t>6231</t>
        </is>
      </c>
      <c r="F268" s="18" t="inlineStr">
        <is>
          <t>Publicité &amp; marketing d'acquisition (leads)</t>
        </is>
      </c>
      <c r="G268" s="19" t="inlineStr">
        <is>
          <t>62 — Autres services extérieurs</t>
        </is>
      </c>
      <c r="H268" s="19" t="inlineStr">
        <is>
          <t>Charge</t>
        </is>
      </c>
      <c r="I268" s="19" t="inlineStr">
        <is>
          <t>Coûts directs</t>
        </is>
      </c>
      <c r="J268" s="19" t="inlineStr">
        <is>
          <t>2026ATT_VDEF</t>
        </is>
      </c>
      <c r="K268" s="19" t="inlineStr">
        <is>
          <t>2026 (Atterr.)</t>
        </is>
      </c>
      <c r="L268" s="13" t="n">
        <v>35436</v>
      </c>
    </row>
    <row r="269">
      <c r="A269" s="19" t="inlineStr">
        <is>
          <t>ISCOM_TOULOUSE</t>
        </is>
      </c>
      <c r="B269" s="18" t="inlineStr">
        <is>
          <t>ISCOM Toulouse</t>
        </is>
      </c>
      <c r="C269" s="19" t="inlineStr">
        <is>
          <t>ISCOM</t>
        </is>
      </c>
      <c r="D269" s="19" t="inlineStr">
        <is>
          <t>Toulouse</t>
        </is>
      </c>
      <c r="E269" s="19" t="inlineStr">
        <is>
          <t>6231</t>
        </is>
      </c>
      <c r="F269" s="18" t="inlineStr">
        <is>
          <t>Publicité &amp; marketing d'acquisition (leads)</t>
        </is>
      </c>
      <c r="G269" s="19" t="inlineStr">
        <is>
          <t>62 — Autres services extérieurs</t>
        </is>
      </c>
      <c r="H269" s="19" t="inlineStr">
        <is>
          <t>Charge</t>
        </is>
      </c>
      <c r="I269" s="19" t="inlineStr">
        <is>
          <t>Coûts directs</t>
        </is>
      </c>
      <c r="J269" s="19" t="inlineStr">
        <is>
          <t>2026ATT_VDEF</t>
        </is>
      </c>
      <c r="K269" s="19" t="inlineStr">
        <is>
          <t>2026 (Atterr.)</t>
        </is>
      </c>
      <c r="L269" s="13" t="n">
        <v>35436</v>
      </c>
    </row>
    <row r="270">
      <c r="A270" s="19" t="inlineStr">
        <is>
          <t>IPAC_BACHELOR_FACTORY_NANTES</t>
        </is>
      </c>
      <c r="B270" s="18" t="inlineStr">
        <is>
          <t>Ipac Bachelor Factory Nantes</t>
        </is>
      </c>
      <c r="C270" s="19" t="inlineStr">
        <is>
          <t>Ipac Bachelor Factory</t>
        </is>
      </c>
      <c r="D270" s="19" t="inlineStr">
        <is>
          <t>Nantes</t>
        </is>
      </c>
      <c r="E270" s="19" t="inlineStr">
        <is>
          <t>6231</t>
        </is>
      </c>
      <c r="F270" s="18" t="inlineStr">
        <is>
          <t>Publicité &amp; marketing d'acquisition (leads)</t>
        </is>
      </c>
      <c r="G270" s="19" t="inlineStr">
        <is>
          <t>62 — Autres services extérieurs</t>
        </is>
      </c>
      <c r="H270" s="19" t="inlineStr">
        <is>
          <t>Charge</t>
        </is>
      </c>
      <c r="I270" s="19" t="inlineStr">
        <is>
          <t>Coûts directs</t>
        </is>
      </c>
      <c r="J270" s="19" t="inlineStr">
        <is>
          <t>2026ATT_VDEF</t>
        </is>
      </c>
      <c r="K270" s="19" t="inlineStr">
        <is>
          <t>2026 (Atterr.)</t>
        </is>
      </c>
      <c r="L270" s="13" t="n">
        <v>21261</v>
      </c>
    </row>
    <row r="271">
      <c r="A271" s="19" t="inlineStr">
        <is>
          <t>IPAC_BACHELOR_FACTORY_RENNES</t>
        </is>
      </c>
      <c r="B271" s="18" t="inlineStr">
        <is>
          <t>Ipac Bachelor Factory Rennes</t>
        </is>
      </c>
      <c r="C271" s="19" t="inlineStr">
        <is>
          <t>Ipac Bachelor Factory</t>
        </is>
      </c>
      <c r="D271" s="19" t="inlineStr">
        <is>
          <t>Rennes</t>
        </is>
      </c>
      <c r="E271" s="19" t="inlineStr">
        <is>
          <t>6231</t>
        </is>
      </c>
      <c r="F271" s="18" t="inlineStr">
        <is>
          <t>Publicité &amp; marketing d'acquisition (leads)</t>
        </is>
      </c>
      <c r="G271" s="19" t="inlineStr">
        <is>
          <t>62 — Autres services extérieurs</t>
        </is>
      </c>
      <c r="H271" s="19" t="inlineStr">
        <is>
          <t>Charge</t>
        </is>
      </c>
      <c r="I271" s="19" t="inlineStr">
        <is>
          <t>Coûts directs</t>
        </is>
      </c>
      <c r="J271" s="19" t="inlineStr">
        <is>
          <t>2026ATT_VDEF</t>
        </is>
      </c>
      <c r="K271" s="19" t="inlineStr">
        <is>
          <t>2026 (Atterr.)</t>
        </is>
      </c>
      <c r="L271" s="13" t="n">
        <v>21261</v>
      </c>
    </row>
    <row r="272">
      <c r="A272" s="19" t="inlineStr">
        <is>
          <t>IPAC_BACHELOR_FACTORY_MONTPELLIER</t>
        </is>
      </c>
      <c r="B272" s="18" t="inlineStr">
        <is>
          <t>Ipac Bachelor Factory Montpellier</t>
        </is>
      </c>
      <c r="C272" s="19" t="inlineStr">
        <is>
          <t>Ipac Bachelor Factory</t>
        </is>
      </c>
      <c r="D272" s="19" t="inlineStr">
        <is>
          <t>Montpellier</t>
        </is>
      </c>
      <c r="E272" s="19" t="inlineStr">
        <is>
          <t>6231</t>
        </is>
      </c>
      <c r="F272" s="18" t="inlineStr">
        <is>
          <t>Publicité &amp; marketing d'acquisition (leads)</t>
        </is>
      </c>
      <c r="G272" s="19" t="inlineStr">
        <is>
          <t>62 — Autres services extérieurs</t>
        </is>
      </c>
      <c r="H272" s="19" t="inlineStr">
        <is>
          <t>Charge</t>
        </is>
      </c>
      <c r="I272" s="19" t="inlineStr">
        <is>
          <t>Coûts directs</t>
        </is>
      </c>
      <c r="J272" s="19" t="inlineStr">
        <is>
          <t>2026ATT_VDEF</t>
        </is>
      </c>
      <c r="K272" s="19" t="inlineStr">
        <is>
          <t>2026 (Atterr.)</t>
        </is>
      </c>
      <c r="L272" s="13" t="n">
        <v>21261</v>
      </c>
    </row>
    <row r="273">
      <c r="A273" s="19" t="inlineStr">
        <is>
          <t>PIGIER_LYON</t>
        </is>
      </c>
      <c r="B273" s="18" t="inlineStr">
        <is>
          <t>Pigier Lyon</t>
        </is>
      </c>
      <c r="C273" s="19" t="inlineStr">
        <is>
          <t>Pigier</t>
        </is>
      </c>
      <c r="D273" s="19" t="inlineStr">
        <is>
          <t>Lyon</t>
        </is>
      </c>
      <c r="E273" s="19" t="inlineStr">
        <is>
          <t>6231</t>
        </is>
      </c>
      <c r="F273" s="18" t="inlineStr">
        <is>
          <t>Publicité &amp; marketing d'acquisition (leads)</t>
        </is>
      </c>
      <c r="G273" s="19" t="inlineStr">
        <is>
          <t>62 — Autres services extérieurs</t>
        </is>
      </c>
      <c r="H273" s="19" t="inlineStr">
        <is>
          <t>Charge</t>
        </is>
      </c>
      <c r="I273" s="19" t="inlineStr">
        <is>
          <t>Coûts directs</t>
        </is>
      </c>
      <c r="J273" s="19" t="inlineStr">
        <is>
          <t>2026ATT_VDEF</t>
        </is>
      </c>
      <c r="K273" s="19" t="inlineStr">
        <is>
          <t>2026 (Atterr.)</t>
        </is>
      </c>
      <c r="L273" s="13" t="n">
        <v>28349</v>
      </c>
    </row>
    <row r="274">
      <c r="A274" s="19" t="inlineStr">
        <is>
          <t>PIGIER_BORDEAUX</t>
        </is>
      </c>
      <c r="B274" s="18" t="inlineStr">
        <is>
          <t>Pigier Bordeaux</t>
        </is>
      </c>
      <c r="C274" s="19" t="inlineStr">
        <is>
          <t>Pigier</t>
        </is>
      </c>
      <c r="D274" s="19" t="inlineStr">
        <is>
          <t>Bordeaux</t>
        </is>
      </c>
      <c r="E274" s="19" t="inlineStr">
        <is>
          <t>6231</t>
        </is>
      </c>
      <c r="F274" s="18" t="inlineStr">
        <is>
          <t>Publicité &amp; marketing d'acquisition (leads)</t>
        </is>
      </c>
      <c r="G274" s="19" t="inlineStr">
        <is>
          <t>62 — Autres services extérieurs</t>
        </is>
      </c>
      <c r="H274" s="19" t="inlineStr">
        <is>
          <t>Charge</t>
        </is>
      </c>
      <c r="I274" s="19" t="inlineStr">
        <is>
          <t>Coûts directs</t>
        </is>
      </c>
      <c r="J274" s="19" t="inlineStr">
        <is>
          <t>2026ATT_VDEF</t>
        </is>
      </c>
      <c r="K274" s="19" t="inlineStr">
        <is>
          <t>2026 (Atterr.)</t>
        </is>
      </c>
      <c r="L274" s="13" t="n">
        <v>28349</v>
      </c>
    </row>
    <row r="275">
      <c r="A275" s="19" t="inlineStr">
        <is>
          <t>TUNON_PARIS</t>
        </is>
      </c>
      <c r="B275" s="18" t="inlineStr">
        <is>
          <t>Tunon Paris</t>
        </is>
      </c>
      <c r="C275" s="19" t="inlineStr">
        <is>
          <t>Tunon</t>
        </is>
      </c>
      <c r="D275" s="19" t="inlineStr">
        <is>
          <t>Paris</t>
        </is>
      </c>
      <c r="E275" s="19" t="inlineStr">
        <is>
          <t>6231</t>
        </is>
      </c>
      <c r="F275" s="18" t="inlineStr">
        <is>
          <t>Publicité &amp; marketing d'acquisition (leads)</t>
        </is>
      </c>
      <c r="G275" s="19" t="inlineStr">
        <is>
          <t>62 — Autres services extérieurs</t>
        </is>
      </c>
      <c r="H275" s="19" t="inlineStr">
        <is>
          <t>Charge</t>
        </is>
      </c>
      <c r="I275" s="19" t="inlineStr">
        <is>
          <t>Coûts directs</t>
        </is>
      </c>
      <c r="J275" s="19" t="inlineStr">
        <is>
          <t>2026ATT_VDEF</t>
        </is>
      </c>
      <c r="K275" s="19" t="inlineStr">
        <is>
          <t>2026 (Atterr.)</t>
        </is>
      </c>
      <c r="L275" s="13" t="n">
        <v>21261</v>
      </c>
    </row>
    <row r="276">
      <c r="A276" s="19" t="inlineStr">
        <is>
          <t>TUNON_LYON</t>
        </is>
      </c>
      <c r="B276" s="18" t="inlineStr">
        <is>
          <t>Tunon Lyon</t>
        </is>
      </c>
      <c r="C276" s="19" t="inlineStr">
        <is>
          <t>Tunon</t>
        </is>
      </c>
      <c r="D276" s="19" t="inlineStr">
        <is>
          <t>Lyon</t>
        </is>
      </c>
      <c r="E276" s="19" t="inlineStr">
        <is>
          <t>6231</t>
        </is>
      </c>
      <c r="F276" s="18" t="inlineStr">
        <is>
          <t>Publicité &amp; marketing d'acquisition (leads)</t>
        </is>
      </c>
      <c r="G276" s="19" t="inlineStr">
        <is>
          <t>62 — Autres services extérieurs</t>
        </is>
      </c>
      <c r="H276" s="19" t="inlineStr">
        <is>
          <t>Charge</t>
        </is>
      </c>
      <c r="I276" s="19" t="inlineStr">
        <is>
          <t>Coûts directs</t>
        </is>
      </c>
      <c r="J276" s="19" t="inlineStr">
        <is>
          <t>2026ATT_VDEF</t>
        </is>
      </c>
      <c r="K276" s="19" t="inlineStr">
        <is>
          <t>2026 (Atterr.)</t>
        </is>
      </c>
      <c r="L276" s="13" t="n">
        <v>21261</v>
      </c>
    </row>
    <row r="277">
      <c r="A277" s="19" t="inlineStr">
        <is>
          <t>MBWAY_PARIS</t>
        </is>
      </c>
      <c r="B277" s="18" t="inlineStr">
        <is>
          <t>MBway Paris</t>
        </is>
      </c>
      <c r="C277" s="19" t="inlineStr">
        <is>
          <t>MBway</t>
        </is>
      </c>
      <c r="D277" s="19" t="inlineStr">
        <is>
          <t>Paris</t>
        </is>
      </c>
      <c r="E277" s="19" t="inlineStr">
        <is>
          <t>6411</t>
        </is>
      </c>
      <c r="F277" s="18" t="inlineStr">
        <is>
          <t>Rémunération enseignants permanents</t>
        </is>
      </c>
      <c r="G277" s="19" t="inlineStr">
        <is>
          <t>64 — Charges de personnel</t>
        </is>
      </c>
      <c r="H277" s="19" t="inlineStr">
        <is>
          <t>Charge</t>
        </is>
      </c>
      <c r="I277" s="19" t="inlineStr">
        <is>
          <t>Personnel</t>
        </is>
      </c>
      <c r="J277" s="19" t="inlineStr">
        <is>
          <t>2024ACT_VDEF</t>
        </is>
      </c>
      <c r="K277" s="19" t="inlineStr">
        <is>
          <t>2024 (N-2)</t>
        </is>
      </c>
      <c r="L277" s="13" t="n">
        <v>389234</v>
      </c>
    </row>
    <row r="278">
      <c r="A278" s="19" t="inlineStr">
        <is>
          <t>MBWAY_LYON</t>
        </is>
      </c>
      <c r="B278" s="18" t="inlineStr">
        <is>
          <t>MBway Lyon</t>
        </is>
      </c>
      <c r="C278" s="19" t="inlineStr">
        <is>
          <t>MBway</t>
        </is>
      </c>
      <c r="D278" s="19" t="inlineStr">
        <is>
          <t>Lyon</t>
        </is>
      </c>
      <c r="E278" s="19" t="inlineStr">
        <is>
          <t>6411</t>
        </is>
      </c>
      <c r="F278" s="18" t="inlineStr">
        <is>
          <t>Rémunération enseignants permanents</t>
        </is>
      </c>
      <c r="G278" s="19" t="inlineStr">
        <is>
          <t>64 — Charges de personnel</t>
        </is>
      </c>
      <c r="H278" s="19" t="inlineStr">
        <is>
          <t>Charge</t>
        </is>
      </c>
      <c r="I278" s="19" t="inlineStr">
        <is>
          <t>Personnel</t>
        </is>
      </c>
      <c r="J278" s="19" t="inlineStr">
        <is>
          <t>2024ACT_VDEF</t>
        </is>
      </c>
      <c r="K278" s="19" t="inlineStr">
        <is>
          <t>2024 (N-2)</t>
        </is>
      </c>
      <c r="L278" s="13" t="n">
        <v>337337</v>
      </c>
    </row>
    <row r="279">
      <c r="A279" s="19" t="inlineStr">
        <is>
          <t>MBWAY_NANTES</t>
        </is>
      </c>
      <c r="B279" s="18" t="inlineStr">
        <is>
          <t>MBway Nantes</t>
        </is>
      </c>
      <c r="C279" s="19" t="inlineStr">
        <is>
          <t>MBway</t>
        </is>
      </c>
      <c r="D279" s="19" t="inlineStr">
        <is>
          <t>Nantes</t>
        </is>
      </c>
      <c r="E279" s="19" t="inlineStr">
        <is>
          <t>6411</t>
        </is>
      </c>
      <c r="F279" s="18" t="inlineStr">
        <is>
          <t>Rémunération enseignants permanents</t>
        </is>
      </c>
      <c r="G279" s="19" t="inlineStr">
        <is>
          <t>64 — Charges de personnel</t>
        </is>
      </c>
      <c r="H279" s="19" t="inlineStr">
        <is>
          <t>Charge</t>
        </is>
      </c>
      <c r="I279" s="19" t="inlineStr">
        <is>
          <t>Personnel</t>
        </is>
      </c>
      <c r="J279" s="19" t="inlineStr">
        <is>
          <t>2024ACT_VDEF</t>
        </is>
      </c>
      <c r="K279" s="19" t="inlineStr">
        <is>
          <t>2024 (N-2)</t>
        </is>
      </c>
      <c r="L279" s="13" t="n">
        <v>311388</v>
      </c>
    </row>
    <row r="280">
      <c r="A280" s="19" t="inlineStr">
        <is>
          <t>MBWAY_BORDEAUX</t>
        </is>
      </c>
      <c r="B280" s="18" t="inlineStr">
        <is>
          <t>MBway Bordeaux</t>
        </is>
      </c>
      <c r="C280" s="19" t="inlineStr">
        <is>
          <t>MBway</t>
        </is>
      </c>
      <c r="D280" s="19" t="inlineStr">
        <is>
          <t>Bordeaux</t>
        </is>
      </c>
      <c r="E280" s="19" t="inlineStr">
        <is>
          <t>6411</t>
        </is>
      </c>
      <c r="F280" s="18" t="inlineStr">
        <is>
          <t>Rémunération enseignants permanents</t>
        </is>
      </c>
      <c r="G280" s="19" t="inlineStr">
        <is>
          <t>64 — Charges de personnel</t>
        </is>
      </c>
      <c r="H280" s="19" t="inlineStr">
        <is>
          <t>Charge</t>
        </is>
      </c>
      <c r="I280" s="19" t="inlineStr">
        <is>
          <t>Personnel</t>
        </is>
      </c>
      <c r="J280" s="19" t="inlineStr">
        <is>
          <t>2024ACT_VDEF</t>
        </is>
      </c>
      <c r="K280" s="19" t="inlineStr">
        <is>
          <t>2024 (N-2)</t>
        </is>
      </c>
      <c r="L280" s="13" t="n">
        <v>259490</v>
      </c>
    </row>
    <row r="281">
      <c r="A281" s="19" t="inlineStr">
        <is>
          <t>ISCOM_PARIS</t>
        </is>
      </c>
      <c r="B281" s="18" t="inlineStr">
        <is>
          <t>ISCOM Paris</t>
        </is>
      </c>
      <c r="C281" s="19" t="inlineStr">
        <is>
          <t>ISCOM</t>
        </is>
      </c>
      <c r="D281" s="19" t="inlineStr">
        <is>
          <t>Paris</t>
        </is>
      </c>
      <c r="E281" s="19" t="inlineStr">
        <is>
          <t>6411</t>
        </is>
      </c>
      <c r="F281" s="18" t="inlineStr">
        <is>
          <t>Rémunération enseignants permanents</t>
        </is>
      </c>
      <c r="G281" s="19" t="inlineStr">
        <is>
          <t>64 — Charges de personnel</t>
        </is>
      </c>
      <c r="H281" s="19" t="inlineStr">
        <is>
          <t>Charge</t>
        </is>
      </c>
      <c r="I281" s="19" t="inlineStr">
        <is>
          <t>Personnel</t>
        </is>
      </c>
      <c r="J281" s="19" t="inlineStr">
        <is>
          <t>2024ACT_VDEF</t>
        </is>
      </c>
      <c r="K281" s="19" t="inlineStr">
        <is>
          <t>2024 (N-2)</t>
        </is>
      </c>
      <c r="L281" s="13" t="n">
        <v>363286</v>
      </c>
    </row>
    <row r="282">
      <c r="A282" s="19" t="inlineStr">
        <is>
          <t>ISCOM_LILLE</t>
        </is>
      </c>
      <c r="B282" s="18" t="inlineStr">
        <is>
          <t>ISCOM Lille</t>
        </is>
      </c>
      <c r="C282" s="19" t="inlineStr">
        <is>
          <t>ISCOM</t>
        </is>
      </c>
      <c r="D282" s="19" t="inlineStr">
        <is>
          <t>Lille</t>
        </is>
      </c>
      <c r="E282" s="19" t="inlineStr">
        <is>
          <t>6411</t>
        </is>
      </c>
      <c r="F282" s="18" t="inlineStr">
        <is>
          <t>Rémunération enseignants permanents</t>
        </is>
      </c>
      <c r="G282" s="19" t="inlineStr">
        <is>
          <t>64 — Charges de personnel</t>
        </is>
      </c>
      <c r="H282" s="19" t="inlineStr">
        <is>
          <t>Charge</t>
        </is>
      </c>
      <c r="I282" s="19" t="inlineStr">
        <is>
          <t>Personnel</t>
        </is>
      </c>
      <c r="J282" s="19" t="inlineStr">
        <is>
          <t>2024ACT_VDEF</t>
        </is>
      </c>
      <c r="K282" s="19" t="inlineStr">
        <is>
          <t>2024 (N-2)</t>
        </is>
      </c>
      <c r="L282" s="13" t="n">
        <v>259490</v>
      </c>
    </row>
    <row r="283">
      <c r="A283" s="19" t="inlineStr">
        <is>
          <t>ISCOM_TOULOUSE</t>
        </is>
      </c>
      <c r="B283" s="18" t="inlineStr">
        <is>
          <t>ISCOM Toulouse</t>
        </is>
      </c>
      <c r="C283" s="19" t="inlineStr">
        <is>
          <t>ISCOM</t>
        </is>
      </c>
      <c r="D283" s="19" t="inlineStr">
        <is>
          <t>Toulouse</t>
        </is>
      </c>
      <c r="E283" s="19" t="inlineStr">
        <is>
          <t>6411</t>
        </is>
      </c>
      <c r="F283" s="18" t="inlineStr">
        <is>
          <t>Rémunération enseignants permanents</t>
        </is>
      </c>
      <c r="G283" s="19" t="inlineStr">
        <is>
          <t>64 — Charges de personnel</t>
        </is>
      </c>
      <c r="H283" s="19" t="inlineStr">
        <is>
          <t>Charge</t>
        </is>
      </c>
      <c r="I283" s="19" t="inlineStr">
        <is>
          <t>Personnel</t>
        </is>
      </c>
      <c r="J283" s="19" t="inlineStr">
        <is>
          <t>2024ACT_VDEF</t>
        </is>
      </c>
      <c r="K283" s="19" t="inlineStr">
        <is>
          <t>2024 (N-2)</t>
        </is>
      </c>
      <c r="L283" s="13" t="n">
        <v>259490</v>
      </c>
    </row>
    <row r="284">
      <c r="A284" s="19" t="inlineStr">
        <is>
          <t>IPAC_BACHELOR_FACTORY_NANTES</t>
        </is>
      </c>
      <c r="B284" s="18" t="inlineStr">
        <is>
          <t>Ipac Bachelor Factory Nantes</t>
        </is>
      </c>
      <c r="C284" s="19" t="inlineStr">
        <is>
          <t>Ipac Bachelor Factory</t>
        </is>
      </c>
      <c r="D284" s="19" t="inlineStr">
        <is>
          <t>Nantes</t>
        </is>
      </c>
      <c r="E284" s="19" t="inlineStr">
        <is>
          <t>6411</t>
        </is>
      </c>
      <c r="F284" s="18" t="inlineStr">
        <is>
          <t>Rémunération enseignants permanents</t>
        </is>
      </c>
      <c r="G284" s="19" t="inlineStr">
        <is>
          <t>64 — Charges de personnel</t>
        </is>
      </c>
      <c r="H284" s="19" t="inlineStr">
        <is>
          <t>Charge</t>
        </is>
      </c>
      <c r="I284" s="19" t="inlineStr">
        <is>
          <t>Personnel</t>
        </is>
      </c>
      <c r="J284" s="19" t="inlineStr">
        <is>
          <t>2024ACT_VDEF</t>
        </is>
      </c>
      <c r="K284" s="19" t="inlineStr">
        <is>
          <t>2024 (N-2)</t>
        </is>
      </c>
      <c r="L284" s="13" t="n">
        <v>155694</v>
      </c>
    </row>
    <row r="285">
      <c r="A285" s="19" t="inlineStr">
        <is>
          <t>IPAC_BACHELOR_FACTORY_RENNES</t>
        </is>
      </c>
      <c r="B285" s="18" t="inlineStr">
        <is>
          <t>Ipac Bachelor Factory Rennes</t>
        </is>
      </c>
      <c r="C285" s="19" t="inlineStr">
        <is>
          <t>Ipac Bachelor Factory</t>
        </is>
      </c>
      <c r="D285" s="19" t="inlineStr">
        <is>
          <t>Rennes</t>
        </is>
      </c>
      <c r="E285" s="19" t="inlineStr">
        <is>
          <t>6411</t>
        </is>
      </c>
      <c r="F285" s="18" t="inlineStr">
        <is>
          <t>Rémunération enseignants permanents</t>
        </is>
      </c>
      <c r="G285" s="19" t="inlineStr">
        <is>
          <t>64 — Charges de personnel</t>
        </is>
      </c>
      <c r="H285" s="19" t="inlineStr">
        <is>
          <t>Charge</t>
        </is>
      </c>
      <c r="I285" s="19" t="inlineStr">
        <is>
          <t>Personnel</t>
        </is>
      </c>
      <c r="J285" s="19" t="inlineStr">
        <is>
          <t>2024ACT_VDEF</t>
        </is>
      </c>
      <c r="K285" s="19" t="inlineStr">
        <is>
          <t>2024 (N-2)</t>
        </is>
      </c>
      <c r="L285" s="13" t="n">
        <v>155694</v>
      </c>
    </row>
    <row r="286">
      <c r="A286" s="19" t="inlineStr">
        <is>
          <t>IPAC_BACHELOR_FACTORY_MONTPELLIER</t>
        </is>
      </c>
      <c r="B286" s="18" t="inlineStr">
        <is>
          <t>Ipac Bachelor Factory Montpellier</t>
        </is>
      </c>
      <c r="C286" s="19" t="inlineStr">
        <is>
          <t>Ipac Bachelor Factory</t>
        </is>
      </c>
      <c r="D286" s="19" t="inlineStr">
        <is>
          <t>Montpellier</t>
        </is>
      </c>
      <c r="E286" s="19" t="inlineStr">
        <is>
          <t>6411</t>
        </is>
      </c>
      <c r="F286" s="18" t="inlineStr">
        <is>
          <t>Rémunération enseignants permanents</t>
        </is>
      </c>
      <c r="G286" s="19" t="inlineStr">
        <is>
          <t>64 — Charges de personnel</t>
        </is>
      </c>
      <c r="H286" s="19" t="inlineStr">
        <is>
          <t>Charge</t>
        </is>
      </c>
      <c r="I286" s="19" t="inlineStr">
        <is>
          <t>Personnel</t>
        </is>
      </c>
      <c r="J286" s="19" t="inlineStr">
        <is>
          <t>2024ACT_VDEF</t>
        </is>
      </c>
      <c r="K286" s="19" t="inlineStr">
        <is>
          <t>2024 (N-2)</t>
        </is>
      </c>
      <c r="L286" s="13" t="n">
        <v>155694</v>
      </c>
    </row>
    <row r="287">
      <c r="A287" s="19" t="inlineStr">
        <is>
          <t>PIGIER_LYON</t>
        </is>
      </c>
      <c r="B287" s="18" t="inlineStr">
        <is>
          <t>Pigier Lyon</t>
        </is>
      </c>
      <c r="C287" s="19" t="inlineStr">
        <is>
          <t>Pigier</t>
        </is>
      </c>
      <c r="D287" s="19" t="inlineStr">
        <is>
          <t>Lyon</t>
        </is>
      </c>
      <c r="E287" s="19" t="inlineStr">
        <is>
          <t>6411</t>
        </is>
      </c>
      <c r="F287" s="18" t="inlineStr">
        <is>
          <t>Rémunération enseignants permanents</t>
        </is>
      </c>
      <c r="G287" s="19" t="inlineStr">
        <is>
          <t>64 — Charges de personnel</t>
        </is>
      </c>
      <c r="H287" s="19" t="inlineStr">
        <is>
          <t>Charge</t>
        </is>
      </c>
      <c r="I287" s="19" t="inlineStr">
        <is>
          <t>Personnel</t>
        </is>
      </c>
      <c r="J287" s="19" t="inlineStr">
        <is>
          <t>2024ACT_VDEF</t>
        </is>
      </c>
      <c r="K287" s="19" t="inlineStr">
        <is>
          <t>2024 (N-2)</t>
        </is>
      </c>
      <c r="L287" s="13" t="n">
        <v>207592</v>
      </c>
    </row>
    <row r="288">
      <c r="A288" s="19" t="inlineStr">
        <is>
          <t>PIGIER_BORDEAUX</t>
        </is>
      </c>
      <c r="B288" s="18" t="inlineStr">
        <is>
          <t>Pigier Bordeaux</t>
        </is>
      </c>
      <c r="C288" s="19" t="inlineStr">
        <is>
          <t>Pigier</t>
        </is>
      </c>
      <c r="D288" s="19" t="inlineStr">
        <is>
          <t>Bordeaux</t>
        </is>
      </c>
      <c r="E288" s="19" t="inlineStr">
        <is>
          <t>6411</t>
        </is>
      </c>
      <c r="F288" s="18" t="inlineStr">
        <is>
          <t>Rémunération enseignants permanents</t>
        </is>
      </c>
      <c r="G288" s="19" t="inlineStr">
        <is>
          <t>64 — Charges de personnel</t>
        </is>
      </c>
      <c r="H288" s="19" t="inlineStr">
        <is>
          <t>Charge</t>
        </is>
      </c>
      <c r="I288" s="19" t="inlineStr">
        <is>
          <t>Personnel</t>
        </is>
      </c>
      <c r="J288" s="19" t="inlineStr">
        <is>
          <t>2024ACT_VDEF</t>
        </is>
      </c>
      <c r="K288" s="19" t="inlineStr">
        <is>
          <t>2024 (N-2)</t>
        </is>
      </c>
      <c r="L288" s="13" t="n">
        <v>207592</v>
      </c>
    </row>
    <row r="289">
      <c r="A289" s="19" t="inlineStr">
        <is>
          <t>TUNON_PARIS</t>
        </is>
      </c>
      <c r="B289" s="18" t="inlineStr">
        <is>
          <t>Tunon Paris</t>
        </is>
      </c>
      <c r="C289" s="19" t="inlineStr">
        <is>
          <t>Tunon</t>
        </is>
      </c>
      <c r="D289" s="19" t="inlineStr">
        <is>
          <t>Paris</t>
        </is>
      </c>
      <c r="E289" s="19" t="inlineStr">
        <is>
          <t>6411</t>
        </is>
      </c>
      <c r="F289" s="18" t="inlineStr">
        <is>
          <t>Rémunération enseignants permanents</t>
        </is>
      </c>
      <c r="G289" s="19" t="inlineStr">
        <is>
          <t>64 — Charges de personnel</t>
        </is>
      </c>
      <c r="H289" s="19" t="inlineStr">
        <is>
          <t>Charge</t>
        </is>
      </c>
      <c r="I289" s="19" t="inlineStr">
        <is>
          <t>Personnel</t>
        </is>
      </c>
      <c r="J289" s="19" t="inlineStr">
        <is>
          <t>2024ACT_VDEF</t>
        </is>
      </c>
      <c r="K289" s="19" t="inlineStr">
        <is>
          <t>2024 (N-2)</t>
        </is>
      </c>
      <c r="L289" s="13" t="n">
        <v>155694</v>
      </c>
    </row>
    <row r="290">
      <c r="A290" s="19" t="inlineStr">
        <is>
          <t>TUNON_LYON</t>
        </is>
      </c>
      <c r="B290" s="18" t="inlineStr">
        <is>
          <t>Tunon Lyon</t>
        </is>
      </c>
      <c r="C290" s="19" t="inlineStr">
        <is>
          <t>Tunon</t>
        </is>
      </c>
      <c r="D290" s="19" t="inlineStr">
        <is>
          <t>Lyon</t>
        </is>
      </c>
      <c r="E290" s="19" t="inlineStr">
        <is>
          <t>6411</t>
        </is>
      </c>
      <c r="F290" s="18" t="inlineStr">
        <is>
          <t>Rémunération enseignants permanents</t>
        </is>
      </c>
      <c r="G290" s="19" t="inlineStr">
        <is>
          <t>64 — Charges de personnel</t>
        </is>
      </c>
      <c r="H290" s="19" t="inlineStr">
        <is>
          <t>Charge</t>
        </is>
      </c>
      <c r="I290" s="19" t="inlineStr">
        <is>
          <t>Personnel</t>
        </is>
      </c>
      <c r="J290" s="19" t="inlineStr">
        <is>
          <t>2024ACT_VDEF</t>
        </is>
      </c>
      <c r="K290" s="19" t="inlineStr">
        <is>
          <t>2024 (N-2)</t>
        </is>
      </c>
      <c r="L290" s="13" t="n">
        <v>155694</v>
      </c>
    </row>
    <row r="291">
      <c r="A291" s="19" t="inlineStr">
        <is>
          <t>MBWAY_PARIS</t>
        </is>
      </c>
      <c r="B291" s="18" t="inlineStr">
        <is>
          <t>MBway Paris</t>
        </is>
      </c>
      <c r="C291" s="19" t="inlineStr">
        <is>
          <t>MBway</t>
        </is>
      </c>
      <c r="D291" s="19" t="inlineStr">
        <is>
          <t>Paris</t>
        </is>
      </c>
      <c r="E291" s="19" t="inlineStr">
        <is>
          <t>6411</t>
        </is>
      </c>
      <c r="F291" s="18" t="inlineStr">
        <is>
          <t>Rémunération enseignants permanents</t>
        </is>
      </c>
      <c r="G291" s="19" t="inlineStr">
        <is>
          <t>64 — Charges de personnel</t>
        </is>
      </c>
      <c r="H291" s="19" t="inlineStr">
        <is>
          <t>Charge</t>
        </is>
      </c>
      <c r="I291" s="19" t="inlineStr">
        <is>
          <t>Personnel</t>
        </is>
      </c>
      <c r="J291" s="19" t="inlineStr">
        <is>
          <t>2025ACT_VDEF</t>
        </is>
      </c>
      <c r="K291" s="19" t="inlineStr">
        <is>
          <t>2025 (N-1)</t>
        </is>
      </c>
      <c r="L291" s="13" t="n">
        <v>408786</v>
      </c>
    </row>
    <row r="292">
      <c r="A292" s="19" t="inlineStr">
        <is>
          <t>MBWAY_LYON</t>
        </is>
      </c>
      <c r="B292" s="18" t="inlineStr">
        <is>
          <t>MBway Lyon</t>
        </is>
      </c>
      <c r="C292" s="19" t="inlineStr">
        <is>
          <t>MBway</t>
        </is>
      </c>
      <c r="D292" s="19" t="inlineStr">
        <is>
          <t>Lyon</t>
        </is>
      </c>
      <c r="E292" s="19" t="inlineStr">
        <is>
          <t>6411</t>
        </is>
      </c>
      <c r="F292" s="18" t="inlineStr">
        <is>
          <t>Rémunération enseignants permanents</t>
        </is>
      </c>
      <c r="G292" s="19" t="inlineStr">
        <is>
          <t>64 — Charges de personnel</t>
        </is>
      </c>
      <c r="H292" s="19" t="inlineStr">
        <is>
          <t>Charge</t>
        </is>
      </c>
      <c r="I292" s="19" t="inlineStr">
        <is>
          <t>Personnel</t>
        </is>
      </c>
      <c r="J292" s="19" t="inlineStr">
        <is>
          <t>2025ACT_VDEF</t>
        </is>
      </c>
      <c r="K292" s="19" t="inlineStr">
        <is>
          <t>2025 (N-1)</t>
        </is>
      </c>
      <c r="L292" s="13" t="n">
        <v>354281</v>
      </c>
    </row>
    <row r="293">
      <c r="A293" s="19" t="inlineStr">
        <is>
          <t>MBWAY_NANTES</t>
        </is>
      </c>
      <c r="B293" s="18" t="inlineStr">
        <is>
          <t>MBway Nantes</t>
        </is>
      </c>
      <c r="C293" s="19" t="inlineStr">
        <is>
          <t>MBway</t>
        </is>
      </c>
      <c r="D293" s="19" t="inlineStr">
        <is>
          <t>Nantes</t>
        </is>
      </c>
      <c r="E293" s="19" t="inlineStr">
        <is>
          <t>6411</t>
        </is>
      </c>
      <c r="F293" s="18" t="inlineStr">
        <is>
          <t>Rémunération enseignants permanents</t>
        </is>
      </c>
      <c r="G293" s="19" t="inlineStr">
        <is>
          <t>64 — Charges de personnel</t>
        </is>
      </c>
      <c r="H293" s="19" t="inlineStr">
        <is>
          <t>Charge</t>
        </is>
      </c>
      <c r="I293" s="19" t="inlineStr">
        <is>
          <t>Personnel</t>
        </is>
      </c>
      <c r="J293" s="19" t="inlineStr">
        <is>
          <t>2025ACT_VDEF</t>
        </is>
      </c>
      <c r="K293" s="19" t="inlineStr">
        <is>
          <t>2025 (N-1)</t>
        </is>
      </c>
      <c r="L293" s="13" t="n">
        <v>327029</v>
      </c>
    </row>
    <row r="294">
      <c r="A294" s="19" t="inlineStr">
        <is>
          <t>MBWAY_BORDEAUX</t>
        </is>
      </c>
      <c r="B294" s="18" t="inlineStr">
        <is>
          <t>MBway Bordeaux</t>
        </is>
      </c>
      <c r="C294" s="19" t="inlineStr">
        <is>
          <t>MBway</t>
        </is>
      </c>
      <c r="D294" s="19" t="inlineStr">
        <is>
          <t>Bordeaux</t>
        </is>
      </c>
      <c r="E294" s="19" t="inlineStr">
        <is>
          <t>6411</t>
        </is>
      </c>
      <c r="F294" s="18" t="inlineStr">
        <is>
          <t>Rémunération enseignants permanents</t>
        </is>
      </c>
      <c r="G294" s="19" t="inlineStr">
        <is>
          <t>64 — Charges de personnel</t>
        </is>
      </c>
      <c r="H294" s="19" t="inlineStr">
        <is>
          <t>Charge</t>
        </is>
      </c>
      <c r="I294" s="19" t="inlineStr">
        <is>
          <t>Personnel</t>
        </is>
      </c>
      <c r="J294" s="19" t="inlineStr">
        <is>
          <t>2025ACT_VDEF</t>
        </is>
      </c>
      <c r="K294" s="19" t="inlineStr">
        <is>
          <t>2025 (N-1)</t>
        </is>
      </c>
      <c r="L294" s="13" t="n">
        <v>272524</v>
      </c>
    </row>
    <row r="295">
      <c r="A295" s="19" t="inlineStr">
        <is>
          <t>ISCOM_PARIS</t>
        </is>
      </c>
      <c r="B295" s="18" t="inlineStr">
        <is>
          <t>ISCOM Paris</t>
        </is>
      </c>
      <c r="C295" s="19" t="inlineStr">
        <is>
          <t>ISCOM</t>
        </is>
      </c>
      <c r="D295" s="19" t="inlineStr">
        <is>
          <t>Paris</t>
        </is>
      </c>
      <c r="E295" s="19" t="inlineStr">
        <is>
          <t>6411</t>
        </is>
      </c>
      <c r="F295" s="18" t="inlineStr">
        <is>
          <t>Rémunération enseignants permanents</t>
        </is>
      </c>
      <c r="G295" s="19" t="inlineStr">
        <is>
          <t>64 — Charges de personnel</t>
        </is>
      </c>
      <c r="H295" s="19" t="inlineStr">
        <is>
          <t>Charge</t>
        </is>
      </c>
      <c r="I295" s="19" t="inlineStr">
        <is>
          <t>Personnel</t>
        </is>
      </c>
      <c r="J295" s="19" t="inlineStr">
        <is>
          <t>2025ACT_VDEF</t>
        </is>
      </c>
      <c r="K295" s="19" t="inlineStr">
        <is>
          <t>2025 (N-1)</t>
        </is>
      </c>
      <c r="L295" s="13" t="n">
        <v>381534</v>
      </c>
    </row>
    <row r="296">
      <c r="A296" s="19" t="inlineStr">
        <is>
          <t>ISCOM_LILLE</t>
        </is>
      </c>
      <c r="B296" s="18" t="inlineStr">
        <is>
          <t>ISCOM Lille</t>
        </is>
      </c>
      <c r="C296" s="19" t="inlineStr">
        <is>
          <t>ISCOM</t>
        </is>
      </c>
      <c r="D296" s="19" t="inlineStr">
        <is>
          <t>Lille</t>
        </is>
      </c>
      <c r="E296" s="19" t="inlineStr">
        <is>
          <t>6411</t>
        </is>
      </c>
      <c r="F296" s="18" t="inlineStr">
        <is>
          <t>Rémunération enseignants permanents</t>
        </is>
      </c>
      <c r="G296" s="19" t="inlineStr">
        <is>
          <t>64 — Charges de personnel</t>
        </is>
      </c>
      <c r="H296" s="19" t="inlineStr">
        <is>
          <t>Charge</t>
        </is>
      </c>
      <c r="I296" s="19" t="inlineStr">
        <is>
          <t>Personnel</t>
        </is>
      </c>
      <c r="J296" s="19" t="inlineStr">
        <is>
          <t>2025ACT_VDEF</t>
        </is>
      </c>
      <c r="K296" s="19" t="inlineStr">
        <is>
          <t>2025 (N-1)</t>
        </is>
      </c>
      <c r="L296" s="13" t="n">
        <v>272524</v>
      </c>
    </row>
    <row r="297">
      <c r="A297" s="19" t="inlineStr">
        <is>
          <t>ISCOM_TOULOUSE</t>
        </is>
      </c>
      <c r="B297" s="18" t="inlineStr">
        <is>
          <t>ISCOM Toulouse</t>
        </is>
      </c>
      <c r="C297" s="19" t="inlineStr">
        <is>
          <t>ISCOM</t>
        </is>
      </c>
      <c r="D297" s="19" t="inlineStr">
        <is>
          <t>Toulouse</t>
        </is>
      </c>
      <c r="E297" s="19" t="inlineStr">
        <is>
          <t>6411</t>
        </is>
      </c>
      <c r="F297" s="18" t="inlineStr">
        <is>
          <t>Rémunération enseignants permanents</t>
        </is>
      </c>
      <c r="G297" s="19" t="inlineStr">
        <is>
          <t>64 — Charges de personnel</t>
        </is>
      </c>
      <c r="H297" s="19" t="inlineStr">
        <is>
          <t>Charge</t>
        </is>
      </c>
      <c r="I297" s="19" t="inlineStr">
        <is>
          <t>Personnel</t>
        </is>
      </c>
      <c r="J297" s="19" t="inlineStr">
        <is>
          <t>2025ACT_VDEF</t>
        </is>
      </c>
      <c r="K297" s="19" t="inlineStr">
        <is>
          <t>2025 (N-1)</t>
        </is>
      </c>
      <c r="L297" s="13" t="n">
        <v>272524</v>
      </c>
    </row>
    <row r="298">
      <c r="A298" s="19" t="inlineStr">
        <is>
          <t>IPAC_BACHELOR_FACTORY_NANTES</t>
        </is>
      </c>
      <c r="B298" s="18" t="inlineStr">
        <is>
          <t>Ipac Bachelor Factory Nantes</t>
        </is>
      </c>
      <c r="C298" s="19" t="inlineStr">
        <is>
          <t>Ipac Bachelor Factory</t>
        </is>
      </c>
      <c r="D298" s="19" t="inlineStr">
        <is>
          <t>Nantes</t>
        </is>
      </c>
      <c r="E298" s="19" t="inlineStr">
        <is>
          <t>6411</t>
        </is>
      </c>
      <c r="F298" s="18" t="inlineStr">
        <is>
          <t>Rémunération enseignants permanents</t>
        </is>
      </c>
      <c r="G298" s="19" t="inlineStr">
        <is>
          <t>64 — Charges de personnel</t>
        </is>
      </c>
      <c r="H298" s="19" t="inlineStr">
        <is>
          <t>Charge</t>
        </is>
      </c>
      <c r="I298" s="19" t="inlineStr">
        <is>
          <t>Personnel</t>
        </is>
      </c>
      <c r="J298" s="19" t="inlineStr">
        <is>
          <t>2025ACT_VDEF</t>
        </is>
      </c>
      <c r="K298" s="19" t="inlineStr">
        <is>
          <t>2025 (N-1)</t>
        </is>
      </c>
      <c r="L298" s="13" t="n">
        <v>163514</v>
      </c>
    </row>
    <row r="299">
      <c r="A299" s="19" t="inlineStr">
        <is>
          <t>IPAC_BACHELOR_FACTORY_RENNES</t>
        </is>
      </c>
      <c r="B299" s="18" t="inlineStr">
        <is>
          <t>Ipac Bachelor Factory Rennes</t>
        </is>
      </c>
      <c r="C299" s="19" t="inlineStr">
        <is>
          <t>Ipac Bachelor Factory</t>
        </is>
      </c>
      <c r="D299" s="19" t="inlineStr">
        <is>
          <t>Rennes</t>
        </is>
      </c>
      <c r="E299" s="19" t="inlineStr">
        <is>
          <t>6411</t>
        </is>
      </c>
      <c r="F299" s="18" t="inlineStr">
        <is>
          <t>Rémunération enseignants permanents</t>
        </is>
      </c>
      <c r="G299" s="19" t="inlineStr">
        <is>
          <t>64 — Charges de personnel</t>
        </is>
      </c>
      <c r="H299" s="19" t="inlineStr">
        <is>
          <t>Charge</t>
        </is>
      </c>
      <c r="I299" s="19" t="inlineStr">
        <is>
          <t>Personnel</t>
        </is>
      </c>
      <c r="J299" s="19" t="inlineStr">
        <is>
          <t>2025ACT_VDEF</t>
        </is>
      </c>
      <c r="K299" s="19" t="inlineStr">
        <is>
          <t>2025 (N-1)</t>
        </is>
      </c>
      <c r="L299" s="13" t="n">
        <v>163514</v>
      </c>
    </row>
    <row r="300">
      <c r="A300" s="19" t="inlineStr">
        <is>
          <t>IPAC_BACHELOR_FACTORY_MONTPELLIER</t>
        </is>
      </c>
      <c r="B300" s="18" t="inlineStr">
        <is>
          <t>Ipac Bachelor Factory Montpellier</t>
        </is>
      </c>
      <c r="C300" s="19" t="inlineStr">
        <is>
          <t>Ipac Bachelor Factory</t>
        </is>
      </c>
      <c r="D300" s="19" t="inlineStr">
        <is>
          <t>Montpellier</t>
        </is>
      </c>
      <c r="E300" s="19" t="inlineStr">
        <is>
          <t>6411</t>
        </is>
      </c>
      <c r="F300" s="18" t="inlineStr">
        <is>
          <t>Rémunération enseignants permanents</t>
        </is>
      </c>
      <c r="G300" s="19" t="inlineStr">
        <is>
          <t>64 — Charges de personnel</t>
        </is>
      </c>
      <c r="H300" s="19" t="inlineStr">
        <is>
          <t>Charge</t>
        </is>
      </c>
      <c r="I300" s="19" t="inlineStr">
        <is>
          <t>Personnel</t>
        </is>
      </c>
      <c r="J300" s="19" t="inlineStr">
        <is>
          <t>2025ACT_VDEF</t>
        </is>
      </c>
      <c r="K300" s="19" t="inlineStr">
        <is>
          <t>2025 (N-1)</t>
        </is>
      </c>
      <c r="L300" s="13" t="n">
        <v>163514</v>
      </c>
    </row>
    <row r="301">
      <c r="A301" s="19" t="inlineStr">
        <is>
          <t>PIGIER_LYON</t>
        </is>
      </c>
      <c r="B301" s="18" t="inlineStr">
        <is>
          <t>Pigier Lyon</t>
        </is>
      </c>
      <c r="C301" s="19" t="inlineStr">
        <is>
          <t>Pigier</t>
        </is>
      </c>
      <c r="D301" s="19" t="inlineStr">
        <is>
          <t>Lyon</t>
        </is>
      </c>
      <c r="E301" s="19" t="inlineStr">
        <is>
          <t>6411</t>
        </is>
      </c>
      <c r="F301" s="18" t="inlineStr">
        <is>
          <t>Rémunération enseignants permanents</t>
        </is>
      </c>
      <c r="G301" s="19" t="inlineStr">
        <is>
          <t>64 — Charges de personnel</t>
        </is>
      </c>
      <c r="H301" s="19" t="inlineStr">
        <is>
          <t>Charge</t>
        </is>
      </c>
      <c r="I301" s="19" t="inlineStr">
        <is>
          <t>Personnel</t>
        </is>
      </c>
      <c r="J301" s="19" t="inlineStr">
        <is>
          <t>2025ACT_VDEF</t>
        </is>
      </c>
      <c r="K301" s="19" t="inlineStr">
        <is>
          <t>2025 (N-1)</t>
        </is>
      </c>
      <c r="L301" s="13" t="n">
        <v>218019</v>
      </c>
    </row>
    <row r="302">
      <c r="A302" s="19" t="inlineStr">
        <is>
          <t>PIGIER_BORDEAUX</t>
        </is>
      </c>
      <c r="B302" s="18" t="inlineStr">
        <is>
          <t>Pigier Bordeaux</t>
        </is>
      </c>
      <c r="C302" s="19" t="inlineStr">
        <is>
          <t>Pigier</t>
        </is>
      </c>
      <c r="D302" s="19" t="inlineStr">
        <is>
          <t>Bordeaux</t>
        </is>
      </c>
      <c r="E302" s="19" t="inlineStr">
        <is>
          <t>6411</t>
        </is>
      </c>
      <c r="F302" s="18" t="inlineStr">
        <is>
          <t>Rémunération enseignants permanents</t>
        </is>
      </c>
      <c r="G302" s="19" t="inlineStr">
        <is>
          <t>64 — Charges de personnel</t>
        </is>
      </c>
      <c r="H302" s="19" t="inlineStr">
        <is>
          <t>Charge</t>
        </is>
      </c>
      <c r="I302" s="19" t="inlineStr">
        <is>
          <t>Personnel</t>
        </is>
      </c>
      <c r="J302" s="19" t="inlineStr">
        <is>
          <t>2025ACT_VDEF</t>
        </is>
      </c>
      <c r="K302" s="19" t="inlineStr">
        <is>
          <t>2025 (N-1)</t>
        </is>
      </c>
      <c r="L302" s="13" t="n">
        <v>218019</v>
      </c>
    </row>
    <row r="303">
      <c r="A303" s="19" t="inlineStr">
        <is>
          <t>TUNON_PARIS</t>
        </is>
      </c>
      <c r="B303" s="18" t="inlineStr">
        <is>
          <t>Tunon Paris</t>
        </is>
      </c>
      <c r="C303" s="19" t="inlineStr">
        <is>
          <t>Tunon</t>
        </is>
      </c>
      <c r="D303" s="19" t="inlineStr">
        <is>
          <t>Paris</t>
        </is>
      </c>
      <c r="E303" s="19" t="inlineStr">
        <is>
          <t>6411</t>
        </is>
      </c>
      <c r="F303" s="18" t="inlineStr">
        <is>
          <t>Rémunération enseignants permanents</t>
        </is>
      </c>
      <c r="G303" s="19" t="inlineStr">
        <is>
          <t>64 — Charges de personnel</t>
        </is>
      </c>
      <c r="H303" s="19" t="inlineStr">
        <is>
          <t>Charge</t>
        </is>
      </c>
      <c r="I303" s="19" t="inlineStr">
        <is>
          <t>Personnel</t>
        </is>
      </c>
      <c r="J303" s="19" t="inlineStr">
        <is>
          <t>2025ACT_VDEF</t>
        </is>
      </c>
      <c r="K303" s="19" t="inlineStr">
        <is>
          <t>2025 (N-1)</t>
        </is>
      </c>
      <c r="L303" s="13" t="n">
        <v>163514</v>
      </c>
    </row>
    <row r="304">
      <c r="A304" s="19" t="inlineStr">
        <is>
          <t>TUNON_LYON</t>
        </is>
      </c>
      <c r="B304" s="18" t="inlineStr">
        <is>
          <t>Tunon Lyon</t>
        </is>
      </c>
      <c r="C304" s="19" t="inlineStr">
        <is>
          <t>Tunon</t>
        </is>
      </c>
      <c r="D304" s="19" t="inlineStr">
        <is>
          <t>Lyon</t>
        </is>
      </c>
      <c r="E304" s="19" t="inlineStr">
        <is>
          <t>6411</t>
        </is>
      </c>
      <c r="F304" s="18" t="inlineStr">
        <is>
          <t>Rémunération enseignants permanents</t>
        </is>
      </c>
      <c r="G304" s="19" t="inlineStr">
        <is>
          <t>64 — Charges de personnel</t>
        </is>
      </c>
      <c r="H304" s="19" t="inlineStr">
        <is>
          <t>Charge</t>
        </is>
      </c>
      <c r="I304" s="19" t="inlineStr">
        <is>
          <t>Personnel</t>
        </is>
      </c>
      <c r="J304" s="19" t="inlineStr">
        <is>
          <t>2025ACT_VDEF</t>
        </is>
      </c>
      <c r="K304" s="19" t="inlineStr">
        <is>
          <t>2025 (N-1)</t>
        </is>
      </c>
      <c r="L304" s="13" t="n">
        <v>163514</v>
      </c>
    </row>
    <row r="305">
      <c r="A305" s="19" t="inlineStr">
        <is>
          <t>MBWAY_PARIS</t>
        </is>
      </c>
      <c r="B305" s="18" t="inlineStr">
        <is>
          <t>MBway Paris</t>
        </is>
      </c>
      <c r="C305" s="19" t="inlineStr">
        <is>
          <t>MBway</t>
        </is>
      </c>
      <c r="D305" s="19" t="inlineStr">
        <is>
          <t>Paris</t>
        </is>
      </c>
      <c r="E305" s="19" t="inlineStr">
        <is>
          <t>6411</t>
        </is>
      </c>
      <c r="F305" s="18" t="inlineStr">
        <is>
          <t>Rémunération enseignants permanents</t>
        </is>
      </c>
      <c r="G305" s="19" t="inlineStr">
        <is>
          <t>64 — Charges de personnel</t>
        </is>
      </c>
      <c r="H305" s="19" t="inlineStr">
        <is>
          <t>Charge</t>
        </is>
      </c>
      <c r="I305" s="19" t="inlineStr">
        <is>
          <t>Personnel</t>
        </is>
      </c>
      <c r="J305" s="19" t="inlineStr">
        <is>
          <t>2026ATT_VDEF</t>
        </is>
      </c>
      <c r="K305" s="19" t="inlineStr">
        <is>
          <t>2026 (Atterr.)</t>
        </is>
      </c>
      <c r="L305" s="13" t="n">
        <v>430290</v>
      </c>
    </row>
    <row r="306">
      <c r="A306" s="19" t="inlineStr">
        <is>
          <t>MBWAY_LYON</t>
        </is>
      </c>
      <c r="B306" s="18" t="inlineStr">
        <is>
          <t>MBway Lyon</t>
        </is>
      </c>
      <c r="C306" s="19" t="inlineStr">
        <is>
          <t>MBway</t>
        </is>
      </c>
      <c r="D306" s="19" t="inlineStr">
        <is>
          <t>Lyon</t>
        </is>
      </c>
      <c r="E306" s="19" t="inlineStr">
        <is>
          <t>6411</t>
        </is>
      </c>
      <c r="F306" s="18" t="inlineStr">
        <is>
          <t>Rémunération enseignants permanents</t>
        </is>
      </c>
      <c r="G306" s="19" t="inlineStr">
        <is>
          <t>64 — Charges de personnel</t>
        </is>
      </c>
      <c r="H306" s="19" t="inlineStr">
        <is>
          <t>Charge</t>
        </is>
      </c>
      <c r="I306" s="19" t="inlineStr">
        <is>
          <t>Personnel</t>
        </is>
      </c>
      <c r="J306" s="19" t="inlineStr">
        <is>
          <t>2026ATT_VDEF</t>
        </is>
      </c>
      <c r="K306" s="19" t="inlineStr">
        <is>
          <t>2026 (Atterr.)</t>
        </is>
      </c>
      <c r="L306" s="13" t="n">
        <v>372918</v>
      </c>
    </row>
    <row r="307">
      <c r="A307" s="19" t="inlineStr">
        <is>
          <t>MBWAY_NANTES</t>
        </is>
      </c>
      <c r="B307" s="18" t="inlineStr">
        <is>
          <t>MBway Nantes</t>
        </is>
      </c>
      <c r="C307" s="19" t="inlineStr">
        <is>
          <t>MBway</t>
        </is>
      </c>
      <c r="D307" s="19" t="inlineStr">
        <is>
          <t>Nantes</t>
        </is>
      </c>
      <c r="E307" s="19" t="inlineStr">
        <is>
          <t>6411</t>
        </is>
      </c>
      <c r="F307" s="18" t="inlineStr">
        <is>
          <t>Rémunération enseignants permanents</t>
        </is>
      </c>
      <c r="G307" s="19" t="inlineStr">
        <is>
          <t>64 — Charges de personnel</t>
        </is>
      </c>
      <c r="H307" s="19" t="inlineStr">
        <is>
          <t>Charge</t>
        </is>
      </c>
      <c r="I307" s="19" t="inlineStr">
        <is>
          <t>Personnel</t>
        </is>
      </c>
      <c r="J307" s="19" t="inlineStr">
        <is>
          <t>2026ATT_VDEF</t>
        </is>
      </c>
      <c r="K307" s="19" t="inlineStr">
        <is>
          <t>2026 (Atterr.)</t>
        </is>
      </c>
      <c r="L307" s="13" t="n">
        <v>344232</v>
      </c>
    </row>
    <row r="308">
      <c r="A308" s="19" t="inlineStr">
        <is>
          <t>MBWAY_BORDEAUX</t>
        </is>
      </c>
      <c r="B308" s="18" t="inlineStr">
        <is>
          <t>MBway Bordeaux</t>
        </is>
      </c>
      <c r="C308" s="19" t="inlineStr">
        <is>
          <t>MBway</t>
        </is>
      </c>
      <c r="D308" s="19" t="inlineStr">
        <is>
          <t>Bordeaux</t>
        </is>
      </c>
      <c r="E308" s="19" t="inlineStr">
        <is>
          <t>6411</t>
        </is>
      </c>
      <c r="F308" s="18" t="inlineStr">
        <is>
          <t>Rémunération enseignants permanents</t>
        </is>
      </c>
      <c r="G308" s="19" t="inlineStr">
        <is>
          <t>64 — Charges de personnel</t>
        </is>
      </c>
      <c r="H308" s="19" t="inlineStr">
        <is>
          <t>Charge</t>
        </is>
      </c>
      <c r="I308" s="19" t="inlineStr">
        <is>
          <t>Personnel</t>
        </is>
      </c>
      <c r="J308" s="19" t="inlineStr">
        <is>
          <t>2026ATT_VDEF</t>
        </is>
      </c>
      <c r="K308" s="19" t="inlineStr">
        <is>
          <t>2026 (Atterr.)</t>
        </is>
      </c>
      <c r="L308" s="13" t="n">
        <v>286860</v>
      </c>
    </row>
    <row r="309">
      <c r="A309" s="19" t="inlineStr">
        <is>
          <t>ISCOM_PARIS</t>
        </is>
      </c>
      <c r="B309" s="18" t="inlineStr">
        <is>
          <t>ISCOM Paris</t>
        </is>
      </c>
      <c r="C309" s="19" t="inlineStr">
        <is>
          <t>ISCOM</t>
        </is>
      </c>
      <c r="D309" s="19" t="inlineStr">
        <is>
          <t>Paris</t>
        </is>
      </c>
      <c r="E309" s="19" t="inlineStr">
        <is>
          <t>6411</t>
        </is>
      </c>
      <c r="F309" s="18" t="inlineStr">
        <is>
          <t>Rémunération enseignants permanents</t>
        </is>
      </c>
      <c r="G309" s="19" t="inlineStr">
        <is>
          <t>64 — Charges de personnel</t>
        </is>
      </c>
      <c r="H309" s="19" t="inlineStr">
        <is>
          <t>Charge</t>
        </is>
      </c>
      <c r="I309" s="19" t="inlineStr">
        <is>
          <t>Personnel</t>
        </is>
      </c>
      <c r="J309" s="19" t="inlineStr">
        <is>
          <t>2026ATT_VDEF</t>
        </is>
      </c>
      <c r="K309" s="19" t="inlineStr">
        <is>
          <t>2026 (Atterr.)</t>
        </is>
      </c>
      <c r="L309" s="13" t="n">
        <v>401604</v>
      </c>
    </row>
    <row r="310">
      <c r="A310" s="19" t="inlineStr">
        <is>
          <t>ISCOM_LILLE</t>
        </is>
      </c>
      <c r="B310" s="18" t="inlineStr">
        <is>
          <t>ISCOM Lille</t>
        </is>
      </c>
      <c r="C310" s="19" t="inlineStr">
        <is>
          <t>ISCOM</t>
        </is>
      </c>
      <c r="D310" s="19" t="inlineStr">
        <is>
          <t>Lille</t>
        </is>
      </c>
      <c r="E310" s="19" t="inlineStr">
        <is>
          <t>6411</t>
        </is>
      </c>
      <c r="F310" s="18" t="inlineStr">
        <is>
          <t>Rémunération enseignants permanents</t>
        </is>
      </c>
      <c r="G310" s="19" t="inlineStr">
        <is>
          <t>64 — Charges de personnel</t>
        </is>
      </c>
      <c r="H310" s="19" t="inlineStr">
        <is>
          <t>Charge</t>
        </is>
      </c>
      <c r="I310" s="19" t="inlineStr">
        <is>
          <t>Personnel</t>
        </is>
      </c>
      <c r="J310" s="19" t="inlineStr">
        <is>
          <t>2026ATT_VDEF</t>
        </is>
      </c>
      <c r="K310" s="19" t="inlineStr">
        <is>
          <t>2026 (Atterr.)</t>
        </is>
      </c>
      <c r="L310" s="13" t="n">
        <v>286860</v>
      </c>
    </row>
    <row r="311">
      <c r="A311" s="19" t="inlineStr">
        <is>
          <t>ISCOM_TOULOUSE</t>
        </is>
      </c>
      <c r="B311" s="18" t="inlineStr">
        <is>
          <t>ISCOM Toulouse</t>
        </is>
      </c>
      <c r="C311" s="19" t="inlineStr">
        <is>
          <t>ISCOM</t>
        </is>
      </c>
      <c r="D311" s="19" t="inlineStr">
        <is>
          <t>Toulouse</t>
        </is>
      </c>
      <c r="E311" s="19" t="inlineStr">
        <is>
          <t>6411</t>
        </is>
      </c>
      <c r="F311" s="18" t="inlineStr">
        <is>
          <t>Rémunération enseignants permanents</t>
        </is>
      </c>
      <c r="G311" s="19" t="inlineStr">
        <is>
          <t>64 — Charges de personnel</t>
        </is>
      </c>
      <c r="H311" s="19" t="inlineStr">
        <is>
          <t>Charge</t>
        </is>
      </c>
      <c r="I311" s="19" t="inlineStr">
        <is>
          <t>Personnel</t>
        </is>
      </c>
      <c r="J311" s="19" t="inlineStr">
        <is>
          <t>2026ATT_VDEF</t>
        </is>
      </c>
      <c r="K311" s="19" t="inlineStr">
        <is>
          <t>2026 (Atterr.)</t>
        </is>
      </c>
      <c r="L311" s="13" t="n">
        <v>286860</v>
      </c>
    </row>
    <row r="312">
      <c r="A312" s="19" t="inlineStr">
        <is>
          <t>IPAC_BACHELOR_FACTORY_NANTES</t>
        </is>
      </c>
      <c r="B312" s="18" t="inlineStr">
        <is>
          <t>Ipac Bachelor Factory Nantes</t>
        </is>
      </c>
      <c r="C312" s="19" t="inlineStr">
        <is>
          <t>Ipac Bachelor Factory</t>
        </is>
      </c>
      <c r="D312" s="19" t="inlineStr">
        <is>
          <t>Nantes</t>
        </is>
      </c>
      <c r="E312" s="19" t="inlineStr">
        <is>
          <t>6411</t>
        </is>
      </c>
      <c r="F312" s="18" t="inlineStr">
        <is>
          <t>Rémunération enseignants permanents</t>
        </is>
      </c>
      <c r="G312" s="19" t="inlineStr">
        <is>
          <t>64 — Charges de personnel</t>
        </is>
      </c>
      <c r="H312" s="19" t="inlineStr">
        <is>
          <t>Charge</t>
        </is>
      </c>
      <c r="I312" s="19" t="inlineStr">
        <is>
          <t>Personnel</t>
        </is>
      </c>
      <c r="J312" s="19" t="inlineStr">
        <is>
          <t>2026ATT_VDEF</t>
        </is>
      </c>
      <c r="K312" s="19" t="inlineStr">
        <is>
          <t>2026 (Atterr.)</t>
        </is>
      </c>
      <c r="L312" s="13" t="n">
        <v>172116</v>
      </c>
    </row>
    <row r="313">
      <c r="A313" s="19" t="inlineStr">
        <is>
          <t>IPAC_BACHELOR_FACTORY_RENNES</t>
        </is>
      </c>
      <c r="B313" s="18" t="inlineStr">
        <is>
          <t>Ipac Bachelor Factory Rennes</t>
        </is>
      </c>
      <c r="C313" s="19" t="inlineStr">
        <is>
          <t>Ipac Bachelor Factory</t>
        </is>
      </c>
      <c r="D313" s="19" t="inlineStr">
        <is>
          <t>Rennes</t>
        </is>
      </c>
      <c r="E313" s="19" t="inlineStr">
        <is>
          <t>6411</t>
        </is>
      </c>
      <c r="F313" s="18" t="inlineStr">
        <is>
          <t>Rémunération enseignants permanents</t>
        </is>
      </c>
      <c r="G313" s="19" t="inlineStr">
        <is>
          <t>64 — Charges de personnel</t>
        </is>
      </c>
      <c r="H313" s="19" t="inlineStr">
        <is>
          <t>Charge</t>
        </is>
      </c>
      <c r="I313" s="19" t="inlineStr">
        <is>
          <t>Personnel</t>
        </is>
      </c>
      <c r="J313" s="19" t="inlineStr">
        <is>
          <t>2026ATT_VDEF</t>
        </is>
      </c>
      <c r="K313" s="19" t="inlineStr">
        <is>
          <t>2026 (Atterr.)</t>
        </is>
      </c>
      <c r="L313" s="13" t="n">
        <v>172116</v>
      </c>
    </row>
    <row r="314">
      <c r="A314" s="19" t="inlineStr">
        <is>
          <t>IPAC_BACHELOR_FACTORY_MONTPELLIER</t>
        </is>
      </c>
      <c r="B314" s="18" t="inlineStr">
        <is>
          <t>Ipac Bachelor Factory Montpellier</t>
        </is>
      </c>
      <c r="C314" s="19" t="inlineStr">
        <is>
          <t>Ipac Bachelor Factory</t>
        </is>
      </c>
      <c r="D314" s="19" t="inlineStr">
        <is>
          <t>Montpellier</t>
        </is>
      </c>
      <c r="E314" s="19" t="inlineStr">
        <is>
          <t>6411</t>
        </is>
      </c>
      <c r="F314" s="18" t="inlineStr">
        <is>
          <t>Rémunération enseignants permanents</t>
        </is>
      </c>
      <c r="G314" s="19" t="inlineStr">
        <is>
          <t>64 — Charges de personnel</t>
        </is>
      </c>
      <c r="H314" s="19" t="inlineStr">
        <is>
          <t>Charge</t>
        </is>
      </c>
      <c r="I314" s="19" t="inlineStr">
        <is>
          <t>Personnel</t>
        </is>
      </c>
      <c r="J314" s="19" t="inlineStr">
        <is>
          <t>2026ATT_VDEF</t>
        </is>
      </c>
      <c r="K314" s="19" t="inlineStr">
        <is>
          <t>2026 (Atterr.)</t>
        </is>
      </c>
      <c r="L314" s="13" t="n">
        <v>172116</v>
      </c>
    </row>
    <row r="315">
      <c r="A315" s="19" t="inlineStr">
        <is>
          <t>PIGIER_LYON</t>
        </is>
      </c>
      <c r="B315" s="18" t="inlineStr">
        <is>
          <t>Pigier Lyon</t>
        </is>
      </c>
      <c r="C315" s="19" t="inlineStr">
        <is>
          <t>Pigier</t>
        </is>
      </c>
      <c r="D315" s="19" t="inlineStr">
        <is>
          <t>Lyon</t>
        </is>
      </c>
      <c r="E315" s="19" t="inlineStr">
        <is>
          <t>6411</t>
        </is>
      </c>
      <c r="F315" s="18" t="inlineStr">
        <is>
          <t>Rémunération enseignants permanents</t>
        </is>
      </c>
      <c r="G315" s="19" t="inlineStr">
        <is>
          <t>64 — Charges de personnel</t>
        </is>
      </c>
      <c r="H315" s="19" t="inlineStr">
        <is>
          <t>Charge</t>
        </is>
      </c>
      <c r="I315" s="19" t="inlineStr">
        <is>
          <t>Personnel</t>
        </is>
      </c>
      <c r="J315" s="19" t="inlineStr">
        <is>
          <t>2026ATT_VDEF</t>
        </is>
      </c>
      <c r="K315" s="19" t="inlineStr">
        <is>
          <t>2026 (Atterr.)</t>
        </is>
      </c>
      <c r="L315" s="13" t="n">
        <v>229488</v>
      </c>
    </row>
    <row r="316">
      <c r="A316" s="19" t="inlineStr">
        <is>
          <t>PIGIER_BORDEAUX</t>
        </is>
      </c>
      <c r="B316" s="18" t="inlineStr">
        <is>
          <t>Pigier Bordeaux</t>
        </is>
      </c>
      <c r="C316" s="19" t="inlineStr">
        <is>
          <t>Pigier</t>
        </is>
      </c>
      <c r="D316" s="19" t="inlineStr">
        <is>
          <t>Bordeaux</t>
        </is>
      </c>
      <c r="E316" s="19" t="inlineStr">
        <is>
          <t>6411</t>
        </is>
      </c>
      <c r="F316" s="18" t="inlineStr">
        <is>
          <t>Rémunération enseignants permanents</t>
        </is>
      </c>
      <c r="G316" s="19" t="inlineStr">
        <is>
          <t>64 — Charges de personnel</t>
        </is>
      </c>
      <c r="H316" s="19" t="inlineStr">
        <is>
          <t>Charge</t>
        </is>
      </c>
      <c r="I316" s="19" t="inlineStr">
        <is>
          <t>Personnel</t>
        </is>
      </c>
      <c r="J316" s="19" t="inlineStr">
        <is>
          <t>2026ATT_VDEF</t>
        </is>
      </c>
      <c r="K316" s="19" t="inlineStr">
        <is>
          <t>2026 (Atterr.)</t>
        </is>
      </c>
      <c r="L316" s="13" t="n">
        <v>229488</v>
      </c>
    </row>
    <row r="317">
      <c r="A317" s="19" t="inlineStr">
        <is>
          <t>TUNON_PARIS</t>
        </is>
      </c>
      <c r="B317" s="18" t="inlineStr">
        <is>
          <t>Tunon Paris</t>
        </is>
      </c>
      <c r="C317" s="19" t="inlineStr">
        <is>
          <t>Tunon</t>
        </is>
      </c>
      <c r="D317" s="19" t="inlineStr">
        <is>
          <t>Paris</t>
        </is>
      </c>
      <c r="E317" s="19" t="inlineStr">
        <is>
          <t>6411</t>
        </is>
      </c>
      <c r="F317" s="18" t="inlineStr">
        <is>
          <t>Rémunération enseignants permanents</t>
        </is>
      </c>
      <c r="G317" s="19" t="inlineStr">
        <is>
          <t>64 — Charges de personnel</t>
        </is>
      </c>
      <c r="H317" s="19" t="inlineStr">
        <is>
          <t>Charge</t>
        </is>
      </c>
      <c r="I317" s="19" t="inlineStr">
        <is>
          <t>Personnel</t>
        </is>
      </c>
      <c r="J317" s="19" t="inlineStr">
        <is>
          <t>2026ATT_VDEF</t>
        </is>
      </c>
      <c r="K317" s="19" t="inlineStr">
        <is>
          <t>2026 (Atterr.)</t>
        </is>
      </c>
      <c r="L317" s="13" t="n">
        <v>172116</v>
      </c>
    </row>
    <row r="318">
      <c r="A318" s="19" t="inlineStr">
        <is>
          <t>TUNON_LYON</t>
        </is>
      </c>
      <c r="B318" s="18" t="inlineStr">
        <is>
          <t>Tunon Lyon</t>
        </is>
      </c>
      <c r="C318" s="19" t="inlineStr">
        <is>
          <t>Tunon</t>
        </is>
      </c>
      <c r="D318" s="19" t="inlineStr">
        <is>
          <t>Lyon</t>
        </is>
      </c>
      <c r="E318" s="19" t="inlineStr">
        <is>
          <t>6411</t>
        </is>
      </c>
      <c r="F318" s="18" t="inlineStr">
        <is>
          <t>Rémunération enseignants permanents</t>
        </is>
      </c>
      <c r="G318" s="19" t="inlineStr">
        <is>
          <t>64 — Charges de personnel</t>
        </is>
      </c>
      <c r="H318" s="19" t="inlineStr">
        <is>
          <t>Charge</t>
        </is>
      </c>
      <c r="I318" s="19" t="inlineStr">
        <is>
          <t>Personnel</t>
        </is>
      </c>
      <c r="J318" s="19" t="inlineStr">
        <is>
          <t>2026ATT_VDEF</t>
        </is>
      </c>
      <c r="K318" s="19" t="inlineStr">
        <is>
          <t>2026 (Atterr.)</t>
        </is>
      </c>
      <c r="L318" s="13" t="n">
        <v>172116</v>
      </c>
    </row>
    <row r="319">
      <c r="A319" s="19" t="inlineStr">
        <is>
          <t>MBWAY_PARIS</t>
        </is>
      </c>
      <c r="B319" s="18" t="inlineStr">
        <is>
          <t>MBway Paris</t>
        </is>
      </c>
      <c r="C319" s="19" t="inlineStr">
        <is>
          <t>MBway</t>
        </is>
      </c>
      <c r="D319" s="19" t="inlineStr">
        <is>
          <t>Paris</t>
        </is>
      </c>
      <c r="E319" s="19" t="inlineStr">
        <is>
          <t>6413</t>
        </is>
      </c>
      <c r="F319" s="18" t="inlineStr">
        <is>
          <t>Rémunération personnel administratif &amp; pédagogique</t>
        </is>
      </c>
      <c r="G319" s="19" t="inlineStr">
        <is>
          <t>64 — Charges de personnel</t>
        </is>
      </c>
      <c r="H319" s="19" t="inlineStr">
        <is>
          <t>Charge</t>
        </is>
      </c>
      <c r="I319" s="19" t="inlineStr">
        <is>
          <t>Personnel</t>
        </is>
      </c>
      <c r="J319" s="19" t="inlineStr">
        <is>
          <t>2024ACT_VDEF</t>
        </is>
      </c>
      <c r="K319" s="19" t="inlineStr">
        <is>
          <t>2024 (N-2)</t>
        </is>
      </c>
      <c r="L319" s="13" t="n">
        <v>225657</v>
      </c>
    </row>
    <row r="320">
      <c r="A320" s="19" t="inlineStr">
        <is>
          <t>MBWAY_LYON</t>
        </is>
      </c>
      <c r="B320" s="18" t="inlineStr">
        <is>
          <t>MBway Lyon</t>
        </is>
      </c>
      <c r="C320" s="19" t="inlineStr">
        <is>
          <t>MBway</t>
        </is>
      </c>
      <c r="D320" s="19" t="inlineStr">
        <is>
          <t>Lyon</t>
        </is>
      </c>
      <c r="E320" s="19" t="inlineStr">
        <is>
          <t>6413</t>
        </is>
      </c>
      <c r="F320" s="18" t="inlineStr">
        <is>
          <t>Rémunération personnel administratif &amp; pédagogique</t>
        </is>
      </c>
      <c r="G320" s="19" t="inlineStr">
        <is>
          <t>64 — Charges de personnel</t>
        </is>
      </c>
      <c r="H320" s="19" t="inlineStr">
        <is>
          <t>Charge</t>
        </is>
      </c>
      <c r="I320" s="19" t="inlineStr">
        <is>
          <t>Personnel</t>
        </is>
      </c>
      <c r="J320" s="19" t="inlineStr">
        <is>
          <t>2024ACT_VDEF</t>
        </is>
      </c>
      <c r="K320" s="19" t="inlineStr">
        <is>
          <t>2024 (N-2)</t>
        </is>
      </c>
      <c r="L320" s="13" t="n">
        <v>189964</v>
      </c>
    </row>
    <row r="321">
      <c r="A321" s="19" t="inlineStr">
        <is>
          <t>MBWAY_NANTES</t>
        </is>
      </c>
      <c r="B321" s="18" t="inlineStr">
        <is>
          <t>MBway Nantes</t>
        </is>
      </c>
      <c r="C321" s="19" t="inlineStr">
        <is>
          <t>MBway</t>
        </is>
      </c>
      <c r="D321" s="19" t="inlineStr">
        <is>
          <t>Nantes</t>
        </is>
      </c>
      <c r="E321" s="19" t="inlineStr">
        <is>
          <t>6413</t>
        </is>
      </c>
      <c r="F321" s="18" t="inlineStr">
        <is>
          <t>Rémunération personnel administratif &amp; pédagogique</t>
        </is>
      </c>
      <c r="G321" s="19" t="inlineStr">
        <is>
          <t>64 — Charges de personnel</t>
        </is>
      </c>
      <c r="H321" s="19" t="inlineStr">
        <is>
          <t>Charge</t>
        </is>
      </c>
      <c r="I321" s="19" t="inlineStr">
        <is>
          <t>Personnel</t>
        </is>
      </c>
      <c r="J321" s="19" t="inlineStr">
        <is>
          <t>2024ACT_VDEF</t>
        </is>
      </c>
      <c r="K321" s="19" t="inlineStr">
        <is>
          <t>2024 (N-2)</t>
        </is>
      </c>
      <c r="L321" s="13" t="n">
        <v>173629</v>
      </c>
    </row>
    <row r="322">
      <c r="A322" s="19" t="inlineStr">
        <is>
          <t>MBWAY_BORDEAUX</t>
        </is>
      </c>
      <c r="B322" s="18" t="inlineStr">
        <is>
          <t>MBway Bordeaux</t>
        </is>
      </c>
      <c r="C322" s="19" t="inlineStr">
        <is>
          <t>MBway</t>
        </is>
      </c>
      <c r="D322" s="19" t="inlineStr">
        <is>
          <t>Bordeaux</t>
        </is>
      </c>
      <c r="E322" s="19" t="inlineStr">
        <is>
          <t>6413</t>
        </is>
      </c>
      <c r="F322" s="18" t="inlineStr">
        <is>
          <t>Rémunération personnel administratif &amp; pédagogique</t>
        </is>
      </c>
      <c r="G322" s="19" t="inlineStr">
        <is>
          <t>64 — Charges de personnel</t>
        </is>
      </c>
      <c r="H322" s="19" t="inlineStr">
        <is>
          <t>Charge</t>
        </is>
      </c>
      <c r="I322" s="19" t="inlineStr">
        <is>
          <t>Personnel</t>
        </is>
      </c>
      <c r="J322" s="19" t="inlineStr">
        <is>
          <t>2024ACT_VDEF</t>
        </is>
      </c>
      <c r="K322" s="19" t="inlineStr">
        <is>
          <t>2024 (N-2)</t>
        </is>
      </c>
      <c r="L322" s="13" t="n">
        <v>147010</v>
      </c>
    </row>
    <row r="323">
      <c r="A323" s="19" t="inlineStr">
        <is>
          <t>ISCOM_PARIS</t>
        </is>
      </c>
      <c r="B323" s="18" t="inlineStr">
        <is>
          <t>ISCOM Paris</t>
        </is>
      </c>
      <c r="C323" s="19" t="inlineStr">
        <is>
          <t>ISCOM</t>
        </is>
      </c>
      <c r="D323" s="19" t="inlineStr">
        <is>
          <t>Paris</t>
        </is>
      </c>
      <c r="E323" s="19" t="inlineStr">
        <is>
          <t>6413</t>
        </is>
      </c>
      <c r="F323" s="18" t="inlineStr">
        <is>
          <t>Rémunération personnel administratif &amp; pédagogique</t>
        </is>
      </c>
      <c r="G323" s="19" t="inlineStr">
        <is>
          <t>64 — Charges de personnel</t>
        </is>
      </c>
      <c r="H323" s="19" t="inlineStr">
        <is>
          <t>Charge</t>
        </is>
      </c>
      <c r="I323" s="19" t="inlineStr">
        <is>
          <t>Personnel</t>
        </is>
      </c>
      <c r="J323" s="19" t="inlineStr">
        <is>
          <t>2024ACT_VDEF</t>
        </is>
      </c>
      <c r="K323" s="19" t="inlineStr">
        <is>
          <t>2024 (N-2)</t>
        </is>
      </c>
      <c r="L323" s="13" t="n">
        <v>208113</v>
      </c>
    </row>
    <row r="324">
      <c r="A324" s="19" t="inlineStr">
        <is>
          <t>ISCOM_LILLE</t>
        </is>
      </c>
      <c r="B324" s="18" t="inlineStr">
        <is>
          <t>ISCOM Lille</t>
        </is>
      </c>
      <c r="C324" s="19" t="inlineStr">
        <is>
          <t>ISCOM</t>
        </is>
      </c>
      <c r="D324" s="19" t="inlineStr">
        <is>
          <t>Lille</t>
        </is>
      </c>
      <c r="E324" s="19" t="inlineStr">
        <is>
          <t>6413</t>
        </is>
      </c>
      <c r="F324" s="18" t="inlineStr">
        <is>
          <t>Rémunération personnel administratif &amp; pédagogique</t>
        </is>
      </c>
      <c r="G324" s="19" t="inlineStr">
        <is>
          <t>64 — Charges de personnel</t>
        </is>
      </c>
      <c r="H324" s="19" t="inlineStr">
        <is>
          <t>Charge</t>
        </is>
      </c>
      <c r="I324" s="19" t="inlineStr">
        <is>
          <t>Personnel</t>
        </is>
      </c>
      <c r="J324" s="19" t="inlineStr">
        <is>
          <t>2024ACT_VDEF</t>
        </is>
      </c>
      <c r="K324" s="19" t="inlineStr">
        <is>
          <t>2024 (N-2)</t>
        </is>
      </c>
      <c r="L324" s="13" t="n">
        <v>143985</v>
      </c>
    </row>
    <row r="325">
      <c r="A325" s="19" t="inlineStr">
        <is>
          <t>ISCOM_TOULOUSE</t>
        </is>
      </c>
      <c r="B325" s="18" t="inlineStr">
        <is>
          <t>ISCOM Toulouse</t>
        </is>
      </c>
      <c r="C325" s="19" t="inlineStr">
        <is>
          <t>ISCOM</t>
        </is>
      </c>
      <c r="D325" s="19" t="inlineStr">
        <is>
          <t>Toulouse</t>
        </is>
      </c>
      <c r="E325" s="19" t="inlineStr">
        <is>
          <t>6413</t>
        </is>
      </c>
      <c r="F325" s="18" t="inlineStr">
        <is>
          <t>Rémunération personnel administratif &amp; pédagogique</t>
        </is>
      </c>
      <c r="G325" s="19" t="inlineStr">
        <is>
          <t>64 — Charges de personnel</t>
        </is>
      </c>
      <c r="H325" s="19" t="inlineStr">
        <is>
          <t>Charge</t>
        </is>
      </c>
      <c r="I325" s="19" t="inlineStr">
        <is>
          <t>Personnel</t>
        </is>
      </c>
      <c r="J325" s="19" t="inlineStr">
        <is>
          <t>2024ACT_VDEF</t>
        </is>
      </c>
      <c r="K325" s="19" t="inlineStr">
        <is>
          <t>2024 (N-2)</t>
        </is>
      </c>
      <c r="L325" s="13" t="n">
        <v>136120</v>
      </c>
    </row>
    <row r="326">
      <c r="A326" s="19" t="inlineStr">
        <is>
          <t>IPAC_BACHELOR_FACTORY_NANTES</t>
        </is>
      </c>
      <c r="B326" s="18" t="inlineStr">
        <is>
          <t>Ipac Bachelor Factory Nantes</t>
        </is>
      </c>
      <c r="C326" s="19" t="inlineStr">
        <is>
          <t>Ipac Bachelor Factory</t>
        </is>
      </c>
      <c r="D326" s="19" t="inlineStr">
        <is>
          <t>Nantes</t>
        </is>
      </c>
      <c r="E326" s="19" t="inlineStr">
        <is>
          <t>6413</t>
        </is>
      </c>
      <c r="F326" s="18" t="inlineStr">
        <is>
          <t>Rémunération personnel administratif &amp; pédagogique</t>
        </is>
      </c>
      <c r="G326" s="19" t="inlineStr">
        <is>
          <t>64 — Charges de personnel</t>
        </is>
      </c>
      <c r="H326" s="19" t="inlineStr">
        <is>
          <t>Charge</t>
        </is>
      </c>
      <c r="I326" s="19" t="inlineStr">
        <is>
          <t>Personnel</t>
        </is>
      </c>
      <c r="J326" s="19" t="inlineStr">
        <is>
          <t>2024ACT_VDEF</t>
        </is>
      </c>
      <c r="K326" s="19" t="inlineStr">
        <is>
          <t>2024 (N-2)</t>
        </is>
      </c>
      <c r="L326" s="13" t="n">
        <v>84697</v>
      </c>
    </row>
    <row r="327">
      <c r="A327" s="19" t="inlineStr">
        <is>
          <t>IPAC_BACHELOR_FACTORY_RENNES</t>
        </is>
      </c>
      <c r="B327" s="18" t="inlineStr">
        <is>
          <t>Ipac Bachelor Factory Rennes</t>
        </is>
      </c>
      <c r="C327" s="19" t="inlineStr">
        <is>
          <t>Ipac Bachelor Factory</t>
        </is>
      </c>
      <c r="D327" s="19" t="inlineStr">
        <is>
          <t>Rennes</t>
        </is>
      </c>
      <c r="E327" s="19" t="inlineStr">
        <is>
          <t>6413</t>
        </is>
      </c>
      <c r="F327" s="18" t="inlineStr">
        <is>
          <t>Rémunération personnel administratif &amp; pédagogique</t>
        </is>
      </c>
      <c r="G327" s="19" t="inlineStr">
        <is>
          <t>64 — Charges de personnel</t>
        </is>
      </c>
      <c r="H327" s="19" t="inlineStr">
        <is>
          <t>Charge</t>
        </is>
      </c>
      <c r="I327" s="19" t="inlineStr">
        <is>
          <t>Personnel</t>
        </is>
      </c>
      <c r="J327" s="19" t="inlineStr">
        <is>
          <t>2024ACT_VDEF</t>
        </is>
      </c>
      <c r="K327" s="19" t="inlineStr">
        <is>
          <t>2024 (N-2)</t>
        </is>
      </c>
      <c r="L327" s="13" t="n">
        <v>67758</v>
      </c>
    </row>
    <row r="328">
      <c r="A328" s="19" t="inlineStr">
        <is>
          <t>IPAC_BACHELOR_FACTORY_MONTPELLIER</t>
        </is>
      </c>
      <c r="B328" s="18" t="inlineStr">
        <is>
          <t>Ipac Bachelor Factory Montpellier</t>
        </is>
      </c>
      <c r="C328" s="19" t="inlineStr">
        <is>
          <t>Ipac Bachelor Factory</t>
        </is>
      </c>
      <c r="D328" s="19" t="inlineStr">
        <is>
          <t>Montpellier</t>
        </is>
      </c>
      <c r="E328" s="19" t="inlineStr">
        <is>
          <t>6413</t>
        </is>
      </c>
      <c r="F328" s="18" t="inlineStr">
        <is>
          <t>Rémunération personnel administratif &amp; pédagogique</t>
        </is>
      </c>
      <c r="G328" s="19" t="inlineStr">
        <is>
          <t>64 — Charges de personnel</t>
        </is>
      </c>
      <c r="H328" s="19" t="inlineStr">
        <is>
          <t>Charge</t>
        </is>
      </c>
      <c r="I328" s="19" t="inlineStr">
        <is>
          <t>Personnel</t>
        </is>
      </c>
      <c r="J328" s="19" t="inlineStr">
        <is>
          <t>2024ACT_VDEF</t>
        </is>
      </c>
      <c r="K328" s="19" t="inlineStr">
        <is>
          <t>2024 (N-2)</t>
        </is>
      </c>
      <c r="L328" s="13" t="n">
        <v>67758</v>
      </c>
    </row>
    <row r="329">
      <c r="A329" s="19" t="inlineStr">
        <is>
          <t>PIGIER_LYON</t>
        </is>
      </c>
      <c r="B329" s="18" t="inlineStr">
        <is>
          <t>Pigier Lyon</t>
        </is>
      </c>
      <c r="C329" s="19" t="inlineStr">
        <is>
          <t>Pigier</t>
        </is>
      </c>
      <c r="D329" s="19" t="inlineStr">
        <is>
          <t>Lyon</t>
        </is>
      </c>
      <c r="E329" s="19" t="inlineStr">
        <is>
          <t>6413</t>
        </is>
      </c>
      <c r="F329" s="18" t="inlineStr">
        <is>
          <t>Rémunération personnel administratif &amp; pédagogique</t>
        </is>
      </c>
      <c r="G329" s="19" t="inlineStr">
        <is>
          <t>64 — Charges de personnel</t>
        </is>
      </c>
      <c r="H329" s="19" t="inlineStr">
        <is>
          <t>Charge</t>
        </is>
      </c>
      <c r="I329" s="19" t="inlineStr">
        <is>
          <t>Personnel</t>
        </is>
      </c>
      <c r="J329" s="19" t="inlineStr">
        <is>
          <t>2024ACT_VDEF</t>
        </is>
      </c>
      <c r="K329" s="19" t="inlineStr">
        <is>
          <t>2024 (N-2)</t>
        </is>
      </c>
      <c r="L329" s="13" t="n">
        <v>108291</v>
      </c>
    </row>
    <row r="330">
      <c r="A330" s="19" t="inlineStr">
        <is>
          <t>PIGIER_BORDEAUX</t>
        </is>
      </c>
      <c r="B330" s="18" t="inlineStr">
        <is>
          <t>Pigier Bordeaux</t>
        </is>
      </c>
      <c r="C330" s="19" t="inlineStr">
        <is>
          <t>Pigier</t>
        </is>
      </c>
      <c r="D330" s="19" t="inlineStr">
        <is>
          <t>Bordeaux</t>
        </is>
      </c>
      <c r="E330" s="19" t="inlineStr">
        <is>
          <t>6413</t>
        </is>
      </c>
      <c r="F330" s="18" t="inlineStr">
        <is>
          <t>Rémunération personnel administratif &amp; pédagogique</t>
        </is>
      </c>
      <c r="G330" s="19" t="inlineStr">
        <is>
          <t>64 — Charges de personnel</t>
        </is>
      </c>
      <c r="H330" s="19" t="inlineStr">
        <is>
          <t>Charge</t>
        </is>
      </c>
      <c r="I330" s="19" t="inlineStr">
        <is>
          <t>Personnel</t>
        </is>
      </c>
      <c r="J330" s="19" t="inlineStr">
        <is>
          <t>2024ACT_VDEF</t>
        </is>
      </c>
      <c r="K330" s="19" t="inlineStr">
        <is>
          <t>2024 (N-2)</t>
        </is>
      </c>
      <c r="L330" s="13" t="n">
        <v>84697</v>
      </c>
    </row>
    <row r="331">
      <c r="A331" s="19" t="inlineStr">
        <is>
          <t>TUNON_PARIS</t>
        </is>
      </c>
      <c r="B331" s="18" t="inlineStr">
        <is>
          <t>Tunon Paris</t>
        </is>
      </c>
      <c r="C331" s="19" t="inlineStr">
        <is>
          <t>Tunon</t>
        </is>
      </c>
      <c r="D331" s="19" t="inlineStr">
        <is>
          <t>Paris</t>
        </is>
      </c>
      <c r="E331" s="19" t="inlineStr">
        <is>
          <t>6413</t>
        </is>
      </c>
      <c r="F331" s="18" t="inlineStr">
        <is>
          <t>Rémunération personnel administratif &amp; pédagogique</t>
        </is>
      </c>
      <c r="G331" s="19" t="inlineStr">
        <is>
          <t>64 — Charges de personnel</t>
        </is>
      </c>
      <c r="H331" s="19" t="inlineStr">
        <is>
          <t>Charge</t>
        </is>
      </c>
      <c r="I331" s="19" t="inlineStr">
        <is>
          <t>Personnel</t>
        </is>
      </c>
      <c r="J331" s="19" t="inlineStr">
        <is>
          <t>2024ACT_VDEF</t>
        </is>
      </c>
      <c r="K331" s="19" t="inlineStr">
        <is>
          <t>2024 (N-2)</t>
        </is>
      </c>
      <c r="L331" s="13" t="n">
        <v>80462</v>
      </c>
    </row>
    <row r="332">
      <c r="A332" s="19" t="inlineStr">
        <is>
          <t>TUNON_LYON</t>
        </is>
      </c>
      <c r="B332" s="18" t="inlineStr">
        <is>
          <t>Tunon Lyon</t>
        </is>
      </c>
      <c r="C332" s="19" t="inlineStr">
        <is>
          <t>Tunon</t>
        </is>
      </c>
      <c r="D332" s="19" t="inlineStr">
        <is>
          <t>Lyon</t>
        </is>
      </c>
      <c r="E332" s="19" t="inlineStr">
        <is>
          <t>6413</t>
        </is>
      </c>
      <c r="F332" s="18" t="inlineStr">
        <is>
          <t>Rémunération personnel administratif &amp; pédagogique</t>
        </is>
      </c>
      <c r="G332" s="19" t="inlineStr">
        <is>
          <t>64 — Charges de personnel</t>
        </is>
      </c>
      <c r="H332" s="19" t="inlineStr">
        <is>
          <t>Charge</t>
        </is>
      </c>
      <c r="I332" s="19" t="inlineStr">
        <is>
          <t>Personnel</t>
        </is>
      </c>
      <c r="J332" s="19" t="inlineStr">
        <is>
          <t>2024ACT_VDEF</t>
        </is>
      </c>
      <c r="K332" s="19" t="inlineStr">
        <is>
          <t>2024 (N-2)</t>
        </is>
      </c>
      <c r="L332" s="13" t="n">
        <v>67758</v>
      </c>
    </row>
    <row r="333">
      <c r="A333" s="19" t="inlineStr">
        <is>
          <t>MBWAY_PARIS</t>
        </is>
      </c>
      <c r="B333" s="18" t="inlineStr">
        <is>
          <t>MBway Paris</t>
        </is>
      </c>
      <c r="C333" s="19" t="inlineStr">
        <is>
          <t>MBway</t>
        </is>
      </c>
      <c r="D333" s="19" t="inlineStr">
        <is>
          <t>Paris</t>
        </is>
      </c>
      <c r="E333" s="19" t="inlineStr">
        <is>
          <t>6413</t>
        </is>
      </c>
      <c r="F333" s="18" t="inlineStr">
        <is>
          <t>Rémunération personnel administratif &amp; pédagogique</t>
        </is>
      </c>
      <c r="G333" s="19" t="inlineStr">
        <is>
          <t>64 — Charges de personnel</t>
        </is>
      </c>
      <c r="H333" s="19" t="inlineStr">
        <is>
          <t>Charge</t>
        </is>
      </c>
      <c r="I333" s="19" t="inlineStr">
        <is>
          <t>Personnel</t>
        </is>
      </c>
      <c r="J333" s="19" t="inlineStr">
        <is>
          <t>2025ACT_VDEF</t>
        </is>
      </c>
      <c r="K333" s="19" t="inlineStr">
        <is>
          <t>2025 (N-1)</t>
        </is>
      </c>
      <c r="L333" s="13" t="n">
        <v>236992</v>
      </c>
    </row>
    <row r="334">
      <c r="A334" s="19" t="inlineStr">
        <is>
          <t>MBWAY_LYON</t>
        </is>
      </c>
      <c r="B334" s="18" t="inlineStr">
        <is>
          <t>MBway Lyon</t>
        </is>
      </c>
      <c r="C334" s="19" t="inlineStr">
        <is>
          <t>MBway</t>
        </is>
      </c>
      <c r="D334" s="19" t="inlineStr">
        <is>
          <t>Lyon</t>
        </is>
      </c>
      <c r="E334" s="19" t="inlineStr">
        <is>
          <t>6413</t>
        </is>
      </c>
      <c r="F334" s="18" t="inlineStr">
        <is>
          <t>Rémunération personnel administratif &amp; pédagogique</t>
        </is>
      </c>
      <c r="G334" s="19" t="inlineStr">
        <is>
          <t>64 — Charges de personnel</t>
        </is>
      </c>
      <c r="H334" s="19" t="inlineStr">
        <is>
          <t>Charge</t>
        </is>
      </c>
      <c r="I334" s="19" t="inlineStr">
        <is>
          <t>Personnel</t>
        </is>
      </c>
      <c r="J334" s="19" t="inlineStr">
        <is>
          <t>2025ACT_VDEF</t>
        </is>
      </c>
      <c r="K334" s="19" t="inlineStr">
        <is>
          <t>2025 (N-1)</t>
        </is>
      </c>
      <c r="L334" s="13" t="n">
        <v>199506</v>
      </c>
    </row>
    <row r="335">
      <c r="A335" s="19" t="inlineStr">
        <is>
          <t>MBWAY_NANTES</t>
        </is>
      </c>
      <c r="B335" s="18" t="inlineStr">
        <is>
          <t>MBway Nantes</t>
        </is>
      </c>
      <c r="C335" s="19" t="inlineStr">
        <is>
          <t>MBway</t>
        </is>
      </c>
      <c r="D335" s="19" t="inlineStr">
        <is>
          <t>Nantes</t>
        </is>
      </c>
      <c r="E335" s="19" t="inlineStr">
        <is>
          <t>6413</t>
        </is>
      </c>
      <c r="F335" s="18" t="inlineStr">
        <is>
          <t>Rémunération personnel administratif &amp; pédagogique</t>
        </is>
      </c>
      <c r="G335" s="19" t="inlineStr">
        <is>
          <t>64 — Charges de personnel</t>
        </is>
      </c>
      <c r="H335" s="19" t="inlineStr">
        <is>
          <t>Charge</t>
        </is>
      </c>
      <c r="I335" s="19" t="inlineStr">
        <is>
          <t>Personnel</t>
        </is>
      </c>
      <c r="J335" s="19" t="inlineStr">
        <is>
          <t>2025ACT_VDEF</t>
        </is>
      </c>
      <c r="K335" s="19" t="inlineStr">
        <is>
          <t>2025 (N-1)</t>
        </is>
      </c>
      <c r="L335" s="13" t="n">
        <v>182351</v>
      </c>
    </row>
    <row r="336">
      <c r="A336" s="19" t="inlineStr">
        <is>
          <t>MBWAY_BORDEAUX</t>
        </is>
      </c>
      <c r="B336" s="18" t="inlineStr">
        <is>
          <t>MBway Bordeaux</t>
        </is>
      </c>
      <c r="C336" s="19" t="inlineStr">
        <is>
          <t>MBway</t>
        </is>
      </c>
      <c r="D336" s="19" t="inlineStr">
        <is>
          <t>Bordeaux</t>
        </is>
      </c>
      <c r="E336" s="19" t="inlineStr">
        <is>
          <t>6413</t>
        </is>
      </c>
      <c r="F336" s="18" t="inlineStr">
        <is>
          <t>Rémunération personnel administratif &amp; pédagogique</t>
        </is>
      </c>
      <c r="G336" s="19" t="inlineStr">
        <is>
          <t>64 — Charges de personnel</t>
        </is>
      </c>
      <c r="H336" s="19" t="inlineStr">
        <is>
          <t>Charge</t>
        </is>
      </c>
      <c r="I336" s="19" t="inlineStr">
        <is>
          <t>Personnel</t>
        </is>
      </c>
      <c r="J336" s="19" t="inlineStr">
        <is>
          <t>2025ACT_VDEF</t>
        </is>
      </c>
      <c r="K336" s="19" t="inlineStr">
        <is>
          <t>2025 (N-1)</t>
        </is>
      </c>
      <c r="L336" s="13" t="n">
        <v>154394</v>
      </c>
    </row>
    <row r="337">
      <c r="A337" s="19" t="inlineStr">
        <is>
          <t>ISCOM_PARIS</t>
        </is>
      </c>
      <c r="B337" s="18" t="inlineStr">
        <is>
          <t>ISCOM Paris</t>
        </is>
      </c>
      <c r="C337" s="19" t="inlineStr">
        <is>
          <t>ISCOM</t>
        </is>
      </c>
      <c r="D337" s="19" t="inlineStr">
        <is>
          <t>Paris</t>
        </is>
      </c>
      <c r="E337" s="19" t="inlineStr">
        <is>
          <t>6413</t>
        </is>
      </c>
      <c r="F337" s="18" t="inlineStr">
        <is>
          <t>Rémunération personnel administratif &amp; pédagogique</t>
        </is>
      </c>
      <c r="G337" s="19" t="inlineStr">
        <is>
          <t>64 — Charges de personnel</t>
        </is>
      </c>
      <c r="H337" s="19" t="inlineStr">
        <is>
          <t>Charge</t>
        </is>
      </c>
      <c r="I337" s="19" t="inlineStr">
        <is>
          <t>Personnel</t>
        </is>
      </c>
      <c r="J337" s="19" t="inlineStr">
        <is>
          <t>2025ACT_VDEF</t>
        </is>
      </c>
      <c r="K337" s="19" t="inlineStr">
        <is>
          <t>2025 (N-1)</t>
        </is>
      </c>
      <c r="L337" s="13" t="n">
        <v>218567</v>
      </c>
    </row>
    <row r="338">
      <c r="A338" s="19" t="inlineStr">
        <is>
          <t>ISCOM_LILLE</t>
        </is>
      </c>
      <c r="B338" s="18" t="inlineStr">
        <is>
          <t>ISCOM Lille</t>
        </is>
      </c>
      <c r="C338" s="19" t="inlineStr">
        <is>
          <t>ISCOM</t>
        </is>
      </c>
      <c r="D338" s="19" t="inlineStr">
        <is>
          <t>Lille</t>
        </is>
      </c>
      <c r="E338" s="19" t="inlineStr">
        <is>
          <t>6413</t>
        </is>
      </c>
      <c r="F338" s="18" t="inlineStr">
        <is>
          <t>Rémunération personnel administratif &amp; pédagogique</t>
        </is>
      </c>
      <c r="G338" s="19" t="inlineStr">
        <is>
          <t>64 — Charges de personnel</t>
        </is>
      </c>
      <c r="H338" s="19" t="inlineStr">
        <is>
          <t>Charge</t>
        </is>
      </c>
      <c r="I338" s="19" t="inlineStr">
        <is>
          <t>Personnel</t>
        </is>
      </c>
      <c r="J338" s="19" t="inlineStr">
        <is>
          <t>2025ACT_VDEF</t>
        </is>
      </c>
      <c r="K338" s="19" t="inlineStr">
        <is>
          <t>2025 (N-1)</t>
        </is>
      </c>
      <c r="L338" s="13" t="n">
        <v>151218</v>
      </c>
    </row>
    <row r="339">
      <c r="A339" s="19" t="inlineStr">
        <is>
          <t>ISCOM_TOULOUSE</t>
        </is>
      </c>
      <c r="B339" s="18" t="inlineStr">
        <is>
          <t>ISCOM Toulouse</t>
        </is>
      </c>
      <c r="C339" s="19" t="inlineStr">
        <is>
          <t>ISCOM</t>
        </is>
      </c>
      <c r="D339" s="19" t="inlineStr">
        <is>
          <t>Toulouse</t>
        </is>
      </c>
      <c r="E339" s="19" t="inlineStr">
        <is>
          <t>6413</t>
        </is>
      </c>
      <c r="F339" s="18" t="inlineStr">
        <is>
          <t>Rémunération personnel administratif &amp; pédagogique</t>
        </is>
      </c>
      <c r="G339" s="19" t="inlineStr">
        <is>
          <t>64 — Charges de personnel</t>
        </is>
      </c>
      <c r="H339" s="19" t="inlineStr">
        <is>
          <t>Charge</t>
        </is>
      </c>
      <c r="I339" s="19" t="inlineStr">
        <is>
          <t>Personnel</t>
        </is>
      </c>
      <c r="J339" s="19" t="inlineStr">
        <is>
          <t>2025ACT_VDEF</t>
        </is>
      </c>
      <c r="K339" s="19" t="inlineStr">
        <is>
          <t>2025 (N-1)</t>
        </is>
      </c>
      <c r="L339" s="13" t="n">
        <v>142958</v>
      </c>
    </row>
    <row r="340">
      <c r="A340" s="19" t="inlineStr">
        <is>
          <t>IPAC_BACHELOR_FACTORY_NANTES</t>
        </is>
      </c>
      <c r="B340" s="18" t="inlineStr">
        <is>
          <t>Ipac Bachelor Factory Nantes</t>
        </is>
      </c>
      <c r="C340" s="19" t="inlineStr">
        <is>
          <t>Ipac Bachelor Factory</t>
        </is>
      </c>
      <c r="D340" s="19" t="inlineStr">
        <is>
          <t>Nantes</t>
        </is>
      </c>
      <c r="E340" s="19" t="inlineStr">
        <is>
          <t>6413</t>
        </is>
      </c>
      <c r="F340" s="18" t="inlineStr">
        <is>
          <t>Rémunération personnel administratif &amp; pédagogique</t>
        </is>
      </c>
      <c r="G340" s="19" t="inlineStr">
        <is>
          <t>64 — Charges de personnel</t>
        </is>
      </c>
      <c r="H340" s="19" t="inlineStr">
        <is>
          <t>Charge</t>
        </is>
      </c>
      <c r="I340" s="19" t="inlineStr">
        <is>
          <t>Personnel</t>
        </is>
      </c>
      <c r="J340" s="19" t="inlineStr">
        <is>
          <t>2025ACT_VDEF</t>
        </is>
      </c>
      <c r="K340" s="19" t="inlineStr">
        <is>
          <t>2025 (N-1)</t>
        </is>
      </c>
      <c r="L340" s="13" t="n">
        <v>88951</v>
      </c>
    </row>
    <row r="341">
      <c r="A341" s="19" t="inlineStr">
        <is>
          <t>IPAC_BACHELOR_FACTORY_RENNES</t>
        </is>
      </c>
      <c r="B341" s="18" t="inlineStr">
        <is>
          <t>Ipac Bachelor Factory Rennes</t>
        </is>
      </c>
      <c r="C341" s="19" t="inlineStr">
        <is>
          <t>Ipac Bachelor Factory</t>
        </is>
      </c>
      <c r="D341" s="19" t="inlineStr">
        <is>
          <t>Rennes</t>
        </is>
      </c>
      <c r="E341" s="19" t="inlineStr">
        <is>
          <t>6413</t>
        </is>
      </c>
      <c r="F341" s="18" t="inlineStr">
        <is>
          <t>Rémunération personnel administratif &amp; pédagogique</t>
        </is>
      </c>
      <c r="G341" s="19" t="inlineStr">
        <is>
          <t>64 — Charges de personnel</t>
        </is>
      </c>
      <c r="H341" s="19" t="inlineStr">
        <is>
          <t>Charge</t>
        </is>
      </c>
      <c r="I341" s="19" t="inlineStr">
        <is>
          <t>Personnel</t>
        </is>
      </c>
      <c r="J341" s="19" t="inlineStr">
        <is>
          <t>2025ACT_VDEF</t>
        </is>
      </c>
      <c r="K341" s="19" t="inlineStr">
        <is>
          <t>2025 (N-1)</t>
        </is>
      </c>
      <c r="L341" s="13" t="n">
        <v>71161</v>
      </c>
    </row>
    <row r="342">
      <c r="A342" s="19" t="inlineStr">
        <is>
          <t>IPAC_BACHELOR_FACTORY_MONTPELLIER</t>
        </is>
      </c>
      <c r="B342" s="18" t="inlineStr">
        <is>
          <t>Ipac Bachelor Factory Montpellier</t>
        </is>
      </c>
      <c r="C342" s="19" t="inlineStr">
        <is>
          <t>Ipac Bachelor Factory</t>
        </is>
      </c>
      <c r="D342" s="19" t="inlineStr">
        <is>
          <t>Montpellier</t>
        </is>
      </c>
      <c r="E342" s="19" t="inlineStr">
        <is>
          <t>6413</t>
        </is>
      </c>
      <c r="F342" s="18" t="inlineStr">
        <is>
          <t>Rémunération personnel administratif &amp; pédagogique</t>
        </is>
      </c>
      <c r="G342" s="19" t="inlineStr">
        <is>
          <t>64 — Charges de personnel</t>
        </is>
      </c>
      <c r="H342" s="19" t="inlineStr">
        <is>
          <t>Charge</t>
        </is>
      </c>
      <c r="I342" s="19" t="inlineStr">
        <is>
          <t>Personnel</t>
        </is>
      </c>
      <c r="J342" s="19" t="inlineStr">
        <is>
          <t>2025ACT_VDEF</t>
        </is>
      </c>
      <c r="K342" s="19" t="inlineStr">
        <is>
          <t>2025 (N-1)</t>
        </is>
      </c>
      <c r="L342" s="13" t="n">
        <v>71161</v>
      </c>
    </row>
    <row r="343">
      <c r="A343" s="19" t="inlineStr">
        <is>
          <t>PIGIER_LYON</t>
        </is>
      </c>
      <c r="B343" s="18" t="inlineStr">
        <is>
          <t>Pigier Lyon</t>
        </is>
      </c>
      <c r="C343" s="19" t="inlineStr">
        <is>
          <t>Pigier</t>
        </is>
      </c>
      <c r="D343" s="19" t="inlineStr">
        <is>
          <t>Lyon</t>
        </is>
      </c>
      <c r="E343" s="19" t="inlineStr">
        <is>
          <t>6413</t>
        </is>
      </c>
      <c r="F343" s="18" t="inlineStr">
        <is>
          <t>Rémunération personnel administratif &amp; pédagogique</t>
        </is>
      </c>
      <c r="G343" s="19" t="inlineStr">
        <is>
          <t>64 — Charges de personnel</t>
        </is>
      </c>
      <c r="H343" s="19" t="inlineStr">
        <is>
          <t>Charge</t>
        </is>
      </c>
      <c r="I343" s="19" t="inlineStr">
        <is>
          <t>Personnel</t>
        </is>
      </c>
      <c r="J343" s="19" t="inlineStr">
        <is>
          <t>2025ACT_VDEF</t>
        </is>
      </c>
      <c r="K343" s="19" t="inlineStr">
        <is>
          <t>2025 (N-1)</t>
        </is>
      </c>
      <c r="L343" s="13" t="n">
        <v>113731</v>
      </c>
    </row>
    <row r="344">
      <c r="A344" s="19" t="inlineStr">
        <is>
          <t>PIGIER_BORDEAUX</t>
        </is>
      </c>
      <c r="B344" s="18" t="inlineStr">
        <is>
          <t>Pigier Bordeaux</t>
        </is>
      </c>
      <c r="C344" s="19" t="inlineStr">
        <is>
          <t>Pigier</t>
        </is>
      </c>
      <c r="D344" s="19" t="inlineStr">
        <is>
          <t>Bordeaux</t>
        </is>
      </c>
      <c r="E344" s="19" t="inlineStr">
        <is>
          <t>6413</t>
        </is>
      </c>
      <c r="F344" s="18" t="inlineStr">
        <is>
          <t>Rémunération personnel administratif &amp; pédagogique</t>
        </is>
      </c>
      <c r="G344" s="19" t="inlineStr">
        <is>
          <t>64 — Charges de personnel</t>
        </is>
      </c>
      <c r="H344" s="19" t="inlineStr">
        <is>
          <t>Charge</t>
        </is>
      </c>
      <c r="I344" s="19" t="inlineStr">
        <is>
          <t>Personnel</t>
        </is>
      </c>
      <c r="J344" s="19" t="inlineStr">
        <is>
          <t>2025ACT_VDEF</t>
        </is>
      </c>
      <c r="K344" s="19" t="inlineStr">
        <is>
          <t>2025 (N-1)</t>
        </is>
      </c>
      <c r="L344" s="13" t="n">
        <v>88951</v>
      </c>
    </row>
    <row r="345">
      <c r="A345" s="19" t="inlineStr">
        <is>
          <t>TUNON_PARIS</t>
        </is>
      </c>
      <c r="B345" s="18" t="inlineStr">
        <is>
          <t>Tunon Paris</t>
        </is>
      </c>
      <c r="C345" s="19" t="inlineStr">
        <is>
          <t>Tunon</t>
        </is>
      </c>
      <c r="D345" s="19" t="inlineStr">
        <is>
          <t>Paris</t>
        </is>
      </c>
      <c r="E345" s="19" t="inlineStr">
        <is>
          <t>6413</t>
        </is>
      </c>
      <c r="F345" s="18" t="inlineStr">
        <is>
          <t>Rémunération personnel administratif &amp; pédagogique</t>
        </is>
      </c>
      <c r="G345" s="19" t="inlineStr">
        <is>
          <t>64 — Charges de personnel</t>
        </is>
      </c>
      <c r="H345" s="19" t="inlineStr">
        <is>
          <t>Charge</t>
        </is>
      </c>
      <c r="I345" s="19" t="inlineStr">
        <is>
          <t>Personnel</t>
        </is>
      </c>
      <c r="J345" s="19" t="inlineStr">
        <is>
          <t>2025ACT_VDEF</t>
        </is>
      </c>
      <c r="K345" s="19" t="inlineStr">
        <is>
          <t>2025 (N-1)</t>
        </is>
      </c>
      <c r="L345" s="13" t="n">
        <v>84504</v>
      </c>
    </row>
    <row r="346">
      <c r="A346" s="19" t="inlineStr">
        <is>
          <t>TUNON_LYON</t>
        </is>
      </c>
      <c r="B346" s="18" t="inlineStr">
        <is>
          <t>Tunon Lyon</t>
        </is>
      </c>
      <c r="C346" s="19" t="inlineStr">
        <is>
          <t>Tunon</t>
        </is>
      </c>
      <c r="D346" s="19" t="inlineStr">
        <is>
          <t>Lyon</t>
        </is>
      </c>
      <c r="E346" s="19" t="inlineStr">
        <is>
          <t>6413</t>
        </is>
      </c>
      <c r="F346" s="18" t="inlineStr">
        <is>
          <t>Rémunération personnel administratif &amp; pédagogique</t>
        </is>
      </c>
      <c r="G346" s="19" t="inlineStr">
        <is>
          <t>64 — Charges de personnel</t>
        </is>
      </c>
      <c r="H346" s="19" t="inlineStr">
        <is>
          <t>Charge</t>
        </is>
      </c>
      <c r="I346" s="19" t="inlineStr">
        <is>
          <t>Personnel</t>
        </is>
      </c>
      <c r="J346" s="19" t="inlineStr">
        <is>
          <t>2025ACT_VDEF</t>
        </is>
      </c>
      <c r="K346" s="19" t="inlineStr">
        <is>
          <t>2025 (N-1)</t>
        </is>
      </c>
      <c r="L346" s="13" t="n">
        <v>71161</v>
      </c>
    </row>
    <row r="347">
      <c r="A347" s="19" t="inlineStr">
        <is>
          <t>MBWAY_PARIS</t>
        </is>
      </c>
      <c r="B347" s="18" t="inlineStr">
        <is>
          <t>MBway Paris</t>
        </is>
      </c>
      <c r="C347" s="19" t="inlineStr">
        <is>
          <t>MBway</t>
        </is>
      </c>
      <c r="D347" s="19" t="inlineStr">
        <is>
          <t>Paris</t>
        </is>
      </c>
      <c r="E347" s="19" t="inlineStr">
        <is>
          <t>6413</t>
        </is>
      </c>
      <c r="F347" s="18" t="inlineStr">
        <is>
          <t>Rémunération personnel administratif &amp; pédagogique</t>
        </is>
      </c>
      <c r="G347" s="19" t="inlineStr">
        <is>
          <t>64 — Charges de personnel</t>
        </is>
      </c>
      <c r="H347" s="19" t="inlineStr">
        <is>
          <t>Charge</t>
        </is>
      </c>
      <c r="I347" s="19" t="inlineStr">
        <is>
          <t>Personnel</t>
        </is>
      </c>
      <c r="J347" s="19" t="inlineStr">
        <is>
          <t>2026ATT_VDEF</t>
        </is>
      </c>
      <c r="K347" s="19" t="inlineStr">
        <is>
          <t>2026 (Atterr.)</t>
        </is>
      </c>
      <c r="L347" s="13" t="n">
        <v>249459</v>
      </c>
    </row>
    <row r="348">
      <c r="A348" s="19" t="inlineStr">
        <is>
          <t>MBWAY_LYON</t>
        </is>
      </c>
      <c r="B348" s="18" t="inlineStr">
        <is>
          <t>MBway Lyon</t>
        </is>
      </c>
      <c r="C348" s="19" t="inlineStr">
        <is>
          <t>MBway</t>
        </is>
      </c>
      <c r="D348" s="19" t="inlineStr">
        <is>
          <t>Lyon</t>
        </is>
      </c>
      <c r="E348" s="19" t="inlineStr">
        <is>
          <t>6413</t>
        </is>
      </c>
      <c r="F348" s="18" t="inlineStr">
        <is>
          <t>Rémunération personnel administratif &amp; pédagogique</t>
        </is>
      </c>
      <c r="G348" s="19" t="inlineStr">
        <is>
          <t>64 — Charges de personnel</t>
        </is>
      </c>
      <c r="H348" s="19" t="inlineStr">
        <is>
          <t>Charge</t>
        </is>
      </c>
      <c r="I348" s="19" t="inlineStr">
        <is>
          <t>Personnel</t>
        </is>
      </c>
      <c r="J348" s="19" t="inlineStr">
        <is>
          <t>2026ATT_VDEF</t>
        </is>
      </c>
      <c r="K348" s="19" t="inlineStr">
        <is>
          <t>2026 (Atterr.)</t>
        </is>
      </c>
      <c r="L348" s="13" t="n">
        <v>210000</v>
      </c>
    </row>
    <row r="349">
      <c r="A349" s="19" t="inlineStr">
        <is>
          <t>MBWAY_NANTES</t>
        </is>
      </c>
      <c r="B349" s="18" t="inlineStr">
        <is>
          <t>MBway Nantes</t>
        </is>
      </c>
      <c r="C349" s="19" t="inlineStr">
        <is>
          <t>MBway</t>
        </is>
      </c>
      <c r="D349" s="19" t="inlineStr">
        <is>
          <t>Nantes</t>
        </is>
      </c>
      <c r="E349" s="19" t="inlineStr">
        <is>
          <t>6413</t>
        </is>
      </c>
      <c r="F349" s="18" t="inlineStr">
        <is>
          <t>Rémunération personnel administratif &amp; pédagogique</t>
        </is>
      </c>
      <c r="G349" s="19" t="inlineStr">
        <is>
          <t>64 — Charges de personnel</t>
        </is>
      </c>
      <c r="H349" s="19" t="inlineStr">
        <is>
          <t>Charge</t>
        </is>
      </c>
      <c r="I349" s="19" t="inlineStr">
        <is>
          <t>Personnel</t>
        </is>
      </c>
      <c r="J349" s="19" t="inlineStr">
        <is>
          <t>2026ATT_VDEF</t>
        </is>
      </c>
      <c r="K349" s="19" t="inlineStr">
        <is>
          <t>2026 (Atterr.)</t>
        </is>
      </c>
      <c r="L349" s="13" t="n">
        <v>191943</v>
      </c>
    </row>
    <row r="350">
      <c r="A350" s="19" t="inlineStr">
        <is>
          <t>MBWAY_BORDEAUX</t>
        </is>
      </c>
      <c r="B350" s="18" t="inlineStr">
        <is>
          <t>MBway Bordeaux</t>
        </is>
      </c>
      <c r="C350" s="19" t="inlineStr">
        <is>
          <t>MBway</t>
        </is>
      </c>
      <c r="D350" s="19" t="inlineStr">
        <is>
          <t>Bordeaux</t>
        </is>
      </c>
      <c r="E350" s="19" t="inlineStr">
        <is>
          <t>6413</t>
        </is>
      </c>
      <c r="F350" s="18" t="inlineStr">
        <is>
          <t>Rémunération personnel administratif &amp; pédagogique</t>
        </is>
      </c>
      <c r="G350" s="19" t="inlineStr">
        <is>
          <t>64 — Charges de personnel</t>
        </is>
      </c>
      <c r="H350" s="19" t="inlineStr">
        <is>
          <t>Charge</t>
        </is>
      </c>
      <c r="I350" s="19" t="inlineStr">
        <is>
          <t>Personnel</t>
        </is>
      </c>
      <c r="J350" s="19" t="inlineStr">
        <is>
          <t>2026ATT_VDEF</t>
        </is>
      </c>
      <c r="K350" s="19" t="inlineStr">
        <is>
          <t>2026 (Atterr.)</t>
        </is>
      </c>
      <c r="L350" s="13" t="n">
        <v>162516</v>
      </c>
    </row>
    <row r="351">
      <c r="A351" s="19" t="inlineStr">
        <is>
          <t>ISCOM_PARIS</t>
        </is>
      </c>
      <c r="B351" s="18" t="inlineStr">
        <is>
          <t>ISCOM Paris</t>
        </is>
      </c>
      <c r="C351" s="19" t="inlineStr">
        <is>
          <t>ISCOM</t>
        </is>
      </c>
      <c r="D351" s="19" t="inlineStr">
        <is>
          <t>Paris</t>
        </is>
      </c>
      <c r="E351" s="19" t="inlineStr">
        <is>
          <t>6413</t>
        </is>
      </c>
      <c r="F351" s="18" t="inlineStr">
        <is>
          <t>Rémunération personnel administratif &amp; pédagogique</t>
        </is>
      </c>
      <c r="G351" s="19" t="inlineStr">
        <is>
          <t>64 — Charges de personnel</t>
        </is>
      </c>
      <c r="H351" s="19" t="inlineStr">
        <is>
          <t>Charge</t>
        </is>
      </c>
      <c r="I351" s="19" t="inlineStr">
        <is>
          <t>Personnel</t>
        </is>
      </c>
      <c r="J351" s="19" t="inlineStr">
        <is>
          <t>2026ATT_VDEF</t>
        </is>
      </c>
      <c r="K351" s="19" t="inlineStr">
        <is>
          <t>2026 (Atterr.)</t>
        </is>
      </c>
      <c r="L351" s="13" t="n">
        <v>230064</v>
      </c>
    </row>
    <row r="352">
      <c r="A352" s="19" t="inlineStr">
        <is>
          <t>ISCOM_LILLE</t>
        </is>
      </c>
      <c r="B352" s="18" t="inlineStr">
        <is>
          <t>ISCOM Lille</t>
        </is>
      </c>
      <c r="C352" s="19" t="inlineStr">
        <is>
          <t>ISCOM</t>
        </is>
      </c>
      <c r="D352" s="19" t="inlineStr">
        <is>
          <t>Lille</t>
        </is>
      </c>
      <c r="E352" s="19" t="inlineStr">
        <is>
          <t>6413</t>
        </is>
      </c>
      <c r="F352" s="18" t="inlineStr">
        <is>
          <t>Rémunération personnel administratif &amp; pédagogique</t>
        </is>
      </c>
      <c r="G352" s="19" t="inlineStr">
        <is>
          <t>64 — Charges de personnel</t>
        </is>
      </c>
      <c r="H352" s="19" t="inlineStr">
        <is>
          <t>Charge</t>
        </is>
      </c>
      <c r="I352" s="19" t="inlineStr">
        <is>
          <t>Personnel</t>
        </is>
      </c>
      <c r="J352" s="19" t="inlineStr">
        <is>
          <t>2026ATT_VDEF</t>
        </is>
      </c>
      <c r="K352" s="19" t="inlineStr">
        <is>
          <t>2026 (Atterr.)</t>
        </is>
      </c>
      <c r="L352" s="13" t="n">
        <v>159172</v>
      </c>
    </row>
    <row r="353">
      <c r="A353" s="19" t="inlineStr">
        <is>
          <t>ISCOM_TOULOUSE</t>
        </is>
      </c>
      <c r="B353" s="18" t="inlineStr">
        <is>
          <t>ISCOM Toulouse</t>
        </is>
      </c>
      <c r="C353" s="19" t="inlineStr">
        <is>
          <t>ISCOM</t>
        </is>
      </c>
      <c r="D353" s="19" t="inlineStr">
        <is>
          <t>Toulouse</t>
        </is>
      </c>
      <c r="E353" s="19" t="inlineStr">
        <is>
          <t>6413</t>
        </is>
      </c>
      <c r="F353" s="18" t="inlineStr">
        <is>
          <t>Rémunération personnel administratif &amp; pédagogique</t>
        </is>
      </c>
      <c r="G353" s="19" t="inlineStr">
        <is>
          <t>64 — Charges de personnel</t>
        </is>
      </c>
      <c r="H353" s="19" t="inlineStr">
        <is>
          <t>Charge</t>
        </is>
      </c>
      <c r="I353" s="19" t="inlineStr">
        <is>
          <t>Personnel</t>
        </is>
      </c>
      <c r="J353" s="19" t="inlineStr">
        <is>
          <t>2026ATT_VDEF</t>
        </is>
      </c>
      <c r="K353" s="19" t="inlineStr">
        <is>
          <t>2026 (Atterr.)</t>
        </is>
      </c>
      <c r="L353" s="13" t="n">
        <v>150478</v>
      </c>
    </row>
    <row r="354">
      <c r="A354" s="19" t="inlineStr">
        <is>
          <t>IPAC_BACHELOR_FACTORY_NANTES</t>
        </is>
      </c>
      <c r="B354" s="18" t="inlineStr">
        <is>
          <t>Ipac Bachelor Factory Nantes</t>
        </is>
      </c>
      <c r="C354" s="19" t="inlineStr">
        <is>
          <t>Ipac Bachelor Factory</t>
        </is>
      </c>
      <c r="D354" s="19" t="inlineStr">
        <is>
          <t>Nantes</t>
        </is>
      </c>
      <c r="E354" s="19" t="inlineStr">
        <is>
          <t>6413</t>
        </is>
      </c>
      <c r="F354" s="18" t="inlineStr">
        <is>
          <t>Rémunération personnel administratif &amp; pédagogique</t>
        </is>
      </c>
      <c r="G354" s="19" t="inlineStr">
        <is>
          <t>64 — Charges de personnel</t>
        </is>
      </c>
      <c r="H354" s="19" t="inlineStr">
        <is>
          <t>Charge</t>
        </is>
      </c>
      <c r="I354" s="19" t="inlineStr">
        <is>
          <t>Personnel</t>
        </is>
      </c>
      <c r="J354" s="19" t="inlineStr">
        <is>
          <t>2026ATT_VDEF</t>
        </is>
      </c>
      <c r="K354" s="19" t="inlineStr">
        <is>
          <t>2026 (Atterr.)</t>
        </is>
      </c>
      <c r="L354" s="13" t="n">
        <v>93631</v>
      </c>
    </row>
    <row r="355">
      <c r="A355" s="19" t="inlineStr">
        <is>
          <t>IPAC_BACHELOR_FACTORY_RENNES</t>
        </is>
      </c>
      <c r="B355" s="18" t="inlineStr">
        <is>
          <t>Ipac Bachelor Factory Rennes</t>
        </is>
      </c>
      <c r="C355" s="19" t="inlineStr">
        <is>
          <t>Ipac Bachelor Factory</t>
        </is>
      </c>
      <c r="D355" s="19" t="inlineStr">
        <is>
          <t>Rennes</t>
        </is>
      </c>
      <c r="E355" s="19" t="inlineStr">
        <is>
          <t>6413</t>
        </is>
      </c>
      <c r="F355" s="18" t="inlineStr">
        <is>
          <t>Rémunération personnel administratif &amp; pédagogique</t>
        </is>
      </c>
      <c r="G355" s="19" t="inlineStr">
        <is>
          <t>64 — Charges de personnel</t>
        </is>
      </c>
      <c r="H355" s="19" t="inlineStr">
        <is>
          <t>Charge</t>
        </is>
      </c>
      <c r="I355" s="19" t="inlineStr">
        <is>
          <t>Personnel</t>
        </is>
      </c>
      <c r="J355" s="19" t="inlineStr">
        <is>
          <t>2026ATT_VDEF</t>
        </is>
      </c>
      <c r="K355" s="19" t="inlineStr">
        <is>
          <t>2026 (Atterr.)</t>
        </is>
      </c>
      <c r="L355" s="13" t="n">
        <v>74905</v>
      </c>
    </row>
    <row r="356">
      <c r="A356" s="19" t="inlineStr">
        <is>
          <t>IPAC_BACHELOR_FACTORY_MONTPELLIER</t>
        </is>
      </c>
      <c r="B356" s="18" t="inlineStr">
        <is>
          <t>Ipac Bachelor Factory Montpellier</t>
        </is>
      </c>
      <c r="C356" s="19" t="inlineStr">
        <is>
          <t>Ipac Bachelor Factory</t>
        </is>
      </c>
      <c r="D356" s="19" t="inlineStr">
        <is>
          <t>Montpellier</t>
        </is>
      </c>
      <c r="E356" s="19" t="inlineStr">
        <is>
          <t>6413</t>
        </is>
      </c>
      <c r="F356" s="18" t="inlineStr">
        <is>
          <t>Rémunération personnel administratif &amp; pédagogique</t>
        </is>
      </c>
      <c r="G356" s="19" t="inlineStr">
        <is>
          <t>64 — Charges de personnel</t>
        </is>
      </c>
      <c r="H356" s="19" t="inlineStr">
        <is>
          <t>Charge</t>
        </is>
      </c>
      <c r="I356" s="19" t="inlineStr">
        <is>
          <t>Personnel</t>
        </is>
      </c>
      <c r="J356" s="19" t="inlineStr">
        <is>
          <t>2026ATT_VDEF</t>
        </is>
      </c>
      <c r="K356" s="19" t="inlineStr">
        <is>
          <t>2026 (Atterr.)</t>
        </is>
      </c>
      <c r="L356" s="13" t="n">
        <v>74905</v>
      </c>
    </row>
    <row r="357">
      <c r="A357" s="19" t="inlineStr">
        <is>
          <t>PIGIER_LYON</t>
        </is>
      </c>
      <c r="B357" s="18" t="inlineStr">
        <is>
          <t>Pigier Lyon</t>
        </is>
      </c>
      <c r="C357" s="19" t="inlineStr">
        <is>
          <t>Pigier</t>
        </is>
      </c>
      <c r="D357" s="19" t="inlineStr">
        <is>
          <t>Lyon</t>
        </is>
      </c>
      <c r="E357" s="19" t="inlineStr">
        <is>
          <t>6413</t>
        </is>
      </c>
      <c r="F357" s="18" t="inlineStr">
        <is>
          <t>Rémunération personnel administratif &amp; pédagogique</t>
        </is>
      </c>
      <c r="G357" s="19" t="inlineStr">
        <is>
          <t>64 — Charges de personnel</t>
        </is>
      </c>
      <c r="H357" s="19" t="inlineStr">
        <is>
          <t>Charge</t>
        </is>
      </c>
      <c r="I357" s="19" t="inlineStr">
        <is>
          <t>Personnel</t>
        </is>
      </c>
      <c r="J357" s="19" t="inlineStr">
        <is>
          <t>2026ATT_VDEF</t>
        </is>
      </c>
      <c r="K357" s="19" t="inlineStr">
        <is>
          <t>2026 (Atterr.)</t>
        </is>
      </c>
      <c r="L357" s="13" t="n">
        <v>119714</v>
      </c>
    </row>
    <row r="358">
      <c r="A358" s="19" t="inlineStr">
        <is>
          <t>PIGIER_BORDEAUX</t>
        </is>
      </c>
      <c r="B358" s="18" t="inlineStr">
        <is>
          <t>Pigier Bordeaux</t>
        </is>
      </c>
      <c r="C358" s="19" t="inlineStr">
        <is>
          <t>Pigier</t>
        </is>
      </c>
      <c r="D358" s="19" t="inlineStr">
        <is>
          <t>Bordeaux</t>
        </is>
      </c>
      <c r="E358" s="19" t="inlineStr">
        <is>
          <t>6413</t>
        </is>
      </c>
      <c r="F358" s="18" t="inlineStr">
        <is>
          <t>Rémunération personnel administratif &amp; pédagogique</t>
        </is>
      </c>
      <c r="G358" s="19" t="inlineStr">
        <is>
          <t>64 — Charges de personnel</t>
        </is>
      </c>
      <c r="H358" s="19" t="inlineStr">
        <is>
          <t>Charge</t>
        </is>
      </c>
      <c r="I358" s="19" t="inlineStr">
        <is>
          <t>Personnel</t>
        </is>
      </c>
      <c r="J358" s="19" t="inlineStr">
        <is>
          <t>2026ATT_VDEF</t>
        </is>
      </c>
      <c r="K358" s="19" t="inlineStr">
        <is>
          <t>2026 (Atterr.)</t>
        </is>
      </c>
      <c r="L358" s="13" t="n">
        <v>93631</v>
      </c>
    </row>
    <row r="359">
      <c r="A359" s="19" t="inlineStr">
        <is>
          <t>TUNON_PARIS</t>
        </is>
      </c>
      <c r="B359" s="18" t="inlineStr">
        <is>
          <t>Tunon Paris</t>
        </is>
      </c>
      <c r="C359" s="19" t="inlineStr">
        <is>
          <t>Tunon</t>
        </is>
      </c>
      <c r="D359" s="19" t="inlineStr">
        <is>
          <t>Paris</t>
        </is>
      </c>
      <c r="E359" s="19" t="inlineStr">
        <is>
          <t>6413</t>
        </is>
      </c>
      <c r="F359" s="18" t="inlineStr">
        <is>
          <t>Rémunération personnel administratif &amp; pédagogique</t>
        </is>
      </c>
      <c r="G359" s="19" t="inlineStr">
        <is>
          <t>64 — Charges de personnel</t>
        </is>
      </c>
      <c r="H359" s="19" t="inlineStr">
        <is>
          <t>Charge</t>
        </is>
      </c>
      <c r="I359" s="19" t="inlineStr">
        <is>
          <t>Personnel</t>
        </is>
      </c>
      <c r="J359" s="19" t="inlineStr">
        <is>
          <t>2026ATT_VDEF</t>
        </is>
      </c>
      <c r="K359" s="19" t="inlineStr">
        <is>
          <t>2026 (Atterr.)</t>
        </is>
      </c>
      <c r="L359" s="13" t="n">
        <v>88949</v>
      </c>
    </row>
    <row r="360">
      <c r="A360" s="19" t="inlineStr">
        <is>
          <t>TUNON_LYON</t>
        </is>
      </c>
      <c r="B360" s="18" t="inlineStr">
        <is>
          <t>Tunon Lyon</t>
        </is>
      </c>
      <c r="C360" s="19" t="inlineStr">
        <is>
          <t>Tunon</t>
        </is>
      </c>
      <c r="D360" s="19" t="inlineStr">
        <is>
          <t>Lyon</t>
        </is>
      </c>
      <c r="E360" s="19" t="inlineStr">
        <is>
          <t>6413</t>
        </is>
      </c>
      <c r="F360" s="18" t="inlineStr">
        <is>
          <t>Rémunération personnel administratif &amp; pédagogique</t>
        </is>
      </c>
      <c r="G360" s="19" t="inlineStr">
        <is>
          <t>64 — Charges de personnel</t>
        </is>
      </c>
      <c r="H360" s="19" t="inlineStr">
        <is>
          <t>Charge</t>
        </is>
      </c>
      <c r="I360" s="19" t="inlineStr">
        <is>
          <t>Personnel</t>
        </is>
      </c>
      <c r="J360" s="19" t="inlineStr">
        <is>
          <t>2026ATT_VDEF</t>
        </is>
      </c>
      <c r="K360" s="19" t="inlineStr">
        <is>
          <t>2026 (Atterr.)</t>
        </is>
      </c>
      <c r="L360" s="13" t="n">
        <v>74905</v>
      </c>
    </row>
    <row r="361">
      <c r="A361" s="19" t="inlineStr">
        <is>
          <t>GROUPE</t>
        </is>
      </c>
      <c r="B361" s="18" t="inlineStr">
        <is>
          <t>GROUPE — Siège</t>
        </is>
      </c>
      <c r="C361" s="19" t="inlineStr">
        <is>
          <t>(groupe)</t>
        </is>
      </c>
      <c r="D361" s="19" t="inlineStr">
        <is>
          <t>(groupe)</t>
        </is>
      </c>
      <c r="E361" s="19" t="inlineStr">
        <is>
          <t>6414</t>
        </is>
      </c>
      <c r="F361" s="18" t="inlineStr">
        <is>
          <t>Rémunération direction &amp; fonctions support (siège)</t>
        </is>
      </c>
      <c r="G361" s="19" t="inlineStr">
        <is>
          <t>64 — Charges de personnel</t>
        </is>
      </c>
      <c r="H361" s="19" t="inlineStr">
        <is>
          <t>Charge</t>
        </is>
      </c>
      <c r="I361" s="19" t="inlineStr">
        <is>
          <t>Personnel</t>
        </is>
      </c>
      <c r="J361" s="19" t="inlineStr">
        <is>
          <t>2024ACT_VDEF</t>
        </is>
      </c>
      <c r="K361" s="19" t="inlineStr">
        <is>
          <t>2024 (N-2)</t>
        </is>
      </c>
      <c r="L361" s="13" t="n">
        <v>1091383</v>
      </c>
    </row>
    <row r="362">
      <c r="A362" s="19" t="inlineStr">
        <is>
          <t>GROUPE</t>
        </is>
      </c>
      <c r="B362" s="18" t="inlineStr">
        <is>
          <t>GROUPE — Siège</t>
        </is>
      </c>
      <c r="C362" s="19" t="inlineStr">
        <is>
          <t>(groupe)</t>
        </is>
      </c>
      <c r="D362" s="19" t="inlineStr">
        <is>
          <t>(groupe)</t>
        </is>
      </c>
      <c r="E362" s="19" t="inlineStr">
        <is>
          <t>6414</t>
        </is>
      </c>
      <c r="F362" s="18" t="inlineStr">
        <is>
          <t>Rémunération direction &amp; fonctions support (siège)</t>
        </is>
      </c>
      <c r="G362" s="19" t="inlineStr">
        <is>
          <t>64 — Charges de personnel</t>
        </is>
      </c>
      <c r="H362" s="19" t="inlineStr">
        <is>
          <t>Charge</t>
        </is>
      </c>
      <c r="I362" s="19" t="inlineStr">
        <is>
          <t>Personnel</t>
        </is>
      </c>
      <c r="J362" s="19" t="inlineStr">
        <is>
          <t>2025ACT_VDEF</t>
        </is>
      </c>
      <c r="K362" s="19" t="inlineStr">
        <is>
          <t>2025 (N-1)</t>
        </is>
      </c>
      <c r="L362" s="13" t="n">
        <v>1146204</v>
      </c>
    </row>
    <row r="363">
      <c r="A363" s="19" t="inlineStr">
        <is>
          <t>GROUPE</t>
        </is>
      </c>
      <c r="B363" s="18" t="inlineStr">
        <is>
          <t>GROUPE — Siège</t>
        </is>
      </c>
      <c r="C363" s="19" t="inlineStr">
        <is>
          <t>(groupe)</t>
        </is>
      </c>
      <c r="D363" s="19" t="inlineStr">
        <is>
          <t>(groupe)</t>
        </is>
      </c>
      <c r="E363" s="19" t="inlineStr">
        <is>
          <t>6414</t>
        </is>
      </c>
      <c r="F363" s="18" t="inlineStr">
        <is>
          <t>Rémunération direction &amp; fonctions support (siège)</t>
        </is>
      </c>
      <c r="G363" s="19" t="inlineStr">
        <is>
          <t>64 — Charges de personnel</t>
        </is>
      </c>
      <c r="H363" s="19" t="inlineStr">
        <is>
          <t>Charge</t>
        </is>
      </c>
      <c r="I363" s="19" t="inlineStr">
        <is>
          <t>Personnel</t>
        </is>
      </c>
      <c r="J363" s="19" t="inlineStr">
        <is>
          <t>2026ATT_VDEF</t>
        </is>
      </c>
      <c r="K363" s="19" t="inlineStr">
        <is>
          <t>2026 (Atterr.)</t>
        </is>
      </c>
      <c r="L363" s="13" t="n">
        <v>1206499</v>
      </c>
    </row>
    <row r="364">
      <c r="A364" s="19" t="inlineStr">
        <is>
          <t>MBWAY_PARIS</t>
        </is>
      </c>
      <c r="B364" s="18" t="inlineStr">
        <is>
          <t>MBway Paris</t>
        </is>
      </c>
      <c r="C364" s="19" t="inlineStr">
        <is>
          <t>MBway</t>
        </is>
      </c>
      <c r="D364" s="19" t="inlineStr">
        <is>
          <t>Paris</t>
        </is>
      </c>
      <c r="E364" s="19" t="inlineStr">
        <is>
          <t>645</t>
        </is>
      </c>
      <c r="F364" s="18" t="inlineStr">
        <is>
          <t>Charges sociales &amp; de prévoyance</t>
        </is>
      </c>
      <c r="G364" s="19" t="inlineStr">
        <is>
          <t>64 — Charges de personnel</t>
        </is>
      </c>
      <c r="H364" s="19" t="inlineStr">
        <is>
          <t>Charge</t>
        </is>
      </c>
      <c r="I364" s="19" t="inlineStr">
        <is>
          <t>Personnel</t>
        </is>
      </c>
      <c r="J364" s="19" t="inlineStr">
        <is>
          <t>2024ACT_VDEF</t>
        </is>
      </c>
      <c r="K364" s="19" t="inlineStr">
        <is>
          <t>2024 (N-2)</t>
        </is>
      </c>
      <c r="L364" s="13" t="n">
        <v>351023</v>
      </c>
    </row>
    <row r="365">
      <c r="A365" s="19" t="inlineStr">
        <is>
          <t>MBWAY_LYON</t>
        </is>
      </c>
      <c r="B365" s="18" t="inlineStr">
        <is>
          <t>MBway Lyon</t>
        </is>
      </c>
      <c r="C365" s="19" t="inlineStr">
        <is>
          <t>MBway</t>
        </is>
      </c>
      <c r="D365" s="19" t="inlineStr">
        <is>
          <t>Lyon</t>
        </is>
      </c>
      <c r="E365" s="19" t="inlineStr">
        <is>
          <t>645</t>
        </is>
      </c>
      <c r="F365" s="18" t="inlineStr">
        <is>
          <t>Charges sociales &amp; de prévoyance</t>
        </is>
      </c>
      <c r="G365" s="19" t="inlineStr">
        <is>
          <t>64 — Charges de personnel</t>
        </is>
      </c>
      <c r="H365" s="19" t="inlineStr">
        <is>
          <t>Charge</t>
        </is>
      </c>
      <c r="I365" s="19" t="inlineStr">
        <is>
          <t>Personnel</t>
        </is>
      </c>
      <c r="J365" s="19" t="inlineStr">
        <is>
          <t>2024ACT_VDEF</t>
        </is>
      </c>
      <c r="K365" s="19" t="inlineStr">
        <is>
          <t>2024 (N-2)</t>
        </is>
      </c>
      <c r="L365" s="13" t="n">
        <v>295499</v>
      </c>
    </row>
    <row r="366">
      <c r="A366" s="19" t="inlineStr">
        <is>
          <t>MBWAY_NANTES</t>
        </is>
      </c>
      <c r="B366" s="18" t="inlineStr">
        <is>
          <t>MBway Nantes</t>
        </is>
      </c>
      <c r="C366" s="19" t="inlineStr">
        <is>
          <t>MBway</t>
        </is>
      </c>
      <c r="D366" s="19" t="inlineStr">
        <is>
          <t>Nantes</t>
        </is>
      </c>
      <c r="E366" s="19" t="inlineStr">
        <is>
          <t>645</t>
        </is>
      </c>
      <c r="F366" s="18" t="inlineStr">
        <is>
          <t>Charges sociales &amp; de prévoyance</t>
        </is>
      </c>
      <c r="G366" s="19" t="inlineStr">
        <is>
          <t>64 — Charges de personnel</t>
        </is>
      </c>
      <c r="H366" s="19" t="inlineStr">
        <is>
          <t>Charge</t>
        </is>
      </c>
      <c r="I366" s="19" t="inlineStr">
        <is>
          <t>Personnel</t>
        </is>
      </c>
      <c r="J366" s="19" t="inlineStr">
        <is>
          <t>2024ACT_VDEF</t>
        </is>
      </c>
      <c r="K366" s="19" t="inlineStr">
        <is>
          <t>2024 (N-2)</t>
        </is>
      </c>
      <c r="L366" s="13" t="n">
        <v>270090</v>
      </c>
    </row>
    <row r="367">
      <c r="A367" s="19" t="inlineStr">
        <is>
          <t>MBWAY_BORDEAUX</t>
        </is>
      </c>
      <c r="B367" s="18" t="inlineStr">
        <is>
          <t>MBway Bordeaux</t>
        </is>
      </c>
      <c r="C367" s="19" t="inlineStr">
        <is>
          <t>MBway</t>
        </is>
      </c>
      <c r="D367" s="19" t="inlineStr">
        <is>
          <t>Bordeaux</t>
        </is>
      </c>
      <c r="E367" s="19" t="inlineStr">
        <is>
          <t>645</t>
        </is>
      </c>
      <c r="F367" s="18" t="inlineStr">
        <is>
          <t>Charges sociales &amp; de prévoyance</t>
        </is>
      </c>
      <c r="G367" s="19" t="inlineStr">
        <is>
          <t>64 — Charges de personnel</t>
        </is>
      </c>
      <c r="H367" s="19" t="inlineStr">
        <is>
          <t>Charge</t>
        </is>
      </c>
      <c r="I367" s="19" t="inlineStr">
        <is>
          <t>Personnel</t>
        </is>
      </c>
      <c r="J367" s="19" t="inlineStr">
        <is>
          <t>2024ACT_VDEF</t>
        </is>
      </c>
      <c r="K367" s="19" t="inlineStr">
        <is>
          <t>2024 (N-2)</t>
        </is>
      </c>
      <c r="L367" s="13" t="n">
        <v>228682</v>
      </c>
    </row>
    <row r="368">
      <c r="A368" s="19" t="inlineStr">
        <is>
          <t>ISCOM_PARIS</t>
        </is>
      </c>
      <c r="B368" s="18" t="inlineStr">
        <is>
          <t>ISCOM Paris</t>
        </is>
      </c>
      <c r="C368" s="19" t="inlineStr">
        <is>
          <t>ISCOM</t>
        </is>
      </c>
      <c r="D368" s="19" t="inlineStr">
        <is>
          <t>Paris</t>
        </is>
      </c>
      <c r="E368" s="19" t="inlineStr">
        <is>
          <t>645</t>
        </is>
      </c>
      <c r="F368" s="18" t="inlineStr">
        <is>
          <t>Charges sociales &amp; de prévoyance</t>
        </is>
      </c>
      <c r="G368" s="19" t="inlineStr">
        <is>
          <t>64 — Charges de personnel</t>
        </is>
      </c>
      <c r="H368" s="19" t="inlineStr">
        <is>
          <t>Charge</t>
        </is>
      </c>
      <c r="I368" s="19" t="inlineStr">
        <is>
          <t>Personnel</t>
        </is>
      </c>
      <c r="J368" s="19" t="inlineStr">
        <is>
          <t>2024ACT_VDEF</t>
        </is>
      </c>
      <c r="K368" s="19" t="inlineStr">
        <is>
          <t>2024 (N-2)</t>
        </is>
      </c>
      <c r="L368" s="13" t="n">
        <v>323731</v>
      </c>
    </row>
    <row r="369">
      <c r="A369" s="19" t="inlineStr">
        <is>
          <t>ISCOM_LILLE</t>
        </is>
      </c>
      <c r="B369" s="18" t="inlineStr">
        <is>
          <t>ISCOM Lille</t>
        </is>
      </c>
      <c r="C369" s="19" t="inlineStr">
        <is>
          <t>ISCOM</t>
        </is>
      </c>
      <c r="D369" s="19" t="inlineStr">
        <is>
          <t>Lille</t>
        </is>
      </c>
      <c r="E369" s="19" t="inlineStr">
        <is>
          <t>645</t>
        </is>
      </c>
      <c r="F369" s="18" t="inlineStr">
        <is>
          <t>Charges sociales &amp; de prévoyance</t>
        </is>
      </c>
      <c r="G369" s="19" t="inlineStr">
        <is>
          <t>64 — Charges de personnel</t>
        </is>
      </c>
      <c r="H369" s="19" t="inlineStr">
        <is>
          <t>Charge</t>
        </is>
      </c>
      <c r="I369" s="19" t="inlineStr">
        <is>
          <t>Personnel</t>
        </is>
      </c>
      <c r="J369" s="19" t="inlineStr">
        <is>
          <t>2024ACT_VDEF</t>
        </is>
      </c>
      <c r="K369" s="19" t="inlineStr">
        <is>
          <t>2024 (N-2)</t>
        </is>
      </c>
      <c r="L369" s="13" t="n">
        <v>223977</v>
      </c>
    </row>
    <row r="370">
      <c r="A370" s="19" t="inlineStr">
        <is>
          <t>ISCOM_TOULOUSE</t>
        </is>
      </c>
      <c r="B370" s="18" t="inlineStr">
        <is>
          <t>ISCOM Toulouse</t>
        </is>
      </c>
      <c r="C370" s="19" t="inlineStr">
        <is>
          <t>ISCOM</t>
        </is>
      </c>
      <c r="D370" s="19" t="inlineStr">
        <is>
          <t>Toulouse</t>
        </is>
      </c>
      <c r="E370" s="19" t="inlineStr">
        <is>
          <t>645</t>
        </is>
      </c>
      <c r="F370" s="18" t="inlineStr">
        <is>
          <t>Charges sociales &amp; de prévoyance</t>
        </is>
      </c>
      <c r="G370" s="19" t="inlineStr">
        <is>
          <t>64 — Charges de personnel</t>
        </is>
      </c>
      <c r="H370" s="19" t="inlineStr">
        <is>
          <t>Charge</t>
        </is>
      </c>
      <c r="I370" s="19" t="inlineStr">
        <is>
          <t>Personnel</t>
        </is>
      </c>
      <c r="J370" s="19" t="inlineStr">
        <is>
          <t>2024ACT_VDEF</t>
        </is>
      </c>
      <c r="K370" s="19" t="inlineStr">
        <is>
          <t>2024 (N-2)</t>
        </is>
      </c>
      <c r="L370" s="13" t="n">
        <v>211743</v>
      </c>
    </row>
    <row r="371">
      <c r="A371" s="19" t="inlineStr">
        <is>
          <t>IPAC_BACHELOR_FACTORY_NANTES</t>
        </is>
      </c>
      <c r="B371" s="18" t="inlineStr">
        <is>
          <t>Ipac Bachelor Factory Nantes</t>
        </is>
      </c>
      <c r="C371" s="19" t="inlineStr">
        <is>
          <t>Ipac Bachelor Factory</t>
        </is>
      </c>
      <c r="D371" s="19" t="inlineStr">
        <is>
          <t>Nantes</t>
        </is>
      </c>
      <c r="E371" s="19" t="inlineStr">
        <is>
          <t>645</t>
        </is>
      </c>
      <c r="F371" s="18" t="inlineStr">
        <is>
          <t>Charges sociales &amp; de prévoyance</t>
        </is>
      </c>
      <c r="G371" s="19" t="inlineStr">
        <is>
          <t>64 — Charges de personnel</t>
        </is>
      </c>
      <c r="H371" s="19" t="inlineStr">
        <is>
          <t>Charge</t>
        </is>
      </c>
      <c r="I371" s="19" t="inlineStr">
        <is>
          <t>Personnel</t>
        </is>
      </c>
      <c r="J371" s="19" t="inlineStr">
        <is>
          <t>2024ACT_VDEF</t>
        </is>
      </c>
      <c r="K371" s="19" t="inlineStr">
        <is>
          <t>2024 (N-2)</t>
        </is>
      </c>
      <c r="L371" s="13" t="n">
        <v>131751</v>
      </c>
    </row>
    <row r="372">
      <c r="A372" s="19" t="inlineStr">
        <is>
          <t>IPAC_BACHELOR_FACTORY_RENNES</t>
        </is>
      </c>
      <c r="B372" s="18" t="inlineStr">
        <is>
          <t>Ipac Bachelor Factory Rennes</t>
        </is>
      </c>
      <c r="C372" s="19" t="inlineStr">
        <is>
          <t>Ipac Bachelor Factory</t>
        </is>
      </c>
      <c r="D372" s="19" t="inlineStr">
        <is>
          <t>Rennes</t>
        </is>
      </c>
      <c r="E372" s="19" t="inlineStr">
        <is>
          <t>645</t>
        </is>
      </c>
      <c r="F372" s="18" t="inlineStr">
        <is>
          <t>Charges sociales &amp; de prévoyance</t>
        </is>
      </c>
      <c r="G372" s="19" t="inlineStr">
        <is>
          <t>64 — Charges de personnel</t>
        </is>
      </c>
      <c r="H372" s="19" t="inlineStr">
        <is>
          <t>Charge</t>
        </is>
      </c>
      <c r="I372" s="19" t="inlineStr">
        <is>
          <t>Personnel</t>
        </is>
      </c>
      <c r="J372" s="19" t="inlineStr">
        <is>
          <t>2024ACT_VDEF</t>
        </is>
      </c>
      <c r="K372" s="19" t="inlineStr">
        <is>
          <t>2024 (N-2)</t>
        </is>
      </c>
      <c r="L372" s="13" t="n">
        <v>105401</v>
      </c>
    </row>
    <row r="373">
      <c r="A373" s="19" t="inlineStr">
        <is>
          <t>IPAC_BACHELOR_FACTORY_MONTPELLIER</t>
        </is>
      </c>
      <c r="B373" s="18" t="inlineStr">
        <is>
          <t>Ipac Bachelor Factory Montpellier</t>
        </is>
      </c>
      <c r="C373" s="19" t="inlineStr">
        <is>
          <t>Ipac Bachelor Factory</t>
        </is>
      </c>
      <c r="D373" s="19" t="inlineStr">
        <is>
          <t>Montpellier</t>
        </is>
      </c>
      <c r="E373" s="19" t="inlineStr">
        <is>
          <t>645</t>
        </is>
      </c>
      <c r="F373" s="18" t="inlineStr">
        <is>
          <t>Charges sociales &amp; de prévoyance</t>
        </is>
      </c>
      <c r="G373" s="19" t="inlineStr">
        <is>
          <t>64 — Charges de personnel</t>
        </is>
      </c>
      <c r="H373" s="19" t="inlineStr">
        <is>
          <t>Charge</t>
        </is>
      </c>
      <c r="I373" s="19" t="inlineStr">
        <is>
          <t>Personnel</t>
        </is>
      </c>
      <c r="J373" s="19" t="inlineStr">
        <is>
          <t>2024ACT_VDEF</t>
        </is>
      </c>
      <c r="K373" s="19" t="inlineStr">
        <is>
          <t>2024 (N-2)</t>
        </is>
      </c>
      <c r="L373" s="13" t="n">
        <v>105401</v>
      </c>
    </row>
    <row r="374">
      <c r="A374" s="19" t="inlineStr">
        <is>
          <t>PIGIER_LYON</t>
        </is>
      </c>
      <c r="B374" s="18" t="inlineStr">
        <is>
          <t>Pigier Lyon</t>
        </is>
      </c>
      <c r="C374" s="19" t="inlineStr">
        <is>
          <t>Pigier</t>
        </is>
      </c>
      <c r="D374" s="19" t="inlineStr">
        <is>
          <t>Lyon</t>
        </is>
      </c>
      <c r="E374" s="19" t="inlineStr">
        <is>
          <t>645</t>
        </is>
      </c>
      <c r="F374" s="18" t="inlineStr">
        <is>
          <t>Charges sociales &amp; de prévoyance</t>
        </is>
      </c>
      <c r="G374" s="19" t="inlineStr">
        <is>
          <t>64 — Charges de personnel</t>
        </is>
      </c>
      <c r="H374" s="19" t="inlineStr">
        <is>
          <t>Charge</t>
        </is>
      </c>
      <c r="I374" s="19" t="inlineStr">
        <is>
          <t>Personnel</t>
        </is>
      </c>
      <c r="J374" s="19" t="inlineStr">
        <is>
          <t>2024ACT_VDEF</t>
        </is>
      </c>
      <c r="K374" s="19" t="inlineStr">
        <is>
          <t>2024 (N-2)</t>
        </is>
      </c>
      <c r="L374" s="13" t="n">
        <v>168453</v>
      </c>
    </row>
    <row r="375">
      <c r="A375" s="19" t="inlineStr">
        <is>
          <t>PIGIER_BORDEAUX</t>
        </is>
      </c>
      <c r="B375" s="18" t="inlineStr">
        <is>
          <t>Pigier Bordeaux</t>
        </is>
      </c>
      <c r="C375" s="19" t="inlineStr">
        <is>
          <t>Pigier</t>
        </is>
      </c>
      <c r="D375" s="19" t="inlineStr">
        <is>
          <t>Bordeaux</t>
        </is>
      </c>
      <c r="E375" s="19" t="inlineStr">
        <is>
          <t>645</t>
        </is>
      </c>
      <c r="F375" s="18" t="inlineStr">
        <is>
          <t>Charges sociales &amp; de prévoyance</t>
        </is>
      </c>
      <c r="G375" s="19" t="inlineStr">
        <is>
          <t>64 — Charges de personnel</t>
        </is>
      </c>
      <c r="H375" s="19" t="inlineStr">
        <is>
          <t>Charge</t>
        </is>
      </c>
      <c r="I375" s="19" t="inlineStr">
        <is>
          <t>Personnel</t>
        </is>
      </c>
      <c r="J375" s="19" t="inlineStr">
        <is>
          <t>2024ACT_VDEF</t>
        </is>
      </c>
      <c r="K375" s="19" t="inlineStr">
        <is>
          <t>2024 (N-2)</t>
        </is>
      </c>
      <c r="L375" s="13" t="n">
        <v>131751</v>
      </c>
    </row>
    <row r="376">
      <c r="A376" s="19" t="inlineStr">
        <is>
          <t>TUNON_PARIS</t>
        </is>
      </c>
      <c r="B376" s="18" t="inlineStr">
        <is>
          <t>Tunon Paris</t>
        </is>
      </c>
      <c r="C376" s="19" t="inlineStr">
        <is>
          <t>Tunon</t>
        </is>
      </c>
      <c r="D376" s="19" t="inlineStr">
        <is>
          <t>Paris</t>
        </is>
      </c>
      <c r="E376" s="19" t="inlineStr">
        <is>
          <t>645</t>
        </is>
      </c>
      <c r="F376" s="18" t="inlineStr">
        <is>
          <t>Charges sociales &amp; de prévoyance</t>
        </is>
      </c>
      <c r="G376" s="19" t="inlineStr">
        <is>
          <t>64 — Charges de personnel</t>
        </is>
      </c>
      <c r="H376" s="19" t="inlineStr">
        <is>
          <t>Charge</t>
        </is>
      </c>
      <c r="I376" s="19" t="inlineStr">
        <is>
          <t>Personnel</t>
        </is>
      </c>
      <c r="J376" s="19" t="inlineStr">
        <is>
          <t>2024ACT_VDEF</t>
        </is>
      </c>
      <c r="K376" s="19" t="inlineStr">
        <is>
          <t>2024 (N-2)</t>
        </is>
      </c>
      <c r="L376" s="13" t="n">
        <v>125164</v>
      </c>
    </row>
    <row r="377">
      <c r="A377" s="19" t="inlineStr">
        <is>
          <t>TUNON_LYON</t>
        </is>
      </c>
      <c r="B377" s="18" t="inlineStr">
        <is>
          <t>Tunon Lyon</t>
        </is>
      </c>
      <c r="C377" s="19" t="inlineStr">
        <is>
          <t>Tunon</t>
        </is>
      </c>
      <c r="D377" s="19" t="inlineStr">
        <is>
          <t>Lyon</t>
        </is>
      </c>
      <c r="E377" s="19" t="inlineStr">
        <is>
          <t>645</t>
        </is>
      </c>
      <c r="F377" s="18" t="inlineStr">
        <is>
          <t>Charges sociales &amp; de prévoyance</t>
        </is>
      </c>
      <c r="G377" s="19" t="inlineStr">
        <is>
          <t>64 — Charges de personnel</t>
        </is>
      </c>
      <c r="H377" s="19" t="inlineStr">
        <is>
          <t>Charge</t>
        </is>
      </c>
      <c r="I377" s="19" t="inlineStr">
        <is>
          <t>Personnel</t>
        </is>
      </c>
      <c r="J377" s="19" t="inlineStr">
        <is>
          <t>2024ACT_VDEF</t>
        </is>
      </c>
      <c r="K377" s="19" t="inlineStr">
        <is>
          <t>2024 (N-2)</t>
        </is>
      </c>
      <c r="L377" s="13" t="n">
        <v>105401</v>
      </c>
    </row>
    <row r="378">
      <c r="A378" s="19" t="inlineStr">
        <is>
          <t>MBWAY_PARIS</t>
        </is>
      </c>
      <c r="B378" s="18" t="inlineStr">
        <is>
          <t>MBway Paris</t>
        </is>
      </c>
      <c r="C378" s="19" t="inlineStr">
        <is>
          <t>MBway</t>
        </is>
      </c>
      <c r="D378" s="19" t="inlineStr">
        <is>
          <t>Paris</t>
        </is>
      </c>
      <c r="E378" s="19" t="inlineStr">
        <is>
          <t>645</t>
        </is>
      </c>
      <c r="F378" s="18" t="inlineStr">
        <is>
          <t>Charges sociales &amp; de prévoyance</t>
        </is>
      </c>
      <c r="G378" s="19" t="inlineStr">
        <is>
          <t>64 — Charges de personnel</t>
        </is>
      </c>
      <c r="H378" s="19" t="inlineStr">
        <is>
          <t>Charge</t>
        </is>
      </c>
      <c r="I378" s="19" t="inlineStr">
        <is>
          <t>Personnel</t>
        </is>
      </c>
      <c r="J378" s="19" t="inlineStr">
        <is>
          <t>2025ACT_VDEF</t>
        </is>
      </c>
      <c r="K378" s="19" t="inlineStr">
        <is>
          <t>2025 (N-1)</t>
        </is>
      </c>
      <c r="L378" s="13" t="n">
        <v>368655</v>
      </c>
    </row>
    <row r="379">
      <c r="A379" s="19" t="inlineStr">
        <is>
          <t>MBWAY_LYON</t>
        </is>
      </c>
      <c r="B379" s="18" t="inlineStr">
        <is>
          <t>MBway Lyon</t>
        </is>
      </c>
      <c r="C379" s="19" t="inlineStr">
        <is>
          <t>MBway</t>
        </is>
      </c>
      <c r="D379" s="19" t="inlineStr">
        <is>
          <t>Lyon</t>
        </is>
      </c>
      <c r="E379" s="19" t="inlineStr">
        <is>
          <t>645</t>
        </is>
      </c>
      <c r="F379" s="18" t="inlineStr">
        <is>
          <t>Charges sociales &amp; de prévoyance</t>
        </is>
      </c>
      <c r="G379" s="19" t="inlineStr">
        <is>
          <t>64 — Charges de personnel</t>
        </is>
      </c>
      <c r="H379" s="19" t="inlineStr">
        <is>
          <t>Charge</t>
        </is>
      </c>
      <c r="I379" s="19" t="inlineStr">
        <is>
          <t>Personnel</t>
        </is>
      </c>
      <c r="J379" s="19" t="inlineStr">
        <is>
          <t>2025ACT_VDEF</t>
        </is>
      </c>
      <c r="K379" s="19" t="inlineStr">
        <is>
          <t>2025 (N-1)</t>
        </is>
      </c>
      <c r="L379" s="13" t="n">
        <v>310342</v>
      </c>
    </row>
    <row r="380">
      <c r="A380" s="19" t="inlineStr">
        <is>
          <t>MBWAY_NANTES</t>
        </is>
      </c>
      <c r="B380" s="18" t="inlineStr">
        <is>
          <t>MBway Nantes</t>
        </is>
      </c>
      <c r="C380" s="19" t="inlineStr">
        <is>
          <t>MBway</t>
        </is>
      </c>
      <c r="D380" s="19" t="inlineStr">
        <is>
          <t>Nantes</t>
        </is>
      </c>
      <c r="E380" s="19" t="inlineStr">
        <is>
          <t>645</t>
        </is>
      </c>
      <c r="F380" s="18" t="inlineStr">
        <is>
          <t>Charges sociales &amp; de prévoyance</t>
        </is>
      </c>
      <c r="G380" s="19" t="inlineStr">
        <is>
          <t>64 — Charges de personnel</t>
        </is>
      </c>
      <c r="H380" s="19" t="inlineStr">
        <is>
          <t>Charge</t>
        </is>
      </c>
      <c r="I380" s="19" t="inlineStr">
        <is>
          <t>Personnel</t>
        </is>
      </c>
      <c r="J380" s="19" t="inlineStr">
        <is>
          <t>2025ACT_VDEF</t>
        </is>
      </c>
      <c r="K380" s="19" t="inlineStr">
        <is>
          <t>2025 (N-1)</t>
        </is>
      </c>
      <c r="L380" s="13" t="n">
        <v>283656</v>
      </c>
    </row>
    <row r="381">
      <c r="A381" s="19" t="inlineStr">
        <is>
          <t>MBWAY_BORDEAUX</t>
        </is>
      </c>
      <c r="B381" s="18" t="inlineStr">
        <is>
          <t>MBway Bordeaux</t>
        </is>
      </c>
      <c r="C381" s="19" t="inlineStr">
        <is>
          <t>MBway</t>
        </is>
      </c>
      <c r="D381" s="19" t="inlineStr">
        <is>
          <t>Bordeaux</t>
        </is>
      </c>
      <c r="E381" s="19" t="inlineStr">
        <is>
          <t>645</t>
        </is>
      </c>
      <c r="F381" s="18" t="inlineStr">
        <is>
          <t>Charges sociales &amp; de prévoyance</t>
        </is>
      </c>
      <c r="G381" s="19" t="inlineStr">
        <is>
          <t>64 — Charges de personnel</t>
        </is>
      </c>
      <c r="H381" s="19" t="inlineStr">
        <is>
          <t>Charge</t>
        </is>
      </c>
      <c r="I381" s="19" t="inlineStr">
        <is>
          <t>Personnel</t>
        </is>
      </c>
      <c r="J381" s="19" t="inlineStr">
        <is>
          <t>2025ACT_VDEF</t>
        </is>
      </c>
      <c r="K381" s="19" t="inlineStr">
        <is>
          <t>2025 (N-1)</t>
        </is>
      </c>
      <c r="L381" s="13" t="n">
        <v>240169</v>
      </c>
    </row>
    <row r="382">
      <c r="A382" s="19" t="inlineStr">
        <is>
          <t>ISCOM_PARIS</t>
        </is>
      </c>
      <c r="B382" s="18" t="inlineStr">
        <is>
          <t>ISCOM Paris</t>
        </is>
      </c>
      <c r="C382" s="19" t="inlineStr">
        <is>
          <t>ISCOM</t>
        </is>
      </c>
      <c r="D382" s="19" t="inlineStr">
        <is>
          <t>Paris</t>
        </is>
      </c>
      <c r="E382" s="19" t="inlineStr">
        <is>
          <t>645</t>
        </is>
      </c>
      <c r="F382" s="18" t="inlineStr">
        <is>
          <t>Charges sociales &amp; de prévoyance</t>
        </is>
      </c>
      <c r="G382" s="19" t="inlineStr">
        <is>
          <t>64 — Charges de personnel</t>
        </is>
      </c>
      <c r="H382" s="19" t="inlineStr">
        <is>
          <t>Charge</t>
        </is>
      </c>
      <c r="I382" s="19" t="inlineStr">
        <is>
          <t>Personnel</t>
        </is>
      </c>
      <c r="J382" s="19" t="inlineStr">
        <is>
          <t>2025ACT_VDEF</t>
        </is>
      </c>
      <c r="K382" s="19" t="inlineStr">
        <is>
          <t>2025 (N-1)</t>
        </is>
      </c>
      <c r="L382" s="13" t="n">
        <v>339992</v>
      </c>
    </row>
    <row r="383">
      <c r="A383" s="19" t="inlineStr">
        <is>
          <t>ISCOM_LILLE</t>
        </is>
      </c>
      <c r="B383" s="18" t="inlineStr">
        <is>
          <t>ISCOM Lille</t>
        </is>
      </c>
      <c r="C383" s="19" t="inlineStr">
        <is>
          <t>ISCOM</t>
        </is>
      </c>
      <c r="D383" s="19" t="inlineStr">
        <is>
          <t>Lille</t>
        </is>
      </c>
      <c r="E383" s="19" t="inlineStr">
        <is>
          <t>645</t>
        </is>
      </c>
      <c r="F383" s="18" t="inlineStr">
        <is>
          <t>Charges sociales &amp; de prévoyance</t>
        </is>
      </c>
      <c r="G383" s="19" t="inlineStr">
        <is>
          <t>64 — Charges de personnel</t>
        </is>
      </c>
      <c r="H383" s="19" t="inlineStr">
        <is>
          <t>Charge</t>
        </is>
      </c>
      <c r="I383" s="19" t="inlineStr">
        <is>
          <t>Personnel</t>
        </is>
      </c>
      <c r="J383" s="19" t="inlineStr">
        <is>
          <t>2025ACT_VDEF</t>
        </is>
      </c>
      <c r="K383" s="19" t="inlineStr">
        <is>
          <t>2025 (N-1)</t>
        </is>
      </c>
      <c r="L383" s="13" t="n">
        <v>235227</v>
      </c>
    </row>
    <row r="384">
      <c r="A384" s="19" t="inlineStr">
        <is>
          <t>ISCOM_TOULOUSE</t>
        </is>
      </c>
      <c r="B384" s="18" t="inlineStr">
        <is>
          <t>ISCOM Toulouse</t>
        </is>
      </c>
      <c r="C384" s="19" t="inlineStr">
        <is>
          <t>ISCOM</t>
        </is>
      </c>
      <c r="D384" s="19" t="inlineStr">
        <is>
          <t>Toulouse</t>
        </is>
      </c>
      <c r="E384" s="19" t="inlineStr">
        <is>
          <t>645</t>
        </is>
      </c>
      <c r="F384" s="18" t="inlineStr">
        <is>
          <t>Charges sociales &amp; de prévoyance</t>
        </is>
      </c>
      <c r="G384" s="19" t="inlineStr">
        <is>
          <t>64 — Charges de personnel</t>
        </is>
      </c>
      <c r="H384" s="19" t="inlineStr">
        <is>
          <t>Charge</t>
        </is>
      </c>
      <c r="I384" s="19" t="inlineStr">
        <is>
          <t>Personnel</t>
        </is>
      </c>
      <c r="J384" s="19" t="inlineStr">
        <is>
          <t>2025ACT_VDEF</t>
        </is>
      </c>
      <c r="K384" s="19" t="inlineStr">
        <is>
          <t>2025 (N-1)</t>
        </is>
      </c>
      <c r="L384" s="13" t="n">
        <v>222379</v>
      </c>
    </row>
    <row r="385">
      <c r="A385" s="19" t="inlineStr">
        <is>
          <t>IPAC_BACHELOR_FACTORY_NANTES</t>
        </is>
      </c>
      <c r="B385" s="18" t="inlineStr">
        <is>
          <t>Ipac Bachelor Factory Nantes</t>
        </is>
      </c>
      <c r="C385" s="19" t="inlineStr">
        <is>
          <t>Ipac Bachelor Factory</t>
        </is>
      </c>
      <c r="D385" s="19" t="inlineStr">
        <is>
          <t>Nantes</t>
        </is>
      </c>
      <c r="E385" s="19" t="inlineStr">
        <is>
          <t>645</t>
        </is>
      </c>
      <c r="F385" s="18" t="inlineStr">
        <is>
          <t>Charges sociales &amp; de prévoyance</t>
        </is>
      </c>
      <c r="G385" s="19" t="inlineStr">
        <is>
          <t>64 — Charges de personnel</t>
        </is>
      </c>
      <c r="H385" s="19" t="inlineStr">
        <is>
          <t>Charge</t>
        </is>
      </c>
      <c r="I385" s="19" t="inlineStr">
        <is>
          <t>Personnel</t>
        </is>
      </c>
      <c r="J385" s="19" t="inlineStr">
        <is>
          <t>2025ACT_VDEF</t>
        </is>
      </c>
      <c r="K385" s="19" t="inlineStr">
        <is>
          <t>2025 (N-1)</t>
        </is>
      </c>
      <c r="L385" s="13" t="n">
        <v>138369</v>
      </c>
    </row>
    <row r="386">
      <c r="A386" s="19" t="inlineStr">
        <is>
          <t>IPAC_BACHELOR_FACTORY_RENNES</t>
        </is>
      </c>
      <c r="B386" s="18" t="inlineStr">
        <is>
          <t>Ipac Bachelor Factory Rennes</t>
        </is>
      </c>
      <c r="C386" s="19" t="inlineStr">
        <is>
          <t>Ipac Bachelor Factory</t>
        </is>
      </c>
      <c r="D386" s="19" t="inlineStr">
        <is>
          <t>Rennes</t>
        </is>
      </c>
      <c r="E386" s="19" t="inlineStr">
        <is>
          <t>645</t>
        </is>
      </c>
      <c r="F386" s="18" t="inlineStr">
        <is>
          <t>Charges sociales &amp; de prévoyance</t>
        </is>
      </c>
      <c r="G386" s="19" t="inlineStr">
        <is>
          <t>64 — Charges de personnel</t>
        </is>
      </c>
      <c r="H386" s="19" t="inlineStr">
        <is>
          <t>Charge</t>
        </is>
      </c>
      <c r="I386" s="19" t="inlineStr">
        <is>
          <t>Personnel</t>
        </is>
      </c>
      <c r="J386" s="19" t="inlineStr">
        <is>
          <t>2025ACT_VDEF</t>
        </is>
      </c>
      <c r="K386" s="19" t="inlineStr">
        <is>
          <t>2025 (N-1)</t>
        </is>
      </c>
      <c r="L386" s="13" t="n">
        <v>110695</v>
      </c>
    </row>
    <row r="387">
      <c r="A387" s="19" t="inlineStr">
        <is>
          <t>IPAC_BACHELOR_FACTORY_MONTPELLIER</t>
        </is>
      </c>
      <c r="B387" s="18" t="inlineStr">
        <is>
          <t>Ipac Bachelor Factory Montpellier</t>
        </is>
      </c>
      <c r="C387" s="19" t="inlineStr">
        <is>
          <t>Ipac Bachelor Factory</t>
        </is>
      </c>
      <c r="D387" s="19" t="inlineStr">
        <is>
          <t>Montpellier</t>
        </is>
      </c>
      <c r="E387" s="19" t="inlineStr">
        <is>
          <t>645</t>
        </is>
      </c>
      <c r="F387" s="18" t="inlineStr">
        <is>
          <t>Charges sociales &amp; de prévoyance</t>
        </is>
      </c>
      <c r="G387" s="19" t="inlineStr">
        <is>
          <t>64 — Charges de personnel</t>
        </is>
      </c>
      <c r="H387" s="19" t="inlineStr">
        <is>
          <t>Charge</t>
        </is>
      </c>
      <c r="I387" s="19" t="inlineStr">
        <is>
          <t>Personnel</t>
        </is>
      </c>
      <c r="J387" s="19" t="inlineStr">
        <is>
          <t>2025ACT_VDEF</t>
        </is>
      </c>
      <c r="K387" s="19" t="inlineStr">
        <is>
          <t>2025 (N-1)</t>
        </is>
      </c>
      <c r="L387" s="13" t="n">
        <v>110695</v>
      </c>
    </row>
    <row r="388">
      <c r="A388" s="19" t="inlineStr">
        <is>
          <t>PIGIER_LYON</t>
        </is>
      </c>
      <c r="B388" s="18" t="inlineStr">
        <is>
          <t>Pigier Lyon</t>
        </is>
      </c>
      <c r="C388" s="19" t="inlineStr">
        <is>
          <t>Pigier</t>
        </is>
      </c>
      <c r="D388" s="19" t="inlineStr">
        <is>
          <t>Lyon</t>
        </is>
      </c>
      <c r="E388" s="19" t="inlineStr">
        <is>
          <t>645</t>
        </is>
      </c>
      <c r="F388" s="18" t="inlineStr">
        <is>
          <t>Charges sociales &amp; de prévoyance</t>
        </is>
      </c>
      <c r="G388" s="19" t="inlineStr">
        <is>
          <t>64 — Charges de personnel</t>
        </is>
      </c>
      <c r="H388" s="19" t="inlineStr">
        <is>
          <t>Charge</t>
        </is>
      </c>
      <c r="I388" s="19" t="inlineStr">
        <is>
          <t>Personnel</t>
        </is>
      </c>
      <c r="J388" s="19" t="inlineStr">
        <is>
          <t>2025ACT_VDEF</t>
        </is>
      </c>
      <c r="K388" s="19" t="inlineStr">
        <is>
          <t>2025 (N-1)</t>
        </is>
      </c>
      <c r="L388" s="13" t="n">
        <v>176915</v>
      </c>
    </row>
    <row r="389">
      <c r="A389" s="19" t="inlineStr">
        <is>
          <t>PIGIER_BORDEAUX</t>
        </is>
      </c>
      <c r="B389" s="18" t="inlineStr">
        <is>
          <t>Pigier Bordeaux</t>
        </is>
      </c>
      <c r="C389" s="19" t="inlineStr">
        <is>
          <t>Pigier</t>
        </is>
      </c>
      <c r="D389" s="19" t="inlineStr">
        <is>
          <t>Bordeaux</t>
        </is>
      </c>
      <c r="E389" s="19" t="inlineStr">
        <is>
          <t>645</t>
        </is>
      </c>
      <c r="F389" s="18" t="inlineStr">
        <is>
          <t>Charges sociales &amp; de prévoyance</t>
        </is>
      </c>
      <c r="G389" s="19" t="inlineStr">
        <is>
          <t>64 — Charges de personnel</t>
        </is>
      </c>
      <c r="H389" s="19" t="inlineStr">
        <is>
          <t>Charge</t>
        </is>
      </c>
      <c r="I389" s="19" t="inlineStr">
        <is>
          <t>Personnel</t>
        </is>
      </c>
      <c r="J389" s="19" t="inlineStr">
        <is>
          <t>2025ACT_VDEF</t>
        </is>
      </c>
      <c r="K389" s="19" t="inlineStr">
        <is>
          <t>2025 (N-1)</t>
        </is>
      </c>
      <c r="L389" s="13" t="n">
        <v>138369</v>
      </c>
    </row>
    <row r="390">
      <c r="A390" s="19" t="inlineStr">
        <is>
          <t>TUNON_PARIS</t>
        </is>
      </c>
      <c r="B390" s="18" t="inlineStr">
        <is>
          <t>Tunon Paris</t>
        </is>
      </c>
      <c r="C390" s="19" t="inlineStr">
        <is>
          <t>Tunon</t>
        </is>
      </c>
      <c r="D390" s="19" t="inlineStr">
        <is>
          <t>Paris</t>
        </is>
      </c>
      <c r="E390" s="19" t="inlineStr">
        <is>
          <t>645</t>
        </is>
      </c>
      <c r="F390" s="18" t="inlineStr">
        <is>
          <t>Charges sociales &amp; de prévoyance</t>
        </is>
      </c>
      <c r="G390" s="19" t="inlineStr">
        <is>
          <t>64 — Charges de personnel</t>
        </is>
      </c>
      <c r="H390" s="19" t="inlineStr">
        <is>
          <t>Charge</t>
        </is>
      </c>
      <c r="I390" s="19" t="inlineStr">
        <is>
          <t>Personnel</t>
        </is>
      </c>
      <c r="J390" s="19" t="inlineStr">
        <is>
          <t>2025ACT_VDEF</t>
        </is>
      </c>
      <c r="K390" s="19" t="inlineStr">
        <is>
          <t>2025 (N-1)</t>
        </is>
      </c>
      <c r="L390" s="13" t="n">
        <v>131451</v>
      </c>
    </row>
    <row r="391">
      <c r="A391" s="19" t="inlineStr">
        <is>
          <t>TUNON_LYON</t>
        </is>
      </c>
      <c r="B391" s="18" t="inlineStr">
        <is>
          <t>Tunon Lyon</t>
        </is>
      </c>
      <c r="C391" s="19" t="inlineStr">
        <is>
          <t>Tunon</t>
        </is>
      </c>
      <c r="D391" s="19" t="inlineStr">
        <is>
          <t>Lyon</t>
        </is>
      </c>
      <c r="E391" s="19" t="inlineStr">
        <is>
          <t>645</t>
        </is>
      </c>
      <c r="F391" s="18" t="inlineStr">
        <is>
          <t>Charges sociales &amp; de prévoyance</t>
        </is>
      </c>
      <c r="G391" s="19" t="inlineStr">
        <is>
          <t>64 — Charges de personnel</t>
        </is>
      </c>
      <c r="H391" s="19" t="inlineStr">
        <is>
          <t>Charge</t>
        </is>
      </c>
      <c r="I391" s="19" t="inlineStr">
        <is>
          <t>Personnel</t>
        </is>
      </c>
      <c r="J391" s="19" t="inlineStr">
        <is>
          <t>2025ACT_VDEF</t>
        </is>
      </c>
      <c r="K391" s="19" t="inlineStr">
        <is>
          <t>2025 (N-1)</t>
        </is>
      </c>
      <c r="L391" s="13" t="n">
        <v>110695</v>
      </c>
    </row>
    <row r="392">
      <c r="A392" s="19" t="inlineStr">
        <is>
          <t>MBWAY_PARIS</t>
        </is>
      </c>
      <c r="B392" s="18" t="inlineStr">
        <is>
          <t>MBway Paris</t>
        </is>
      </c>
      <c r="C392" s="19" t="inlineStr">
        <is>
          <t>MBway</t>
        </is>
      </c>
      <c r="D392" s="19" t="inlineStr">
        <is>
          <t>Paris</t>
        </is>
      </c>
      <c r="E392" s="19" t="inlineStr">
        <is>
          <t>645</t>
        </is>
      </c>
      <c r="F392" s="18" t="inlineStr">
        <is>
          <t>Charges sociales &amp; de prévoyance</t>
        </is>
      </c>
      <c r="G392" s="19" t="inlineStr">
        <is>
          <t>64 — Charges de personnel</t>
        </is>
      </c>
      <c r="H392" s="19" t="inlineStr">
        <is>
          <t>Charge</t>
        </is>
      </c>
      <c r="I392" s="19" t="inlineStr">
        <is>
          <t>Personnel</t>
        </is>
      </c>
      <c r="J392" s="19" t="inlineStr">
        <is>
          <t>2026ATT_VDEF</t>
        </is>
      </c>
      <c r="K392" s="19" t="inlineStr">
        <is>
          <t>2026 (Atterr.)</t>
        </is>
      </c>
      <c r="L392" s="13" t="n">
        <v>388047</v>
      </c>
    </row>
    <row r="393">
      <c r="A393" s="19" t="inlineStr">
        <is>
          <t>MBWAY_LYON</t>
        </is>
      </c>
      <c r="B393" s="18" t="inlineStr">
        <is>
          <t>MBway Lyon</t>
        </is>
      </c>
      <c r="C393" s="19" t="inlineStr">
        <is>
          <t>MBway</t>
        </is>
      </c>
      <c r="D393" s="19" t="inlineStr">
        <is>
          <t>Lyon</t>
        </is>
      </c>
      <c r="E393" s="19" t="inlineStr">
        <is>
          <t>645</t>
        </is>
      </c>
      <c r="F393" s="18" t="inlineStr">
        <is>
          <t>Charges sociales &amp; de prévoyance</t>
        </is>
      </c>
      <c r="G393" s="19" t="inlineStr">
        <is>
          <t>64 — Charges de personnel</t>
        </is>
      </c>
      <c r="H393" s="19" t="inlineStr">
        <is>
          <t>Charge</t>
        </is>
      </c>
      <c r="I393" s="19" t="inlineStr">
        <is>
          <t>Personnel</t>
        </is>
      </c>
      <c r="J393" s="19" t="inlineStr">
        <is>
          <t>2026ATT_VDEF</t>
        </is>
      </c>
      <c r="K393" s="19" t="inlineStr">
        <is>
          <t>2026 (Atterr.)</t>
        </is>
      </c>
      <c r="L393" s="13" t="n">
        <v>326667</v>
      </c>
    </row>
    <row r="394">
      <c r="A394" s="19" t="inlineStr">
        <is>
          <t>MBWAY_NANTES</t>
        </is>
      </c>
      <c r="B394" s="18" t="inlineStr">
        <is>
          <t>MBway Nantes</t>
        </is>
      </c>
      <c r="C394" s="19" t="inlineStr">
        <is>
          <t>MBway</t>
        </is>
      </c>
      <c r="D394" s="19" t="inlineStr">
        <is>
          <t>Nantes</t>
        </is>
      </c>
      <c r="E394" s="19" t="inlineStr">
        <is>
          <t>645</t>
        </is>
      </c>
      <c r="F394" s="18" t="inlineStr">
        <is>
          <t>Charges sociales &amp; de prévoyance</t>
        </is>
      </c>
      <c r="G394" s="19" t="inlineStr">
        <is>
          <t>64 — Charges de personnel</t>
        </is>
      </c>
      <c r="H394" s="19" t="inlineStr">
        <is>
          <t>Charge</t>
        </is>
      </c>
      <c r="I394" s="19" t="inlineStr">
        <is>
          <t>Personnel</t>
        </is>
      </c>
      <c r="J394" s="19" t="inlineStr">
        <is>
          <t>2026ATT_VDEF</t>
        </is>
      </c>
      <c r="K394" s="19" t="inlineStr">
        <is>
          <t>2026 (Atterr.)</t>
        </is>
      </c>
      <c r="L394" s="13" t="n">
        <v>298578</v>
      </c>
    </row>
    <row r="395">
      <c r="A395" s="19" t="inlineStr">
        <is>
          <t>MBWAY_BORDEAUX</t>
        </is>
      </c>
      <c r="B395" s="18" t="inlineStr">
        <is>
          <t>MBway Bordeaux</t>
        </is>
      </c>
      <c r="C395" s="19" t="inlineStr">
        <is>
          <t>MBway</t>
        </is>
      </c>
      <c r="D395" s="19" t="inlineStr">
        <is>
          <t>Bordeaux</t>
        </is>
      </c>
      <c r="E395" s="19" t="inlineStr">
        <is>
          <t>645</t>
        </is>
      </c>
      <c r="F395" s="18" t="inlineStr">
        <is>
          <t>Charges sociales &amp; de prévoyance</t>
        </is>
      </c>
      <c r="G395" s="19" t="inlineStr">
        <is>
          <t>64 — Charges de personnel</t>
        </is>
      </c>
      <c r="H395" s="19" t="inlineStr">
        <is>
          <t>Charge</t>
        </is>
      </c>
      <c r="I395" s="19" t="inlineStr">
        <is>
          <t>Personnel</t>
        </is>
      </c>
      <c r="J395" s="19" t="inlineStr">
        <is>
          <t>2026ATT_VDEF</t>
        </is>
      </c>
      <c r="K395" s="19" t="inlineStr">
        <is>
          <t>2026 (Atterr.)</t>
        </is>
      </c>
      <c r="L395" s="13" t="n">
        <v>252803</v>
      </c>
    </row>
    <row r="396">
      <c r="A396" s="19" t="inlineStr">
        <is>
          <t>ISCOM_PARIS</t>
        </is>
      </c>
      <c r="B396" s="18" t="inlineStr">
        <is>
          <t>ISCOM Paris</t>
        </is>
      </c>
      <c r="C396" s="19" t="inlineStr">
        <is>
          <t>ISCOM</t>
        </is>
      </c>
      <c r="D396" s="19" t="inlineStr">
        <is>
          <t>Paris</t>
        </is>
      </c>
      <c r="E396" s="19" t="inlineStr">
        <is>
          <t>645</t>
        </is>
      </c>
      <c r="F396" s="18" t="inlineStr">
        <is>
          <t>Charges sociales &amp; de prévoyance</t>
        </is>
      </c>
      <c r="G396" s="19" t="inlineStr">
        <is>
          <t>64 — Charges de personnel</t>
        </is>
      </c>
      <c r="H396" s="19" t="inlineStr">
        <is>
          <t>Charge</t>
        </is>
      </c>
      <c r="I396" s="19" t="inlineStr">
        <is>
          <t>Personnel</t>
        </is>
      </c>
      <c r="J396" s="19" t="inlineStr">
        <is>
          <t>2026ATT_VDEF</t>
        </is>
      </c>
      <c r="K396" s="19" t="inlineStr">
        <is>
          <t>2026 (Atterr.)</t>
        </is>
      </c>
      <c r="L396" s="13" t="n">
        <v>357878</v>
      </c>
    </row>
    <row r="397">
      <c r="A397" s="19" t="inlineStr">
        <is>
          <t>ISCOM_LILLE</t>
        </is>
      </c>
      <c r="B397" s="18" t="inlineStr">
        <is>
          <t>ISCOM Lille</t>
        </is>
      </c>
      <c r="C397" s="19" t="inlineStr">
        <is>
          <t>ISCOM</t>
        </is>
      </c>
      <c r="D397" s="19" t="inlineStr">
        <is>
          <t>Lille</t>
        </is>
      </c>
      <c r="E397" s="19" t="inlineStr">
        <is>
          <t>645</t>
        </is>
      </c>
      <c r="F397" s="18" t="inlineStr">
        <is>
          <t>Charges sociales &amp; de prévoyance</t>
        </is>
      </c>
      <c r="G397" s="19" t="inlineStr">
        <is>
          <t>64 — Charges de personnel</t>
        </is>
      </c>
      <c r="H397" s="19" t="inlineStr">
        <is>
          <t>Charge</t>
        </is>
      </c>
      <c r="I397" s="19" t="inlineStr">
        <is>
          <t>Personnel</t>
        </is>
      </c>
      <c r="J397" s="19" t="inlineStr">
        <is>
          <t>2026ATT_VDEF</t>
        </is>
      </c>
      <c r="K397" s="19" t="inlineStr">
        <is>
          <t>2026 (Atterr.)</t>
        </is>
      </c>
      <c r="L397" s="13" t="n">
        <v>247601</v>
      </c>
    </row>
    <row r="398">
      <c r="A398" s="19" t="inlineStr">
        <is>
          <t>ISCOM_TOULOUSE</t>
        </is>
      </c>
      <c r="B398" s="18" t="inlineStr">
        <is>
          <t>ISCOM Toulouse</t>
        </is>
      </c>
      <c r="C398" s="19" t="inlineStr">
        <is>
          <t>ISCOM</t>
        </is>
      </c>
      <c r="D398" s="19" t="inlineStr">
        <is>
          <t>Toulouse</t>
        </is>
      </c>
      <c r="E398" s="19" t="inlineStr">
        <is>
          <t>645</t>
        </is>
      </c>
      <c r="F398" s="18" t="inlineStr">
        <is>
          <t>Charges sociales &amp; de prévoyance</t>
        </is>
      </c>
      <c r="G398" s="19" t="inlineStr">
        <is>
          <t>64 — Charges de personnel</t>
        </is>
      </c>
      <c r="H398" s="19" t="inlineStr">
        <is>
          <t>Charge</t>
        </is>
      </c>
      <c r="I398" s="19" t="inlineStr">
        <is>
          <t>Personnel</t>
        </is>
      </c>
      <c r="J398" s="19" t="inlineStr">
        <is>
          <t>2026ATT_VDEF</t>
        </is>
      </c>
      <c r="K398" s="19" t="inlineStr">
        <is>
          <t>2026 (Atterr.)</t>
        </is>
      </c>
      <c r="L398" s="13" t="n">
        <v>234077</v>
      </c>
    </row>
    <row r="399">
      <c r="A399" s="19" t="inlineStr">
        <is>
          <t>IPAC_BACHELOR_FACTORY_NANTES</t>
        </is>
      </c>
      <c r="B399" s="18" t="inlineStr">
        <is>
          <t>Ipac Bachelor Factory Nantes</t>
        </is>
      </c>
      <c r="C399" s="19" t="inlineStr">
        <is>
          <t>Ipac Bachelor Factory</t>
        </is>
      </c>
      <c r="D399" s="19" t="inlineStr">
        <is>
          <t>Nantes</t>
        </is>
      </c>
      <c r="E399" s="19" t="inlineStr">
        <is>
          <t>645</t>
        </is>
      </c>
      <c r="F399" s="18" t="inlineStr">
        <is>
          <t>Charges sociales &amp; de prévoyance</t>
        </is>
      </c>
      <c r="G399" s="19" t="inlineStr">
        <is>
          <t>64 — Charges de personnel</t>
        </is>
      </c>
      <c r="H399" s="19" t="inlineStr">
        <is>
          <t>Charge</t>
        </is>
      </c>
      <c r="I399" s="19" t="inlineStr">
        <is>
          <t>Personnel</t>
        </is>
      </c>
      <c r="J399" s="19" t="inlineStr">
        <is>
          <t>2026ATT_VDEF</t>
        </is>
      </c>
      <c r="K399" s="19" t="inlineStr">
        <is>
          <t>2026 (Atterr.)</t>
        </is>
      </c>
      <c r="L399" s="13" t="n">
        <v>145648</v>
      </c>
    </row>
    <row r="400">
      <c r="A400" s="19" t="inlineStr">
        <is>
          <t>IPAC_BACHELOR_FACTORY_RENNES</t>
        </is>
      </c>
      <c r="B400" s="18" t="inlineStr">
        <is>
          <t>Ipac Bachelor Factory Rennes</t>
        </is>
      </c>
      <c r="C400" s="19" t="inlineStr">
        <is>
          <t>Ipac Bachelor Factory</t>
        </is>
      </c>
      <c r="D400" s="19" t="inlineStr">
        <is>
          <t>Rennes</t>
        </is>
      </c>
      <c r="E400" s="19" t="inlineStr">
        <is>
          <t>645</t>
        </is>
      </c>
      <c r="F400" s="18" t="inlineStr">
        <is>
          <t>Charges sociales &amp; de prévoyance</t>
        </is>
      </c>
      <c r="G400" s="19" t="inlineStr">
        <is>
          <t>64 — Charges de personnel</t>
        </is>
      </c>
      <c r="H400" s="19" t="inlineStr">
        <is>
          <t>Charge</t>
        </is>
      </c>
      <c r="I400" s="19" t="inlineStr">
        <is>
          <t>Personnel</t>
        </is>
      </c>
      <c r="J400" s="19" t="inlineStr">
        <is>
          <t>2026ATT_VDEF</t>
        </is>
      </c>
      <c r="K400" s="19" t="inlineStr">
        <is>
          <t>2026 (Atterr.)</t>
        </is>
      </c>
      <c r="L400" s="13" t="n">
        <v>116518</v>
      </c>
    </row>
    <row r="401">
      <c r="A401" s="19" t="inlineStr">
        <is>
          <t>IPAC_BACHELOR_FACTORY_MONTPELLIER</t>
        </is>
      </c>
      <c r="B401" s="18" t="inlineStr">
        <is>
          <t>Ipac Bachelor Factory Montpellier</t>
        </is>
      </c>
      <c r="C401" s="19" t="inlineStr">
        <is>
          <t>Ipac Bachelor Factory</t>
        </is>
      </c>
      <c r="D401" s="19" t="inlineStr">
        <is>
          <t>Montpellier</t>
        </is>
      </c>
      <c r="E401" s="19" t="inlineStr">
        <is>
          <t>645</t>
        </is>
      </c>
      <c r="F401" s="18" t="inlineStr">
        <is>
          <t>Charges sociales &amp; de prévoyance</t>
        </is>
      </c>
      <c r="G401" s="19" t="inlineStr">
        <is>
          <t>64 — Charges de personnel</t>
        </is>
      </c>
      <c r="H401" s="19" t="inlineStr">
        <is>
          <t>Charge</t>
        </is>
      </c>
      <c r="I401" s="19" t="inlineStr">
        <is>
          <t>Personnel</t>
        </is>
      </c>
      <c r="J401" s="19" t="inlineStr">
        <is>
          <t>2026ATT_VDEF</t>
        </is>
      </c>
      <c r="K401" s="19" t="inlineStr">
        <is>
          <t>2026 (Atterr.)</t>
        </is>
      </c>
      <c r="L401" s="13" t="n">
        <v>116518</v>
      </c>
    </row>
    <row r="402">
      <c r="A402" s="19" t="inlineStr">
        <is>
          <t>PIGIER_LYON</t>
        </is>
      </c>
      <c r="B402" s="18" t="inlineStr">
        <is>
          <t>Pigier Lyon</t>
        </is>
      </c>
      <c r="C402" s="19" t="inlineStr">
        <is>
          <t>Pigier</t>
        </is>
      </c>
      <c r="D402" s="19" t="inlineStr">
        <is>
          <t>Lyon</t>
        </is>
      </c>
      <c r="E402" s="19" t="inlineStr">
        <is>
          <t>645</t>
        </is>
      </c>
      <c r="F402" s="18" t="inlineStr">
        <is>
          <t>Charges sociales &amp; de prévoyance</t>
        </is>
      </c>
      <c r="G402" s="19" t="inlineStr">
        <is>
          <t>64 — Charges de personnel</t>
        </is>
      </c>
      <c r="H402" s="19" t="inlineStr">
        <is>
          <t>Charge</t>
        </is>
      </c>
      <c r="I402" s="19" t="inlineStr">
        <is>
          <t>Personnel</t>
        </is>
      </c>
      <c r="J402" s="19" t="inlineStr">
        <is>
          <t>2026ATT_VDEF</t>
        </is>
      </c>
      <c r="K402" s="19" t="inlineStr">
        <is>
          <t>2026 (Atterr.)</t>
        </is>
      </c>
      <c r="L402" s="13" t="n">
        <v>186221</v>
      </c>
    </row>
    <row r="403">
      <c r="A403" s="19" t="inlineStr">
        <is>
          <t>PIGIER_BORDEAUX</t>
        </is>
      </c>
      <c r="B403" s="18" t="inlineStr">
        <is>
          <t>Pigier Bordeaux</t>
        </is>
      </c>
      <c r="C403" s="19" t="inlineStr">
        <is>
          <t>Pigier</t>
        </is>
      </c>
      <c r="D403" s="19" t="inlineStr">
        <is>
          <t>Bordeaux</t>
        </is>
      </c>
      <c r="E403" s="19" t="inlineStr">
        <is>
          <t>645</t>
        </is>
      </c>
      <c r="F403" s="18" t="inlineStr">
        <is>
          <t>Charges sociales &amp; de prévoyance</t>
        </is>
      </c>
      <c r="G403" s="19" t="inlineStr">
        <is>
          <t>64 — Charges de personnel</t>
        </is>
      </c>
      <c r="H403" s="19" t="inlineStr">
        <is>
          <t>Charge</t>
        </is>
      </c>
      <c r="I403" s="19" t="inlineStr">
        <is>
          <t>Personnel</t>
        </is>
      </c>
      <c r="J403" s="19" t="inlineStr">
        <is>
          <t>2026ATT_VDEF</t>
        </is>
      </c>
      <c r="K403" s="19" t="inlineStr">
        <is>
          <t>2026 (Atterr.)</t>
        </is>
      </c>
      <c r="L403" s="13" t="n">
        <v>145648</v>
      </c>
    </row>
    <row r="404">
      <c r="A404" s="19" t="inlineStr">
        <is>
          <t>TUNON_PARIS</t>
        </is>
      </c>
      <c r="B404" s="18" t="inlineStr">
        <is>
          <t>Tunon Paris</t>
        </is>
      </c>
      <c r="C404" s="19" t="inlineStr">
        <is>
          <t>Tunon</t>
        </is>
      </c>
      <c r="D404" s="19" t="inlineStr">
        <is>
          <t>Paris</t>
        </is>
      </c>
      <c r="E404" s="19" t="inlineStr">
        <is>
          <t>645</t>
        </is>
      </c>
      <c r="F404" s="18" t="inlineStr">
        <is>
          <t>Charges sociales &amp; de prévoyance</t>
        </is>
      </c>
      <c r="G404" s="19" t="inlineStr">
        <is>
          <t>64 — Charges de personnel</t>
        </is>
      </c>
      <c r="H404" s="19" t="inlineStr">
        <is>
          <t>Charge</t>
        </is>
      </c>
      <c r="I404" s="19" t="inlineStr">
        <is>
          <t>Personnel</t>
        </is>
      </c>
      <c r="J404" s="19" t="inlineStr">
        <is>
          <t>2026ATT_VDEF</t>
        </is>
      </c>
      <c r="K404" s="19" t="inlineStr">
        <is>
          <t>2026 (Atterr.)</t>
        </is>
      </c>
      <c r="L404" s="13" t="n">
        <v>138365</v>
      </c>
    </row>
    <row r="405">
      <c r="A405" s="19" t="inlineStr">
        <is>
          <t>TUNON_LYON</t>
        </is>
      </c>
      <c r="B405" s="18" t="inlineStr">
        <is>
          <t>Tunon Lyon</t>
        </is>
      </c>
      <c r="C405" s="19" t="inlineStr">
        <is>
          <t>Tunon</t>
        </is>
      </c>
      <c r="D405" s="19" t="inlineStr">
        <is>
          <t>Lyon</t>
        </is>
      </c>
      <c r="E405" s="19" t="inlineStr">
        <is>
          <t>645</t>
        </is>
      </c>
      <c r="F405" s="18" t="inlineStr">
        <is>
          <t>Charges sociales &amp; de prévoyance</t>
        </is>
      </c>
      <c r="G405" s="19" t="inlineStr">
        <is>
          <t>64 — Charges de personnel</t>
        </is>
      </c>
      <c r="H405" s="19" t="inlineStr">
        <is>
          <t>Charge</t>
        </is>
      </c>
      <c r="I405" s="19" t="inlineStr">
        <is>
          <t>Personnel</t>
        </is>
      </c>
      <c r="J405" s="19" t="inlineStr">
        <is>
          <t>2026ATT_VDEF</t>
        </is>
      </c>
      <c r="K405" s="19" t="inlineStr">
        <is>
          <t>2026 (Atterr.)</t>
        </is>
      </c>
      <c r="L405" s="13" t="n">
        <v>116518</v>
      </c>
    </row>
    <row r="406">
      <c r="A406" s="19" t="inlineStr">
        <is>
          <t>MBWAY_PARIS</t>
        </is>
      </c>
      <c r="B406" s="18" t="inlineStr">
        <is>
          <t>MBway Paris</t>
        </is>
      </c>
      <c r="C406" s="19" t="inlineStr">
        <is>
          <t>MBway</t>
        </is>
      </c>
      <c r="D406" s="19" t="inlineStr">
        <is>
          <t>Paris</t>
        </is>
      </c>
      <c r="E406" s="19" t="inlineStr">
        <is>
          <t>613</t>
        </is>
      </c>
      <c r="F406" s="18" t="inlineStr">
        <is>
          <t>Loyers &amp; charges locatives (campus)</t>
        </is>
      </c>
      <c r="G406" s="19" t="inlineStr">
        <is>
          <t>61 — Services extérieurs</t>
        </is>
      </c>
      <c r="H406" s="19" t="inlineStr">
        <is>
          <t>Charge</t>
        </is>
      </c>
      <c r="I406" s="19" t="inlineStr">
        <is>
          <t>Structure</t>
        </is>
      </c>
      <c r="J406" s="19" t="inlineStr">
        <is>
          <t>2024ACT_VDEF</t>
        </is>
      </c>
      <c r="K406" s="19" t="inlineStr">
        <is>
          <t>2024 (N-2)</t>
        </is>
      </c>
      <c r="L406" s="13" t="n">
        <v>240410</v>
      </c>
    </row>
    <row r="407">
      <c r="A407" s="19" t="inlineStr">
        <is>
          <t>MBWAY_LYON</t>
        </is>
      </c>
      <c r="B407" s="18" t="inlineStr">
        <is>
          <t>MBway Lyon</t>
        </is>
      </c>
      <c r="C407" s="19" t="inlineStr">
        <is>
          <t>MBway</t>
        </is>
      </c>
      <c r="D407" s="19" t="inlineStr">
        <is>
          <t>Lyon</t>
        </is>
      </c>
      <c r="E407" s="19" t="inlineStr">
        <is>
          <t>613</t>
        </is>
      </c>
      <c r="F407" s="18" t="inlineStr">
        <is>
          <t>Loyers &amp; charges locatives (campus)</t>
        </is>
      </c>
      <c r="G407" s="19" t="inlineStr">
        <is>
          <t>61 — Services extérieurs</t>
        </is>
      </c>
      <c r="H407" s="19" t="inlineStr">
        <is>
          <t>Charge</t>
        </is>
      </c>
      <c r="I407" s="19" t="inlineStr">
        <is>
          <t>Structure</t>
        </is>
      </c>
      <c r="J407" s="19" t="inlineStr">
        <is>
          <t>2024ACT_VDEF</t>
        </is>
      </c>
      <c r="K407" s="19" t="inlineStr">
        <is>
          <t>2024 (N-2)</t>
        </is>
      </c>
      <c r="L407" s="13" t="n">
        <v>208355</v>
      </c>
    </row>
    <row r="408">
      <c r="A408" s="19" t="inlineStr">
        <is>
          <t>MBWAY_NANTES</t>
        </is>
      </c>
      <c r="B408" s="18" t="inlineStr">
        <is>
          <t>MBway Nantes</t>
        </is>
      </c>
      <c r="C408" s="19" t="inlineStr">
        <is>
          <t>MBway</t>
        </is>
      </c>
      <c r="D408" s="19" t="inlineStr">
        <is>
          <t>Nantes</t>
        </is>
      </c>
      <c r="E408" s="19" t="inlineStr">
        <is>
          <t>613</t>
        </is>
      </c>
      <c r="F408" s="18" t="inlineStr">
        <is>
          <t>Loyers &amp; charges locatives (campus)</t>
        </is>
      </c>
      <c r="G408" s="19" t="inlineStr">
        <is>
          <t>61 — Services extérieurs</t>
        </is>
      </c>
      <c r="H408" s="19" t="inlineStr">
        <is>
          <t>Charge</t>
        </is>
      </c>
      <c r="I408" s="19" t="inlineStr">
        <is>
          <t>Structure</t>
        </is>
      </c>
      <c r="J408" s="19" t="inlineStr">
        <is>
          <t>2024ACT_VDEF</t>
        </is>
      </c>
      <c r="K408" s="19" t="inlineStr">
        <is>
          <t>2024 (N-2)</t>
        </is>
      </c>
      <c r="L408" s="13" t="n">
        <v>192328</v>
      </c>
    </row>
    <row r="409">
      <c r="A409" s="19" t="inlineStr">
        <is>
          <t>MBWAY_BORDEAUX</t>
        </is>
      </c>
      <c r="B409" s="18" t="inlineStr">
        <is>
          <t>MBway Bordeaux</t>
        </is>
      </c>
      <c r="C409" s="19" t="inlineStr">
        <is>
          <t>MBway</t>
        </is>
      </c>
      <c r="D409" s="19" t="inlineStr">
        <is>
          <t>Bordeaux</t>
        </is>
      </c>
      <c r="E409" s="19" t="inlineStr">
        <is>
          <t>613</t>
        </is>
      </c>
      <c r="F409" s="18" t="inlineStr">
        <is>
          <t>Loyers &amp; charges locatives (campus)</t>
        </is>
      </c>
      <c r="G409" s="19" t="inlineStr">
        <is>
          <t>61 — Services extérieurs</t>
        </is>
      </c>
      <c r="H409" s="19" t="inlineStr">
        <is>
          <t>Charge</t>
        </is>
      </c>
      <c r="I409" s="19" t="inlineStr">
        <is>
          <t>Structure</t>
        </is>
      </c>
      <c r="J409" s="19" t="inlineStr">
        <is>
          <t>2024ACT_VDEF</t>
        </is>
      </c>
      <c r="K409" s="19" t="inlineStr">
        <is>
          <t>2024 (N-2)</t>
        </is>
      </c>
      <c r="L409" s="13" t="n">
        <v>160273</v>
      </c>
    </row>
    <row r="410">
      <c r="A410" s="19" t="inlineStr">
        <is>
          <t>ISCOM_PARIS</t>
        </is>
      </c>
      <c r="B410" s="18" t="inlineStr">
        <is>
          <t>ISCOM Paris</t>
        </is>
      </c>
      <c r="C410" s="19" t="inlineStr">
        <is>
          <t>ISCOM</t>
        </is>
      </c>
      <c r="D410" s="19" t="inlineStr">
        <is>
          <t>Paris</t>
        </is>
      </c>
      <c r="E410" s="19" t="inlineStr">
        <is>
          <t>613</t>
        </is>
      </c>
      <c r="F410" s="18" t="inlineStr">
        <is>
          <t>Loyers &amp; charges locatives (campus)</t>
        </is>
      </c>
      <c r="G410" s="19" t="inlineStr">
        <is>
          <t>61 — Services extérieurs</t>
        </is>
      </c>
      <c r="H410" s="19" t="inlineStr">
        <is>
          <t>Charge</t>
        </is>
      </c>
      <c r="I410" s="19" t="inlineStr">
        <is>
          <t>Structure</t>
        </is>
      </c>
      <c r="J410" s="19" t="inlineStr">
        <is>
          <t>2024ACT_VDEF</t>
        </is>
      </c>
      <c r="K410" s="19" t="inlineStr">
        <is>
          <t>2024 (N-2)</t>
        </is>
      </c>
      <c r="L410" s="13" t="n">
        <v>224382</v>
      </c>
    </row>
    <row r="411">
      <c r="A411" s="19" t="inlineStr">
        <is>
          <t>ISCOM_LILLE</t>
        </is>
      </c>
      <c r="B411" s="18" t="inlineStr">
        <is>
          <t>ISCOM Lille</t>
        </is>
      </c>
      <c r="C411" s="19" t="inlineStr">
        <is>
          <t>ISCOM</t>
        </is>
      </c>
      <c r="D411" s="19" t="inlineStr">
        <is>
          <t>Lille</t>
        </is>
      </c>
      <c r="E411" s="19" t="inlineStr">
        <is>
          <t>613</t>
        </is>
      </c>
      <c r="F411" s="18" t="inlineStr">
        <is>
          <t>Loyers &amp; charges locatives (campus)</t>
        </is>
      </c>
      <c r="G411" s="19" t="inlineStr">
        <is>
          <t>61 — Services extérieurs</t>
        </is>
      </c>
      <c r="H411" s="19" t="inlineStr">
        <is>
          <t>Charge</t>
        </is>
      </c>
      <c r="I411" s="19" t="inlineStr">
        <is>
          <t>Structure</t>
        </is>
      </c>
      <c r="J411" s="19" t="inlineStr">
        <is>
          <t>2024ACT_VDEF</t>
        </is>
      </c>
      <c r="K411" s="19" t="inlineStr">
        <is>
          <t>2024 (N-2)</t>
        </is>
      </c>
      <c r="L411" s="13" t="n">
        <v>160273</v>
      </c>
    </row>
    <row r="412">
      <c r="A412" s="19" t="inlineStr">
        <is>
          <t>ISCOM_TOULOUSE</t>
        </is>
      </c>
      <c r="B412" s="18" t="inlineStr">
        <is>
          <t>ISCOM Toulouse</t>
        </is>
      </c>
      <c r="C412" s="19" t="inlineStr">
        <is>
          <t>ISCOM</t>
        </is>
      </c>
      <c r="D412" s="19" t="inlineStr">
        <is>
          <t>Toulouse</t>
        </is>
      </c>
      <c r="E412" s="19" t="inlineStr">
        <is>
          <t>613</t>
        </is>
      </c>
      <c r="F412" s="18" t="inlineStr">
        <is>
          <t>Loyers &amp; charges locatives (campus)</t>
        </is>
      </c>
      <c r="G412" s="19" t="inlineStr">
        <is>
          <t>61 — Services extérieurs</t>
        </is>
      </c>
      <c r="H412" s="19" t="inlineStr">
        <is>
          <t>Charge</t>
        </is>
      </c>
      <c r="I412" s="19" t="inlineStr">
        <is>
          <t>Structure</t>
        </is>
      </c>
      <c r="J412" s="19" t="inlineStr">
        <is>
          <t>2024ACT_VDEF</t>
        </is>
      </c>
      <c r="K412" s="19" t="inlineStr">
        <is>
          <t>2024 (N-2)</t>
        </is>
      </c>
      <c r="L412" s="13" t="n">
        <v>160273</v>
      </c>
    </row>
    <row r="413">
      <c r="A413" s="19" t="inlineStr">
        <is>
          <t>IPAC_BACHELOR_FACTORY_NANTES</t>
        </is>
      </c>
      <c r="B413" s="18" t="inlineStr">
        <is>
          <t>Ipac Bachelor Factory Nantes</t>
        </is>
      </c>
      <c r="C413" s="19" t="inlineStr">
        <is>
          <t>Ipac Bachelor Factory</t>
        </is>
      </c>
      <c r="D413" s="19" t="inlineStr">
        <is>
          <t>Nantes</t>
        </is>
      </c>
      <c r="E413" s="19" t="inlineStr">
        <is>
          <t>613</t>
        </is>
      </c>
      <c r="F413" s="18" t="inlineStr">
        <is>
          <t>Loyers &amp; charges locatives (campus)</t>
        </is>
      </c>
      <c r="G413" s="19" t="inlineStr">
        <is>
          <t>61 — Services extérieurs</t>
        </is>
      </c>
      <c r="H413" s="19" t="inlineStr">
        <is>
          <t>Charge</t>
        </is>
      </c>
      <c r="I413" s="19" t="inlineStr">
        <is>
          <t>Structure</t>
        </is>
      </c>
      <c r="J413" s="19" t="inlineStr">
        <is>
          <t>2024ACT_VDEF</t>
        </is>
      </c>
      <c r="K413" s="19" t="inlineStr">
        <is>
          <t>2024 (N-2)</t>
        </is>
      </c>
      <c r="L413" s="13" t="n">
        <v>96164</v>
      </c>
    </row>
    <row r="414">
      <c r="A414" s="19" t="inlineStr">
        <is>
          <t>IPAC_BACHELOR_FACTORY_RENNES</t>
        </is>
      </c>
      <c r="B414" s="18" t="inlineStr">
        <is>
          <t>Ipac Bachelor Factory Rennes</t>
        </is>
      </c>
      <c r="C414" s="19" t="inlineStr">
        <is>
          <t>Ipac Bachelor Factory</t>
        </is>
      </c>
      <c r="D414" s="19" t="inlineStr">
        <is>
          <t>Rennes</t>
        </is>
      </c>
      <c r="E414" s="19" t="inlineStr">
        <is>
          <t>613</t>
        </is>
      </c>
      <c r="F414" s="18" t="inlineStr">
        <is>
          <t>Loyers &amp; charges locatives (campus)</t>
        </is>
      </c>
      <c r="G414" s="19" t="inlineStr">
        <is>
          <t>61 — Services extérieurs</t>
        </is>
      </c>
      <c r="H414" s="19" t="inlineStr">
        <is>
          <t>Charge</t>
        </is>
      </c>
      <c r="I414" s="19" t="inlineStr">
        <is>
          <t>Structure</t>
        </is>
      </c>
      <c r="J414" s="19" t="inlineStr">
        <is>
          <t>2024ACT_VDEF</t>
        </is>
      </c>
      <c r="K414" s="19" t="inlineStr">
        <is>
          <t>2024 (N-2)</t>
        </is>
      </c>
      <c r="L414" s="13" t="n">
        <v>96164</v>
      </c>
    </row>
    <row r="415">
      <c r="A415" s="19" t="inlineStr">
        <is>
          <t>IPAC_BACHELOR_FACTORY_MONTPELLIER</t>
        </is>
      </c>
      <c r="B415" s="18" t="inlineStr">
        <is>
          <t>Ipac Bachelor Factory Montpellier</t>
        </is>
      </c>
      <c r="C415" s="19" t="inlineStr">
        <is>
          <t>Ipac Bachelor Factory</t>
        </is>
      </c>
      <c r="D415" s="19" t="inlineStr">
        <is>
          <t>Montpellier</t>
        </is>
      </c>
      <c r="E415" s="19" t="inlineStr">
        <is>
          <t>613</t>
        </is>
      </c>
      <c r="F415" s="18" t="inlineStr">
        <is>
          <t>Loyers &amp; charges locatives (campus)</t>
        </is>
      </c>
      <c r="G415" s="19" t="inlineStr">
        <is>
          <t>61 — Services extérieurs</t>
        </is>
      </c>
      <c r="H415" s="19" t="inlineStr">
        <is>
          <t>Charge</t>
        </is>
      </c>
      <c r="I415" s="19" t="inlineStr">
        <is>
          <t>Structure</t>
        </is>
      </c>
      <c r="J415" s="19" t="inlineStr">
        <is>
          <t>2024ACT_VDEF</t>
        </is>
      </c>
      <c r="K415" s="19" t="inlineStr">
        <is>
          <t>2024 (N-2)</t>
        </is>
      </c>
      <c r="L415" s="13" t="n">
        <v>96164</v>
      </c>
    </row>
    <row r="416">
      <c r="A416" s="19" t="inlineStr">
        <is>
          <t>PIGIER_LYON</t>
        </is>
      </c>
      <c r="B416" s="18" t="inlineStr">
        <is>
          <t>Pigier Lyon</t>
        </is>
      </c>
      <c r="C416" s="19" t="inlineStr">
        <is>
          <t>Pigier</t>
        </is>
      </c>
      <c r="D416" s="19" t="inlineStr">
        <is>
          <t>Lyon</t>
        </is>
      </c>
      <c r="E416" s="19" t="inlineStr">
        <is>
          <t>613</t>
        </is>
      </c>
      <c r="F416" s="18" t="inlineStr">
        <is>
          <t>Loyers &amp; charges locatives (campus)</t>
        </is>
      </c>
      <c r="G416" s="19" t="inlineStr">
        <is>
          <t>61 — Services extérieurs</t>
        </is>
      </c>
      <c r="H416" s="19" t="inlineStr">
        <is>
          <t>Charge</t>
        </is>
      </c>
      <c r="I416" s="19" t="inlineStr">
        <is>
          <t>Structure</t>
        </is>
      </c>
      <c r="J416" s="19" t="inlineStr">
        <is>
          <t>2024ACT_VDEF</t>
        </is>
      </c>
      <c r="K416" s="19" t="inlineStr">
        <is>
          <t>2024 (N-2)</t>
        </is>
      </c>
      <c r="L416" s="13" t="n">
        <v>128218</v>
      </c>
    </row>
    <row r="417">
      <c r="A417" s="19" t="inlineStr">
        <is>
          <t>PIGIER_BORDEAUX</t>
        </is>
      </c>
      <c r="B417" s="18" t="inlineStr">
        <is>
          <t>Pigier Bordeaux</t>
        </is>
      </c>
      <c r="C417" s="19" t="inlineStr">
        <is>
          <t>Pigier</t>
        </is>
      </c>
      <c r="D417" s="19" t="inlineStr">
        <is>
          <t>Bordeaux</t>
        </is>
      </c>
      <c r="E417" s="19" t="inlineStr">
        <is>
          <t>613</t>
        </is>
      </c>
      <c r="F417" s="18" t="inlineStr">
        <is>
          <t>Loyers &amp; charges locatives (campus)</t>
        </is>
      </c>
      <c r="G417" s="19" t="inlineStr">
        <is>
          <t>61 — Services extérieurs</t>
        </is>
      </c>
      <c r="H417" s="19" t="inlineStr">
        <is>
          <t>Charge</t>
        </is>
      </c>
      <c r="I417" s="19" t="inlineStr">
        <is>
          <t>Structure</t>
        </is>
      </c>
      <c r="J417" s="19" t="inlineStr">
        <is>
          <t>2024ACT_VDEF</t>
        </is>
      </c>
      <c r="K417" s="19" t="inlineStr">
        <is>
          <t>2024 (N-2)</t>
        </is>
      </c>
      <c r="L417" s="13" t="n">
        <v>128218</v>
      </c>
    </row>
    <row r="418">
      <c r="A418" s="19" t="inlineStr">
        <is>
          <t>TUNON_PARIS</t>
        </is>
      </c>
      <c r="B418" s="18" t="inlineStr">
        <is>
          <t>Tunon Paris</t>
        </is>
      </c>
      <c r="C418" s="19" t="inlineStr">
        <is>
          <t>Tunon</t>
        </is>
      </c>
      <c r="D418" s="19" t="inlineStr">
        <is>
          <t>Paris</t>
        </is>
      </c>
      <c r="E418" s="19" t="inlineStr">
        <is>
          <t>613</t>
        </is>
      </c>
      <c r="F418" s="18" t="inlineStr">
        <is>
          <t>Loyers &amp; charges locatives (campus)</t>
        </is>
      </c>
      <c r="G418" s="19" t="inlineStr">
        <is>
          <t>61 — Services extérieurs</t>
        </is>
      </c>
      <c r="H418" s="19" t="inlineStr">
        <is>
          <t>Charge</t>
        </is>
      </c>
      <c r="I418" s="19" t="inlineStr">
        <is>
          <t>Structure</t>
        </is>
      </c>
      <c r="J418" s="19" t="inlineStr">
        <is>
          <t>2024ACT_VDEF</t>
        </is>
      </c>
      <c r="K418" s="19" t="inlineStr">
        <is>
          <t>2024 (N-2)</t>
        </is>
      </c>
      <c r="L418" s="13" t="n">
        <v>96164</v>
      </c>
    </row>
    <row r="419">
      <c r="A419" s="19" t="inlineStr">
        <is>
          <t>TUNON_LYON</t>
        </is>
      </c>
      <c r="B419" s="18" t="inlineStr">
        <is>
          <t>Tunon Lyon</t>
        </is>
      </c>
      <c r="C419" s="19" t="inlineStr">
        <is>
          <t>Tunon</t>
        </is>
      </c>
      <c r="D419" s="19" t="inlineStr">
        <is>
          <t>Lyon</t>
        </is>
      </c>
      <c r="E419" s="19" t="inlineStr">
        <is>
          <t>613</t>
        </is>
      </c>
      <c r="F419" s="18" t="inlineStr">
        <is>
          <t>Loyers &amp; charges locatives (campus)</t>
        </is>
      </c>
      <c r="G419" s="19" t="inlineStr">
        <is>
          <t>61 — Services extérieurs</t>
        </is>
      </c>
      <c r="H419" s="19" t="inlineStr">
        <is>
          <t>Charge</t>
        </is>
      </c>
      <c r="I419" s="19" t="inlineStr">
        <is>
          <t>Structure</t>
        </is>
      </c>
      <c r="J419" s="19" t="inlineStr">
        <is>
          <t>2024ACT_VDEF</t>
        </is>
      </c>
      <c r="K419" s="19" t="inlineStr">
        <is>
          <t>2024 (N-2)</t>
        </is>
      </c>
      <c r="L419" s="13" t="n">
        <v>96164</v>
      </c>
    </row>
    <row r="420">
      <c r="A420" s="19" t="inlineStr">
        <is>
          <t>MBWAY_PARIS</t>
        </is>
      </c>
      <c r="B420" s="18" t="inlineStr">
        <is>
          <t>MBway Paris</t>
        </is>
      </c>
      <c r="C420" s="19" t="inlineStr">
        <is>
          <t>MBway</t>
        </is>
      </c>
      <c r="D420" s="19" t="inlineStr">
        <is>
          <t>Paris</t>
        </is>
      </c>
      <c r="E420" s="19" t="inlineStr">
        <is>
          <t>613</t>
        </is>
      </c>
      <c r="F420" s="18" t="inlineStr">
        <is>
          <t>Loyers &amp; charges locatives (campus)</t>
        </is>
      </c>
      <c r="G420" s="19" t="inlineStr">
        <is>
          <t>61 — Services extérieurs</t>
        </is>
      </c>
      <c r="H420" s="19" t="inlineStr">
        <is>
          <t>Charge</t>
        </is>
      </c>
      <c r="I420" s="19" t="inlineStr">
        <is>
          <t>Structure</t>
        </is>
      </c>
      <c r="J420" s="19" t="inlineStr">
        <is>
          <t>2025ACT_VDEF</t>
        </is>
      </c>
      <c r="K420" s="19" t="inlineStr">
        <is>
          <t>2025 (N-1)</t>
        </is>
      </c>
      <c r="L420" s="13" t="n">
        <v>252485</v>
      </c>
    </row>
    <row r="421">
      <c r="A421" s="19" t="inlineStr">
        <is>
          <t>MBWAY_LYON</t>
        </is>
      </c>
      <c r="B421" s="18" t="inlineStr">
        <is>
          <t>MBway Lyon</t>
        </is>
      </c>
      <c r="C421" s="19" t="inlineStr">
        <is>
          <t>MBway</t>
        </is>
      </c>
      <c r="D421" s="19" t="inlineStr">
        <is>
          <t>Lyon</t>
        </is>
      </c>
      <c r="E421" s="19" t="inlineStr">
        <is>
          <t>613</t>
        </is>
      </c>
      <c r="F421" s="18" t="inlineStr">
        <is>
          <t>Loyers &amp; charges locatives (campus)</t>
        </is>
      </c>
      <c r="G421" s="19" t="inlineStr">
        <is>
          <t>61 — Services extérieurs</t>
        </is>
      </c>
      <c r="H421" s="19" t="inlineStr">
        <is>
          <t>Charge</t>
        </is>
      </c>
      <c r="I421" s="19" t="inlineStr">
        <is>
          <t>Structure</t>
        </is>
      </c>
      <c r="J421" s="19" t="inlineStr">
        <is>
          <t>2025ACT_VDEF</t>
        </is>
      </c>
      <c r="K421" s="19" t="inlineStr">
        <is>
          <t>2025 (N-1)</t>
        </is>
      </c>
      <c r="L421" s="13" t="n">
        <v>218821</v>
      </c>
    </row>
    <row r="422">
      <c r="A422" s="19" t="inlineStr">
        <is>
          <t>MBWAY_NANTES</t>
        </is>
      </c>
      <c r="B422" s="18" t="inlineStr">
        <is>
          <t>MBway Nantes</t>
        </is>
      </c>
      <c r="C422" s="19" t="inlineStr">
        <is>
          <t>MBway</t>
        </is>
      </c>
      <c r="D422" s="19" t="inlineStr">
        <is>
          <t>Nantes</t>
        </is>
      </c>
      <c r="E422" s="19" t="inlineStr">
        <is>
          <t>613</t>
        </is>
      </c>
      <c r="F422" s="18" t="inlineStr">
        <is>
          <t>Loyers &amp; charges locatives (campus)</t>
        </is>
      </c>
      <c r="G422" s="19" t="inlineStr">
        <is>
          <t>61 — Services extérieurs</t>
        </is>
      </c>
      <c r="H422" s="19" t="inlineStr">
        <is>
          <t>Charge</t>
        </is>
      </c>
      <c r="I422" s="19" t="inlineStr">
        <is>
          <t>Structure</t>
        </is>
      </c>
      <c r="J422" s="19" t="inlineStr">
        <is>
          <t>2025ACT_VDEF</t>
        </is>
      </c>
      <c r="K422" s="19" t="inlineStr">
        <is>
          <t>2025 (N-1)</t>
        </is>
      </c>
      <c r="L422" s="13" t="n">
        <v>201988</v>
      </c>
    </row>
    <row r="423">
      <c r="A423" s="19" t="inlineStr">
        <is>
          <t>MBWAY_BORDEAUX</t>
        </is>
      </c>
      <c r="B423" s="18" t="inlineStr">
        <is>
          <t>MBway Bordeaux</t>
        </is>
      </c>
      <c r="C423" s="19" t="inlineStr">
        <is>
          <t>MBway</t>
        </is>
      </c>
      <c r="D423" s="19" t="inlineStr">
        <is>
          <t>Bordeaux</t>
        </is>
      </c>
      <c r="E423" s="19" t="inlineStr">
        <is>
          <t>613</t>
        </is>
      </c>
      <c r="F423" s="18" t="inlineStr">
        <is>
          <t>Loyers &amp; charges locatives (campus)</t>
        </is>
      </c>
      <c r="G423" s="19" t="inlineStr">
        <is>
          <t>61 — Services extérieurs</t>
        </is>
      </c>
      <c r="H423" s="19" t="inlineStr">
        <is>
          <t>Charge</t>
        </is>
      </c>
      <c r="I423" s="19" t="inlineStr">
        <is>
          <t>Structure</t>
        </is>
      </c>
      <c r="J423" s="19" t="inlineStr">
        <is>
          <t>2025ACT_VDEF</t>
        </is>
      </c>
      <c r="K423" s="19" t="inlineStr">
        <is>
          <t>2025 (N-1)</t>
        </is>
      </c>
      <c r="L423" s="13" t="n">
        <v>168324</v>
      </c>
    </row>
    <row r="424">
      <c r="A424" s="19" t="inlineStr">
        <is>
          <t>ISCOM_PARIS</t>
        </is>
      </c>
      <c r="B424" s="18" t="inlineStr">
        <is>
          <t>ISCOM Paris</t>
        </is>
      </c>
      <c r="C424" s="19" t="inlineStr">
        <is>
          <t>ISCOM</t>
        </is>
      </c>
      <c r="D424" s="19" t="inlineStr">
        <is>
          <t>Paris</t>
        </is>
      </c>
      <c r="E424" s="19" t="inlineStr">
        <is>
          <t>613</t>
        </is>
      </c>
      <c r="F424" s="18" t="inlineStr">
        <is>
          <t>Loyers &amp; charges locatives (campus)</t>
        </is>
      </c>
      <c r="G424" s="19" t="inlineStr">
        <is>
          <t>61 — Services extérieurs</t>
        </is>
      </c>
      <c r="H424" s="19" t="inlineStr">
        <is>
          <t>Charge</t>
        </is>
      </c>
      <c r="I424" s="19" t="inlineStr">
        <is>
          <t>Structure</t>
        </is>
      </c>
      <c r="J424" s="19" t="inlineStr">
        <is>
          <t>2025ACT_VDEF</t>
        </is>
      </c>
      <c r="K424" s="19" t="inlineStr">
        <is>
          <t>2025 (N-1)</t>
        </is>
      </c>
      <c r="L424" s="13" t="n">
        <v>235653</v>
      </c>
    </row>
    <row r="425">
      <c r="A425" s="19" t="inlineStr">
        <is>
          <t>ISCOM_LILLE</t>
        </is>
      </c>
      <c r="B425" s="18" t="inlineStr">
        <is>
          <t>ISCOM Lille</t>
        </is>
      </c>
      <c r="C425" s="19" t="inlineStr">
        <is>
          <t>ISCOM</t>
        </is>
      </c>
      <c r="D425" s="19" t="inlineStr">
        <is>
          <t>Lille</t>
        </is>
      </c>
      <c r="E425" s="19" t="inlineStr">
        <is>
          <t>613</t>
        </is>
      </c>
      <c r="F425" s="18" t="inlineStr">
        <is>
          <t>Loyers &amp; charges locatives (campus)</t>
        </is>
      </c>
      <c r="G425" s="19" t="inlineStr">
        <is>
          <t>61 — Services extérieurs</t>
        </is>
      </c>
      <c r="H425" s="19" t="inlineStr">
        <is>
          <t>Charge</t>
        </is>
      </c>
      <c r="I425" s="19" t="inlineStr">
        <is>
          <t>Structure</t>
        </is>
      </c>
      <c r="J425" s="19" t="inlineStr">
        <is>
          <t>2025ACT_VDEF</t>
        </is>
      </c>
      <c r="K425" s="19" t="inlineStr">
        <is>
          <t>2025 (N-1)</t>
        </is>
      </c>
      <c r="L425" s="13" t="n">
        <v>168324</v>
      </c>
    </row>
    <row r="426">
      <c r="A426" s="19" t="inlineStr">
        <is>
          <t>ISCOM_TOULOUSE</t>
        </is>
      </c>
      <c r="B426" s="18" t="inlineStr">
        <is>
          <t>ISCOM Toulouse</t>
        </is>
      </c>
      <c r="C426" s="19" t="inlineStr">
        <is>
          <t>ISCOM</t>
        </is>
      </c>
      <c r="D426" s="19" t="inlineStr">
        <is>
          <t>Toulouse</t>
        </is>
      </c>
      <c r="E426" s="19" t="inlineStr">
        <is>
          <t>613</t>
        </is>
      </c>
      <c r="F426" s="18" t="inlineStr">
        <is>
          <t>Loyers &amp; charges locatives (campus)</t>
        </is>
      </c>
      <c r="G426" s="19" t="inlineStr">
        <is>
          <t>61 — Services extérieurs</t>
        </is>
      </c>
      <c r="H426" s="19" t="inlineStr">
        <is>
          <t>Charge</t>
        </is>
      </c>
      <c r="I426" s="19" t="inlineStr">
        <is>
          <t>Structure</t>
        </is>
      </c>
      <c r="J426" s="19" t="inlineStr">
        <is>
          <t>2025ACT_VDEF</t>
        </is>
      </c>
      <c r="K426" s="19" t="inlineStr">
        <is>
          <t>2025 (N-1)</t>
        </is>
      </c>
      <c r="L426" s="13" t="n">
        <v>168324</v>
      </c>
    </row>
    <row r="427">
      <c r="A427" s="19" t="inlineStr">
        <is>
          <t>IPAC_BACHELOR_FACTORY_NANTES</t>
        </is>
      </c>
      <c r="B427" s="18" t="inlineStr">
        <is>
          <t>Ipac Bachelor Factory Nantes</t>
        </is>
      </c>
      <c r="C427" s="19" t="inlineStr">
        <is>
          <t>Ipac Bachelor Factory</t>
        </is>
      </c>
      <c r="D427" s="19" t="inlineStr">
        <is>
          <t>Nantes</t>
        </is>
      </c>
      <c r="E427" s="19" t="inlineStr">
        <is>
          <t>613</t>
        </is>
      </c>
      <c r="F427" s="18" t="inlineStr">
        <is>
          <t>Loyers &amp; charges locatives (campus)</t>
        </is>
      </c>
      <c r="G427" s="19" t="inlineStr">
        <is>
          <t>61 — Services extérieurs</t>
        </is>
      </c>
      <c r="H427" s="19" t="inlineStr">
        <is>
          <t>Charge</t>
        </is>
      </c>
      <c r="I427" s="19" t="inlineStr">
        <is>
          <t>Structure</t>
        </is>
      </c>
      <c r="J427" s="19" t="inlineStr">
        <is>
          <t>2025ACT_VDEF</t>
        </is>
      </c>
      <c r="K427" s="19" t="inlineStr">
        <is>
          <t>2025 (N-1)</t>
        </is>
      </c>
      <c r="L427" s="13" t="n">
        <v>100994</v>
      </c>
    </row>
    <row r="428">
      <c r="A428" s="19" t="inlineStr">
        <is>
          <t>IPAC_BACHELOR_FACTORY_RENNES</t>
        </is>
      </c>
      <c r="B428" s="18" t="inlineStr">
        <is>
          <t>Ipac Bachelor Factory Rennes</t>
        </is>
      </c>
      <c r="C428" s="19" t="inlineStr">
        <is>
          <t>Ipac Bachelor Factory</t>
        </is>
      </c>
      <c r="D428" s="19" t="inlineStr">
        <is>
          <t>Rennes</t>
        </is>
      </c>
      <c r="E428" s="19" t="inlineStr">
        <is>
          <t>613</t>
        </is>
      </c>
      <c r="F428" s="18" t="inlineStr">
        <is>
          <t>Loyers &amp; charges locatives (campus)</t>
        </is>
      </c>
      <c r="G428" s="19" t="inlineStr">
        <is>
          <t>61 — Services extérieurs</t>
        </is>
      </c>
      <c r="H428" s="19" t="inlineStr">
        <is>
          <t>Charge</t>
        </is>
      </c>
      <c r="I428" s="19" t="inlineStr">
        <is>
          <t>Structure</t>
        </is>
      </c>
      <c r="J428" s="19" t="inlineStr">
        <is>
          <t>2025ACT_VDEF</t>
        </is>
      </c>
      <c r="K428" s="19" t="inlineStr">
        <is>
          <t>2025 (N-1)</t>
        </is>
      </c>
      <c r="L428" s="13" t="n">
        <v>100994</v>
      </c>
    </row>
    <row r="429">
      <c r="A429" s="19" t="inlineStr">
        <is>
          <t>IPAC_BACHELOR_FACTORY_MONTPELLIER</t>
        </is>
      </c>
      <c r="B429" s="18" t="inlineStr">
        <is>
          <t>Ipac Bachelor Factory Montpellier</t>
        </is>
      </c>
      <c r="C429" s="19" t="inlineStr">
        <is>
          <t>Ipac Bachelor Factory</t>
        </is>
      </c>
      <c r="D429" s="19" t="inlineStr">
        <is>
          <t>Montpellier</t>
        </is>
      </c>
      <c r="E429" s="19" t="inlineStr">
        <is>
          <t>613</t>
        </is>
      </c>
      <c r="F429" s="18" t="inlineStr">
        <is>
          <t>Loyers &amp; charges locatives (campus)</t>
        </is>
      </c>
      <c r="G429" s="19" t="inlineStr">
        <is>
          <t>61 — Services extérieurs</t>
        </is>
      </c>
      <c r="H429" s="19" t="inlineStr">
        <is>
          <t>Charge</t>
        </is>
      </c>
      <c r="I429" s="19" t="inlineStr">
        <is>
          <t>Structure</t>
        </is>
      </c>
      <c r="J429" s="19" t="inlineStr">
        <is>
          <t>2025ACT_VDEF</t>
        </is>
      </c>
      <c r="K429" s="19" t="inlineStr">
        <is>
          <t>2025 (N-1)</t>
        </is>
      </c>
      <c r="L429" s="13" t="n">
        <v>100994</v>
      </c>
    </row>
    <row r="430">
      <c r="A430" s="19" t="inlineStr">
        <is>
          <t>PIGIER_LYON</t>
        </is>
      </c>
      <c r="B430" s="18" t="inlineStr">
        <is>
          <t>Pigier Lyon</t>
        </is>
      </c>
      <c r="C430" s="19" t="inlineStr">
        <is>
          <t>Pigier</t>
        </is>
      </c>
      <c r="D430" s="19" t="inlineStr">
        <is>
          <t>Lyon</t>
        </is>
      </c>
      <c r="E430" s="19" t="inlineStr">
        <is>
          <t>613</t>
        </is>
      </c>
      <c r="F430" s="18" t="inlineStr">
        <is>
          <t>Loyers &amp; charges locatives (campus)</t>
        </is>
      </c>
      <c r="G430" s="19" t="inlineStr">
        <is>
          <t>61 — Services extérieurs</t>
        </is>
      </c>
      <c r="H430" s="19" t="inlineStr">
        <is>
          <t>Charge</t>
        </is>
      </c>
      <c r="I430" s="19" t="inlineStr">
        <is>
          <t>Structure</t>
        </is>
      </c>
      <c r="J430" s="19" t="inlineStr">
        <is>
          <t>2025ACT_VDEF</t>
        </is>
      </c>
      <c r="K430" s="19" t="inlineStr">
        <is>
          <t>2025 (N-1)</t>
        </is>
      </c>
      <c r="L430" s="13" t="n">
        <v>134659</v>
      </c>
    </row>
    <row r="431">
      <c r="A431" s="19" t="inlineStr">
        <is>
          <t>PIGIER_BORDEAUX</t>
        </is>
      </c>
      <c r="B431" s="18" t="inlineStr">
        <is>
          <t>Pigier Bordeaux</t>
        </is>
      </c>
      <c r="C431" s="19" t="inlineStr">
        <is>
          <t>Pigier</t>
        </is>
      </c>
      <c r="D431" s="19" t="inlineStr">
        <is>
          <t>Bordeaux</t>
        </is>
      </c>
      <c r="E431" s="19" t="inlineStr">
        <is>
          <t>613</t>
        </is>
      </c>
      <c r="F431" s="18" t="inlineStr">
        <is>
          <t>Loyers &amp; charges locatives (campus)</t>
        </is>
      </c>
      <c r="G431" s="19" t="inlineStr">
        <is>
          <t>61 — Services extérieurs</t>
        </is>
      </c>
      <c r="H431" s="19" t="inlineStr">
        <is>
          <t>Charge</t>
        </is>
      </c>
      <c r="I431" s="19" t="inlineStr">
        <is>
          <t>Structure</t>
        </is>
      </c>
      <c r="J431" s="19" t="inlineStr">
        <is>
          <t>2025ACT_VDEF</t>
        </is>
      </c>
      <c r="K431" s="19" t="inlineStr">
        <is>
          <t>2025 (N-1)</t>
        </is>
      </c>
      <c r="L431" s="13" t="n">
        <v>134659</v>
      </c>
    </row>
    <row r="432">
      <c r="A432" s="19" t="inlineStr">
        <is>
          <t>TUNON_PARIS</t>
        </is>
      </c>
      <c r="B432" s="18" t="inlineStr">
        <is>
          <t>Tunon Paris</t>
        </is>
      </c>
      <c r="C432" s="19" t="inlineStr">
        <is>
          <t>Tunon</t>
        </is>
      </c>
      <c r="D432" s="19" t="inlineStr">
        <is>
          <t>Paris</t>
        </is>
      </c>
      <c r="E432" s="19" t="inlineStr">
        <is>
          <t>613</t>
        </is>
      </c>
      <c r="F432" s="18" t="inlineStr">
        <is>
          <t>Loyers &amp; charges locatives (campus)</t>
        </is>
      </c>
      <c r="G432" s="19" t="inlineStr">
        <is>
          <t>61 — Services extérieurs</t>
        </is>
      </c>
      <c r="H432" s="19" t="inlineStr">
        <is>
          <t>Charge</t>
        </is>
      </c>
      <c r="I432" s="19" t="inlineStr">
        <is>
          <t>Structure</t>
        </is>
      </c>
      <c r="J432" s="19" t="inlineStr">
        <is>
          <t>2025ACT_VDEF</t>
        </is>
      </c>
      <c r="K432" s="19" t="inlineStr">
        <is>
          <t>2025 (N-1)</t>
        </is>
      </c>
      <c r="L432" s="13" t="n">
        <v>100994</v>
      </c>
    </row>
    <row r="433">
      <c r="A433" s="19" t="inlineStr">
        <is>
          <t>TUNON_LYON</t>
        </is>
      </c>
      <c r="B433" s="18" t="inlineStr">
        <is>
          <t>Tunon Lyon</t>
        </is>
      </c>
      <c r="C433" s="19" t="inlineStr">
        <is>
          <t>Tunon</t>
        </is>
      </c>
      <c r="D433" s="19" t="inlineStr">
        <is>
          <t>Lyon</t>
        </is>
      </c>
      <c r="E433" s="19" t="inlineStr">
        <is>
          <t>613</t>
        </is>
      </c>
      <c r="F433" s="18" t="inlineStr">
        <is>
          <t>Loyers &amp; charges locatives (campus)</t>
        </is>
      </c>
      <c r="G433" s="19" t="inlineStr">
        <is>
          <t>61 — Services extérieurs</t>
        </is>
      </c>
      <c r="H433" s="19" t="inlineStr">
        <is>
          <t>Charge</t>
        </is>
      </c>
      <c r="I433" s="19" t="inlineStr">
        <is>
          <t>Structure</t>
        </is>
      </c>
      <c r="J433" s="19" t="inlineStr">
        <is>
          <t>2025ACT_VDEF</t>
        </is>
      </c>
      <c r="K433" s="19" t="inlineStr">
        <is>
          <t>2025 (N-1)</t>
        </is>
      </c>
      <c r="L433" s="13" t="n">
        <v>100994</v>
      </c>
    </row>
    <row r="434">
      <c r="A434" s="19" t="inlineStr">
        <is>
          <t>MBWAY_PARIS</t>
        </is>
      </c>
      <c r="B434" s="18" t="inlineStr">
        <is>
          <t>MBway Paris</t>
        </is>
      </c>
      <c r="C434" s="19" t="inlineStr">
        <is>
          <t>MBway</t>
        </is>
      </c>
      <c r="D434" s="19" t="inlineStr">
        <is>
          <t>Paris</t>
        </is>
      </c>
      <c r="E434" s="19" t="inlineStr">
        <is>
          <t>613</t>
        </is>
      </c>
      <c r="F434" s="18" t="inlineStr">
        <is>
          <t>Loyers &amp; charges locatives (campus)</t>
        </is>
      </c>
      <c r="G434" s="19" t="inlineStr">
        <is>
          <t>61 — Services extérieurs</t>
        </is>
      </c>
      <c r="H434" s="19" t="inlineStr">
        <is>
          <t>Charge</t>
        </is>
      </c>
      <c r="I434" s="19" t="inlineStr">
        <is>
          <t>Structure</t>
        </is>
      </c>
      <c r="J434" s="19" t="inlineStr">
        <is>
          <t>2026ATT_VDEF</t>
        </is>
      </c>
      <c r="K434" s="19" t="inlineStr">
        <is>
          <t>2026 (Atterr.)</t>
        </is>
      </c>
      <c r="L434" s="13" t="n">
        <v>265767</v>
      </c>
    </row>
    <row r="435">
      <c r="A435" s="19" t="inlineStr">
        <is>
          <t>MBWAY_LYON</t>
        </is>
      </c>
      <c r="B435" s="18" t="inlineStr">
        <is>
          <t>MBway Lyon</t>
        </is>
      </c>
      <c r="C435" s="19" t="inlineStr">
        <is>
          <t>MBway</t>
        </is>
      </c>
      <c r="D435" s="19" t="inlineStr">
        <is>
          <t>Lyon</t>
        </is>
      </c>
      <c r="E435" s="19" t="inlineStr">
        <is>
          <t>613</t>
        </is>
      </c>
      <c r="F435" s="18" t="inlineStr">
        <is>
          <t>Loyers &amp; charges locatives (campus)</t>
        </is>
      </c>
      <c r="G435" s="19" t="inlineStr">
        <is>
          <t>61 — Services extérieurs</t>
        </is>
      </c>
      <c r="H435" s="19" t="inlineStr">
        <is>
          <t>Charge</t>
        </is>
      </c>
      <c r="I435" s="19" t="inlineStr">
        <is>
          <t>Structure</t>
        </is>
      </c>
      <c r="J435" s="19" t="inlineStr">
        <is>
          <t>2026ATT_VDEF</t>
        </is>
      </c>
      <c r="K435" s="19" t="inlineStr">
        <is>
          <t>2026 (Atterr.)</t>
        </is>
      </c>
      <c r="L435" s="13" t="n">
        <v>230332</v>
      </c>
    </row>
    <row r="436">
      <c r="A436" s="19" t="inlineStr">
        <is>
          <t>MBWAY_NANTES</t>
        </is>
      </c>
      <c r="B436" s="18" t="inlineStr">
        <is>
          <t>MBway Nantes</t>
        </is>
      </c>
      <c r="C436" s="19" t="inlineStr">
        <is>
          <t>MBway</t>
        </is>
      </c>
      <c r="D436" s="19" t="inlineStr">
        <is>
          <t>Nantes</t>
        </is>
      </c>
      <c r="E436" s="19" t="inlineStr">
        <is>
          <t>613</t>
        </is>
      </c>
      <c r="F436" s="18" t="inlineStr">
        <is>
          <t>Loyers &amp; charges locatives (campus)</t>
        </is>
      </c>
      <c r="G436" s="19" t="inlineStr">
        <is>
          <t>61 — Services extérieurs</t>
        </is>
      </c>
      <c r="H436" s="19" t="inlineStr">
        <is>
          <t>Charge</t>
        </is>
      </c>
      <c r="I436" s="19" t="inlineStr">
        <is>
          <t>Structure</t>
        </is>
      </c>
      <c r="J436" s="19" t="inlineStr">
        <is>
          <t>2026ATT_VDEF</t>
        </is>
      </c>
      <c r="K436" s="19" t="inlineStr">
        <is>
          <t>2026 (Atterr.)</t>
        </is>
      </c>
      <c r="L436" s="13" t="n">
        <v>212614</v>
      </c>
    </row>
    <row r="437">
      <c r="A437" s="19" t="inlineStr">
        <is>
          <t>MBWAY_BORDEAUX</t>
        </is>
      </c>
      <c r="B437" s="18" t="inlineStr">
        <is>
          <t>MBway Bordeaux</t>
        </is>
      </c>
      <c r="C437" s="19" t="inlineStr">
        <is>
          <t>MBway</t>
        </is>
      </c>
      <c r="D437" s="19" t="inlineStr">
        <is>
          <t>Bordeaux</t>
        </is>
      </c>
      <c r="E437" s="19" t="inlineStr">
        <is>
          <t>613</t>
        </is>
      </c>
      <c r="F437" s="18" t="inlineStr">
        <is>
          <t>Loyers &amp; charges locatives (campus)</t>
        </is>
      </c>
      <c r="G437" s="19" t="inlineStr">
        <is>
          <t>61 — Services extérieurs</t>
        </is>
      </c>
      <c r="H437" s="19" t="inlineStr">
        <is>
          <t>Charge</t>
        </is>
      </c>
      <c r="I437" s="19" t="inlineStr">
        <is>
          <t>Structure</t>
        </is>
      </c>
      <c r="J437" s="19" t="inlineStr">
        <is>
          <t>2026ATT_VDEF</t>
        </is>
      </c>
      <c r="K437" s="19" t="inlineStr">
        <is>
          <t>2026 (Atterr.)</t>
        </is>
      </c>
      <c r="L437" s="13" t="n">
        <v>177178</v>
      </c>
    </row>
    <row r="438">
      <c r="A438" s="19" t="inlineStr">
        <is>
          <t>ISCOM_PARIS</t>
        </is>
      </c>
      <c r="B438" s="18" t="inlineStr">
        <is>
          <t>ISCOM Paris</t>
        </is>
      </c>
      <c r="C438" s="19" t="inlineStr">
        <is>
          <t>ISCOM</t>
        </is>
      </c>
      <c r="D438" s="19" t="inlineStr">
        <is>
          <t>Paris</t>
        </is>
      </c>
      <c r="E438" s="19" t="inlineStr">
        <is>
          <t>613</t>
        </is>
      </c>
      <c r="F438" s="18" t="inlineStr">
        <is>
          <t>Loyers &amp; charges locatives (campus)</t>
        </is>
      </c>
      <c r="G438" s="19" t="inlineStr">
        <is>
          <t>61 — Services extérieurs</t>
        </is>
      </c>
      <c r="H438" s="19" t="inlineStr">
        <is>
          <t>Charge</t>
        </is>
      </c>
      <c r="I438" s="19" t="inlineStr">
        <is>
          <t>Structure</t>
        </is>
      </c>
      <c r="J438" s="19" t="inlineStr">
        <is>
          <t>2026ATT_VDEF</t>
        </is>
      </c>
      <c r="K438" s="19" t="inlineStr">
        <is>
          <t>2026 (Atterr.)</t>
        </is>
      </c>
      <c r="L438" s="13" t="n">
        <v>248049</v>
      </c>
    </row>
    <row r="439">
      <c r="A439" s="19" t="inlineStr">
        <is>
          <t>ISCOM_LILLE</t>
        </is>
      </c>
      <c r="B439" s="18" t="inlineStr">
        <is>
          <t>ISCOM Lille</t>
        </is>
      </c>
      <c r="C439" s="19" t="inlineStr">
        <is>
          <t>ISCOM</t>
        </is>
      </c>
      <c r="D439" s="19" t="inlineStr">
        <is>
          <t>Lille</t>
        </is>
      </c>
      <c r="E439" s="19" t="inlineStr">
        <is>
          <t>613</t>
        </is>
      </c>
      <c r="F439" s="18" t="inlineStr">
        <is>
          <t>Loyers &amp; charges locatives (campus)</t>
        </is>
      </c>
      <c r="G439" s="19" t="inlineStr">
        <is>
          <t>61 — Services extérieurs</t>
        </is>
      </c>
      <c r="H439" s="19" t="inlineStr">
        <is>
          <t>Charge</t>
        </is>
      </c>
      <c r="I439" s="19" t="inlineStr">
        <is>
          <t>Structure</t>
        </is>
      </c>
      <c r="J439" s="19" t="inlineStr">
        <is>
          <t>2026ATT_VDEF</t>
        </is>
      </c>
      <c r="K439" s="19" t="inlineStr">
        <is>
          <t>2026 (Atterr.)</t>
        </is>
      </c>
      <c r="L439" s="13" t="n">
        <v>177178</v>
      </c>
    </row>
    <row r="440">
      <c r="A440" s="19" t="inlineStr">
        <is>
          <t>ISCOM_TOULOUSE</t>
        </is>
      </c>
      <c r="B440" s="18" t="inlineStr">
        <is>
          <t>ISCOM Toulouse</t>
        </is>
      </c>
      <c r="C440" s="19" t="inlineStr">
        <is>
          <t>ISCOM</t>
        </is>
      </c>
      <c r="D440" s="19" t="inlineStr">
        <is>
          <t>Toulouse</t>
        </is>
      </c>
      <c r="E440" s="19" t="inlineStr">
        <is>
          <t>613</t>
        </is>
      </c>
      <c r="F440" s="18" t="inlineStr">
        <is>
          <t>Loyers &amp; charges locatives (campus)</t>
        </is>
      </c>
      <c r="G440" s="19" t="inlineStr">
        <is>
          <t>61 — Services extérieurs</t>
        </is>
      </c>
      <c r="H440" s="19" t="inlineStr">
        <is>
          <t>Charge</t>
        </is>
      </c>
      <c r="I440" s="19" t="inlineStr">
        <is>
          <t>Structure</t>
        </is>
      </c>
      <c r="J440" s="19" t="inlineStr">
        <is>
          <t>2026ATT_VDEF</t>
        </is>
      </c>
      <c r="K440" s="19" t="inlineStr">
        <is>
          <t>2026 (Atterr.)</t>
        </is>
      </c>
      <c r="L440" s="13" t="n">
        <v>177178</v>
      </c>
    </row>
    <row r="441">
      <c r="A441" s="19" t="inlineStr">
        <is>
          <t>IPAC_BACHELOR_FACTORY_NANTES</t>
        </is>
      </c>
      <c r="B441" s="18" t="inlineStr">
        <is>
          <t>Ipac Bachelor Factory Nantes</t>
        </is>
      </c>
      <c r="C441" s="19" t="inlineStr">
        <is>
          <t>Ipac Bachelor Factory</t>
        </is>
      </c>
      <c r="D441" s="19" t="inlineStr">
        <is>
          <t>Nantes</t>
        </is>
      </c>
      <c r="E441" s="19" t="inlineStr">
        <is>
          <t>613</t>
        </is>
      </c>
      <c r="F441" s="18" t="inlineStr">
        <is>
          <t>Loyers &amp; charges locatives (campus)</t>
        </is>
      </c>
      <c r="G441" s="19" t="inlineStr">
        <is>
          <t>61 — Services extérieurs</t>
        </is>
      </c>
      <c r="H441" s="19" t="inlineStr">
        <is>
          <t>Charge</t>
        </is>
      </c>
      <c r="I441" s="19" t="inlineStr">
        <is>
          <t>Structure</t>
        </is>
      </c>
      <c r="J441" s="19" t="inlineStr">
        <is>
          <t>2026ATT_VDEF</t>
        </is>
      </c>
      <c r="K441" s="19" t="inlineStr">
        <is>
          <t>2026 (Atterr.)</t>
        </is>
      </c>
      <c r="L441" s="13" t="n">
        <v>106307</v>
      </c>
    </row>
    <row r="442">
      <c r="A442" s="19" t="inlineStr">
        <is>
          <t>IPAC_BACHELOR_FACTORY_RENNES</t>
        </is>
      </c>
      <c r="B442" s="18" t="inlineStr">
        <is>
          <t>Ipac Bachelor Factory Rennes</t>
        </is>
      </c>
      <c r="C442" s="19" t="inlineStr">
        <is>
          <t>Ipac Bachelor Factory</t>
        </is>
      </c>
      <c r="D442" s="19" t="inlineStr">
        <is>
          <t>Rennes</t>
        </is>
      </c>
      <c r="E442" s="19" t="inlineStr">
        <is>
          <t>613</t>
        </is>
      </c>
      <c r="F442" s="18" t="inlineStr">
        <is>
          <t>Loyers &amp; charges locatives (campus)</t>
        </is>
      </c>
      <c r="G442" s="19" t="inlineStr">
        <is>
          <t>61 — Services extérieurs</t>
        </is>
      </c>
      <c r="H442" s="19" t="inlineStr">
        <is>
          <t>Charge</t>
        </is>
      </c>
      <c r="I442" s="19" t="inlineStr">
        <is>
          <t>Structure</t>
        </is>
      </c>
      <c r="J442" s="19" t="inlineStr">
        <is>
          <t>2026ATT_VDEF</t>
        </is>
      </c>
      <c r="K442" s="19" t="inlineStr">
        <is>
          <t>2026 (Atterr.)</t>
        </is>
      </c>
      <c r="L442" s="13" t="n">
        <v>106307</v>
      </c>
    </row>
    <row r="443">
      <c r="A443" s="19" t="inlineStr">
        <is>
          <t>IPAC_BACHELOR_FACTORY_MONTPELLIER</t>
        </is>
      </c>
      <c r="B443" s="18" t="inlineStr">
        <is>
          <t>Ipac Bachelor Factory Montpellier</t>
        </is>
      </c>
      <c r="C443" s="19" t="inlineStr">
        <is>
          <t>Ipac Bachelor Factory</t>
        </is>
      </c>
      <c r="D443" s="19" t="inlineStr">
        <is>
          <t>Montpellier</t>
        </is>
      </c>
      <c r="E443" s="19" t="inlineStr">
        <is>
          <t>613</t>
        </is>
      </c>
      <c r="F443" s="18" t="inlineStr">
        <is>
          <t>Loyers &amp; charges locatives (campus)</t>
        </is>
      </c>
      <c r="G443" s="19" t="inlineStr">
        <is>
          <t>61 — Services extérieurs</t>
        </is>
      </c>
      <c r="H443" s="19" t="inlineStr">
        <is>
          <t>Charge</t>
        </is>
      </c>
      <c r="I443" s="19" t="inlineStr">
        <is>
          <t>Structure</t>
        </is>
      </c>
      <c r="J443" s="19" t="inlineStr">
        <is>
          <t>2026ATT_VDEF</t>
        </is>
      </c>
      <c r="K443" s="19" t="inlineStr">
        <is>
          <t>2026 (Atterr.)</t>
        </is>
      </c>
      <c r="L443" s="13" t="n">
        <v>106307</v>
      </c>
    </row>
    <row r="444">
      <c r="A444" s="19" t="inlineStr">
        <is>
          <t>PIGIER_LYON</t>
        </is>
      </c>
      <c r="B444" s="18" t="inlineStr">
        <is>
          <t>Pigier Lyon</t>
        </is>
      </c>
      <c r="C444" s="19" t="inlineStr">
        <is>
          <t>Pigier</t>
        </is>
      </c>
      <c r="D444" s="19" t="inlineStr">
        <is>
          <t>Lyon</t>
        </is>
      </c>
      <c r="E444" s="19" t="inlineStr">
        <is>
          <t>613</t>
        </is>
      </c>
      <c r="F444" s="18" t="inlineStr">
        <is>
          <t>Loyers &amp; charges locatives (campus)</t>
        </is>
      </c>
      <c r="G444" s="19" t="inlineStr">
        <is>
          <t>61 — Services extérieurs</t>
        </is>
      </c>
      <c r="H444" s="19" t="inlineStr">
        <is>
          <t>Charge</t>
        </is>
      </c>
      <c r="I444" s="19" t="inlineStr">
        <is>
          <t>Structure</t>
        </is>
      </c>
      <c r="J444" s="19" t="inlineStr">
        <is>
          <t>2026ATT_VDEF</t>
        </is>
      </c>
      <c r="K444" s="19" t="inlineStr">
        <is>
          <t>2026 (Atterr.)</t>
        </is>
      </c>
      <c r="L444" s="13" t="n">
        <v>141743</v>
      </c>
    </row>
    <row r="445">
      <c r="A445" s="19" t="inlineStr">
        <is>
          <t>PIGIER_BORDEAUX</t>
        </is>
      </c>
      <c r="B445" s="18" t="inlineStr">
        <is>
          <t>Pigier Bordeaux</t>
        </is>
      </c>
      <c r="C445" s="19" t="inlineStr">
        <is>
          <t>Pigier</t>
        </is>
      </c>
      <c r="D445" s="19" t="inlineStr">
        <is>
          <t>Bordeaux</t>
        </is>
      </c>
      <c r="E445" s="19" t="inlineStr">
        <is>
          <t>613</t>
        </is>
      </c>
      <c r="F445" s="18" t="inlineStr">
        <is>
          <t>Loyers &amp; charges locatives (campus)</t>
        </is>
      </c>
      <c r="G445" s="19" t="inlineStr">
        <is>
          <t>61 — Services extérieurs</t>
        </is>
      </c>
      <c r="H445" s="19" t="inlineStr">
        <is>
          <t>Charge</t>
        </is>
      </c>
      <c r="I445" s="19" t="inlineStr">
        <is>
          <t>Structure</t>
        </is>
      </c>
      <c r="J445" s="19" t="inlineStr">
        <is>
          <t>2026ATT_VDEF</t>
        </is>
      </c>
      <c r="K445" s="19" t="inlineStr">
        <is>
          <t>2026 (Atterr.)</t>
        </is>
      </c>
      <c r="L445" s="13" t="n">
        <v>141743</v>
      </c>
    </row>
    <row r="446">
      <c r="A446" s="19" t="inlineStr">
        <is>
          <t>TUNON_PARIS</t>
        </is>
      </c>
      <c r="B446" s="18" t="inlineStr">
        <is>
          <t>Tunon Paris</t>
        </is>
      </c>
      <c r="C446" s="19" t="inlineStr">
        <is>
          <t>Tunon</t>
        </is>
      </c>
      <c r="D446" s="19" t="inlineStr">
        <is>
          <t>Paris</t>
        </is>
      </c>
      <c r="E446" s="19" t="inlineStr">
        <is>
          <t>613</t>
        </is>
      </c>
      <c r="F446" s="18" t="inlineStr">
        <is>
          <t>Loyers &amp; charges locatives (campus)</t>
        </is>
      </c>
      <c r="G446" s="19" t="inlineStr">
        <is>
          <t>61 — Services extérieurs</t>
        </is>
      </c>
      <c r="H446" s="19" t="inlineStr">
        <is>
          <t>Charge</t>
        </is>
      </c>
      <c r="I446" s="19" t="inlineStr">
        <is>
          <t>Structure</t>
        </is>
      </c>
      <c r="J446" s="19" t="inlineStr">
        <is>
          <t>2026ATT_VDEF</t>
        </is>
      </c>
      <c r="K446" s="19" t="inlineStr">
        <is>
          <t>2026 (Atterr.)</t>
        </is>
      </c>
      <c r="L446" s="13" t="n">
        <v>106307</v>
      </c>
    </row>
    <row r="447">
      <c r="A447" s="19" t="inlineStr">
        <is>
          <t>TUNON_LYON</t>
        </is>
      </c>
      <c r="B447" s="18" t="inlineStr">
        <is>
          <t>Tunon Lyon</t>
        </is>
      </c>
      <c r="C447" s="19" t="inlineStr">
        <is>
          <t>Tunon</t>
        </is>
      </c>
      <c r="D447" s="19" t="inlineStr">
        <is>
          <t>Lyon</t>
        </is>
      </c>
      <c r="E447" s="19" t="inlineStr">
        <is>
          <t>613</t>
        </is>
      </c>
      <c r="F447" s="18" t="inlineStr">
        <is>
          <t>Loyers &amp; charges locatives (campus)</t>
        </is>
      </c>
      <c r="G447" s="19" t="inlineStr">
        <is>
          <t>61 — Services extérieurs</t>
        </is>
      </c>
      <c r="H447" s="19" t="inlineStr">
        <is>
          <t>Charge</t>
        </is>
      </c>
      <c r="I447" s="19" t="inlineStr">
        <is>
          <t>Structure</t>
        </is>
      </c>
      <c r="J447" s="19" t="inlineStr">
        <is>
          <t>2026ATT_VDEF</t>
        </is>
      </c>
      <c r="K447" s="19" t="inlineStr">
        <is>
          <t>2026 (Atterr.)</t>
        </is>
      </c>
      <c r="L447" s="13" t="n">
        <v>106307</v>
      </c>
    </row>
    <row r="448">
      <c r="A448" s="19" t="inlineStr">
        <is>
          <t>MBWAY_PARIS</t>
        </is>
      </c>
      <c r="B448" s="18" t="inlineStr">
        <is>
          <t>MBway Paris</t>
        </is>
      </c>
      <c r="C448" s="19" t="inlineStr">
        <is>
          <t>MBway</t>
        </is>
      </c>
      <c r="D448" s="19" t="inlineStr">
        <is>
          <t>Paris</t>
        </is>
      </c>
      <c r="E448" s="19" t="inlineStr">
        <is>
          <t>615</t>
        </is>
      </c>
      <c r="F448" s="18" t="inlineStr">
        <is>
          <t>Entretien &amp; maintenance</t>
        </is>
      </c>
      <c r="G448" s="19" t="inlineStr">
        <is>
          <t>61 — Services extérieurs</t>
        </is>
      </c>
      <c r="H448" s="19" t="inlineStr">
        <is>
          <t>Charge</t>
        </is>
      </c>
      <c r="I448" s="19" t="inlineStr">
        <is>
          <t>Structure</t>
        </is>
      </c>
      <c r="J448" s="19" t="inlineStr">
        <is>
          <t>2024ACT_VDEF</t>
        </is>
      </c>
      <c r="K448" s="19" t="inlineStr">
        <is>
          <t>2024 (N-2)</t>
        </is>
      </c>
      <c r="L448" s="13" t="n">
        <v>34344</v>
      </c>
    </row>
    <row r="449">
      <c r="A449" s="19" t="inlineStr">
        <is>
          <t>MBWAY_LYON</t>
        </is>
      </c>
      <c r="B449" s="18" t="inlineStr">
        <is>
          <t>MBway Lyon</t>
        </is>
      </c>
      <c r="C449" s="19" t="inlineStr">
        <is>
          <t>MBway</t>
        </is>
      </c>
      <c r="D449" s="19" t="inlineStr">
        <is>
          <t>Lyon</t>
        </is>
      </c>
      <c r="E449" s="19" t="inlineStr">
        <is>
          <t>615</t>
        </is>
      </c>
      <c r="F449" s="18" t="inlineStr">
        <is>
          <t>Entretien &amp; maintenance</t>
        </is>
      </c>
      <c r="G449" s="19" t="inlineStr">
        <is>
          <t>61 — Services extérieurs</t>
        </is>
      </c>
      <c r="H449" s="19" t="inlineStr">
        <is>
          <t>Charge</t>
        </is>
      </c>
      <c r="I449" s="19" t="inlineStr">
        <is>
          <t>Structure</t>
        </is>
      </c>
      <c r="J449" s="19" t="inlineStr">
        <is>
          <t>2024ACT_VDEF</t>
        </is>
      </c>
      <c r="K449" s="19" t="inlineStr">
        <is>
          <t>2024 (N-2)</t>
        </is>
      </c>
      <c r="L449" s="13" t="n">
        <v>29765</v>
      </c>
    </row>
    <row r="450">
      <c r="A450" s="19" t="inlineStr">
        <is>
          <t>MBWAY_NANTES</t>
        </is>
      </c>
      <c r="B450" s="18" t="inlineStr">
        <is>
          <t>MBway Nantes</t>
        </is>
      </c>
      <c r="C450" s="19" t="inlineStr">
        <is>
          <t>MBway</t>
        </is>
      </c>
      <c r="D450" s="19" t="inlineStr">
        <is>
          <t>Nantes</t>
        </is>
      </c>
      <c r="E450" s="19" t="inlineStr">
        <is>
          <t>615</t>
        </is>
      </c>
      <c r="F450" s="18" t="inlineStr">
        <is>
          <t>Entretien &amp; maintenance</t>
        </is>
      </c>
      <c r="G450" s="19" t="inlineStr">
        <is>
          <t>61 — Services extérieurs</t>
        </is>
      </c>
      <c r="H450" s="19" t="inlineStr">
        <is>
          <t>Charge</t>
        </is>
      </c>
      <c r="I450" s="19" t="inlineStr">
        <is>
          <t>Structure</t>
        </is>
      </c>
      <c r="J450" s="19" t="inlineStr">
        <is>
          <t>2024ACT_VDEF</t>
        </is>
      </c>
      <c r="K450" s="19" t="inlineStr">
        <is>
          <t>2024 (N-2)</t>
        </is>
      </c>
      <c r="L450" s="13" t="n">
        <v>27475</v>
      </c>
    </row>
    <row r="451">
      <c r="A451" s="19" t="inlineStr">
        <is>
          <t>MBWAY_BORDEAUX</t>
        </is>
      </c>
      <c r="B451" s="18" t="inlineStr">
        <is>
          <t>MBway Bordeaux</t>
        </is>
      </c>
      <c r="C451" s="19" t="inlineStr">
        <is>
          <t>MBway</t>
        </is>
      </c>
      <c r="D451" s="19" t="inlineStr">
        <is>
          <t>Bordeaux</t>
        </is>
      </c>
      <c r="E451" s="19" t="inlineStr">
        <is>
          <t>615</t>
        </is>
      </c>
      <c r="F451" s="18" t="inlineStr">
        <is>
          <t>Entretien &amp; maintenance</t>
        </is>
      </c>
      <c r="G451" s="19" t="inlineStr">
        <is>
          <t>61 — Services extérieurs</t>
        </is>
      </c>
      <c r="H451" s="19" t="inlineStr">
        <is>
          <t>Charge</t>
        </is>
      </c>
      <c r="I451" s="19" t="inlineStr">
        <is>
          <t>Structure</t>
        </is>
      </c>
      <c r="J451" s="19" t="inlineStr">
        <is>
          <t>2024ACT_VDEF</t>
        </is>
      </c>
      <c r="K451" s="19" t="inlineStr">
        <is>
          <t>2024 (N-2)</t>
        </is>
      </c>
      <c r="L451" s="13" t="n">
        <v>22896</v>
      </c>
    </row>
    <row r="452">
      <c r="A452" s="19" t="inlineStr">
        <is>
          <t>ISCOM_PARIS</t>
        </is>
      </c>
      <c r="B452" s="18" t="inlineStr">
        <is>
          <t>ISCOM Paris</t>
        </is>
      </c>
      <c r="C452" s="19" t="inlineStr">
        <is>
          <t>ISCOM</t>
        </is>
      </c>
      <c r="D452" s="19" t="inlineStr">
        <is>
          <t>Paris</t>
        </is>
      </c>
      <c r="E452" s="19" t="inlineStr">
        <is>
          <t>615</t>
        </is>
      </c>
      <c r="F452" s="18" t="inlineStr">
        <is>
          <t>Entretien &amp; maintenance</t>
        </is>
      </c>
      <c r="G452" s="19" t="inlineStr">
        <is>
          <t>61 — Services extérieurs</t>
        </is>
      </c>
      <c r="H452" s="19" t="inlineStr">
        <is>
          <t>Charge</t>
        </is>
      </c>
      <c r="I452" s="19" t="inlineStr">
        <is>
          <t>Structure</t>
        </is>
      </c>
      <c r="J452" s="19" t="inlineStr">
        <is>
          <t>2024ACT_VDEF</t>
        </is>
      </c>
      <c r="K452" s="19" t="inlineStr">
        <is>
          <t>2024 (N-2)</t>
        </is>
      </c>
      <c r="L452" s="13" t="n">
        <v>32055</v>
      </c>
    </row>
    <row r="453">
      <c r="A453" s="19" t="inlineStr">
        <is>
          <t>ISCOM_LILLE</t>
        </is>
      </c>
      <c r="B453" s="18" t="inlineStr">
        <is>
          <t>ISCOM Lille</t>
        </is>
      </c>
      <c r="C453" s="19" t="inlineStr">
        <is>
          <t>ISCOM</t>
        </is>
      </c>
      <c r="D453" s="19" t="inlineStr">
        <is>
          <t>Lille</t>
        </is>
      </c>
      <c r="E453" s="19" t="inlineStr">
        <is>
          <t>615</t>
        </is>
      </c>
      <c r="F453" s="18" t="inlineStr">
        <is>
          <t>Entretien &amp; maintenance</t>
        </is>
      </c>
      <c r="G453" s="19" t="inlineStr">
        <is>
          <t>61 — Services extérieurs</t>
        </is>
      </c>
      <c r="H453" s="19" t="inlineStr">
        <is>
          <t>Charge</t>
        </is>
      </c>
      <c r="I453" s="19" t="inlineStr">
        <is>
          <t>Structure</t>
        </is>
      </c>
      <c r="J453" s="19" t="inlineStr">
        <is>
          <t>2024ACT_VDEF</t>
        </is>
      </c>
      <c r="K453" s="19" t="inlineStr">
        <is>
          <t>2024 (N-2)</t>
        </is>
      </c>
      <c r="L453" s="13" t="n">
        <v>22896</v>
      </c>
    </row>
    <row r="454">
      <c r="A454" s="19" t="inlineStr">
        <is>
          <t>ISCOM_TOULOUSE</t>
        </is>
      </c>
      <c r="B454" s="18" t="inlineStr">
        <is>
          <t>ISCOM Toulouse</t>
        </is>
      </c>
      <c r="C454" s="19" t="inlineStr">
        <is>
          <t>ISCOM</t>
        </is>
      </c>
      <c r="D454" s="19" t="inlineStr">
        <is>
          <t>Toulouse</t>
        </is>
      </c>
      <c r="E454" s="19" t="inlineStr">
        <is>
          <t>615</t>
        </is>
      </c>
      <c r="F454" s="18" t="inlineStr">
        <is>
          <t>Entretien &amp; maintenance</t>
        </is>
      </c>
      <c r="G454" s="19" t="inlineStr">
        <is>
          <t>61 — Services extérieurs</t>
        </is>
      </c>
      <c r="H454" s="19" t="inlineStr">
        <is>
          <t>Charge</t>
        </is>
      </c>
      <c r="I454" s="19" t="inlineStr">
        <is>
          <t>Structure</t>
        </is>
      </c>
      <c r="J454" s="19" t="inlineStr">
        <is>
          <t>2024ACT_VDEF</t>
        </is>
      </c>
      <c r="K454" s="19" t="inlineStr">
        <is>
          <t>2024 (N-2)</t>
        </is>
      </c>
      <c r="L454" s="13" t="n">
        <v>22896</v>
      </c>
    </row>
    <row r="455">
      <c r="A455" s="19" t="inlineStr">
        <is>
          <t>IPAC_BACHELOR_FACTORY_NANTES</t>
        </is>
      </c>
      <c r="B455" s="18" t="inlineStr">
        <is>
          <t>Ipac Bachelor Factory Nantes</t>
        </is>
      </c>
      <c r="C455" s="19" t="inlineStr">
        <is>
          <t>Ipac Bachelor Factory</t>
        </is>
      </c>
      <c r="D455" s="19" t="inlineStr">
        <is>
          <t>Nantes</t>
        </is>
      </c>
      <c r="E455" s="19" t="inlineStr">
        <is>
          <t>615</t>
        </is>
      </c>
      <c r="F455" s="18" t="inlineStr">
        <is>
          <t>Entretien &amp; maintenance</t>
        </is>
      </c>
      <c r="G455" s="19" t="inlineStr">
        <is>
          <t>61 — Services extérieurs</t>
        </is>
      </c>
      <c r="H455" s="19" t="inlineStr">
        <is>
          <t>Charge</t>
        </is>
      </c>
      <c r="I455" s="19" t="inlineStr">
        <is>
          <t>Structure</t>
        </is>
      </c>
      <c r="J455" s="19" t="inlineStr">
        <is>
          <t>2024ACT_VDEF</t>
        </is>
      </c>
      <c r="K455" s="19" t="inlineStr">
        <is>
          <t>2024 (N-2)</t>
        </is>
      </c>
      <c r="L455" s="13" t="n">
        <v>13738</v>
      </c>
    </row>
    <row r="456">
      <c r="A456" s="19" t="inlineStr">
        <is>
          <t>IPAC_BACHELOR_FACTORY_RENNES</t>
        </is>
      </c>
      <c r="B456" s="18" t="inlineStr">
        <is>
          <t>Ipac Bachelor Factory Rennes</t>
        </is>
      </c>
      <c r="C456" s="19" t="inlineStr">
        <is>
          <t>Ipac Bachelor Factory</t>
        </is>
      </c>
      <c r="D456" s="19" t="inlineStr">
        <is>
          <t>Rennes</t>
        </is>
      </c>
      <c r="E456" s="19" t="inlineStr">
        <is>
          <t>615</t>
        </is>
      </c>
      <c r="F456" s="18" t="inlineStr">
        <is>
          <t>Entretien &amp; maintenance</t>
        </is>
      </c>
      <c r="G456" s="19" t="inlineStr">
        <is>
          <t>61 — Services extérieurs</t>
        </is>
      </c>
      <c r="H456" s="19" t="inlineStr">
        <is>
          <t>Charge</t>
        </is>
      </c>
      <c r="I456" s="19" t="inlineStr">
        <is>
          <t>Structure</t>
        </is>
      </c>
      <c r="J456" s="19" t="inlineStr">
        <is>
          <t>2024ACT_VDEF</t>
        </is>
      </c>
      <c r="K456" s="19" t="inlineStr">
        <is>
          <t>2024 (N-2)</t>
        </is>
      </c>
      <c r="L456" s="13" t="n">
        <v>13738</v>
      </c>
    </row>
    <row r="457">
      <c r="A457" s="19" t="inlineStr">
        <is>
          <t>IPAC_BACHELOR_FACTORY_MONTPELLIER</t>
        </is>
      </c>
      <c r="B457" s="18" t="inlineStr">
        <is>
          <t>Ipac Bachelor Factory Montpellier</t>
        </is>
      </c>
      <c r="C457" s="19" t="inlineStr">
        <is>
          <t>Ipac Bachelor Factory</t>
        </is>
      </c>
      <c r="D457" s="19" t="inlineStr">
        <is>
          <t>Montpellier</t>
        </is>
      </c>
      <c r="E457" s="19" t="inlineStr">
        <is>
          <t>615</t>
        </is>
      </c>
      <c r="F457" s="18" t="inlineStr">
        <is>
          <t>Entretien &amp; maintenance</t>
        </is>
      </c>
      <c r="G457" s="19" t="inlineStr">
        <is>
          <t>61 — Services extérieurs</t>
        </is>
      </c>
      <c r="H457" s="19" t="inlineStr">
        <is>
          <t>Charge</t>
        </is>
      </c>
      <c r="I457" s="19" t="inlineStr">
        <is>
          <t>Structure</t>
        </is>
      </c>
      <c r="J457" s="19" t="inlineStr">
        <is>
          <t>2024ACT_VDEF</t>
        </is>
      </c>
      <c r="K457" s="19" t="inlineStr">
        <is>
          <t>2024 (N-2)</t>
        </is>
      </c>
      <c r="L457" s="13" t="n">
        <v>13738</v>
      </c>
    </row>
    <row r="458">
      <c r="A458" s="19" t="inlineStr">
        <is>
          <t>PIGIER_LYON</t>
        </is>
      </c>
      <c r="B458" s="18" t="inlineStr">
        <is>
          <t>Pigier Lyon</t>
        </is>
      </c>
      <c r="C458" s="19" t="inlineStr">
        <is>
          <t>Pigier</t>
        </is>
      </c>
      <c r="D458" s="19" t="inlineStr">
        <is>
          <t>Lyon</t>
        </is>
      </c>
      <c r="E458" s="19" t="inlineStr">
        <is>
          <t>615</t>
        </is>
      </c>
      <c r="F458" s="18" t="inlineStr">
        <is>
          <t>Entretien &amp; maintenance</t>
        </is>
      </c>
      <c r="G458" s="19" t="inlineStr">
        <is>
          <t>61 — Services extérieurs</t>
        </is>
      </c>
      <c r="H458" s="19" t="inlineStr">
        <is>
          <t>Charge</t>
        </is>
      </c>
      <c r="I458" s="19" t="inlineStr">
        <is>
          <t>Structure</t>
        </is>
      </c>
      <c r="J458" s="19" t="inlineStr">
        <is>
          <t>2024ACT_VDEF</t>
        </is>
      </c>
      <c r="K458" s="19" t="inlineStr">
        <is>
          <t>2024 (N-2)</t>
        </is>
      </c>
      <c r="L458" s="13" t="n">
        <v>18317</v>
      </c>
    </row>
    <row r="459">
      <c r="A459" s="19" t="inlineStr">
        <is>
          <t>PIGIER_BORDEAUX</t>
        </is>
      </c>
      <c r="B459" s="18" t="inlineStr">
        <is>
          <t>Pigier Bordeaux</t>
        </is>
      </c>
      <c r="C459" s="19" t="inlineStr">
        <is>
          <t>Pigier</t>
        </is>
      </c>
      <c r="D459" s="19" t="inlineStr">
        <is>
          <t>Bordeaux</t>
        </is>
      </c>
      <c r="E459" s="19" t="inlineStr">
        <is>
          <t>615</t>
        </is>
      </c>
      <c r="F459" s="18" t="inlineStr">
        <is>
          <t>Entretien &amp; maintenance</t>
        </is>
      </c>
      <c r="G459" s="19" t="inlineStr">
        <is>
          <t>61 — Services extérieurs</t>
        </is>
      </c>
      <c r="H459" s="19" t="inlineStr">
        <is>
          <t>Charge</t>
        </is>
      </c>
      <c r="I459" s="19" t="inlineStr">
        <is>
          <t>Structure</t>
        </is>
      </c>
      <c r="J459" s="19" t="inlineStr">
        <is>
          <t>2024ACT_VDEF</t>
        </is>
      </c>
      <c r="K459" s="19" t="inlineStr">
        <is>
          <t>2024 (N-2)</t>
        </is>
      </c>
      <c r="L459" s="13" t="n">
        <v>18317</v>
      </c>
    </row>
    <row r="460">
      <c r="A460" s="19" t="inlineStr">
        <is>
          <t>TUNON_PARIS</t>
        </is>
      </c>
      <c r="B460" s="18" t="inlineStr">
        <is>
          <t>Tunon Paris</t>
        </is>
      </c>
      <c r="C460" s="19" t="inlineStr">
        <is>
          <t>Tunon</t>
        </is>
      </c>
      <c r="D460" s="19" t="inlineStr">
        <is>
          <t>Paris</t>
        </is>
      </c>
      <c r="E460" s="19" t="inlineStr">
        <is>
          <t>615</t>
        </is>
      </c>
      <c r="F460" s="18" t="inlineStr">
        <is>
          <t>Entretien &amp; maintenance</t>
        </is>
      </c>
      <c r="G460" s="19" t="inlineStr">
        <is>
          <t>61 — Services extérieurs</t>
        </is>
      </c>
      <c r="H460" s="19" t="inlineStr">
        <is>
          <t>Charge</t>
        </is>
      </c>
      <c r="I460" s="19" t="inlineStr">
        <is>
          <t>Structure</t>
        </is>
      </c>
      <c r="J460" s="19" t="inlineStr">
        <is>
          <t>2024ACT_VDEF</t>
        </is>
      </c>
      <c r="K460" s="19" t="inlineStr">
        <is>
          <t>2024 (N-2)</t>
        </is>
      </c>
      <c r="L460" s="13" t="n">
        <v>13738</v>
      </c>
    </row>
    <row r="461">
      <c r="A461" s="19" t="inlineStr">
        <is>
          <t>TUNON_LYON</t>
        </is>
      </c>
      <c r="B461" s="18" t="inlineStr">
        <is>
          <t>Tunon Lyon</t>
        </is>
      </c>
      <c r="C461" s="19" t="inlineStr">
        <is>
          <t>Tunon</t>
        </is>
      </c>
      <c r="D461" s="19" t="inlineStr">
        <is>
          <t>Lyon</t>
        </is>
      </c>
      <c r="E461" s="19" t="inlineStr">
        <is>
          <t>615</t>
        </is>
      </c>
      <c r="F461" s="18" t="inlineStr">
        <is>
          <t>Entretien &amp; maintenance</t>
        </is>
      </c>
      <c r="G461" s="19" t="inlineStr">
        <is>
          <t>61 — Services extérieurs</t>
        </is>
      </c>
      <c r="H461" s="19" t="inlineStr">
        <is>
          <t>Charge</t>
        </is>
      </c>
      <c r="I461" s="19" t="inlineStr">
        <is>
          <t>Structure</t>
        </is>
      </c>
      <c r="J461" s="19" t="inlineStr">
        <is>
          <t>2024ACT_VDEF</t>
        </is>
      </c>
      <c r="K461" s="19" t="inlineStr">
        <is>
          <t>2024 (N-2)</t>
        </is>
      </c>
      <c r="L461" s="13" t="n">
        <v>13738</v>
      </c>
    </row>
    <row r="462">
      <c r="A462" s="19" t="inlineStr">
        <is>
          <t>MBWAY_PARIS</t>
        </is>
      </c>
      <c r="B462" s="18" t="inlineStr">
        <is>
          <t>MBway Paris</t>
        </is>
      </c>
      <c r="C462" s="19" t="inlineStr">
        <is>
          <t>MBway</t>
        </is>
      </c>
      <c r="D462" s="19" t="inlineStr">
        <is>
          <t>Paris</t>
        </is>
      </c>
      <c r="E462" s="19" t="inlineStr">
        <is>
          <t>615</t>
        </is>
      </c>
      <c r="F462" s="18" t="inlineStr">
        <is>
          <t>Entretien &amp; maintenance</t>
        </is>
      </c>
      <c r="G462" s="19" t="inlineStr">
        <is>
          <t>61 — Services extérieurs</t>
        </is>
      </c>
      <c r="H462" s="19" t="inlineStr">
        <is>
          <t>Charge</t>
        </is>
      </c>
      <c r="I462" s="19" t="inlineStr">
        <is>
          <t>Structure</t>
        </is>
      </c>
      <c r="J462" s="19" t="inlineStr">
        <is>
          <t>2025ACT_VDEF</t>
        </is>
      </c>
      <c r="K462" s="19" t="inlineStr">
        <is>
          <t>2025 (N-1)</t>
        </is>
      </c>
      <c r="L462" s="13" t="n">
        <v>36069</v>
      </c>
    </row>
    <row r="463">
      <c r="A463" s="19" t="inlineStr">
        <is>
          <t>MBWAY_LYON</t>
        </is>
      </c>
      <c r="B463" s="18" t="inlineStr">
        <is>
          <t>MBway Lyon</t>
        </is>
      </c>
      <c r="C463" s="19" t="inlineStr">
        <is>
          <t>MBway</t>
        </is>
      </c>
      <c r="D463" s="19" t="inlineStr">
        <is>
          <t>Lyon</t>
        </is>
      </c>
      <c r="E463" s="19" t="inlineStr">
        <is>
          <t>615</t>
        </is>
      </c>
      <c r="F463" s="18" t="inlineStr">
        <is>
          <t>Entretien &amp; maintenance</t>
        </is>
      </c>
      <c r="G463" s="19" t="inlineStr">
        <is>
          <t>61 — Services extérieurs</t>
        </is>
      </c>
      <c r="H463" s="19" t="inlineStr">
        <is>
          <t>Charge</t>
        </is>
      </c>
      <c r="I463" s="19" t="inlineStr">
        <is>
          <t>Structure</t>
        </is>
      </c>
      <c r="J463" s="19" t="inlineStr">
        <is>
          <t>2025ACT_VDEF</t>
        </is>
      </c>
      <c r="K463" s="19" t="inlineStr">
        <is>
          <t>2025 (N-1)</t>
        </is>
      </c>
      <c r="L463" s="13" t="n">
        <v>31260</v>
      </c>
    </row>
    <row r="464">
      <c r="A464" s="19" t="inlineStr">
        <is>
          <t>MBWAY_NANTES</t>
        </is>
      </c>
      <c r="B464" s="18" t="inlineStr">
        <is>
          <t>MBway Nantes</t>
        </is>
      </c>
      <c r="C464" s="19" t="inlineStr">
        <is>
          <t>MBway</t>
        </is>
      </c>
      <c r="D464" s="19" t="inlineStr">
        <is>
          <t>Nantes</t>
        </is>
      </c>
      <c r="E464" s="19" t="inlineStr">
        <is>
          <t>615</t>
        </is>
      </c>
      <c r="F464" s="18" t="inlineStr">
        <is>
          <t>Entretien &amp; maintenance</t>
        </is>
      </c>
      <c r="G464" s="19" t="inlineStr">
        <is>
          <t>61 — Services extérieurs</t>
        </is>
      </c>
      <c r="H464" s="19" t="inlineStr">
        <is>
          <t>Charge</t>
        </is>
      </c>
      <c r="I464" s="19" t="inlineStr">
        <is>
          <t>Structure</t>
        </is>
      </c>
      <c r="J464" s="19" t="inlineStr">
        <is>
          <t>2025ACT_VDEF</t>
        </is>
      </c>
      <c r="K464" s="19" t="inlineStr">
        <is>
          <t>2025 (N-1)</t>
        </is>
      </c>
      <c r="L464" s="13" t="n">
        <v>28855</v>
      </c>
    </row>
    <row r="465">
      <c r="A465" s="19" t="inlineStr">
        <is>
          <t>MBWAY_BORDEAUX</t>
        </is>
      </c>
      <c r="B465" s="18" t="inlineStr">
        <is>
          <t>MBway Bordeaux</t>
        </is>
      </c>
      <c r="C465" s="19" t="inlineStr">
        <is>
          <t>MBway</t>
        </is>
      </c>
      <c r="D465" s="19" t="inlineStr">
        <is>
          <t>Bordeaux</t>
        </is>
      </c>
      <c r="E465" s="19" t="inlineStr">
        <is>
          <t>615</t>
        </is>
      </c>
      <c r="F465" s="18" t="inlineStr">
        <is>
          <t>Entretien &amp; maintenance</t>
        </is>
      </c>
      <c r="G465" s="19" t="inlineStr">
        <is>
          <t>61 — Services extérieurs</t>
        </is>
      </c>
      <c r="H465" s="19" t="inlineStr">
        <is>
          <t>Charge</t>
        </is>
      </c>
      <c r="I465" s="19" t="inlineStr">
        <is>
          <t>Structure</t>
        </is>
      </c>
      <c r="J465" s="19" t="inlineStr">
        <is>
          <t>2025ACT_VDEF</t>
        </is>
      </c>
      <c r="K465" s="19" t="inlineStr">
        <is>
          <t>2025 (N-1)</t>
        </is>
      </c>
      <c r="L465" s="13" t="n">
        <v>24046</v>
      </c>
    </row>
    <row r="466">
      <c r="A466" s="19" t="inlineStr">
        <is>
          <t>ISCOM_PARIS</t>
        </is>
      </c>
      <c r="B466" s="18" t="inlineStr">
        <is>
          <t>ISCOM Paris</t>
        </is>
      </c>
      <c r="C466" s="19" t="inlineStr">
        <is>
          <t>ISCOM</t>
        </is>
      </c>
      <c r="D466" s="19" t="inlineStr">
        <is>
          <t>Paris</t>
        </is>
      </c>
      <c r="E466" s="19" t="inlineStr">
        <is>
          <t>615</t>
        </is>
      </c>
      <c r="F466" s="18" t="inlineStr">
        <is>
          <t>Entretien &amp; maintenance</t>
        </is>
      </c>
      <c r="G466" s="19" t="inlineStr">
        <is>
          <t>61 — Services extérieurs</t>
        </is>
      </c>
      <c r="H466" s="19" t="inlineStr">
        <is>
          <t>Charge</t>
        </is>
      </c>
      <c r="I466" s="19" t="inlineStr">
        <is>
          <t>Structure</t>
        </is>
      </c>
      <c r="J466" s="19" t="inlineStr">
        <is>
          <t>2025ACT_VDEF</t>
        </is>
      </c>
      <c r="K466" s="19" t="inlineStr">
        <is>
          <t>2025 (N-1)</t>
        </is>
      </c>
      <c r="L466" s="13" t="n">
        <v>33665</v>
      </c>
    </row>
    <row r="467">
      <c r="A467" s="19" t="inlineStr">
        <is>
          <t>ISCOM_LILLE</t>
        </is>
      </c>
      <c r="B467" s="18" t="inlineStr">
        <is>
          <t>ISCOM Lille</t>
        </is>
      </c>
      <c r="C467" s="19" t="inlineStr">
        <is>
          <t>ISCOM</t>
        </is>
      </c>
      <c r="D467" s="19" t="inlineStr">
        <is>
          <t>Lille</t>
        </is>
      </c>
      <c r="E467" s="19" t="inlineStr">
        <is>
          <t>615</t>
        </is>
      </c>
      <c r="F467" s="18" t="inlineStr">
        <is>
          <t>Entretien &amp; maintenance</t>
        </is>
      </c>
      <c r="G467" s="19" t="inlineStr">
        <is>
          <t>61 — Services extérieurs</t>
        </is>
      </c>
      <c r="H467" s="19" t="inlineStr">
        <is>
          <t>Charge</t>
        </is>
      </c>
      <c r="I467" s="19" t="inlineStr">
        <is>
          <t>Structure</t>
        </is>
      </c>
      <c r="J467" s="19" t="inlineStr">
        <is>
          <t>2025ACT_VDEF</t>
        </is>
      </c>
      <c r="K467" s="19" t="inlineStr">
        <is>
          <t>2025 (N-1)</t>
        </is>
      </c>
      <c r="L467" s="13" t="n">
        <v>24046</v>
      </c>
    </row>
    <row r="468">
      <c r="A468" s="19" t="inlineStr">
        <is>
          <t>ISCOM_TOULOUSE</t>
        </is>
      </c>
      <c r="B468" s="18" t="inlineStr">
        <is>
          <t>ISCOM Toulouse</t>
        </is>
      </c>
      <c r="C468" s="19" t="inlineStr">
        <is>
          <t>ISCOM</t>
        </is>
      </c>
      <c r="D468" s="19" t="inlineStr">
        <is>
          <t>Toulouse</t>
        </is>
      </c>
      <c r="E468" s="19" t="inlineStr">
        <is>
          <t>615</t>
        </is>
      </c>
      <c r="F468" s="18" t="inlineStr">
        <is>
          <t>Entretien &amp; maintenance</t>
        </is>
      </c>
      <c r="G468" s="19" t="inlineStr">
        <is>
          <t>61 — Services extérieurs</t>
        </is>
      </c>
      <c r="H468" s="19" t="inlineStr">
        <is>
          <t>Charge</t>
        </is>
      </c>
      <c r="I468" s="19" t="inlineStr">
        <is>
          <t>Structure</t>
        </is>
      </c>
      <c r="J468" s="19" t="inlineStr">
        <is>
          <t>2025ACT_VDEF</t>
        </is>
      </c>
      <c r="K468" s="19" t="inlineStr">
        <is>
          <t>2025 (N-1)</t>
        </is>
      </c>
      <c r="L468" s="13" t="n">
        <v>24046</v>
      </c>
    </row>
    <row r="469">
      <c r="A469" s="19" t="inlineStr">
        <is>
          <t>IPAC_BACHELOR_FACTORY_NANTES</t>
        </is>
      </c>
      <c r="B469" s="18" t="inlineStr">
        <is>
          <t>Ipac Bachelor Factory Nantes</t>
        </is>
      </c>
      <c r="C469" s="19" t="inlineStr">
        <is>
          <t>Ipac Bachelor Factory</t>
        </is>
      </c>
      <c r="D469" s="19" t="inlineStr">
        <is>
          <t>Nantes</t>
        </is>
      </c>
      <c r="E469" s="19" t="inlineStr">
        <is>
          <t>615</t>
        </is>
      </c>
      <c r="F469" s="18" t="inlineStr">
        <is>
          <t>Entretien &amp; maintenance</t>
        </is>
      </c>
      <c r="G469" s="19" t="inlineStr">
        <is>
          <t>61 — Services extérieurs</t>
        </is>
      </c>
      <c r="H469" s="19" t="inlineStr">
        <is>
          <t>Charge</t>
        </is>
      </c>
      <c r="I469" s="19" t="inlineStr">
        <is>
          <t>Structure</t>
        </is>
      </c>
      <c r="J469" s="19" t="inlineStr">
        <is>
          <t>2025ACT_VDEF</t>
        </is>
      </c>
      <c r="K469" s="19" t="inlineStr">
        <is>
          <t>2025 (N-1)</t>
        </is>
      </c>
      <c r="L469" s="13" t="n">
        <v>14428</v>
      </c>
    </row>
    <row r="470">
      <c r="A470" s="19" t="inlineStr">
        <is>
          <t>IPAC_BACHELOR_FACTORY_RENNES</t>
        </is>
      </c>
      <c r="B470" s="18" t="inlineStr">
        <is>
          <t>Ipac Bachelor Factory Rennes</t>
        </is>
      </c>
      <c r="C470" s="19" t="inlineStr">
        <is>
          <t>Ipac Bachelor Factory</t>
        </is>
      </c>
      <c r="D470" s="19" t="inlineStr">
        <is>
          <t>Rennes</t>
        </is>
      </c>
      <c r="E470" s="19" t="inlineStr">
        <is>
          <t>615</t>
        </is>
      </c>
      <c r="F470" s="18" t="inlineStr">
        <is>
          <t>Entretien &amp; maintenance</t>
        </is>
      </c>
      <c r="G470" s="19" t="inlineStr">
        <is>
          <t>61 — Services extérieurs</t>
        </is>
      </c>
      <c r="H470" s="19" t="inlineStr">
        <is>
          <t>Charge</t>
        </is>
      </c>
      <c r="I470" s="19" t="inlineStr">
        <is>
          <t>Structure</t>
        </is>
      </c>
      <c r="J470" s="19" t="inlineStr">
        <is>
          <t>2025ACT_VDEF</t>
        </is>
      </c>
      <c r="K470" s="19" t="inlineStr">
        <is>
          <t>2025 (N-1)</t>
        </is>
      </c>
      <c r="L470" s="13" t="n">
        <v>14428</v>
      </c>
    </row>
    <row r="471">
      <c r="A471" s="19" t="inlineStr">
        <is>
          <t>IPAC_BACHELOR_FACTORY_MONTPELLIER</t>
        </is>
      </c>
      <c r="B471" s="18" t="inlineStr">
        <is>
          <t>Ipac Bachelor Factory Montpellier</t>
        </is>
      </c>
      <c r="C471" s="19" t="inlineStr">
        <is>
          <t>Ipac Bachelor Factory</t>
        </is>
      </c>
      <c r="D471" s="19" t="inlineStr">
        <is>
          <t>Montpellier</t>
        </is>
      </c>
      <c r="E471" s="19" t="inlineStr">
        <is>
          <t>615</t>
        </is>
      </c>
      <c r="F471" s="18" t="inlineStr">
        <is>
          <t>Entretien &amp; maintenance</t>
        </is>
      </c>
      <c r="G471" s="19" t="inlineStr">
        <is>
          <t>61 — Services extérieurs</t>
        </is>
      </c>
      <c r="H471" s="19" t="inlineStr">
        <is>
          <t>Charge</t>
        </is>
      </c>
      <c r="I471" s="19" t="inlineStr">
        <is>
          <t>Structure</t>
        </is>
      </c>
      <c r="J471" s="19" t="inlineStr">
        <is>
          <t>2025ACT_VDEF</t>
        </is>
      </c>
      <c r="K471" s="19" t="inlineStr">
        <is>
          <t>2025 (N-1)</t>
        </is>
      </c>
      <c r="L471" s="13" t="n">
        <v>14428</v>
      </c>
    </row>
    <row r="472">
      <c r="A472" s="19" t="inlineStr">
        <is>
          <t>PIGIER_LYON</t>
        </is>
      </c>
      <c r="B472" s="18" t="inlineStr">
        <is>
          <t>Pigier Lyon</t>
        </is>
      </c>
      <c r="C472" s="19" t="inlineStr">
        <is>
          <t>Pigier</t>
        </is>
      </c>
      <c r="D472" s="19" t="inlineStr">
        <is>
          <t>Lyon</t>
        </is>
      </c>
      <c r="E472" s="19" t="inlineStr">
        <is>
          <t>615</t>
        </is>
      </c>
      <c r="F472" s="18" t="inlineStr">
        <is>
          <t>Entretien &amp; maintenance</t>
        </is>
      </c>
      <c r="G472" s="19" t="inlineStr">
        <is>
          <t>61 — Services extérieurs</t>
        </is>
      </c>
      <c r="H472" s="19" t="inlineStr">
        <is>
          <t>Charge</t>
        </is>
      </c>
      <c r="I472" s="19" t="inlineStr">
        <is>
          <t>Structure</t>
        </is>
      </c>
      <c r="J472" s="19" t="inlineStr">
        <is>
          <t>2025ACT_VDEF</t>
        </is>
      </c>
      <c r="K472" s="19" t="inlineStr">
        <is>
          <t>2025 (N-1)</t>
        </is>
      </c>
      <c r="L472" s="13" t="n">
        <v>19237</v>
      </c>
    </row>
    <row r="473">
      <c r="A473" s="19" t="inlineStr">
        <is>
          <t>PIGIER_BORDEAUX</t>
        </is>
      </c>
      <c r="B473" s="18" t="inlineStr">
        <is>
          <t>Pigier Bordeaux</t>
        </is>
      </c>
      <c r="C473" s="19" t="inlineStr">
        <is>
          <t>Pigier</t>
        </is>
      </c>
      <c r="D473" s="19" t="inlineStr">
        <is>
          <t>Bordeaux</t>
        </is>
      </c>
      <c r="E473" s="19" t="inlineStr">
        <is>
          <t>615</t>
        </is>
      </c>
      <c r="F473" s="18" t="inlineStr">
        <is>
          <t>Entretien &amp; maintenance</t>
        </is>
      </c>
      <c r="G473" s="19" t="inlineStr">
        <is>
          <t>61 — Services extérieurs</t>
        </is>
      </c>
      <c r="H473" s="19" t="inlineStr">
        <is>
          <t>Charge</t>
        </is>
      </c>
      <c r="I473" s="19" t="inlineStr">
        <is>
          <t>Structure</t>
        </is>
      </c>
      <c r="J473" s="19" t="inlineStr">
        <is>
          <t>2025ACT_VDEF</t>
        </is>
      </c>
      <c r="K473" s="19" t="inlineStr">
        <is>
          <t>2025 (N-1)</t>
        </is>
      </c>
      <c r="L473" s="13" t="n">
        <v>19237</v>
      </c>
    </row>
    <row r="474">
      <c r="A474" s="19" t="inlineStr">
        <is>
          <t>TUNON_PARIS</t>
        </is>
      </c>
      <c r="B474" s="18" t="inlineStr">
        <is>
          <t>Tunon Paris</t>
        </is>
      </c>
      <c r="C474" s="19" t="inlineStr">
        <is>
          <t>Tunon</t>
        </is>
      </c>
      <c r="D474" s="19" t="inlineStr">
        <is>
          <t>Paris</t>
        </is>
      </c>
      <c r="E474" s="19" t="inlineStr">
        <is>
          <t>615</t>
        </is>
      </c>
      <c r="F474" s="18" t="inlineStr">
        <is>
          <t>Entretien &amp; maintenance</t>
        </is>
      </c>
      <c r="G474" s="19" t="inlineStr">
        <is>
          <t>61 — Services extérieurs</t>
        </is>
      </c>
      <c r="H474" s="19" t="inlineStr">
        <is>
          <t>Charge</t>
        </is>
      </c>
      <c r="I474" s="19" t="inlineStr">
        <is>
          <t>Structure</t>
        </is>
      </c>
      <c r="J474" s="19" t="inlineStr">
        <is>
          <t>2025ACT_VDEF</t>
        </is>
      </c>
      <c r="K474" s="19" t="inlineStr">
        <is>
          <t>2025 (N-1)</t>
        </is>
      </c>
      <c r="L474" s="13" t="n">
        <v>14428</v>
      </c>
    </row>
    <row r="475">
      <c r="A475" s="19" t="inlineStr">
        <is>
          <t>TUNON_LYON</t>
        </is>
      </c>
      <c r="B475" s="18" t="inlineStr">
        <is>
          <t>Tunon Lyon</t>
        </is>
      </c>
      <c r="C475" s="19" t="inlineStr">
        <is>
          <t>Tunon</t>
        </is>
      </c>
      <c r="D475" s="19" t="inlineStr">
        <is>
          <t>Lyon</t>
        </is>
      </c>
      <c r="E475" s="19" t="inlineStr">
        <is>
          <t>615</t>
        </is>
      </c>
      <c r="F475" s="18" t="inlineStr">
        <is>
          <t>Entretien &amp; maintenance</t>
        </is>
      </c>
      <c r="G475" s="19" t="inlineStr">
        <is>
          <t>61 — Services extérieurs</t>
        </is>
      </c>
      <c r="H475" s="19" t="inlineStr">
        <is>
          <t>Charge</t>
        </is>
      </c>
      <c r="I475" s="19" t="inlineStr">
        <is>
          <t>Structure</t>
        </is>
      </c>
      <c r="J475" s="19" t="inlineStr">
        <is>
          <t>2025ACT_VDEF</t>
        </is>
      </c>
      <c r="K475" s="19" t="inlineStr">
        <is>
          <t>2025 (N-1)</t>
        </is>
      </c>
      <c r="L475" s="13" t="n">
        <v>14428</v>
      </c>
    </row>
    <row r="476">
      <c r="A476" s="19" t="inlineStr">
        <is>
          <t>MBWAY_PARIS</t>
        </is>
      </c>
      <c r="B476" s="18" t="inlineStr">
        <is>
          <t>MBway Paris</t>
        </is>
      </c>
      <c r="C476" s="19" t="inlineStr">
        <is>
          <t>MBway</t>
        </is>
      </c>
      <c r="D476" s="19" t="inlineStr">
        <is>
          <t>Paris</t>
        </is>
      </c>
      <c r="E476" s="19" t="inlineStr">
        <is>
          <t>615</t>
        </is>
      </c>
      <c r="F476" s="18" t="inlineStr">
        <is>
          <t>Entretien &amp; maintenance</t>
        </is>
      </c>
      <c r="G476" s="19" t="inlineStr">
        <is>
          <t>61 — Services extérieurs</t>
        </is>
      </c>
      <c r="H476" s="19" t="inlineStr">
        <is>
          <t>Charge</t>
        </is>
      </c>
      <c r="I476" s="19" t="inlineStr">
        <is>
          <t>Structure</t>
        </is>
      </c>
      <c r="J476" s="19" t="inlineStr">
        <is>
          <t>2026ATT_VDEF</t>
        </is>
      </c>
      <c r="K476" s="19" t="inlineStr">
        <is>
          <t>2026 (Atterr.)</t>
        </is>
      </c>
      <c r="L476" s="13" t="n">
        <v>37967</v>
      </c>
    </row>
    <row r="477">
      <c r="A477" s="19" t="inlineStr">
        <is>
          <t>MBWAY_LYON</t>
        </is>
      </c>
      <c r="B477" s="18" t="inlineStr">
        <is>
          <t>MBway Lyon</t>
        </is>
      </c>
      <c r="C477" s="19" t="inlineStr">
        <is>
          <t>MBway</t>
        </is>
      </c>
      <c r="D477" s="19" t="inlineStr">
        <is>
          <t>Lyon</t>
        </is>
      </c>
      <c r="E477" s="19" t="inlineStr">
        <is>
          <t>615</t>
        </is>
      </c>
      <c r="F477" s="18" t="inlineStr">
        <is>
          <t>Entretien &amp; maintenance</t>
        </is>
      </c>
      <c r="G477" s="19" t="inlineStr">
        <is>
          <t>61 — Services extérieurs</t>
        </is>
      </c>
      <c r="H477" s="19" t="inlineStr">
        <is>
          <t>Charge</t>
        </is>
      </c>
      <c r="I477" s="19" t="inlineStr">
        <is>
          <t>Structure</t>
        </is>
      </c>
      <c r="J477" s="19" t="inlineStr">
        <is>
          <t>2026ATT_VDEF</t>
        </is>
      </c>
      <c r="K477" s="19" t="inlineStr">
        <is>
          <t>2026 (Atterr.)</t>
        </is>
      </c>
      <c r="L477" s="13" t="n">
        <v>32905</v>
      </c>
    </row>
    <row r="478">
      <c r="A478" s="19" t="inlineStr">
        <is>
          <t>MBWAY_NANTES</t>
        </is>
      </c>
      <c r="B478" s="18" t="inlineStr">
        <is>
          <t>MBway Nantes</t>
        </is>
      </c>
      <c r="C478" s="19" t="inlineStr">
        <is>
          <t>MBway</t>
        </is>
      </c>
      <c r="D478" s="19" t="inlineStr">
        <is>
          <t>Nantes</t>
        </is>
      </c>
      <c r="E478" s="19" t="inlineStr">
        <is>
          <t>615</t>
        </is>
      </c>
      <c r="F478" s="18" t="inlineStr">
        <is>
          <t>Entretien &amp; maintenance</t>
        </is>
      </c>
      <c r="G478" s="19" t="inlineStr">
        <is>
          <t>61 — Services extérieurs</t>
        </is>
      </c>
      <c r="H478" s="19" t="inlineStr">
        <is>
          <t>Charge</t>
        </is>
      </c>
      <c r="I478" s="19" t="inlineStr">
        <is>
          <t>Structure</t>
        </is>
      </c>
      <c r="J478" s="19" t="inlineStr">
        <is>
          <t>2026ATT_VDEF</t>
        </is>
      </c>
      <c r="K478" s="19" t="inlineStr">
        <is>
          <t>2026 (Atterr.)</t>
        </is>
      </c>
      <c r="L478" s="13" t="n">
        <v>30373</v>
      </c>
    </row>
    <row r="479">
      <c r="A479" s="19" t="inlineStr">
        <is>
          <t>MBWAY_BORDEAUX</t>
        </is>
      </c>
      <c r="B479" s="18" t="inlineStr">
        <is>
          <t>MBway Bordeaux</t>
        </is>
      </c>
      <c r="C479" s="19" t="inlineStr">
        <is>
          <t>MBway</t>
        </is>
      </c>
      <c r="D479" s="19" t="inlineStr">
        <is>
          <t>Bordeaux</t>
        </is>
      </c>
      <c r="E479" s="19" t="inlineStr">
        <is>
          <t>615</t>
        </is>
      </c>
      <c r="F479" s="18" t="inlineStr">
        <is>
          <t>Entretien &amp; maintenance</t>
        </is>
      </c>
      <c r="G479" s="19" t="inlineStr">
        <is>
          <t>61 — Services extérieurs</t>
        </is>
      </c>
      <c r="H479" s="19" t="inlineStr">
        <is>
          <t>Charge</t>
        </is>
      </c>
      <c r="I479" s="19" t="inlineStr">
        <is>
          <t>Structure</t>
        </is>
      </c>
      <c r="J479" s="19" t="inlineStr">
        <is>
          <t>2026ATT_VDEF</t>
        </is>
      </c>
      <c r="K479" s="19" t="inlineStr">
        <is>
          <t>2026 (Atterr.)</t>
        </is>
      </c>
      <c r="L479" s="13" t="n">
        <v>25311</v>
      </c>
    </row>
    <row r="480">
      <c r="A480" s="19" t="inlineStr">
        <is>
          <t>ISCOM_PARIS</t>
        </is>
      </c>
      <c r="B480" s="18" t="inlineStr">
        <is>
          <t>ISCOM Paris</t>
        </is>
      </c>
      <c r="C480" s="19" t="inlineStr">
        <is>
          <t>ISCOM</t>
        </is>
      </c>
      <c r="D480" s="19" t="inlineStr">
        <is>
          <t>Paris</t>
        </is>
      </c>
      <c r="E480" s="19" t="inlineStr">
        <is>
          <t>615</t>
        </is>
      </c>
      <c r="F480" s="18" t="inlineStr">
        <is>
          <t>Entretien &amp; maintenance</t>
        </is>
      </c>
      <c r="G480" s="19" t="inlineStr">
        <is>
          <t>61 — Services extérieurs</t>
        </is>
      </c>
      <c r="H480" s="19" t="inlineStr">
        <is>
          <t>Charge</t>
        </is>
      </c>
      <c r="I480" s="19" t="inlineStr">
        <is>
          <t>Structure</t>
        </is>
      </c>
      <c r="J480" s="19" t="inlineStr">
        <is>
          <t>2026ATT_VDEF</t>
        </is>
      </c>
      <c r="K480" s="19" t="inlineStr">
        <is>
          <t>2026 (Atterr.)</t>
        </is>
      </c>
      <c r="L480" s="13" t="n">
        <v>35436</v>
      </c>
    </row>
    <row r="481">
      <c r="A481" s="19" t="inlineStr">
        <is>
          <t>ISCOM_LILLE</t>
        </is>
      </c>
      <c r="B481" s="18" t="inlineStr">
        <is>
          <t>ISCOM Lille</t>
        </is>
      </c>
      <c r="C481" s="19" t="inlineStr">
        <is>
          <t>ISCOM</t>
        </is>
      </c>
      <c r="D481" s="19" t="inlineStr">
        <is>
          <t>Lille</t>
        </is>
      </c>
      <c r="E481" s="19" t="inlineStr">
        <is>
          <t>615</t>
        </is>
      </c>
      <c r="F481" s="18" t="inlineStr">
        <is>
          <t>Entretien &amp; maintenance</t>
        </is>
      </c>
      <c r="G481" s="19" t="inlineStr">
        <is>
          <t>61 — Services extérieurs</t>
        </is>
      </c>
      <c r="H481" s="19" t="inlineStr">
        <is>
          <t>Charge</t>
        </is>
      </c>
      <c r="I481" s="19" t="inlineStr">
        <is>
          <t>Structure</t>
        </is>
      </c>
      <c r="J481" s="19" t="inlineStr">
        <is>
          <t>2026ATT_VDEF</t>
        </is>
      </c>
      <c r="K481" s="19" t="inlineStr">
        <is>
          <t>2026 (Atterr.)</t>
        </is>
      </c>
      <c r="L481" s="13" t="n">
        <v>25311</v>
      </c>
    </row>
    <row r="482">
      <c r="A482" s="19" t="inlineStr">
        <is>
          <t>ISCOM_TOULOUSE</t>
        </is>
      </c>
      <c r="B482" s="18" t="inlineStr">
        <is>
          <t>ISCOM Toulouse</t>
        </is>
      </c>
      <c r="C482" s="19" t="inlineStr">
        <is>
          <t>ISCOM</t>
        </is>
      </c>
      <c r="D482" s="19" t="inlineStr">
        <is>
          <t>Toulouse</t>
        </is>
      </c>
      <c r="E482" s="19" t="inlineStr">
        <is>
          <t>615</t>
        </is>
      </c>
      <c r="F482" s="18" t="inlineStr">
        <is>
          <t>Entretien &amp; maintenance</t>
        </is>
      </c>
      <c r="G482" s="19" t="inlineStr">
        <is>
          <t>61 — Services extérieurs</t>
        </is>
      </c>
      <c r="H482" s="19" t="inlineStr">
        <is>
          <t>Charge</t>
        </is>
      </c>
      <c r="I482" s="19" t="inlineStr">
        <is>
          <t>Structure</t>
        </is>
      </c>
      <c r="J482" s="19" t="inlineStr">
        <is>
          <t>2026ATT_VDEF</t>
        </is>
      </c>
      <c r="K482" s="19" t="inlineStr">
        <is>
          <t>2026 (Atterr.)</t>
        </is>
      </c>
      <c r="L482" s="13" t="n">
        <v>25311</v>
      </c>
    </row>
    <row r="483">
      <c r="A483" s="19" t="inlineStr">
        <is>
          <t>IPAC_BACHELOR_FACTORY_NANTES</t>
        </is>
      </c>
      <c r="B483" s="18" t="inlineStr">
        <is>
          <t>Ipac Bachelor Factory Nantes</t>
        </is>
      </c>
      <c r="C483" s="19" t="inlineStr">
        <is>
          <t>Ipac Bachelor Factory</t>
        </is>
      </c>
      <c r="D483" s="19" t="inlineStr">
        <is>
          <t>Nantes</t>
        </is>
      </c>
      <c r="E483" s="19" t="inlineStr">
        <is>
          <t>615</t>
        </is>
      </c>
      <c r="F483" s="18" t="inlineStr">
        <is>
          <t>Entretien &amp; maintenance</t>
        </is>
      </c>
      <c r="G483" s="19" t="inlineStr">
        <is>
          <t>61 — Services extérieurs</t>
        </is>
      </c>
      <c r="H483" s="19" t="inlineStr">
        <is>
          <t>Charge</t>
        </is>
      </c>
      <c r="I483" s="19" t="inlineStr">
        <is>
          <t>Structure</t>
        </is>
      </c>
      <c r="J483" s="19" t="inlineStr">
        <is>
          <t>2026ATT_VDEF</t>
        </is>
      </c>
      <c r="K483" s="19" t="inlineStr">
        <is>
          <t>2026 (Atterr.)</t>
        </is>
      </c>
      <c r="L483" s="13" t="n">
        <v>15187</v>
      </c>
    </row>
    <row r="484">
      <c r="A484" s="19" t="inlineStr">
        <is>
          <t>IPAC_BACHELOR_FACTORY_RENNES</t>
        </is>
      </c>
      <c r="B484" s="18" t="inlineStr">
        <is>
          <t>Ipac Bachelor Factory Rennes</t>
        </is>
      </c>
      <c r="C484" s="19" t="inlineStr">
        <is>
          <t>Ipac Bachelor Factory</t>
        </is>
      </c>
      <c r="D484" s="19" t="inlineStr">
        <is>
          <t>Rennes</t>
        </is>
      </c>
      <c r="E484" s="19" t="inlineStr">
        <is>
          <t>615</t>
        </is>
      </c>
      <c r="F484" s="18" t="inlineStr">
        <is>
          <t>Entretien &amp; maintenance</t>
        </is>
      </c>
      <c r="G484" s="19" t="inlineStr">
        <is>
          <t>61 — Services extérieurs</t>
        </is>
      </c>
      <c r="H484" s="19" t="inlineStr">
        <is>
          <t>Charge</t>
        </is>
      </c>
      <c r="I484" s="19" t="inlineStr">
        <is>
          <t>Structure</t>
        </is>
      </c>
      <c r="J484" s="19" t="inlineStr">
        <is>
          <t>2026ATT_VDEF</t>
        </is>
      </c>
      <c r="K484" s="19" t="inlineStr">
        <is>
          <t>2026 (Atterr.)</t>
        </is>
      </c>
      <c r="L484" s="13" t="n">
        <v>15187</v>
      </c>
    </row>
    <row r="485">
      <c r="A485" s="19" t="inlineStr">
        <is>
          <t>IPAC_BACHELOR_FACTORY_MONTPELLIER</t>
        </is>
      </c>
      <c r="B485" s="18" t="inlineStr">
        <is>
          <t>Ipac Bachelor Factory Montpellier</t>
        </is>
      </c>
      <c r="C485" s="19" t="inlineStr">
        <is>
          <t>Ipac Bachelor Factory</t>
        </is>
      </c>
      <c r="D485" s="19" t="inlineStr">
        <is>
          <t>Montpellier</t>
        </is>
      </c>
      <c r="E485" s="19" t="inlineStr">
        <is>
          <t>615</t>
        </is>
      </c>
      <c r="F485" s="18" t="inlineStr">
        <is>
          <t>Entretien &amp; maintenance</t>
        </is>
      </c>
      <c r="G485" s="19" t="inlineStr">
        <is>
          <t>61 — Services extérieurs</t>
        </is>
      </c>
      <c r="H485" s="19" t="inlineStr">
        <is>
          <t>Charge</t>
        </is>
      </c>
      <c r="I485" s="19" t="inlineStr">
        <is>
          <t>Structure</t>
        </is>
      </c>
      <c r="J485" s="19" t="inlineStr">
        <is>
          <t>2026ATT_VDEF</t>
        </is>
      </c>
      <c r="K485" s="19" t="inlineStr">
        <is>
          <t>2026 (Atterr.)</t>
        </is>
      </c>
      <c r="L485" s="13" t="n">
        <v>15187</v>
      </c>
    </row>
    <row r="486">
      <c r="A486" s="19" t="inlineStr">
        <is>
          <t>PIGIER_LYON</t>
        </is>
      </c>
      <c r="B486" s="18" t="inlineStr">
        <is>
          <t>Pigier Lyon</t>
        </is>
      </c>
      <c r="C486" s="19" t="inlineStr">
        <is>
          <t>Pigier</t>
        </is>
      </c>
      <c r="D486" s="19" t="inlineStr">
        <is>
          <t>Lyon</t>
        </is>
      </c>
      <c r="E486" s="19" t="inlineStr">
        <is>
          <t>615</t>
        </is>
      </c>
      <c r="F486" s="18" t="inlineStr">
        <is>
          <t>Entretien &amp; maintenance</t>
        </is>
      </c>
      <c r="G486" s="19" t="inlineStr">
        <is>
          <t>61 — Services extérieurs</t>
        </is>
      </c>
      <c r="H486" s="19" t="inlineStr">
        <is>
          <t>Charge</t>
        </is>
      </c>
      <c r="I486" s="19" t="inlineStr">
        <is>
          <t>Structure</t>
        </is>
      </c>
      <c r="J486" s="19" t="inlineStr">
        <is>
          <t>2026ATT_VDEF</t>
        </is>
      </c>
      <c r="K486" s="19" t="inlineStr">
        <is>
          <t>2026 (Atterr.)</t>
        </is>
      </c>
      <c r="L486" s="13" t="n">
        <v>20249</v>
      </c>
    </row>
    <row r="487">
      <c r="A487" s="19" t="inlineStr">
        <is>
          <t>PIGIER_BORDEAUX</t>
        </is>
      </c>
      <c r="B487" s="18" t="inlineStr">
        <is>
          <t>Pigier Bordeaux</t>
        </is>
      </c>
      <c r="C487" s="19" t="inlineStr">
        <is>
          <t>Pigier</t>
        </is>
      </c>
      <c r="D487" s="19" t="inlineStr">
        <is>
          <t>Bordeaux</t>
        </is>
      </c>
      <c r="E487" s="19" t="inlineStr">
        <is>
          <t>615</t>
        </is>
      </c>
      <c r="F487" s="18" t="inlineStr">
        <is>
          <t>Entretien &amp; maintenance</t>
        </is>
      </c>
      <c r="G487" s="19" t="inlineStr">
        <is>
          <t>61 — Services extérieurs</t>
        </is>
      </c>
      <c r="H487" s="19" t="inlineStr">
        <is>
          <t>Charge</t>
        </is>
      </c>
      <c r="I487" s="19" t="inlineStr">
        <is>
          <t>Structure</t>
        </is>
      </c>
      <c r="J487" s="19" t="inlineStr">
        <is>
          <t>2026ATT_VDEF</t>
        </is>
      </c>
      <c r="K487" s="19" t="inlineStr">
        <is>
          <t>2026 (Atterr.)</t>
        </is>
      </c>
      <c r="L487" s="13" t="n">
        <v>20249</v>
      </c>
    </row>
    <row r="488">
      <c r="A488" s="19" t="inlineStr">
        <is>
          <t>TUNON_PARIS</t>
        </is>
      </c>
      <c r="B488" s="18" t="inlineStr">
        <is>
          <t>Tunon Paris</t>
        </is>
      </c>
      <c r="C488" s="19" t="inlineStr">
        <is>
          <t>Tunon</t>
        </is>
      </c>
      <c r="D488" s="19" t="inlineStr">
        <is>
          <t>Paris</t>
        </is>
      </c>
      <c r="E488" s="19" t="inlineStr">
        <is>
          <t>615</t>
        </is>
      </c>
      <c r="F488" s="18" t="inlineStr">
        <is>
          <t>Entretien &amp; maintenance</t>
        </is>
      </c>
      <c r="G488" s="19" t="inlineStr">
        <is>
          <t>61 — Services extérieurs</t>
        </is>
      </c>
      <c r="H488" s="19" t="inlineStr">
        <is>
          <t>Charge</t>
        </is>
      </c>
      <c r="I488" s="19" t="inlineStr">
        <is>
          <t>Structure</t>
        </is>
      </c>
      <c r="J488" s="19" t="inlineStr">
        <is>
          <t>2026ATT_VDEF</t>
        </is>
      </c>
      <c r="K488" s="19" t="inlineStr">
        <is>
          <t>2026 (Atterr.)</t>
        </is>
      </c>
      <c r="L488" s="13" t="n">
        <v>15187</v>
      </c>
    </row>
    <row r="489">
      <c r="A489" s="19" t="inlineStr">
        <is>
          <t>TUNON_LYON</t>
        </is>
      </c>
      <c r="B489" s="18" t="inlineStr">
        <is>
          <t>Tunon Lyon</t>
        </is>
      </c>
      <c r="C489" s="19" t="inlineStr">
        <is>
          <t>Tunon</t>
        </is>
      </c>
      <c r="D489" s="19" t="inlineStr">
        <is>
          <t>Lyon</t>
        </is>
      </c>
      <c r="E489" s="19" t="inlineStr">
        <is>
          <t>615</t>
        </is>
      </c>
      <c r="F489" s="18" t="inlineStr">
        <is>
          <t>Entretien &amp; maintenance</t>
        </is>
      </c>
      <c r="G489" s="19" t="inlineStr">
        <is>
          <t>61 — Services extérieurs</t>
        </is>
      </c>
      <c r="H489" s="19" t="inlineStr">
        <is>
          <t>Charge</t>
        </is>
      </c>
      <c r="I489" s="19" t="inlineStr">
        <is>
          <t>Structure</t>
        </is>
      </c>
      <c r="J489" s="19" t="inlineStr">
        <is>
          <t>2026ATT_VDEF</t>
        </is>
      </c>
      <c r="K489" s="19" t="inlineStr">
        <is>
          <t>2026 (Atterr.)</t>
        </is>
      </c>
      <c r="L489" s="13" t="n">
        <v>15187</v>
      </c>
    </row>
    <row r="490">
      <c r="A490" s="19" t="inlineStr">
        <is>
          <t>MBWAY_PARIS</t>
        </is>
      </c>
      <c r="B490" s="18" t="inlineStr">
        <is>
          <t>MBway Paris</t>
        </is>
      </c>
      <c r="C490" s="19" t="inlineStr">
        <is>
          <t>MBway</t>
        </is>
      </c>
      <c r="D490" s="19" t="inlineStr">
        <is>
          <t>Paris</t>
        </is>
      </c>
      <c r="E490" s="19" t="inlineStr">
        <is>
          <t>616</t>
        </is>
      </c>
      <c r="F490" s="18" t="inlineStr">
        <is>
          <t>Primes d'assurance</t>
        </is>
      </c>
      <c r="G490" s="19" t="inlineStr">
        <is>
          <t>61 — Services extérieurs</t>
        </is>
      </c>
      <c r="H490" s="19" t="inlineStr">
        <is>
          <t>Charge</t>
        </is>
      </c>
      <c r="I490" s="19" t="inlineStr">
        <is>
          <t>Structure</t>
        </is>
      </c>
      <c r="J490" s="19" t="inlineStr">
        <is>
          <t>2024ACT_VDEF</t>
        </is>
      </c>
      <c r="K490" s="19" t="inlineStr">
        <is>
          <t>2024 (N-2)</t>
        </is>
      </c>
      <c r="L490" s="13" t="n">
        <v>25073</v>
      </c>
    </row>
    <row r="491">
      <c r="A491" s="19" t="inlineStr">
        <is>
          <t>MBWAY_LYON</t>
        </is>
      </c>
      <c r="B491" s="18" t="inlineStr">
        <is>
          <t>MBway Lyon</t>
        </is>
      </c>
      <c r="C491" s="19" t="inlineStr">
        <is>
          <t>MBway</t>
        </is>
      </c>
      <c r="D491" s="19" t="inlineStr">
        <is>
          <t>Lyon</t>
        </is>
      </c>
      <c r="E491" s="19" t="inlineStr">
        <is>
          <t>616</t>
        </is>
      </c>
      <c r="F491" s="18" t="inlineStr">
        <is>
          <t>Primes d'assurance</t>
        </is>
      </c>
      <c r="G491" s="19" t="inlineStr">
        <is>
          <t>61 — Services extérieurs</t>
        </is>
      </c>
      <c r="H491" s="19" t="inlineStr">
        <is>
          <t>Charge</t>
        </is>
      </c>
      <c r="I491" s="19" t="inlineStr">
        <is>
          <t>Structure</t>
        </is>
      </c>
      <c r="J491" s="19" t="inlineStr">
        <is>
          <t>2024ACT_VDEF</t>
        </is>
      </c>
      <c r="K491" s="19" t="inlineStr">
        <is>
          <t>2024 (N-2)</t>
        </is>
      </c>
      <c r="L491" s="13" t="n">
        <v>21107</v>
      </c>
    </row>
    <row r="492">
      <c r="A492" s="19" t="inlineStr">
        <is>
          <t>MBWAY_NANTES</t>
        </is>
      </c>
      <c r="B492" s="18" t="inlineStr">
        <is>
          <t>MBway Nantes</t>
        </is>
      </c>
      <c r="C492" s="19" t="inlineStr">
        <is>
          <t>MBway</t>
        </is>
      </c>
      <c r="D492" s="19" t="inlineStr">
        <is>
          <t>Nantes</t>
        </is>
      </c>
      <c r="E492" s="19" t="inlineStr">
        <is>
          <t>616</t>
        </is>
      </c>
      <c r="F492" s="18" t="inlineStr">
        <is>
          <t>Primes d'assurance</t>
        </is>
      </c>
      <c r="G492" s="19" t="inlineStr">
        <is>
          <t>61 — Services extérieurs</t>
        </is>
      </c>
      <c r="H492" s="19" t="inlineStr">
        <is>
          <t>Charge</t>
        </is>
      </c>
      <c r="I492" s="19" t="inlineStr">
        <is>
          <t>Structure</t>
        </is>
      </c>
      <c r="J492" s="19" t="inlineStr">
        <is>
          <t>2024ACT_VDEF</t>
        </is>
      </c>
      <c r="K492" s="19" t="inlineStr">
        <is>
          <t>2024 (N-2)</t>
        </is>
      </c>
      <c r="L492" s="13" t="n">
        <v>19292</v>
      </c>
    </row>
    <row r="493">
      <c r="A493" s="19" t="inlineStr">
        <is>
          <t>MBWAY_BORDEAUX</t>
        </is>
      </c>
      <c r="B493" s="18" t="inlineStr">
        <is>
          <t>MBway Bordeaux</t>
        </is>
      </c>
      <c r="C493" s="19" t="inlineStr">
        <is>
          <t>MBway</t>
        </is>
      </c>
      <c r="D493" s="19" t="inlineStr">
        <is>
          <t>Bordeaux</t>
        </is>
      </c>
      <c r="E493" s="19" t="inlineStr">
        <is>
          <t>616</t>
        </is>
      </c>
      <c r="F493" s="18" t="inlineStr">
        <is>
          <t>Primes d'assurance</t>
        </is>
      </c>
      <c r="G493" s="19" t="inlineStr">
        <is>
          <t>61 — Services extérieurs</t>
        </is>
      </c>
      <c r="H493" s="19" t="inlineStr">
        <is>
          <t>Charge</t>
        </is>
      </c>
      <c r="I493" s="19" t="inlineStr">
        <is>
          <t>Structure</t>
        </is>
      </c>
      <c r="J493" s="19" t="inlineStr">
        <is>
          <t>2024ACT_VDEF</t>
        </is>
      </c>
      <c r="K493" s="19" t="inlineStr">
        <is>
          <t>2024 (N-2)</t>
        </is>
      </c>
      <c r="L493" s="13" t="n">
        <v>16334</v>
      </c>
    </row>
    <row r="494">
      <c r="A494" s="19" t="inlineStr">
        <is>
          <t>ISCOM_PARIS</t>
        </is>
      </c>
      <c r="B494" s="18" t="inlineStr">
        <is>
          <t>ISCOM Paris</t>
        </is>
      </c>
      <c r="C494" s="19" t="inlineStr">
        <is>
          <t>ISCOM</t>
        </is>
      </c>
      <c r="D494" s="19" t="inlineStr">
        <is>
          <t>Paris</t>
        </is>
      </c>
      <c r="E494" s="19" t="inlineStr">
        <is>
          <t>616</t>
        </is>
      </c>
      <c r="F494" s="18" t="inlineStr">
        <is>
          <t>Primes d'assurance</t>
        </is>
      </c>
      <c r="G494" s="19" t="inlineStr">
        <is>
          <t>61 — Services extérieurs</t>
        </is>
      </c>
      <c r="H494" s="19" t="inlineStr">
        <is>
          <t>Charge</t>
        </is>
      </c>
      <c r="I494" s="19" t="inlineStr">
        <is>
          <t>Structure</t>
        </is>
      </c>
      <c r="J494" s="19" t="inlineStr">
        <is>
          <t>2024ACT_VDEF</t>
        </is>
      </c>
      <c r="K494" s="19" t="inlineStr">
        <is>
          <t>2024 (N-2)</t>
        </is>
      </c>
      <c r="L494" s="13" t="n">
        <v>23124</v>
      </c>
    </row>
    <row r="495">
      <c r="A495" s="19" t="inlineStr">
        <is>
          <t>ISCOM_LILLE</t>
        </is>
      </c>
      <c r="B495" s="18" t="inlineStr">
        <is>
          <t>ISCOM Lille</t>
        </is>
      </c>
      <c r="C495" s="19" t="inlineStr">
        <is>
          <t>ISCOM</t>
        </is>
      </c>
      <c r="D495" s="19" t="inlineStr">
        <is>
          <t>Lille</t>
        </is>
      </c>
      <c r="E495" s="19" t="inlineStr">
        <is>
          <t>616</t>
        </is>
      </c>
      <c r="F495" s="18" t="inlineStr">
        <is>
          <t>Primes d'assurance</t>
        </is>
      </c>
      <c r="G495" s="19" t="inlineStr">
        <is>
          <t>61 — Services extérieurs</t>
        </is>
      </c>
      <c r="H495" s="19" t="inlineStr">
        <is>
          <t>Charge</t>
        </is>
      </c>
      <c r="I495" s="19" t="inlineStr">
        <is>
          <t>Structure</t>
        </is>
      </c>
      <c r="J495" s="19" t="inlineStr">
        <is>
          <t>2024ACT_VDEF</t>
        </is>
      </c>
      <c r="K495" s="19" t="inlineStr">
        <is>
          <t>2024 (N-2)</t>
        </is>
      </c>
      <c r="L495" s="13" t="n">
        <v>15998</v>
      </c>
    </row>
    <row r="496">
      <c r="A496" s="19" t="inlineStr">
        <is>
          <t>ISCOM_TOULOUSE</t>
        </is>
      </c>
      <c r="B496" s="18" t="inlineStr">
        <is>
          <t>ISCOM Toulouse</t>
        </is>
      </c>
      <c r="C496" s="19" t="inlineStr">
        <is>
          <t>ISCOM</t>
        </is>
      </c>
      <c r="D496" s="19" t="inlineStr">
        <is>
          <t>Toulouse</t>
        </is>
      </c>
      <c r="E496" s="19" t="inlineStr">
        <is>
          <t>616</t>
        </is>
      </c>
      <c r="F496" s="18" t="inlineStr">
        <is>
          <t>Primes d'assurance</t>
        </is>
      </c>
      <c r="G496" s="19" t="inlineStr">
        <is>
          <t>61 — Services extérieurs</t>
        </is>
      </c>
      <c r="H496" s="19" t="inlineStr">
        <is>
          <t>Charge</t>
        </is>
      </c>
      <c r="I496" s="19" t="inlineStr">
        <is>
          <t>Structure</t>
        </is>
      </c>
      <c r="J496" s="19" t="inlineStr">
        <is>
          <t>2024ACT_VDEF</t>
        </is>
      </c>
      <c r="K496" s="19" t="inlineStr">
        <is>
          <t>2024 (N-2)</t>
        </is>
      </c>
      <c r="L496" s="13" t="n">
        <v>15124</v>
      </c>
    </row>
    <row r="497">
      <c r="A497" s="19" t="inlineStr">
        <is>
          <t>IPAC_BACHELOR_FACTORY_NANTES</t>
        </is>
      </c>
      <c r="B497" s="18" t="inlineStr">
        <is>
          <t>Ipac Bachelor Factory Nantes</t>
        </is>
      </c>
      <c r="C497" s="19" t="inlineStr">
        <is>
          <t>Ipac Bachelor Factory</t>
        </is>
      </c>
      <c r="D497" s="19" t="inlineStr">
        <is>
          <t>Nantes</t>
        </is>
      </c>
      <c r="E497" s="19" t="inlineStr">
        <is>
          <t>616</t>
        </is>
      </c>
      <c r="F497" s="18" t="inlineStr">
        <is>
          <t>Primes d'assurance</t>
        </is>
      </c>
      <c r="G497" s="19" t="inlineStr">
        <is>
          <t>61 — Services extérieurs</t>
        </is>
      </c>
      <c r="H497" s="19" t="inlineStr">
        <is>
          <t>Charge</t>
        </is>
      </c>
      <c r="I497" s="19" t="inlineStr">
        <is>
          <t>Structure</t>
        </is>
      </c>
      <c r="J497" s="19" t="inlineStr">
        <is>
          <t>2024ACT_VDEF</t>
        </is>
      </c>
      <c r="K497" s="19" t="inlineStr">
        <is>
          <t>2024 (N-2)</t>
        </is>
      </c>
      <c r="L497" s="13" t="n">
        <v>9411</v>
      </c>
    </row>
    <row r="498">
      <c r="A498" s="19" t="inlineStr">
        <is>
          <t>IPAC_BACHELOR_FACTORY_RENNES</t>
        </is>
      </c>
      <c r="B498" s="18" t="inlineStr">
        <is>
          <t>Ipac Bachelor Factory Rennes</t>
        </is>
      </c>
      <c r="C498" s="19" t="inlineStr">
        <is>
          <t>Ipac Bachelor Factory</t>
        </is>
      </c>
      <c r="D498" s="19" t="inlineStr">
        <is>
          <t>Rennes</t>
        </is>
      </c>
      <c r="E498" s="19" t="inlineStr">
        <is>
          <t>616</t>
        </is>
      </c>
      <c r="F498" s="18" t="inlineStr">
        <is>
          <t>Primes d'assurance</t>
        </is>
      </c>
      <c r="G498" s="19" t="inlineStr">
        <is>
          <t>61 — Services extérieurs</t>
        </is>
      </c>
      <c r="H498" s="19" t="inlineStr">
        <is>
          <t>Charge</t>
        </is>
      </c>
      <c r="I498" s="19" t="inlineStr">
        <is>
          <t>Structure</t>
        </is>
      </c>
      <c r="J498" s="19" t="inlineStr">
        <is>
          <t>2024ACT_VDEF</t>
        </is>
      </c>
      <c r="K498" s="19" t="inlineStr">
        <is>
          <t>2024 (N-2)</t>
        </is>
      </c>
      <c r="L498" s="13" t="n">
        <v>7529</v>
      </c>
    </row>
    <row r="499">
      <c r="A499" s="19" t="inlineStr">
        <is>
          <t>IPAC_BACHELOR_FACTORY_MONTPELLIER</t>
        </is>
      </c>
      <c r="B499" s="18" t="inlineStr">
        <is>
          <t>Ipac Bachelor Factory Montpellier</t>
        </is>
      </c>
      <c r="C499" s="19" t="inlineStr">
        <is>
          <t>Ipac Bachelor Factory</t>
        </is>
      </c>
      <c r="D499" s="19" t="inlineStr">
        <is>
          <t>Montpellier</t>
        </is>
      </c>
      <c r="E499" s="19" t="inlineStr">
        <is>
          <t>616</t>
        </is>
      </c>
      <c r="F499" s="18" t="inlineStr">
        <is>
          <t>Primes d'assurance</t>
        </is>
      </c>
      <c r="G499" s="19" t="inlineStr">
        <is>
          <t>61 — Services extérieurs</t>
        </is>
      </c>
      <c r="H499" s="19" t="inlineStr">
        <is>
          <t>Charge</t>
        </is>
      </c>
      <c r="I499" s="19" t="inlineStr">
        <is>
          <t>Structure</t>
        </is>
      </c>
      <c r="J499" s="19" t="inlineStr">
        <is>
          <t>2024ACT_VDEF</t>
        </is>
      </c>
      <c r="K499" s="19" t="inlineStr">
        <is>
          <t>2024 (N-2)</t>
        </is>
      </c>
      <c r="L499" s="13" t="n">
        <v>7529</v>
      </c>
    </row>
    <row r="500">
      <c r="A500" s="19" t="inlineStr">
        <is>
          <t>PIGIER_LYON</t>
        </is>
      </c>
      <c r="B500" s="18" t="inlineStr">
        <is>
          <t>Pigier Lyon</t>
        </is>
      </c>
      <c r="C500" s="19" t="inlineStr">
        <is>
          <t>Pigier</t>
        </is>
      </c>
      <c r="D500" s="19" t="inlineStr">
        <is>
          <t>Lyon</t>
        </is>
      </c>
      <c r="E500" s="19" t="inlineStr">
        <is>
          <t>616</t>
        </is>
      </c>
      <c r="F500" s="18" t="inlineStr">
        <is>
          <t>Primes d'assurance</t>
        </is>
      </c>
      <c r="G500" s="19" t="inlineStr">
        <is>
          <t>61 — Services extérieurs</t>
        </is>
      </c>
      <c r="H500" s="19" t="inlineStr">
        <is>
          <t>Charge</t>
        </is>
      </c>
      <c r="I500" s="19" t="inlineStr">
        <is>
          <t>Structure</t>
        </is>
      </c>
      <c r="J500" s="19" t="inlineStr">
        <is>
          <t>2024ACT_VDEF</t>
        </is>
      </c>
      <c r="K500" s="19" t="inlineStr">
        <is>
          <t>2024 (N-2)</t>
        </is>
      </c>
      <c r="L500" s="13" t="n">
        <v>12032</v>
      </c>
    </row>
    <row r="501">
      <c r="A501" s="19" t="inlineStr">
        <is>
          <t>PIGIER_BORDEAUX</t>
        </is>
      </c>
      <c r="B501" s="18" t="inlineStr">
        <is>
          <t>Pigier Bordeaux</t>
        </is>
      </c>
      <c r="C501" s="19" t="inlineStr">
        <is>
          <t>Pigier</t>
        </is>
      </c>
      <c r="D501" s="19" t="inlineStr">
        <is>
          <t>Bordeaux</t>
        </is>
      </c>
      <c r="E501" s="19" t="inlineStr">
        <is>
          <t>616</t>
        </is>
      </c>
      <c r="F501" s="18" t="inlineStr">
        <is>
          <t>Primes d'assurance</t>
        </is>
      </c>
      <c r="G501" s="19" t="inlineStr">
        <is>
          <t>61 — Services extérieurs</t>
        </is>
      </c>
      <c r="H501" s="19" t="inlineStr">
        <is>
          <t>Charge</t>
        </is>
      </c>
      <c r="I501" s="19" t="inlineStr">
        <is>
          <t>Structure</t>
        </is>
      </c>
      <c r="J501" s="19" t="inlineStr">
        <is>
          <t>2024ACT_VDEF</t>
        </is>
      </c>
      <c r="K501" s="19" t="inlineStr">
        <is>
          <t>2024 (N-2)</t>
        </is>
      </c>
      <c r="L501" s="13" t="n">
        <v>9411</v>
      </c>
    </row>
    <row r="502">
      <c r="A502" s="19" t="inlineStr">
        <is>
          <t>TUNON_PARIS</t>
        </is>
      </c>
      <c r="B502" s="18" t="inlineStr">
        <is>
          <t>Tunon Paris</t>
        </is>
      </c>
      <c r="C502" s="19" t="inlineStr">
        <is>
          <t>Tunon</t>
        </is>
      </c>
      <c r="D502" s="19" t="inlineStr">
        <is>
          <t>Paris</t>
        </is>
      </c>
      <c r="E502" s="19" t="inlineStr">
        <is>
          <t>616</t>
        </is>
      </c>
      <c r="F502" s="18" t="inlineStr">
        <is>
          <t>Primes d'assurance</t>
        </is>
      </c>
      <c r="G502" s="19" t="inlineStr">
        <is>
          <t>61 — Services extérieurs</t>
        </is>
      </c>
      <c r="H502" s="19" t="inlineStr">
        <is>
          <t>Charge</t>
        </is>
      </c>
      <c r="I502" s="19" t="inlineStr">
        <is>
          <t>Structure</t>
        </is>
      </c>
      <c r="J502" s="19" t="inlineStr">
        <is>
          <t>2024ACT_VDEF</t>
        </is>
      </c>
      <c r="K502" s="19" t="inlineStr">
        <is>
          <t>2024 (N-2)</t>
        </is>
      </c>
      <c r="L502" s="13" t="n">
        <v>8940</v>
      </c>
    </row>
    <row r="503">
      <c r="A503" s="19" t="inlineStr">
        <is>
          <t>TUNON_LYON</t>
        </is>
      </c>
      <c r="B503" s="18" t="inlineStr">
        <is>
          <t>Tunon Lyon</t>
        </is>
      </c>
      <c r="C503" s="19" t="inlineStr">
        <is>
          <t>Tunon</t>
        </is>
      </c>
      <c r="D503" s="19" t="inlineStr">
        <is>
          <t>Lyon</t>
        </is>
      </c>
      <c r="E503" s="19" t="inlineStr">
        <is>
          <t>616</t>
        </is>
      </c>
      <c r="F503" s="18" t="inlineStr">
        <is>
          <t>Primes d'assurance</t>
        </is>
      </c>
      <c r="G503" s="19" t="inlineStr">
        <is>
          <t>61 — Services extérieurs</t>
        </is>
      </c>
      <c r="H503" s="19" t="inlineStr">
        <is>
          <t>Charge</t>
        </is>
      </c>
      <c r="I503" s="19" t="inlineStr">
        <is>
          <t>Structure</t>
        </is>
      </c>
      <c r="J503" s="19" t="inlineStr">
        <is>
          <t>2024ACT_VDEF</t>
        </is>
      </c>
      <c r="K503" s="19" t="inlineStr">
        <is>
          <t>2024 (N-2)</t>
        </is>
      </c>
      <c r="L503" s="13" t="n">
        <v>7529</v>
      </c>
    </row>
    <row r="504">
      <c r="A504" s="19" t="inlineStr">
        <is>
          <t>MBWAY_PARIS</t>
        </is>
      </c>
      <c r="B504" s="18" t="inlineStr">
        <is>
          <t>MBway Paris</t>
        </is>
      </c>
      <c r="C504" s="19" t="inlineStr">
        <is>
          <t>MBway</t>
        </is>
      </c>
      <c r="D504" s="19" t="inlineStr">
        <is>
          <t>Paris</t>
        </is>
      </c>
      <c r="E504" s="19" t="inlineStr">
        <is>
          <t>616</t>
        </is>
      </c>
      <c r="F504" s="18" t="inlineStr">
        <is>
          <t>Primes d'assurance</t>
        </is>
      </c>
      <c r="G504" s="19" t="inlineStr">
        <is>
          <t>61 — Services extérieurs</t>
        </is>
      </c>
      <c r="H504" s="19" t="inlineStr">
        <is>
          <t>Charge</t>
        </is>
      </c>
      <c r="I504" s="19" t="inlineStr">
        <is>
          <t>Structure</t>
        </is>
      </c>
      <c r="J504" s="19" t="inlineStr">
        <is>
          <t>2025ACT_VDEF</t>
        </is>
      </c>
      <c r="K504" s="19" t="inlineStr">
        <is>
          <t>2025 (N-1)</t>
        </is>
      </c>
      <c r="L504" s="13" t="n">
        <v>26332</v>
      </c>
    </row>
    <row r="505">
      <c r="A505" s="19" t="inlineStr">
        <is>
          <t>MBWAY_LYON</t>
        </is>
      </c>
      <c r="B505" s="18" t="inlineStr">
        <is>
          <t>MBway Lyon</t>
        </is>
      </c>
      <c r="C505" s="19" t="inlineStr">
        <is>
          <t>MBway</t>
        </is>
      </c>
      <c r="D505" s="19" t="inlineStr">
        <is>
          <t>Lyon</t>
        </is>
      </c>
      <c r="E505" s="19" t="inlineStr">
        <is>
          <t>616</t>
        </is>
      </c>
      <c r="F505" s="18" t="inlineStr">
        <is>
          <t>Primes d'assurance</t>
        </is>
      </c>
      <c r="G505" s="19" t="inlineStr">
        <is>
          <t>61 — Services extérieurs</t>
        </is>
      </c>
      <c r="H505" s="19" t="inlineStr">
        <is>
          <t>Charge</t>
        </is>
      </c>
      <c r="I505" s="19" t="inlineStr">
        <is>
          <t>Structure</t>
        </is>
      </c>
      <c r="J505" s="19" t="inlineStr">
        <is>
          <t>2025ACT_VDEF</t>
        </is>
      </c>
      <c r="K505" s="19" t="inlineStr">
        <is>
          <t>2025 (N-1)</t>
        </is>
      </c>
      <c r="L505" s="13" t="n">
        <v>22167</v>
      </c>
    </row>
    <row r="506">
      <c r="A506" s="19" t="inlineStr">
        <is>
          <t>MBWAY_NANTES</t>
        </is>
      </c>
      <c r="B506" s="18" t="inlineStr">
        <is>
          <t>MBway Nantes</t>
        </is>
      </c>
      <c r="C506" s="19" t="inlineStr">
        <is>
          <t>MBway</t>
        </is>
      </c>
      <c r="D506" s="19" t="inlineStr">
        <is>
          <t>Nantes</t>
        </is>
      </c>
      <c r="E506" s="19" t="inlineStr">
        <is>
          <t>616</t>
        </is>
      </c>
      <c r="F506" s="18" t="inlineStr">
        <is>
          <t>Primes d'assurance</t>
        </is>
      </c>
      <c r="G506" s="19" t="inlineStr">
        <is>
          <t>61 — Services extérieurs</t>
        </is>
      </c>
      <c r="H506" s="19" t="inlineStr">
        <is>
          <t>Charge</t>
        </is>
      </c>
      <c r="I506" s="19" t="inlineStr">
        <is>
          <t>Structure</t>
        </is>
      </c>
      <c r="J506" s="19" t="inlineStr">
        <is>
          <t>2025ACT_VDEF</t>
        </is>
      </c>
      <c r="K506" s="19" t="inlineStr">
        <is>
          <t>2025 (N-1)</t>
        </is>
      </c>
      <c r="L506" s="13" t="n">
        <v>20261</v>
      </c>
    </row>
    <row r="507">
      <c r="A507" s="19" t="inlineStr">
        <is>
          <t>MBWAY_BORDEAUX</t>
        </is>
      </c>
      <c r="B507" s="18" t="inlineStr">
        <is>
          <t>MBway Bordeaux</t>
        </is>
      </c>
      <c r="C507" s="19" t="inlineStr">
        <is>
          <t>MBway</t>
        </is>
      </c>
      <c r="D507" s="19" t="inlineStr">
        <is>
          <t>Bordeaux</t>
        </is>
      </c>
      <c r="E507" s="19" t="inlineStr">
        <is>
          <t>616</t>
        </is>
      </c>
      <c r="F507" s="18" t="inlineStr">
        <is>
          <t>Primes d'assurance</t>
        </is>
      </c>
      <c r="G507" s="19" t="inlineStr">
        <is>
          <t>61 — Services extérieurs</t>
        </is>
      </c>
      <c r="H507" s="19" t="inlineStr">
        <is>
          <t>Charge</t>
        </is>
      </c>
      <c r="I507" s="19" t="inlineStr">
        <is>
          <t>Structure</t>
        </is>
      </c>
      <c r="J507" s="19" t="inlineStr">
        <is>
          <t>2025ACT_VDEF</t>
        </is>
      </c>
      <c r="K507" s="19" t="inlineStr">
        <is>
          <t>2025 (N-1)</t>
        </is>
      </c>
      <c r="L507" s="13" t="n">
        <v>17155</v>
      </c>
    </row>
    <row r="508">
      <c r="A508" s="19" t="inlineStr">
        <is>
          <t>ISCOM_PARIS</t>
        </is>
      </c>
      <c r="B508" s="18" t="inlineStr">
        <is>
          <t>ISCOM Paris</t>
        </is>
      </c>
      <c r="C508" s="19" t="inlineStr">
        <is>
          <t>ISCOM</t>
        </is>
      </c>
      <c r="D508" s="19" t="inlineStr">
        <is>
          <t>Paris</t>
        </is>
      </c>
      <c r="E508" s="19" t="inlineStr">
        <is>
          <t>616</t>
        </is>
      </c>
      <c r="F508" s="18" t="inlineStr">
        <is>
          <t>Primes d'assurance</t>
        </is>
      </c>
      <c r="G508" s="19" t="inlineStr">
        <is>
          <t>61 — Services extérieurs</t>
        </is>
      </c>
      <c r="H508" s="19" t="inlineStr">
        <is>
          <t>Charge</t>
        </is>
      </c>
      <c r="I508" s="19" t="inlineStr">
        <is>
          <t>Structure</t>
        </is>
      </c>
      <c r="J508" s="19" t="inlineStr">
        <is>
          <t>2025ACT_VDEF</t>
        </is>
      </c>
      <c r="K508" s="19" t="inlineStr">
        <is>
          <t>2025 (N-1)</t>
        </is>
      </c>
      <c r="L508" s="13" t="n">
        <v>24285</v>
      </c>
    </row>
    <row r="509">
      <c r="A509" s="19" t="inlineStr">
        <is>
          <t>ISCOM_LILLE</t>
        </is>
      </c>
      <c r="B509" s="18" t="inlineStr">
        <is>
          <t>ISCOM Lille</t>
        </is>
      </c>
      <c r="C509" s="19" t="inlineStr">
        <is>
          <t>ISCOM</t>
        </is>
      </c>
      <c r="D509" s="19" t="inlineStr">
        <is>
          <t>Lille</t>
        </is>
      </c>
      <c r="E509" s="19" t="inlineStr">
        <is>
          <t>616</t>
        </is>
      </c>
      <c r="F509" s="18" t="inlineStr">
        <is>
          <t>Primes d'assurance</t>
        </is>
      </c>
      <c r="G509" s="19" t="inlineStr">
        <is>
          <t>61 — Services extérieurs</t>
        </is>
      </c>
      <c r="H509" s="19" t="inlineStr">
        <is>
          <t>Charge</t>
        </is>
      </c>
      <c r="I509" s="19" t="inlineStr">
        <is>
          <t>Structure</t>
        </is>
      </c>
      <c r="J509" s="19" t="inlineStr">
        <is>
          <t>2025ACT_VDEF</t>
        </is>
      </c>
      <c r="K509" s="19" t="inlineStr">
        <is>
          <t>2025 (N-1)</t>
        </is>
      </c>
      <c r="L509" s="13" t="n">
        <v>16802</v>
      </c>
    </row>
    <row r="510">
      <c r="A510" s="19" t="inlineStr">
        <is>
          <t>ISCOM_TOULOUSE</t>
        </is>
      </c>
      <c r="B510" s="18" t="inlineStr">
        <is>
          <t>ISCOM Toulouse</t>
        </is>
      </c>
      <c r="C510" s="19" t="inlineStr">
        <is>
          <t>ISCOM</t>
        </is>
      </c>
      <c r="D510" s="19" t="inlineStr">
        <is>
          <t>Toulouse</t>
        </is>
      </c>
      <c r="E510" s="19" t="inlineStr">
        <is>
          <t>616</t>
        </is>
      </c>
      <c r="F510" s="18" t="inlineStr">
        <is>
          <t>Primes d'assurance</t>
        </is>
      </c>
      <c r="G510" s="19" t="inlineStr">
        <is>
          <t>61 — Services extérieurs</t>
        </is>
      </c>
      <c r="H510" s="19" t="inlineStr">
        <is>
          <t>Charge</t>
        </is>
      </c>
      <c r="I510" s="19" t="inlineStr">
        <is>
          <t>Structure</t>
        </is>
      </c>
      <c r="J510" s="19" t="inlineStr">
        <is>
          <t>2025ACT_VDEF</t>
        </is>
      </c>
      <c r="K510" s="19" t="inlineStr">
        <is>
          <t>2025 (N-1)</t>
        </is>
      </c>
      <c r="L510" s="13" t="n">
        <v>15884</v>
      </c>
    </row>
    <row r="511">
      <c r="A511" s="19" t="inlineStr">
        <is>
          <t>IPAC_BACHELOR_FACTORY_NANTES</t>
        </is>
      </c>
      <c r="B511" s="18" t="inlineStr">
        <is>
          <t>Ipac Bachelor Factory Nantes</t>
        </is>
      </c>
      <c r="C511" s="19" t="inlineStr">
        <is>
          <t>Ipac Bachelor Factory</t>
        </is>
      </c>
      <c r="D511" s="19" t="inlineStr">
        <is>
          <t>Nantes</t>
        </is>
      </c>
      <c r="E511" s="19" t="inlineStr">
        <is>
          <t>616</t>
        </is>
      </c>
      <c r="F511" s="18" t="inlineStr">
        <is>
          <t>Primes d'assurance</t>
        </is>
      </c>
      <c r="G511" s="19" t="inlineStr">
        <is>
          <t>61 — Services extérieurs</t>
        </is>
      </c>
      <c r="H511" s="19" t="inlineStr">
        <is>
          <t>Charge</t>
        </is>
      </c>
      <c r="I511" s="19" t="inlineStr">
        <is>
          <t>Structure</t>
        </is>
      </c>
      <c r="J511" s="19" t="inlineStr">
        <is>
          <t>2025ACT_VDEF</t>
        </is>
      </c>
      <c r="K511" s="19" t="inlineStr">
        <is>
          <t>2025 (N-1)</t>
        </is>
      </c>
      <c r="L511" s="13" t="n">
        <v>9883</v>
      </c>
    </row>
    <row r="512">
      <c r="A512" s="19" t="inlineStr">
        <is>
          <t>IPAC_BACHELOR_FACTORY_RENNES</t>
        </is>
      </c>
      <c r="B512" s="18" t="inlineStr">
        <is>
          <t>Ipac Bachelor Factory Rennes</t>
        </is>
      </c>
      <c r="C512" s="19" t="inlineStr">
        <is>
          <t>Ipac Bachelor Factory</t>
        </is>
      </c>
      <c r="D512" s="19" t="inlineStr">
        <is>
          <t>Rennes</t>
        </is>
      </c>
      <c r="E512" s="19" t="inlineStr">
        <is>
          <t>616</t>
        </is>
      </c>
      <c r="F512" s="18" t="inlineStr">
        <is>
          <t>Primes d'assurance</t>
        </is>
      </c>
      <c r="G512" s="19" t="inlineStr">
        <is>
          <t>61 — Services extérieurs</t>
        </is>
      </c>
      <c r="H512" s="19" t="inlineStr">
        <is>
          <t>Charge</t>
        </is>
      </c>
      <c r="I512" s="19" t="inlineStr">
        <is>
          <t>Structure</t>
        </is>
      </c>
      <c r="J512" s="19" t="inlineStr">
        <is>
          <t>2025ACT_VDEF</t>
        </is>
      </c>
      <c r="K512" s="19" t="inlineStr">
        <is>
          <t>2025 (N-1)</t>
        </is>
      </c>
      <c r="L512" s="13" t="n">
        <v>7907</v>
      </c>
    </row>
    <row r="513">
      <c r="A513" s="19" t="inlineStr">
        <is>
          <t>IPAC_BACHELOR_FACTORY_MONTPELLIER</t>
        </is>
      </c>
      <c r="B513" s="18" t="inlineStr">
        <is>
          <t>Ipac Bachelor Factory Montpellier</t>
        </is>
      </c>
      <c r="C513" s="19" t="inlineStr">
        <is>
          <t>Ipac Bachelor Factory</t>
        </is>
      </c>
      <c r="D513" s="19" t="inlineStr">
        <is>
          <t>Montpellier</t>
        </is>
      </c>
      <c r="E513" s="19" t="inlineStr">
        <is>
          <t>616</t>
        </is>
      </c>
      <c r="F513" s="18" t="inlineStr">
        <is>
          <t>Primes d'assurance</t>
        </is>
      </c>
      <c r="G513" s="19" t="inlineStr">
        <is>
          <t>61 — Services extérieurs</t>
        </is>
      </c>
      <c r="H513" s="19" t="inlineStr">
        <is>
          <t>Charge</t>
        </is>
      </c>
      <c r="I513" s="19" t="inlineStr">
        <is>
          <t>Structure</t>
        </is>
      </c>
      <c r="J513" s="19" t="inlineStr">
        <is>
          <t>2025ACT_VDEF</t>
        </is>
      </c>
      <c r="K513" s="19" t="inlineStr">
        <is>
          <t>2025 (N-1)</t>
        </is>
      </c>
      <c r="L513" s="13" t="n">
        <v>7907</v>
      </c>
    </row>
    <row r="514">
      <c r="A514" s="19" t="inlineStr">
        <is>
          <t>PIGIER_LYON</t>
        </is>
      </c>
      <c r="B514" s="18" t="inlineStr">
        <is>
          <t>Pigier Lyon</t>
        </is>
      </c>
      <c r="C514" s="19" t="inlineStr">
        <is>
          <t>Pigier</t>
        </is>
      </c>
      <c r="D514" s="19" t="inlineStr">
        <is>
          <t>Lyon</t>
        </is>
      </c>
      <c r="E514" s="19" t="inlineStr">
        <is>
          <t>616</t>
        </is>
      </c>
      <c r="F514" s="18" t="inlineStr">
        <is>
          <t>Primes d'assurance</t>
        </is>
      </c>
      <c r="G514" s="19" t="inlineStr">
        <is>
          <t>61 — Services extérieurs</t>
        </is>
      </c>
      <c r="H514" s="19" t="inlineStr">
        <is>
          <t>Charge</t>
        </is>
      </c>
      <c r="I514" s="19" t="inlineStr">
        <is>
          <t>Structure</t>
        </is>
      </c>
      <c r="J514" s="19" t="inlineStr">
        <is>
          <t>2025ACT_VDEF</t>
        </is>
      </c>
      <c r="K514" s="19" t="inlineStr">
        <is>
          <t>2025 (N-1)</t>
        </is>
      </c>
      <c r="L514" s="13" t="n">
        <v>12637</v>
      </c>
    </row>
    <row r="515">
      <c r="A515" s="19" t="inlineStr">
        <is>
          <t>PIGIER_BORDEAUX</t>
        </is>
      </c>
      <c r="B515" s="18" t="inlineStr">
        <is>
          <t>Pigier Bordeaux</t>
        </is>
      </c>
      <c r="C515" s="19" t="inlineStr">
        <is>
          <t>Pigier</t>
        </is>
      </c>
      <c r="D515" s="19" t="inlineStr">
        <is>
          <t>Bordeaux</t>
        </is>
      </c>
      <c r="E515" s="19" t="inlineStr">
        <is>
          <t>616</t>
        </is>
      </c>
      <c r="F515" s="18" t="inlineStr">
        <is>
          <t>Primes d'assurance</t>
        </is>
      </c>
      <c r="G515" s="19" t="inlineStr">
        <is>
          <t>61 — Services extérieurs</t>
        </is>
      </c>
      <c r="H515" s="19" t="inlineStr">
        <is>
          <t>Charge</t>
        </is>
      </c>
      <c r="I515" s="19" t="inlineStr">
        <is>
          <t>Structure</t>
        </is>
      </c>
      <c r="J515" s="19" t="inlineStr">
        <is>
          <t>2025ACT_VDEF</t>
        </is>
      </c>
      <c r="K515" s="19" t="inlineStr">
        <is>
          <t>2025 (N-1)</t>
        </is>
      </c>
      <c r="L515" s="13" t="n">
        <v>9883</v>
      </c>
    </row>
    <row r="516">
      <c r="A516" s="19" t="inlineStr">
        <is>
          <t>TUNON_PARIS</t>
        </is>
      </c>
      <c r="B516" s="18" t="inlineStr">
        <is>
          <t>Tunon Paris</t>
        </is>
      </c>
      <c r="C516" s="19" t="inlineStr">
        <is>
          <t>Tunon</t>
        </is>
      </c>
      <c r="D516" s="19" t="inlineStr">
        <is>
          <t>Paris</t>
        </is>
      </c>
      <c r="E516" s="19" t="inlineStr">
        <is>
          <t>616</t>
        </is>
      </c>
      <c r="F516" s="18" t="inlineStr">
        <is>
          <t>Primes d'assurance</t>
        </is>
      </c>
      <c r="G516" s="19" t="inlineStr">
        <is>
          <t>61 — Services extérieurs</t>
        </is>
      </c>
      <c r="H516" s="19" t="inlineStr">
        <is>
          <t>Charge</t>
        </is>
      </c>
      <c r="I516" s="19" t="inlineStr">
        <is>
          <t>Structure</t>
        </is>
      </c>
      <c r="J516" s="19" t="inlineStr">
        <is>
          <t>2025ACT_VDEF</t>
        </is>
      </c>
      <c r="K516" s="19" t="inlineStr">
        <is>
          <t>2025 (N-1)</t>
        </is>
      </c>
      <c r="L516" s="13" t="n">
        <v>9389</v>
      </c>
    </row>
    <row r="517">
      <c r="A517" s="19" t="inlineStr">
        <is>
          <t>TUNON_LYON</t>
        </is>
      </c>
      <c r="B517" s="18" t="inlineStr">
        <is>
          <t>Tunon Lyon</t>
        </is>
      </c>
      <c r="C517" s="19" t="inlineStr">
        <is>
          <t>Tunon</t>
        </is>
      </c>
      <c r="D517" s="19" t="inlineStr">
        <is>
          <t>Lyon</t>
        </is>
      </c>
      <c r="E517" s="19" t="inlineStr">
        <is>
          <t>616</t>
        </is>
      </c>
      <c r="F517" s="18" t="inlineStr">
        <is>
          <t>Primes d'assurance</t>
        </is>
      </c>
      <c r="G517" s="19" t="inlineStr">
        <is>
          <t>61 — Services extérieurs</t>
        </is>
      </c>
      <c r="H517" s="19" t="inlineStr">
        <is>
          <t>Charge</t>
        </is>
      </c>
      <c r="I517" s="19" t="inlineStr">
        <is>
          <t>Structure</t>
        </is>
      </c>
      <c r="J517" s="19" t="inlineStr">
        <is>
          <t>2025ACT_VDEF</t>
        </is>
      </c>
      <c r="K517" s="19" t="inlineStr">
        <is>
          <t>2025 (N-1)</t>
        </is>
      </c>
      <c r="L517" s="13" t="n">
        <v>7907</v>
      </c>
    </row>
    <row r="518">
      <c r="A518" s="19" t="inlineStr">
        <is>
          <t>MBWAY_PARIS</t>
        </is>
      </c>
      <c r="B518" s="18" t="inlineStr">
        <is>
          <t>MBway Paris</t>
        </is>
      </c>
      <c r="C518" s="19" t="inlineStr">
        <is>
          <t>MBway</t>
        </is>
      </c>
      <c r="D518" s="19" t="inlineStr">
        <is>
          <t>Paris</t>
        </is>
      </c>
      <c r="E518" s="19" t="inlineStr">
        <is>
          <t>616</t>
        </is>
      </c>
      <c r="F518" s="18" t="inlineStr">
        <is>
          <t>Primes d'assurance</t>
        </is>
      </c>
      <c r="G518" s="19" t="inlineStr">
        <is>
          <t>61 — Services extérieurs</t>
        </is>
      </c>
      <c r="H518" s="19" t="inlineStr">
        <is>
          <t>Charge</t>
        </is>
      </c>
      <c r="I518" s="19" t="inlineStr">
        <is>
          <t>Structure</t>
        </is>
      </c>
      <c r="J518" s="19" t="inlineStr">
        <is>
          <t>2026ATT_VDEF</t>
        </is>
      </c>
      <c r="K518" s="19" t="inlineStr">
        <is>
          <t>2026 (Atterr.)</t>
        </is>
      </c>
      <c r="L518" s="13" t="n">
        <v>27718</v>
      </c>
    </row>
    <row r="519">
      <c r="A519" s="19" t="inlineStr">
        <is>
          <t>MBWAY_LYON</t>
        </is>
      </c>
      <c r="B519" s="18" t="inlineStr">
        <is>
          <t>MBway Lyon</t>
        </is>
      </c>
      <c r="C519" s="19" t="inlineStr">
        <is>
          <t>MBway</t>
        </is>
      </c>
      <c r="D519" s="19" t="inlineStr">
        <is>
          <t>Lyon</t>
        </is>
      </c>
      <c r="E519" s="19" t="inlineStr">
        <is>
          <t>616</t>
        </is>
      </c>
      <c r="F519" s="18" t="inlineStr">
        <is>
          <t>Primes d'assurance</t>
        </is>
      </c>
      <c r="G519" s="19" t="inlineStr">
        <is>
          <t>61 — Services extérieurs</t>
        </is>
      </c>
      <c r="H519" s="19" t="inlineStr">
        <is>
          <t>Charge</t>
        </is>
      </c>
      <c r="I519" s="19" t="inlineStr">
        <is>
          <t>Structure</t>
        </is>
      </c>
      <c r="J519" s="19" t="inlineStr">
        <is>
          <t>2026ATT_VDEF</t>
        </is>
      </c>
      <c r="K519" s="19" t="inlineStr">
        <is>
          <t>2026 (Atterr.)</t>
        </is>
      </c>
      <c r="L519" s="13" t="n">
        <v>23333</v>
      </c>
    </row>
    <row r="520">
      <c r="A520" s="19" t="inlineStr">
        <is>
          <t>MBWAY_NANTES</t>
        </is>
      </c>
      <c r="B520" s="18" t="inlineStr">
        <is>
          <t>MBway Nantes</t>
        </is>
      </c>
      <c r="C520" s="19" t="inlineStr">
        <is>
          <t>MBway</t>
        </is>
      </c>
      <c r="D520" s="19" t="inlineStr">
        <is>
          <t>Nantes</t>
        </is>
      </c>
      <c r="E520" s="19" t="inlineStr">
        <is>
          <t>616</t>
        </is>
      </c>
      <c r="F520" s="18" t="inlineStr">
        <is>
          <t>Primes d'assurance</t>
        </is>
      </c>
      <c r="G520" s="19" t="inlineStr">
        <is>
          <t>61 — Services extérieurs</t>
        </is>
      </c>
      <c r="H520" s="19" t="inlineStr">
        <is>
          <t>Charge</t>
        </is>
      </c>
      <c r="I520" s="19" t="inlineStr">
        <is>
          <t>Structure</t>
        </is>
      </c>
      <c r="J520" s="19" t="inlineStr">
        <is>
          <t>2026ATT_VDEF</t>
        </is>
      </c>
      <c r="K520" s="19" t="inlineStr">
        <is>
          <t>2026 (Atterr.)</t>
        </is>
      </c>
      <c r="L520" s="13" t="n">
        <v>21327</v>
      </c>
    </row>
    <row r="521">
      <c r="A521" s="19" t="inlineStr">
        <is>
          <t>MBWAY_BORDEAUX</t>
        </is>
      </c>
      <c r="B521" s="18" t="inlineStr">
        <is>
          <t>MBway Bordeaux</t>
        </is>
      </c>
      <c r="C521" s="19" t="inlineStr">
        <is>
          <t>MBway</t>
        </is>
      </c>
      <c r="D521" s="19" t="inlineStr">
        <is>
          <t>Bordeaux</t>
        </is>
      </c>
      <c r="E521" s="19" t="inlineStr">
        <is>
          <t>616</t>
        </is>
      </c>
      <c r="F521" s="18" t="inlineStr">
        <is>
          <t>Primes d'assurance</t>
        </is>
      </c>
      <c r="G521" s="19" t="inlineStr">
        <is>
          <t>61 — Services extérieurs</t>
        </is>
      </c>
      <c r="H521" s="19" t="inlineStr">
        <is>
          <t>Charge</t>
        </is>
      </c>
      <c r="I521" s="19" t="inlineStr">
        <is>
          <t>Structure</t>
        </is>
      </c>
      <c r="J521" s="19" t="inlineStr">
        <is>
          <t>2026ATT_VDEF</t>
        </is>
      </c>
      <c r="K521" s="19" t="inlineStr">
        <is>
          <t>2026 (Atterr.)</t>
        </is>
      </c>
      <c r="L521" s="13" t="n">
        <v>18057</v>
      </c>
    </row>
    <row r="522">
      <c r="A522" s="19" t="inlineStr">
        <is>
          <t>ISCOM_PARIS</t>
        </is>
      </c>
      <c r="B522" s="18" t="inlineStr">
        <is>
          <t>ISCOM Paris</t>
        </is>
      </c>
      <c r="C522" s="19" t="inlineStr">
        <is>
          <t>ISCOM</t>
        </is>
      </c>
      <c r="D522" s="19" t="inlineStr">
        <is>
          <t>Paris</t>
        </is>
      </c>
      <c r="E522" s="19" t="inlineStr">
        <is>
          <t>616</t>
        </is>
      </c>
      <c r="F522" s="18" t="inlineStr">
        <is>
          <t>Primes d'assurance</t>
        </is>
      </c>
      <c r="G522" s="19" t="inlineStr">
        <is>
          <t>61 — Services extérieurs</t>
        </is>
      </c>
      <c r="H522" s="19" t="inlineStr">
        <is>
          <t>Charge</t>
        </is>
      </c>
      <c r="I522" s="19" t="inlineStr">
        <is>
          <t>Structure</t>
        </is>
      </c>
      <c r="J522" s="19" t="inlineStr">
        <is>
          <t>2026ATT_VDEF</t>
        </is>
      </c>
      <c r="K522" s="19" t="inlineStr">
        <is>
          <t>2026 (Atterr.)</t>
        </is>
      </c>
      <c r="L522" s="13" t="n">
        <v>25563</v>
      </c>
    </row>
    <row r="523">
      <c r="A523" s="19" t="inlineStr">
        <is>
          <t>ISCOM_LILLE</t>
        </is>
      </c>
      <c r="B523" s="18" t="inlineStr">
        <is>
          <t>ISCOM Lille</t>
        </is>
      </c>
      <c r="C523" s="19" t="inlineStr">
        <is>
          <t>ISCOM</t>
        </is>
      </c>
      <c r="D523" s="19" t="inlineStr">
        <is>
          <t>Lille</t>
        </is>
      </c>
      <c r="E523" s="19" t="inlineStr">
        <is>
          <t>616</t>
        </is>
      </c>
      <c r="F523" s="18" t="inlineStr">
        <is>
          <t>Primes d'assurance</t>
        </is>
      </c>
      <c r="G523" s="19" t="inlineStr">
        <is>
          <t>61 — Services extérieurs</t>
        </is>
      </c>
      <c r="H523" s="19" t="inlineStr">
        <is>
          <t>Charge</t>
        </is>
      </c>
      <c r="I523" s="19" t="inlineStr">
        <is>
          <t>Structure</t>
        </is>
      </c>
      <c r="J523" s="19" t="inlineStr">
        <is>
          <t>2026ATT_VDEF</t>
        </is>
      </c>
      <c r="K523" s="19" t="inlineStr">
        <is>
          <t>2026 (Atterr.)</t>
        </is>
      </c>
      <c r="L523" s="13" t="n">
        <v>17686</v>
      </c>
    </row>
    <row r="524">
      <c r="A524" s="19" t="inlineStr">
        <is>
          <t>ISCOM_TOULOUSE</t>
        </is>
      </c>
      <c r="B524" s="18" t="inlineStr">
        <is>
          <t>ISCOM Toulouse</t>
        </is>
      </c>
      <c r="C524" s="19" t="inlineStr">
        <is>
          <t>ISCOM</t>
        </is>
      </c>
      <c r="D524" s="19" t="inlineStr">
        <is>
          <t>Toulouse</t>
        </is>
      </c>
      <c r="E524" s="19" t="inlineStr">
        <is>
          <t>616</t>
        </is>
      </c>
      <c r="F524" s="18" t="inlineStr">
        <is>
          <t>Primes d'assurance</t>
        </is>
      </c>
      <c r="G524" s="19" t="inlineStr">
        <is>
          <t>61 — Services extérieurs</t>
        </is>
      </c>
      <c r="H524" s="19" t="inlineStr">
        <is>
          <t>Charge</t>
        </is>
      </c>
      <c r="I524" s="19" t="inlineStr">
        <is>
          <t>Structure</t>
        </is>
      </c>
      <c r="J524" s="19" t="inlineStr">
        <is>
          <t>2026ATT_VDEF</t>
        </is>
      </c>
      <c r="K524" s="19" t="inlineStr">
        <is>
          <t>2026 (Atterr.)</t>
        </is>
      </c>
      <c r="L524" s="13" t="n">
        <v>16720</v>
      </c>
    </row>
    <row r="525">
      <c r="A525" s="19" t="inlineStr">
        <is>
          <t>IPAC_BACHELOR_FACTORY_NANTES</t>
        </is>
      </c>
      <c r="B525" s="18" t="inlineStr">
        <is>
          <t>Ipac Bachelor Factory Nantes</t>
        </is>
      </c>
      <c r="C525" s="19" t="inlineStr">
        <is>
          <t>Ipac Bachelor Factory</t>
        </is>
      </c>
      <c r="D525" s="19" t="inlineStr">
        <is>
          <t>Nantes</t>
        </is>
      </c>
      <c r="E525" s="19" t="inlineStr">
        <is>
          <t>616</t>
        </is>
      </c>
      <c r="F525" s="18" t="inlineStr">
        <is>
          <t>Primes d'assurance</t>
        </is>
      </c>
      <c r="G525" s="19" t="inlineStr">
        <is>
          <t>61 — Services extérieurs</t>
        </is>
      </c>
      <c r="H525" s="19" t="inlineStr">
        <is>
          <t>Charge</t>
        </is>
      </c>
      <c r="I525" s="19" t="inlineStr">
        <is>
          <t>Structure</t>
        </is>
      </c>
      <c r="J525" s="19" t="inlineStr">
        <is>
          <t>2026ATT_VDEF</t>
        </is>
      </c>
      <c r="K525" s="19" t="inlineStr">
        <is>
          <t>2026 (Atterr.)</t>
        </is>
      </c>
      <c r="L525" s="13" t="n">
        <v>10403</v>
      </c>
    </row>
    <row r="526">
      <c r="A526" s="19" t="inlineStr">
        <is>
          <t>IPAC_BACHELOR_FACTORY_RENNES</t>
        </is>
      </c>
      <c r="B526" s="18" t="inlineStr">
        <is>
          <t>Ipac Bachelor Factory Rennes</t>
        </is>
      </c>
      <c r="C526" s="19" t="inlineStr">
        <is>
          <t>Ipac Bachelor Factory</t>
        </is>
      </c>
      <c r="D526" s="19" t="inlineStr">
        <is>
          <t>Rennes</t>
        </is>
      </c>
      <c r="E526" s="19" t="inlineStr">
        <is>
          <t>616</t>
        </is>
      </c>
      <c r="F526" s="18" t="inlineStr">
        <is>
          <t>Primes d'assurance</t>
        </is>
      </c>
      <c r="G526" s="19" t="inlineStr">
        <is>
          <t>61 — Services extérieurs</t>
        </is>
      </c>
      <c r="H526" s="19" t="inlineStr">
        <is>
          <t>Charge</t>
        </is>
      </c>
      <c r="I526" s="19" t="inlineStr">
        <is>
          <t>Structure</t>
        </is>
      </c>
      <c r="J526" s="19" t="inlineStr">
        <is>
          <t>2026ATT_VDEF</t>
        </is>
      </c>
      <c r="K526" s="19" t="inlineStr">
        <is>
          <t>2026 (Atterr.)</t>
        </is>
      </c>
      <c r="L526" s="13" t="n">
        <v>8323</v>
      </c>
    </row>
    <row r="527">
      <c r="A527" s="19" t="inlineStr">
        <is>
          <t>IPAC_BACHELOR_FACTORY_MONTPELLIER</t>
        </is>
      </c>
      <c r="B527" s="18" t="inlineStr">
        <is>
          <t>Ipac Bachelor Factory Montpellier</t>
        </is>
      </c>
      <c r="C527" s="19" t="inlineStr">
        <is>
          <t>Ipac Bachelor Factory</t>
        </is>
      </c>
      <c r="D527" s="19" t="inlineStr">
        <is>
          <t>Montpellier</t>
        </is>
      </c>
      <c r="E527" s="19" t="inlineStr">
        <is>
          <t>616</t>
        </is>
      </c>
      <c r="F527" s="18" t="inlineStr">
        <is>
          <t>Primes d'assurance</t>
        </is>
      </c>
      <c r="G527" s="19" t="inlineStr">
        <is>
          <t>61 — Services extérieurs</t>
        </is>
      </c>
      <c r="H527" s="19" t="inlineStr">
        <is>
          <t>Charge</t>
        </is>
      </c>
      <c r="I527" s="19" t="inlineStr">
        <is>
          <t>Structure</t>
        </is>
      </c>
      <c r="J527" s="19" t="inlineStr">
        <is>
          <t>2026ATT_VDEF</t>
        </is>
      </c>
      <c r="K527" s="19" t="inlineStr">
        <is>
          <t>2026 (Atterr.)</t>
        </is>
      </c>
      <c r="L527" s="13" t="n">
        <v>8323</v>
      </c>
    </row>
    <row r="528">
      <c r="A528" s="19" t="inlineStr">
        <is>
          <t>PIGIER_LYON</t>
        </is>
      </c>
      <c r="B528" s="18" t="inlineStr">
        <is>
          <t>Pigier Lyon</t>
        </is>
      </c>
      <c r="C528" s="19" t="inlineStr">
        <is>
          <t>Pigier</t>
        </is>
      </c>
      <c r="D528" s="19" t="inlineStr">
        <is>
          <t>Lyon</t>
        </is>
      </c>
      <c r="E528" s="19" t="inlineStr">
        <is>
          <t>616</t>
        </is>
      </c>
      <c r="F528" s="18" t="inlineStr">
        <is>
          <t>Primes d'assurance</t>
        </is>
      </c>
      <c r="G528" s="19" t="inlineStr">
        <is>
          <t>61 — Services extérieurs</t>
        </is>
      </c>
      <c r="H528" s="19" t="inlineStr">
        <is>
          <t>Charge</t>
        </is>
      </c>
      <c r="I528" s="19" t="inlineStr">
        <is>
          <t>Structure</t>
        </is>
      </c>
      <c r="J528" s="19" t="inlineStr">
        <is>
          <t>2026ATT_VDEF</t>
        </is>
      </c>
      <c r="K528" s="19" t="inlineStr">
        <is>
          <t>2026 (Atterr.)</t>
        </is>
      </c>
      <c r="L528" s="13" t="n">
        <v>13302</v>
      </c>
    </row>
    <row r="529">
      <c r="A529" s="19" t="inlineStr">
        <is>
          <t>PIGIER_BORDEAUX</t>
        </is>
      </c>
      <c r="B529" s="18" t="inlineStr">
        <is>
          <t>Pigier Bordeaux</t>
        </is>
      </c>
      <c r="C529" s="19" t="inlineStr">
        <is>
          <t>Pigier</t>
        </is>
      </c>
      <c r="D529" s="19" t="inlineStr">
        <is>
          <t>Bordeaux</t>
        </is>
      </c>
      <c r="E529" s="19" t="inlineStr">
        <is>
          <t>616</t>
        </is>
      </c>
      <c r="F529" s="18" t="inlineStr">
        <is>
          <t>Primes d'assurance</t>
        </is>
      </c>
      <c r="G529" s="19" t="inlineStr">
        <is>
          <t>61 — Services extérieurs</t>
        </is>
      </c>
      <c r="H529" s="19" t="inlineStr">
        <is>
          <t>Charge</t>
        </is>
      </c>
      <c r="I529" s="19" t="inlineStr">
        <is>
          <t>Structure</t>
        </is>
      </c>
      <c r="J529" s="19" t="inlineStr">
        <is>
          <t>2026ATT_VDEF</t>
        </is>
      </c>
      <c r="K529" s="19" t="inlineStr">
        <is>
          <t>2026 (Atterr.)</t>
        </is>
      </c>
      <c r="L529" s="13" t="n">
        <v>10403</v>
      </c>
    </row>
    <row r="530">
      <c r="A530" s="19" t="inlineStr">
        <is>
          <t>TUNON_PARIS</t>
        </is>
      </c>
      <c r="B530" s="18" t="inlineStr">
        <is>
          <t>Tunon Paris</t>
        </is>
      </c>
      <c r="C530" s="19" t="inlineStr">
        <is>
          <t>Tunon</t>
        </is>
      </c>
      <c r="D530" s="19" t="inlineStr">
        <is>
          <t>Paris</t>
        </is>
      </c>
      <c r="E530" s="19" t="inlineStr">
        <is>
          <t>616</t>
        </is>
      </c>
      <c r="F530" s="18" t="inlineStr">
        <is>
          <t>Primes d'assurance</t>
        </is>
      </c>
      <c r="G530" s="19" t="inlineStr">
        <is>
          <t>61 — Services extérieurs</t>
        </is>
      </c>
      <c r="H530" s="19" t="inlineStr">
        <is>
          <t>Charge</t>
        </is>
      </c>
      <c r="I530" s="19" t="inlineStr">
        <is>
          <t>Structure</t>
        </is>
      </c>
      <c r="J530" s="19" t="inlineStr">
        <is>
          <t>2026ATT_VDEF</t>
        </is>
      </c>
      <c r="K530" s="19" t="inlineStr">
        <is>
          <t>2026 (Atterr.)</t>
        </is>
      </c>
      <c r="L530" s="13" t="n">
        <v>9883</v>
      </c>
    </row>
    <row r="531">
      <c r="A531" s="19" t="inlineStr">
        <is>
          <t>TUNON_LYON</t>
        </is>
      </c>
      <c r="B531" s="18" t="inlineStr">
        <is>
          <t>Tunon Lyon</t>
        </is>
      </c>
      <c r="C531" s="19" t="inlineStr">
        <is>
          <t>Tunon</t>
        </is>
      </c>
      <c r="D531" s="19" t="inlineStr">
        <is>
          <t>Lyon</t>
        </is>
      </c>
      <c r="E531" s="19" t="inlineStr">
        <is>
          <t>616</t>
        </is>
      </c>
      <c r="F531" s="18" t="inlineStr">
        <is>
          <t>Primes d'assurance</t>
        </is>
      </c>
      <c r="G531" s="19" t="inlineStr">
        <is>
          <t>61 — Services extérieurs</t>
        </is>
      </c>
      <c r="H531" s="19" t="inlineStr">
        <is>
          <t>Charge</t>
        </is>
      </c>
      <c r="I531" s="19" t="inlineStr">
        <is>
          <t>Structure</t>
        </is>
      </c>
      <c r="J531" s="19" t="inlineStr">
        <is>
          <t>2026ATT_VDEF</t>
        </is>
      </c>
      <c r="K531" s="19" t="inlineStr">
        <is>
          <t>2026 (Atterr.)</t>
        </is>
      </c>
      <c r="L531" s="13" t="n">
        <v>8323</v>
      </c>
    </row>
    <row r="532">
      <c r="A532" s="19" t="inlineStr">
        <is>
          <t>GROUPE</t>
        </is>
      </c>
      <c r="B532" s="18" t="inlineStr">
        <is>
          <t>GROUPE — Siège</t>
        </is>
      </c>
      <c r="C532" s="19" t="inlineStr">
        <is>
          <t>(groupe)</t>
        </is>
      </c>
      <c r="D532" s="19" t="inlineStr">
        <is>
          <t>(groupe)</t>
        </is>
      </c>
      <c r="E532" s="19" t="inlineStr">
        <is>
          <t>6226</t>
        </is>
      </c>
      <c r="F532" s="18" t="inlineStr">
        <is>
          <t>Honoraires (audit, conseil, juridique)</t>
        </is>
      </c>
      <c r="G532" s="19" t="inlineStr">
        <is>
          <t>62 — Autres services extérieurs</t>
        </is>
      </c>
      <c r="H532" s="19" t="inlineStr">
        <is>
          <t>Charge</t>
        </is>
      </c>
      <c r="I532" s="19" t="inlineStr">
        <is>
          <t>Structure</t>
        </is>
      </c>
      <c r="J532" s="19" t="inlineStr">
        <is>
          <t>2024ACT_VDEF</t>
        </is>
      </c>
      <c r="K532" s="19" t="inlineStr">
        <is>
          <t>2024 (N-2)</t>
        </is>
      </c>
      <c r="L532" s="13" t="n">
        <v>496083</v>
      </c>
    </row>
    <row r="533">
      <c r="A533" s="19" t="inlineStr">
        <is>
          <t>GROUPE</t>
        </is>
      </c>
      <c r="B533" s="18" t="inlineStr">
        <is>
          <t>GROUPE — Siège</t>
        </is>
      </c>
      <c r="C533" s="19" t="inlineStr">
        <is>
          <t>(groupe)</t>
        </is>
      </c>
      <c r="D533" s="19" t="inlineStr">
        <is>
          <t>(groupe)</t>
        </is>
      </c>
      <c r="E533" s="19" t="inlineStr">
        <is>
          <t>6226</t>
        </is>
      </c>
      <c r="F533" s="18" t="inlineStr">
        <is>
          <t>Honoraires (audit, conseil, juridique)</t>
        </is>
      </c>
      <c r="G533" s="19" t="inlineStr">
        <is>
          <t>62 — Autres services extérieurs</t>
        </is>
      </c>
      <c r="H533" s="19" t="inlineStr">
        <is>
          <t>Charge</t>
        </is>
      </c>
      <c r="I533" s="19" t="inlineStr">
        <is>
          <t>Structure</t>
        </is>
      </c>
      <c r="J533" s="19" t="inlineStr">
        <is>
          <t>2025ACT_VDEF</t>
        </is>
      </c>
      <c r="K533" s="19" t="inlineStr">
        <is>
          <t>2025 (N-1)</t>
        </is>
      </c>
      <c r="L533" s="13" t="n">
        <v>521002</v>
      </c>
    </row>
    <row r="534">
      <c r="A534" s="19" t="inlineStr">
        <is>
          <t>GROUPE</t>
        </is>
      </c>
      <c r="B534" s="18" t="inlineStr">
        <is>
          <t>GROUPE — Siège</t>
        </is>
      </c>
      <c r="C534" s="19" t="inlineStr">
        <is>
          <t>(groupe)</t>
        </is>
      </c>
      <c r="D534" s="19" t="inlineStr">
        <is>
          <t>(groupe)</t>
        </is>
      </c>
      <c r="E534" s="19" t="inlineStr">
        <is>
          <t>6226</t>
        </is>
      </c>
      <c r="F534" s="18" t="inlineStr">
        <is>
          <t>Honoraires (audit, conseil, juridique)</t>
        </is>
      </c>
      <c r="G534" s="19" t="inlineStr">
        <is>
          <t>62 — Autres services extérieurs</t>
        </is>
      </c>
      <c r="H534" s="19" t="inlineStr">
        <is>
          <t>Charge</t>
        </is>
      </c>
      <c r="I534" s="19" t="inlineStr">
        <is>
          <t>Structure</t>
        </is>
      </c>
      <c r="J534" s="19" t="inlineStr">
        <is>
          <t>2026ATT_VDEF</t>
        </is>
      </c>
      <c r="K534" s="19" t="inlineStr">
        <is>
          <t>2026 (Atterr.)</t>
        </is>
      </c>
      <c r="L534" s="13" t="n">
        <v>548409</v>
      </c>
    </row>
    <row r="535">
      <c r="A535" s="19" t="inlineStr">
        <is>
          <t>GROUPE</t>
        </is>
      </c>
      <c r="B535" s="18" t="inlineStr">
        <is>
          <t>GROUPE — Siège</t>
        </is>
      </c>
      <c r="C535" s="19" t="inlineStr">
        <is>
          <t>(groupe)</t>
        </is>
      </c>
      <c r="D535" s="19" t="inlineStr">
        <is>
          <t>(groupe)</t>
        </is>
      </c>
      <c r="E535" s="19" t="inlineStr">
        <is>
          <t>6236</t>
        </is>
      </c>
      <c r="F535" s="18" t="inlineStr">
        <is>
          <t>Marketing de marque, salons &amp; JPO</t>
        </is>
      </c>
      <c r="G535" s="19" t="inlineStr">
        <is>
          <t>62 — Autres services extérieurs</t>
        </is>
      </c>
      <c r="H535" s="19" t="inlineStr">
        <is>
          <t>Charge</t>
        </is>
      </c>
      <c r="I535" s="19" t="inlineStr">
        <is>
          <t>Structure</t>
        </is>
      </c>
      <c r="J535" s="19" t="inlineStr">
        <is>
          <t>2024ACT_VDEF</t>
        </is>
      </c>
      <c r="K535" s="19" t="inlineStr">
        <is>
          <t>2024 (N-2)</t>
        </is>
      </c>
      <c r="L535" s="13" t="n">
        <v>595300</v>
      </c>
    </row>
    <row r="536">
      <c r="A536" s="19" t="inlineStr">
        <is>
          <t>GROUPE</t>
        </is>
      </c>
      <c r="B536" s="18" t="inlineStr">
        <is>
          <t>GROUPE — Siège</t>
        </is>
      </c>
      <c r="C536" s="19" t="inlineStr">
        <is>
          <t>(groupe)</t>
        </is>
      </c>
      <c r="D536" s="19" t="inlineStr">
        <is>
          <t>(groupe)</t>
        </is>
      </c>
      <c r="E536" s="19" t="inlineStr">
        <is>
          <t>6236</t>
        </is>
      </c>
      <c r="F536" s="18" t="inlineStr">
        <is>
          <t>Marketing de marque, salons &amp; JPO</t>
        </is>
      </c>
      <c r="G536" s="19" t="inlineStr">
        <is>
          <t>62 — Autres services extérieurs</t>
        </is>
      </c>
      <c r="H536" s="19" t="inlineStr">
        <is>
          <t>Charge</t>
        </is>
      </c>
      <c r="I536" s="19" t="inlineStr">
        <is>
          <t>Structure</t>
        </is>
      </c>
      <c r="J536" s="19" t="inlineStr">
        <is>
          <t>2025ACT_VDEF</t>
        </is>
      </c>
      <c r="K536" s="19" t="inlineStr">
        <is>
          <t>2025 (N-1)</t>
        </is>
      </c>
      <c r="L536" s="13" t="n">
        <v>625202</v>
      </c>
    </row>
    <row r="537">
      <c r="A537" s="19" t="inlineStr">
        <is>
          <t>GROUPE</t>
        </is>
      </c>
      <c r="B537" s="18" t="inlineStr">
        <is>
          <t>GROUPE — Siège</t>
        </is>
      </c>
      <c r="C537" s="19" t="inlineStr">
        <is>
          <t>(groupe)</t>
        </is>
      </c>
      <c r="D537" s="19" t="inlineStr">
        <is>
          <t>(groupe)</t>
        </is>
      </c>
      <c r="E537" s="19" t="inlineStr">
        <is>
          <t>6236</t>
        </is>
      </c>
      <c r="F537" s="18" t="inlineStr">
        <is>
          <t>Marketing de marque, salons &amp; JPO</t>
        </is>
      </c>
      <c r="G537" s="19" t="inlineStr">
        <is>
          <t>62 — Autres services extérieurs</t>
        </is>
      </c>
      <c r="H537" s="19" t="inlineStr">
        <is>
          <t>Charge</t>
        </is>
      </c>
      <c r="I537" s="19" t="inlineStr">
        <is>
          <t>Structure</t>
        </is>
      </c>
      <c r="J537" s="19" t="inlineStr">
        <is>
          <t>2026ATT_VDEF</t>
        </is>
      </c>
      <c r="K537" s="19" t="inlineStr">
        <is>
          <t>2026 (Atterr.)</t>
        </is>
      </c>
      <c r="L537" s="13" t="n">
        <v>658090</v>
      </c>
    </row>
    <row r="538">
      <c r="A538" s="19" t="inlineStr">
        <is>
          <t>MBWAY_PARIS</t>
        </is>
      </c>
      <c r="B538" s="18" t="inlineStr">
        <is>
          <t>MBway Paris</t>
        </is>
      </c>
      <c r="C538" s="19" t="inlineStr">
        <is>
          <t>MBway</t>
        </is>
      </c>
      <c r="D538" s="19" t="inlineStr">
        <is>
          <t>Paris</t>
        </is>
      </c>
      <c r="E538" s="19" t="inlineStr">
        <is>
          <t>625</t>
        </is>
      </c>
      <c r="F538" s="18" t="inlineStr">
        <is>
          <t>Déplacements, missions &amp; réceptions</t>
        </is>
      </c>
      <c r="G538" s="19" t="inlineStr">
        <is>
          <t>62 — Autres services extérieurs</t>
        </is>
      </c>
      <c r="H538" s="19" t="inlineStr">
        <is>
          <t>Charge</t>
        </is>
      </c>
      <c r="I538" s="19" t="inlineStr">
        <is>
          <t>Structure</t>
        </is>
      </c>
      <c r="J538" s="19" t="inlineStr">
        <is>
          <t>2024ACT_VDEF</t>
        </is>
      </c>
      <c r="K538" s="19" t="inlineStr">
        <is>
          <t>2024 (N-2)</t>
        </is>
      </c>
      <c r="L538" s="13" t="n">
        <v>37610</v>
      </c>
    </row>
    <row r="539">
      <c r="A539" s="19" t="inlineStr">
        <is>
          <t>MBWAY_LYON</t>
        </is>
      </c>
      <c r="B539" s="18" t="inlineStr">
        <is>
          <t>MBway Lyon</t>
        </is>
      </c>
      <c r="C539" s="19" t="inlineStr">
        <is>
          <t>MBway</t>
        </is>
      </c>
      <c r="D539" s="19" t="inlineStr">
        <is>
          <t>Lyon</t>
        </is>
      </c>
      <c r="E539" s="19" t="inlineStr">
        <is>
          <t>625</t>
        </is>
      </c>
      <c r="F539" s="18" t="inlineStr">
        <is>
          <t>Déplacements, missions &amp; réceptions</t>
        </is>
      </c>
      <c r="G539" s="19" t="inlineStr">
        <is>
          <t>62 — Autres services extérieurs</t>
        </is>
      </c>
      <c r="H539" s="19" t="inlineStr">
        <is>
          <t>Charge</t>
        </is>
      </c>
      <c r="I539" s="19" t="inlineStr">
        <is>
          <t>Structure</t>
        </is>
      </c>
      <c r="J539" s="19" t="inlineStr">
        <is>
          <t>2024ACT_VDEF</t>
        </is>
      </c>
      <c r="K539" s="19" t="inlineStr">
        <is>
          <t>2024 (N-2)</t>
        </is>
      </c>
      <c r="L539" s="13" t="n">
        <v>31661</v>
      </c>
    </row>
    <row r="540">
      <c r="A540" s="19" t="inlineStr">
        <is>
          <t>MBWAY_NANTES</t>
        </is>
      </c>
      <c r="B540" s="18" t="inlineStr">
        <is>
          <t>MBway Nantes</t>
        </is>
      </c>
      <c r="C540" s="19" t="inlineStr">
        <is>
          <t>MBway</t>
        </is>
      </c>
      <c r="D540" s="19" t="inlineStr">
        <is>
          <t>Nantes</t>
        </is>
      </c>
      <c r="E540" s="19" t="inlineStr">
        <is>
          <t>625</t>
        </is>
      </c>
      <c r="F540" s="18" t="inlineStr">
        <is>
          <t>Déplacements, missions &amp; réceptions</t>
        </is>
      </c>
      <c r="G540" s="19" t="inlineStr">
        <is>
          <t>62 — Autres services extérieurs</t>
        </is>
      </c>
      <c r="H540" s="19" t="inlineStr">
        <is>
          <t>Charge</t>
        </is>
      </c>
      <c r="I540" s="19" t="inlineStr">
        <is>
          <t>Structure</t>
        </is>
      </c>
      <c r="J540" s="19" t="inlineStr">
        <is>
          <t>2024ACT_VDEF</t>
        </is>
      </c>
      <c r="K540" s="19" t="inlineStr">
        <is>
          <t>2024 (N-2)</t>
        </is>
      </c>
      <c r="L540" s="13" t="n">
        <v>28938</v>
      </c>
    </row>
    <row r="541">
      <c r="A541" s="19" t="inlineStr">
        <is>
          <t>MBWAY_BORDEAUX</t>
        </is>
      </c>
      <c r="B541" s="18" t="inlineStr">
        <is>
          <t>MBway Bordeaux</t>
        </is>
      </c>
      <c r="C541" s="19" t="inlineStr">
        <is>
          <t>MBway</t>
        </is>
      </c>
      <c r="D541" s="19" t="inlineStr">
        <is>
          <t>Bordeaux</t>
        </is>
      </c>
      <c r="E541" s="19" t="inlineStr">
        <is>
          <t>625</t>
        </is>
      </c>
      <c r="F541" s="18" t="inlineStr">
        <is>
          <t>Déplacements, missions &amp; réceptions</t>
        </is>
      </c>
      <c r="G541" s="19" t="inlineStr">
        <is>
          <t>62 — Autres services extérieurs</t>
        </is>
      </c>
      <c r="H541" s="19" t="inlineStr">
        <is>
          <t>Charge</t>
        </is>
      </c>
      <c r="I541" s="19" t="inlineStr">
        <is>
          <t>Structure</t>
        </is>
      </c>
      <c r="J541" s="19" t="inlineStr">
        <is>
          <t>2024ACT_VDEF</t>
        </is>
      </c>
      <c r="K541" s="19" t="inlineStr">
        <is>
          <t>2024 (N-2)</t>
        </is>
      </c>
      <c r="L541" s="13" t="n">
        <v>24502</v>
      </c>
    </row>
    <row r="542">
      <c r="A542" s="19" t="inlineStr">
        <is>
          <t>ISCOM_PARIS</t>
        </is>
      </c>
      <c r="B542" s="18" t="inlineStr">
        <is>
          <t>ISCOM Paris</t>
        </is>
      </c>
      <c r="C542" s="19" t="inlineStr">
        <is>
          <t>ISCOM</t>
        </is>
      </c>
      <c r="D542" s="19" t="inlineStr">
        <is>
          <t>Paris</t>
        </is>
      </c>
      <c r="E542" s="19" t="inlineStr">
        <is>
          <t>625</t>
        </is>
      </c>
      <c r="F542" s="18" t="inlineStr">
        <is>
          <t>Déplacements, missions &amp; réceptions</t>
        </is>
      </c>
      <c r="G542" s="19" t="inlineStr">
        <is>
          <t>62 — Autres services extérieurs</t>
        </is>
      </c>
      <c r="H542" s="19" t="inlineStr">
        <is>
          <t>Charge</t>
        </is>
      </c>
      <c r="I542" s="19" t="inlineStr">
        <is>
          <t>Structure</t>
        </is>
      </c>
      <c r="J542" s="19" t="inlineStr">
        <is>
          <t>2024ACT_VDEF</t>
        </is>
      </c>
      <c r="K542" s="19" t="inlineStr">
        <is>
          <t>2024 (N-2)</t>
        </is>
      </c>
      <c r="L542" s="13" t="n">
        <v>34685</v>
      </c>
    </row>
    <row r="543">
      <c r="A543" s="19" t="inlineStr">
        <is>
          <t>ISCOM_LILLE</t>
        </is>
      </c>
      <c r="B543" s="18" t="inlineStr">
        <is>
          <t>ISCOM Lille</t>
        </is>
      </c>
      <c r="C543" s="19" t="inlineStr">
        <is>
          <t>ISCOM</t>
        </is>
      </c>
      <c r="D543" s="19" t="inlineStr">
        <is>
          <t>Lille</t>
        </is>
      </c>
      <c r="E543" s="19" t="inlineStr">
        <is>
          <t>625</t>
        </is>
      </c>
      <c r="F543" s="18" t="inlineStr">
        <is>
          <t>Déplacements, missions &amp; réceptions</t>
        </is>
      </c>
      <c r="G543" s="19" t="inlineStr">
        <is>
          <t>62 — Autres services extérieurs</t>
        </is>
      </c>
      <c r="H543" s="19" t="inlineStr">
        <is>
          <t>Charge</t>
        </is>
      </c>
      <c r="I543" s="19" t="inlineStr">
        <is>
          <t>Structure</t>
        </is>
      </c>
      <c r="J543" s="19" t="inlineStr">
        <is>
          <t>2024ACT_VDEF</t>
        </is>
      </c>
      <c r="K543" s="19" t="inlineStr">
        <is>
          <t>2024 (N-2)</t>
        </is>
      </c>
      <c r="L543" s="13" t="n">
        <v>23998</v>
      </c>
    </row>
    <row r="544">
      <c r="A544" s="19" t="inlineStr">
        <is>
          <t>ISCOM_TOULOUSE</t>
        </is>
      </c>
      <c r="B544" s="18" t="inlineStr">
        <is>
          <t>ISCOM Toulouse</t>
        </is>
      </c>
      <c r="C544" s="19" t="inlineStr">
        <is>
          <t>ISCOM</t>
        </is>
      </c>
      <c r="D544" s="19" t="inlineStr">
        <is>
          <t>Toulouse</t>
        </is>
      </c>
      <c r="E544" s="19" t="inlineStr">
        <is>
          <t>625</t>
        </is>
      </c>
      <c r="F544" s="18" t="inlineStr">
        <is>
          <t>Déplacements, missions &amp; réceptions</t>
        </is>
      </c>
      <c r="G544" s="19" t="inlineStr">
        <is>
          <t>62 — Autres services extérieurs</t>
        </is>
      </c>
      <c r="H544" s="19" t="inlineStr">
        <is>
          <t>Charge</t>
        </is>
      </c>
      <c r="I544" s="19" t="inlineStr">
        <is>
          <t>Structure</t>
        </is>
      </c>
      <c r="J544" s="19" t="inlineStr">
        <is>
          <t>2024ACT_VDEF</t>
        </is>
      </c>
      <c r="K544" s="19" t="inlineStr">
        <is>
          <t>2024 (N-2)</t>
        </is>
      </c>
      <c r="L544" s="13" t="n">
        <v>22687</v>
      </c>
    </row>
    <row r="545">
      <c r="A545" s="19" t="inlineStr">
        <is>
          <t>IPAC_BACHELOR_FACTORY_NANTES</t>
        </is>
      </c>
      <c r="B545" s="18" t="inlineStr">
        <is>
          <t>Ipac Bachelor Factory Nantes</t>
        </is>
      </c>
      <c r="C545" s="19" t="inlineStr">
        <is>
          <t>Ipac Bachelor Factory</t>
        </is>
      </c>
      <c r="D545" s="19" t="inlineStr">
        <is>
          <t>Nantes</t>
        </is>
      </c>
      <c r="E545" s="19" t="inlineStr">
        <is>
          <t>625</t>
        </is>
      </c>
      <c r="F545" s="18" t="inlineStr">
        <is>
          <t>Déplacements, missions &amp; réceptions</t>
        </is>
      </c>
      <c r="G545" s="19" t="inlineStr">
        <is>
          <t>62 — Autres services extérieurs</t>
        </is>
      </c>
      <c r="H545" s="19" t="inlineStr">
        <is>
          <t>Charge</t>
        </is>
      </c>
      <c r="I545" s="19" t="inlineStr">
        <is>
          <t>Structure</t>
        </is>
      </c>
      <c r="J545" s="19" t="inlineStr">
        <is>
          <t>2024ACT_VDEF</t>
        </is>
      </c>
      <c r="K545" s="19" t="inlineStr">
        <is>
          <t>2024 (N-2)</t>
        </is>
      </c>
      <c r="L545" s="13" t="n">
        <v>14116</v>
      </c>
    </row>
    <row r="546">
      <c r="A546" s="19" t="inlineStr">
        <is>
          <t>IPAC_BACHELOR_FACTORY_RENNES</t>
        </is>
      </c>
      <c r="B546" s="18" t="inlineStr">
        <is>
          <t>Ipac Bachelor Factory Rennes</t>
        </is>
      </c>
      <c r="C546" s="19" t="inlineStr">
        <is>
          <t>Ipac Bachelor Factory</t>
        </is>
      </c>
      <c r="D546" s="19" t="inlineStr">
        <is>
          <t>Rennes</t>
        </is>
      </c>
      <c r="E546" s="19" t="inlineStr">
        <is>
          <t>625</t>
        </is>
      </c>
      <c r="F546" s="18" t="inlineStr">
        <is>
          <t>Déplacements, missions &amp; réceptions</t>
        </is>
      </c>
      <c r="G546" s="19" t="inlineStr">
        <is>
          <t>62 — Autres services extérieurs</t>
        </is>
      </c>
      <c r="H546" s="19" t="inlineStr">
        <is>
          <t>Charge</t>
        </is>
      </c>
      <c r="I546" s="19" t="inlineStr">
        <is>
          <t>Structure</t>
        </is>
      </c>
      <c r="J546" s="19" t="inlineStr">
        <is>
          <t>2024ACT_VDEF</t>
        </is>
      </c>
      <c r="K546" s="19" t="inlineStr">
        <is>
          <t>2024 (N-2)</t>
        </is>
      </c>
      <c r="L546" s="13" t="n">
        <v>11293</v>
      </c>
    </row>
    <row r="547">
      <c r="A547" s="19" t="inlineStr">
        <is>
          <t>IPAC_BACHELOR_FACTORY_MONTPELLIER</t>
        </is>
      </c>
      <c r="B547" s="18" t="inlineStr">
        <is>
          <t>Ipac Bachelor Factory Montpellier</t>
        </is>
      </c>
      <c r="C547" s="19" t="inlineStr">
        <is>
          <t>Ipac Bachelor Factory</t>
        </is>
      </c>
      <c r="D547" s="19" t="inlineStr">
        <is>
          <t>Montpellier</t>
        </is>
      </c>
      <c r="E547" s="19" t="inlineStr">
        <is>
          <t>625</t>
        </is>
      </c>
      <c r="F547" s="18" t="inlineStr">
        <is>
          <t>Déplacements, missions &amp; réceptions</t>
        </is>
      </c>
      <c r="G547" s="19" t="inlineStr">
        <is>
          <t>62 — Autres services extérieurs</t>
        </is>
      </c>
      <c r="H547" s="19" t="inlineStr">
        <is>
          <t>Charge</t>
        </is>
      </c>
      <c r="I547" s="19" t="inlineStr">
        <is>
          <t>Structure</t>
        </is>
      </c>
      <c r="J547" s="19" t="inlineStr">
        <is>
          <t>2024ACT_VDEF</t>
        </is>
      </c>
      <c r="K547" s="19" t="inlineStr">
        <is>
          <t>2024 (N-2)</t>
        </is>
      </c>
      <c r="L547" s="13" t="n">
        <v>11293</v>
      </c>
    </row>
    <row r="548">
      <c r="A548" s="19" t="inlineStr">
        <is>
          <t>PIGIER_LYON</t>
        </is>
      </c>
      <c r="B548" s="18" t="inlineStr">
        <is>
          <t>Pigier Lyon</t>
        </is>
      </c>
      <c r="C548" s="19" t="inlineStr">
        <is>
          <t>Pigier</t>
        </is>
      </c>
      <c r="D548" s="19" t="inlineStr">
        <is>
          <t>Lyon</t>
        </is>
      </c>
      <c r="E548" s="19" t="inlineStr">
        <is>
          <t>625</t>
        </is>
      </c>
      <c r="F548" s="18" t="inlineStr">
        <is>
          <t>Déplacements, missions &amp; réceptions</t>
        </is>
      </c>
      <c r="G548" s="19" t="inlineStr">
        <is>
          <t>62 — Autres services extérieurs</t>
        </is>
      </c>
      <c r="H548" s="19" t="inlineStr">
        <is>
          <t>Charge</t>
        </is>
      </c>
      <c r="I548" s="19" t="inlineStr">
        <is>
          <t>Structure</t>
        </is>
      </c>
      <c r="J548" s="19" t="inlineStr">
        <is>
          <t>2024ACT_VDEF</t>
        </is>
      </c>
      <c r="K548" s="19" t="inlineStr">
        <is>
          <t>2024 (N-2)</t>
        </is>
      </c>
      <c r="L548" s="13" t="n">
        <v>18049</v>
      </c>
    </row>
    <row r="549">
      <c r="A549" s="19" t="inlineStr">
        <is>
          <t>PIGIER_BORDEAUX</t>
        </is>
      </c>
      <c r="B549" s="18" t="inlineStr">
        <is>
          <t>Pigier Bordeaux</t>
        </is>
      </c>
      <c r="C549" s="19" t="inlineStr">
        <is>
          <t>Pigier</t>
        </is>
      </c>
      <c r="D549" s="19" t="inlineStr">
        <is>
          <t>Bordeaux</t>
        </is>
      </c>
      <c r="E549" s="19" t="inlineStr">
        <is>
          <t>625</t>
        </is>
      </c>
      <c r="F549" s="18" t="inlineStr">
        <is>
          <t>Déplacements, missions &amp; réceptions</t>
        </is>
      </c>
      <c r="G549" s="19" t="inlineStr">
        <is>
          <t>62 — Autres services extérieurs</t>
        </is>
      </c>
      <c r="H549" s="19" t="inlineStr">
        <is>
          <t>Charge</t>
        </is>
      </c>
      <c r="I549" s="19" t="inlineStr">
        <is>
          <t>Structure</t>
        </is>
      </c>
      <c r="J549" s="19" t="inlineStr">
        <is>
          <t>2024ACT_VDEF</t>
        </is>
      </c>
      <c r="K549" s="19" t="inlineStr">
        <is>
          <t>2024 (N-2)</t>
        </is>
      </c>
      <c r="L549" s="13" t="n">
        <v>14116</v>
      </c>
    </row>
    <row r="550">
      <c r="A550" s="19" t="inlineStr">
        <is>
          <t>TUNON_PARIS</t>
        </is>
      </c>
      <c r="B550" s="18" t="inlineStr">
        <is>
          <t>Tunon Paris</t>
        </is>
      </c>
      <c r="C550" s="19" t="inlineStr">
        <is>
          <t>Tunon</t>
        </is>
      </c>
      <c r="D550" s="19" t="inlineStr">
        <is>
          <t>Paris</t>
        </is>
      </c>
      <c r="E550" s="19" t="inlineStr">
        <is>
          <t>625</t>
        </is>
      </c>
      <c r="F550" s="18" t="inlineStr">
        <is>
          <t>Déplacements, missions &amp; réceptions</t>
        </is>
      </c>
      <c r="G550" s="19" t="inlineStr">
        <is>
          <t>62 — Autres services extérieurs</t>
        </is>
      </c>
      <c r="H550" s="19" t="inlineStr">
        <is>
          <t>Charge</t>
        </is>
      </c>
      <c r="I550" s="19" t="inlineStr">
        <is>
          <t>Structure</t>
        </is>
      </c>
      <c r="J550" s="19" t="inlineStr">
        <is>
          <t>2024ACT_VDEF</t>
        </is>
      </c>
      <c r="K550" s="19" t="inlineStr">
        <is>
          <t>2024 (N-2)</t>
        </is>
      </c>
      <c r="L550" s="13" t="n">
        <v>13410</v>
      </c>
    </row>
    <row r="551">
      <c r="A551" s="19" t="inlineStr">
        <is>
          <t>TUNON_LYON</t>
        </is>
      </c>
      <c r="B551" s="18" t="inlineStr">
        <is>
          <t>Tunon Lyon</t>
        </is>
      </c>
      <c r="C551" s="19" t="inlineStr">
        <is>
          <t>Tunon</t>
        </is>
      </c>
      <c r="D551" s="19" t="inlineStr">
        <is>
          <t>Lyon</t>
        </is>
      </c>
      <c r="E551" s="19" t="inlineStr">
        <is>
          <t>625</t>
        </is>
      </c>
      <c r="F551" s="18" t="inlineStr">
        <is>
          <t>Déplacements, missions &amp; réceptions</t>
        </is>
      </c>
      <c r="G551" s="19" t="inlineStr">
        <is>
          <t>62 — Autres services extérieurs</t>
        </is>
      </c>
      <c r="H551" s="19" t="inlineStr">
        <is>
          <t>Charge</t>
        </is>
      </c>
      <c r="I551" s="19" t="inlineStr">
        <is>
          <t>Structure</t>
        </is>
      </c>
      <c r="J551" s="19" t="inlineStr">
        <is>
          <t>2024ACT_VDEF</t>
        </is>
      </c>
      <c r="K551" s="19" t="inlineStr">
        <is>
          <t>2024 (N-2)</t>
        </is>
      </c>
      <c r="L551" s="13" t="n">
        <v>11293</v>
      </c>
    </row>
    <row r="552">
      <c r="A552" s="19" t="inlineStr">
        <is>
          <t>MBWAY_PARIS</t>
        </is>
      </c>
      <c r="B552" s="18" t="inlineStr">
        <is>
          <t>MBway Paris</t>
        </is>
      </c>
      <c r="C552" s="19" t="inlineStr">
        <is>
          <t>MBway</t>
        </is>
      </c>
      <c r="D552" s="19" t="inlineStr">
        <is>
          <t>Paris</t>
        </is>
      </c>
      <c r="E552" s="19" t="inlineStr">
        <is>
          <t>625</t>
        </is>
      </c>
      <c r="F552" s="18" t="inlineStr">
        <is>
          <t>Déplacements, missions &amp; réceptions</t>
        </is>
      </c>
      <c r="G552" s="19" t="inlineStr">
        <is>
          <t>62 — Autres services extérieurs</t>
        </is>
      </c>
      <c r="H552" s="19" t="inlineStr">
        <is>
          <t>Charge</t>
        </is>
      </c>
      <c r="I552" s="19" t="inlineStr">
        <is>
          <t>Structure</t>
        </is>
      </c>
      <c r="J552" s="19" t="inlineStr">
        <is>
          <t>2025ACT_VDEF</t>
        </is>
      </c>
      <c r="K552" s="19" t="inlineStr">
        <is>
          <t>2025 (N-1)</t>
        </is>
      </c>
      <c r="L552" s="13" t="n">
        <v>39499</v>
      </c>
    </row>
    <row r="553">
      <c r="A553" s="19" t="inlineStr">
        <is>
          <t>MBWAY_LYON</t>
        </is>
      </c>
      <c r="B553" s="18" t="inlineStr">
        <is>
          <t>MBway Lyon</t>
        </is>
      </c>
      <c r="C553" s="19" t="inlineStr">
        <is>
          <t>MBway</t>
        </is>
      </c>
      <c r="D553" s="19" t="inlineStr">
        <is>
          <t>Lyon</t>
        </is>
      </c>
      <c r="E553" s="19" t="inlineStr">
        <is>
          <t>625</t>
        </is>
      </c>
      <c r="F553" s="18" t="inlineStr">
        <is>
          <t>Déplacements, missions &amp; réceptions</t>
        </is>
      </c>
      <c r="G553" s="19" t="inlineStr">
        <is>
          <t>62 — Autres services extérieurs</t>
        </is>
      </c>
      <c r="H553" s="19" t="inlineStr">
        <is>
          <t>Charge</t>
        </is>
      </c>
      <c r="I553" s="19" t="inlineStr">
        <is>
          <t>Structure</t>
        </is>
      </c>
      <c r="J553" s="19" t="inlineStr">
        <is>
          <t>2025ACT_VDEF</t>
        </is>
      </c>
      <c r="K553" s="19" t="inlineStr">
        <is>
          <t>2025 (N-1)</t>
        </is>
      </c>
      <c r="L553" s="13" t="n">
        <v>33251</v>
      </c>
    </row>
    <row r="554">
      <c r="A554" s="19" t="inlineStr">
        <is>
          <t>MBWAY_NANTES</t>
        </is>
      </c>
      <c r="B554" s="18" t="inlineStr">
        <is>
          <t>MBway Nantes</t>
        </is>
      </c>
      <c r="C554" s="19" t="inlineStr">
        <is>
          <t>MBway</t>
        </is>
      </c>
      <c r="D554" s="19" t="inlineStr">
        <is>
          <t>Nantes</t>
        </is>
      </c>
      <c r="E554" s="19" t="inlineStr">
        <is>
          <t>625</t>
        </is>
      </c>
      <c r="F554" s="18" t="inlineStr">
        <is>
          <t>Déplacements, missions &amp; réceptions</t>
        </is>
      </c>
      <c r="G554" s="19" t="inlineStr">
        <is>
          <t>62 — Autres services extérieurs</t>
        </is>
      </c>
      <c r="H554" s="19" t="inlineStr">
        <is>
          <t>Charge</t>
        </is>
      </c>
      <c r="I554" s="19" t="inlineStr">
        <is>
          <t>Structure</t>
        </is>
      </c>
      <c r="J554" s="19" t="inlineStr">
        <is>
          <t>2025ACT_VDEF</t>
        </is>
      </c>
      <c r="K554" s="19" t="inlineStr">
        <is>
          <t>2025 (N-1)</t>
        </is>
      </c>
      <c r="L554" s="13" t="n">
        <v>30392</v>
      </c>
    </row>
    <row r="555">
      <c r="A555" s="19" t="inlineStr">
        <is>
          <t>MBWAY_BORDEAUX</t>
        </is>
      </c>
      <c r="B555" s="18" t="inlineStr">
        <is>
          <t>MBway Bordeaux</t>
        </is>
      </c>
      <c r="C555" s="19" t="inlineStr">
        <is>
          <t>MBway</t>
        </is>
      </c>
      <c r="D555" s="19" t="inlineStr">
        <is>
          <t>Bordeaux</t>
        </is>
      </c>
      <c r="E555" s="19" t="inlineStr">
        <is>
          <t>625</t>
        </is>
      </c>
      <c r="F555" s="18" t="inlineStr">
        <is>
          <t>Déplacements, missions &amp; réceptions</t>
        </is>
      </c>
      <c r="G555" s="19" t="inlineStr">
        <is>
          <t>62 — Autres services extérieurs</t>
        </is>
      </c>
      <c r="H555" s="19" t="inlineStr">
        <is>
          <t>Charge</t>
        </is>
      </c>
      <c r="I555" s="19" t="inlineStr">
        <is>
          <t>Structure</t>
        </is>
      </c>
      <c r="J555" s="19" t="inlineStr">
        <is>
          <t>2025ACT_VDEF</t>
        </is>
      </c>
      <c r="K555" s="19" t="inlineStr">
        <is>
          <t>2025 (N-1)</t>
        </is>
      </c>
      <c r="L555" s="13" t="n">
        <v>25732</v>
      </c>
    </row>
    <row r="556">
      <c r="A556" s="19" t="inlineStr">
        <is>
          <t>ISCOM_PARIS</t>
        </is>
      </c>
      <c r="B556" s="18" t="inlineStr">
        <is>
          <t>ISCOM Paris</t>
        </is>
      </c>
      <c r="C556" s="19" t="inlineStr">
        <is>
          <t>ISCOM</t>
        </is>
      </c>
      <c r="D556" s="19" t="inlineStr">
        <is>
          <t>Paris</t>
        </is>
      </c>
      <c r="E556" s="19" t="inlineStr">
        <is>
          <t>625</t>
        </is>
      </c>
      <c r="F556" s="18" t="inlineStr">
        <is>
          <t>Déplacements, missions &amp; réceptions</t>
        </is>
      </c>
      <c r="G556" s="19" t="inlineStr">
        <is>
          <t>62 — Autres services extérieurs</t>
        </is>
      </c>
      <c r="H556" s="19" t="inlineStr">
        <is>
          <t>Charge</t>
        </is>
      </c>
      <c r="I556" s="19" t="inlineStr">
        <is>
          <t>Structure</t>
        </is>
      </c>
      <c r="J556" s="19" t="inlineStr">
        <is>
          <t>2025ACT_VDEF</t>
        </is>
      </c>
      <c r="K556" s="19" t="inlineStr">
        <is>
          <t>2025 (N-1)</t>
        </is>
      </c>
      <c r="L556" s="13" t="n">
        <v>36428</v>
      </c>
    </row>
    <row r="557">
      <c r="A557" s="19" t="inlineStr">
        <is>
          <t>ISCOM_LILLE</t>
        </is>
      </c>
      <c r="B557" s="18" t="inlineStr">
        <is>
          <t>ISCOM Lille</t>
        </is>
      </c>
      <c r="C557" s="19" t="inlineStr">
        <is>
          <t>ISCOM</t>
        </is>
      </c>
      <c r="D557" s="19" t="inlineStr">
        <is>
          <t>Lille</t>
        </is>
      </c>
      <c r="E557" s="19" t="inlineStr">
        <is>
          <t>625</t>
        </is>
      </c>
      <c r="F557" s="18" t="inlineStr">
        <is>
          <t>Déplacements, missions &amp; réceptions</t>
        </is>
      </c>
      <c r="G557" s="19" t="inlineStr">
        <is>
          <t>62 — Autres services extérieurs</t>
        </is>
      </c>
      <c r="H557" s="19" t="inlineStr">
        <is>
          <t>Charge</t>
        </is>
      </c>
      <c r="I557" s="19" t="inlineStr">
        <is>
          <t>Structure</t>
        </is>
      </c>
      <c r="J557" s="19" t="inlineStr">
        <is>
          <t>2025ACT_VDEF</t>
        </is>
      </c>
      <c r="K557" s="19" t="inlineStr">
        <is>
          <t>2025 (N-1)</t>
        </is>
      </c>
      <c r="L557" s="13" t="n">
        <v>25203</v>
      </c>
    </row>
    <row r="558">
      <c r="A558" s="19" t="inlineStr">
        <is>
          <t>ISCOM_TOULOUSE</t>
        </is>
      </c>
      <c r="B558" s="18" t="inlineStr">
        <is>
          <t>ISCOM Toulouse</t>
        </is>
      </c>
      <c r="C558" s="19" t="inlineStr">
        <is>
          <t>ISCOM</t>
        </is>
      </c>
      <c r="D558" s="19" t="inlineStr">
        <is>
          <t>Toulouse</t>
        </is>
      </c>
      <c r="E558" s="19" t="inlineStr">
        <is>
          <t>625</t>
        </is>
      </c>
      <c r="F558" s="18" t="inlineStr">
        <is>
          <t>Déplacements, missions &amp; réceptions</t>
        </is>
      </c>
      <c r="G558" s="19" t="inlineStr">
        <is>
          <t>62 — Autres services extérieurs</t>
        </is>
      </c>
      <c r="H558" s="19" t="inlineStr">
        <is>
          <t>Charge</t>
        </is>
      </c>
      <c r="I558" s="19" t="inlineStr">
        <is>
          <t>Structure</t>
        </is>
      </c>
      <c r="J558" s="19" t="inlineStr">
        <is>
          <t>2025ACT_VDEF</t>
        </is>
      </c>
      <c r="K558" s="19" t="inlineStr">
        <is>
          <t>2025 (N-1)</t>
        </is>
      </c>
      <c r="L558" s="13" t="n">
        <v>23826</v>
      </c>
    </row>
    <row r="559">
      <c r="A559" s="19" t="inlineStr">
        <is>
          <t>IPAC_BACHELOR_FACTORY_NANTES</t>
        </is>
      </c>
      <c r="B559" s="18" t="inlineStr">
        <is>
          <t>Ipac Bachelor Factory Nantes</t>
        </is>
      </c>
      <c r="C559" s="19" t="inlineStr">
        <is>
          <t>Ipac Bachelor Factory</t>
        </is>
      </c>
      <c r="D559" s="19" t="inlineStr">
        <is>
          <t>Nantes</t>
        </is>
      </c>
      <c r="E559" s="19" t="inlineStr">
        <is>
          <t>625</t>
        </is>
      </c>
      <c r="F559" s="18" t="inlineStr">
        <is>
          <t>Déplacements, missions &amp; réceptions</t>
        </is>
      </c>
      <c r="G559" s="19" t="inlineStr">
        <is>
          <t>62 — Autres services extérieurs</t>
        </is>
      </c>
      <c r="H559" s="19" t="inlineStr">
        <is>
          <t>Charge</t>
        </is>
      </c>
      <c r="I559" s="19" t="inlineStr">
        <is>
          <t>Structure</t>
        </is>
      </c>
      <c r="J559" s="19" t="inlineStr">
        <is>
          <t>2025ACT_VDEF</t>
        </is>
      </c>
      <c r="K559" s="19" t="inlineStr">
        <is>
          <t>2025 (N-1)</t>
        </is>
      </c>
      <c r="L559" s="13" t="n">
        <v>14825</v>
      </c>
    </row>
    <row r="560">
      <c r="A560" s="19" t="inlineStr">
        <is>
          <t>IPAC_BACHELOR_FACTORY_RENNES</t>
        </is>
      </c>
      <c r="B560" s="18" t="inlineStr">
        <is>
          <t>Ipac Bachelor Factory Rennes</t>
        </is>
      </c>
      <c r="C560" s="19" t="inlineStr">
        <is>
          <t>Ipac Bachelor Factory</t>
        </is>
      </c>
      <c r="D560" s="19" t="inlineStr">
        <is>
          <t>Rennes</t>
        </is>
      </c>
      <c r="E560" s="19" t="inlineStr">
        <is>
          <t>625</t>
        </is>
      </c>
      <c r="F560" s="18" t="inlineStr">
        <is>
          <t>Déplacements, missions &amp; réceptions</t>
        </is>
      </c>
      <c r="G560" s="19" t="inlineStr">
        <is>
          <t>62 — Autres services extérieurs</t>
        </is>
      </c>
      <c r="H560" s="19" t="inlineStr">
        <is>
          <t>Charge</t>
        </is>
      </c>
      <c r="I560" s="19" t="inlineStr">
        <is>
          <t>Structure</t>
        </is>
      </c>
      <c r="J560" s="19" t="inlineStr">
        <is>
          <t>2025ACT_VDEF</t>
        </is>
      </c>
      <c r="K560" s="19" t="inlineStr">
        <is>
          <t>2025 (N-1)</t>
        </is>
      </c>
      <c r="L560" s="13" t="n">
        <v>11860</v>
      </c>
    </row>
    <row r="561">
      <c r="A561" s="19" t="inlineStr">
        <is>
          <t>IPAC_BACHELOR_FACTORY_MONTPELLIER</t>
        </is>
      </c>
      <c r="B561" s="18" t="inlineStr">
        <is>
          <t>Ipac Bachelor Factory Montpellier</t>
        </is>
      </c>
      <c r="C561" s="19" t="inlineStr">
        <is>
          <t>Ipac Bachelor Factory</t>
        </is>
      </c>
      <c r="D561" s="19" t="inlineStr">
        <is>
          <t>Montpellier</t>
        </is>
      </c>
      <c r="E561" s="19" t="inlineStr">
        <is>
          <t>625</t>
        </is>
      </c>
      <c r="F561" s="18" t="inlineStr">
        <is>
          <t>Déplacements, missions &amp; réceptions</t>
        </is>
      </c>
      <c r="G561" s="19" t="inlineStr">
        <is>
          <t>62 — Autres services extérieurs</t>
        </is>
      </c>
      <c r="H561" s="19" t="inlineStr">
        <is>
          <t>Charge</t>
        </is>
      </c>
      <c r="I561" s="19" t="inlineStr">
        <is>
          <t>Structure</t>
        </is>
      </c>
      <c r="J561" s="19" t="inlineStr">
        <is>
          <t>2025ACT_VDEF</t>
        </is>
      </c>
      <c r="K561" s="19" t="inlineStr">
        <is>
          <t>2025 (N-1)</t>
        </is>
      </c>
      <c r="L561" s="13" t="n">
        <v>11860</v>
      </c>
    </row>
    <row r="562">
      <c r="A562" s="19" t="inlineStr">
        <is>
          <t>PIGIER_LYON</t>
        </is>
      </c>
      <c r="B562" s="18" t="inlineStr">
        <is>
          <t>Pigier Lyon</t>
        </is>
      </c>
      <c r="C562" s="19" t="inlineStr">
        <is>
          <t>Pigier</t>
        </is>
      </c>
      <c r="D562" s="19" t="inlineStr">
        <is>
          <t>Lyon</t>
        </is>
      </c>
      <c r="E562" s="19" t="inlineStr">
        <is>
          <t>625</t>
        </is>
      </c>
      <c r="F562" s="18" t="inlineStr">
        <is>
          <t>Déplacements, missions &amp; réceptions</t>
        </is>
      </c>
      <c r="G562" s="19" t="inlineStr">
        <is>
          <t>62 — Autres services extérieurs</t>
        </is>
      </c>
      <c r="H562" s="19" t="inlineStr">
        <is>
          <t>Charge</t>
        </is>
      </c>
      <c r="I562" s="19" t="inlineStr">
        <is>
          <t>Structure</t>
        </is>
      </c>
      <c r="J562" s="19" t="inlineStr">
        <is>
          <t>2025ACT_VDEF</t>
        </is>
      </c>
      <c r="K562" s="19" t="inlineStr">
        <is>
          <t>2025 (N-1)</t>
        </is>
      </c>
      <c r="L562" s="13" t="n">
        <v>18955</v>
      </c>
    </row>
    <row r="563">
      <c r="A563" s="19" t="inlineStr">
        <is>
          <t>PIGIER_BORDEAUX</t>
        </is>
      </c>
      <c r="B563" s="18" t="inlineStr">
        <is>
          <t>Pigier Bordeaux</t>
        </is>
      </c>
      <c r="C563" s="19" t="inlineStr">
        <is>
          <t>Pigier</t>
        </is>
      </c>
      <c r="D563" s="19" t="inlineStr">
        <is>
          <t>Bordeaux</t>
        </is>
      </c>
      <c r="E563" s="19" t="inlineStr">
        <is>
          <t>625</t>
        </is>
      </c>
      <c r="F563" s="18" t="inlineStr">
        <is>
          <t>Déplacements, missions &amp; réceptions</t>
        </is>
      </c>
      <c r="G563" s="19" t="inlineStr">
        <is>
          <t>62 — Autres services extérieurs</t>
        </is>
      </c>
      <c r="H563" s="19" t="inlineStr">
        <is>
          <t>Charge</t>
        </is>
      </c>
      <c r="I563" s="19" t="inlineStr">
        <is>
          <t>Structure</t>
        </is>
      </c>
      <c r="J563" s="19" t="inlineStr">
        <is>
          <t>2025ACT_VDEF</t>
        </is>
      </c>
      <c r="K563" s="19" t="inlineStr">
        <is>
          <t>2025 (N-1)</t>
        </is>
      </c>
      <c r="L563" s="13" t="n">
        <v>14825</v>
      </c>
    </row>
    <row r="564">
      <c r="A564" s="19" t="inlineStr">
        <is>
          <t>TUNON_PARIS</t>
        </is>
      </c>
      <c r="B564" s="18" t="inlineStr">
        <is>
          <t>Tunon Paris</t>
        </is>
      </c>
      <c r="C564" s="19" t="inlineStr">
        <is>
          <t>Tunon</t>
        </is>
      </c>
      <c r="D564" s="19" t="inlineStr">
        <is>
          <t>Paris</t>
        </is>
      </c>
      <c r="E564" s="19" t="inlineStr">
        <is>
          <t>625</t>
        </is>
      </c>
      <c r="F564" s="18" t="inlineStr">
        <is>
          <t>Déplacements, missions &amp; réceptions</t>
        </is>
      </c>
      <c r="G564" s="19" t="inlineStr">
        <is>
          <t>62 — Autres services extérieurs</t>
        </is>
      </c>
      <c r="H564" s="19" t="inlineStr">
        <is>
          <t>Charge</t>
        </is>
      </c>
      <c r="I564" s="19" t="inlineStr">
        <is>
          <t>Structure</t>
        </is>
      </c>
      <c r="J564" s="19" t="inlineStr">
        <is>
          <t>2025ACT_VDEF</t>
        </is>
      </c>
      <c r="K564" s="19" t="inlineStr">
        <is>
          <t>2025 (N-1)</t>
        </is>
      </c>
      <c r="L564" s="13" t="n">
        <v>14084</v>
      </c>
    </row>
    <row r="565">
      <c r="A565" s="19" t="inlineStr">
        <is>
          <t>TUNON_LYON</t>
        </is>
      </c>
      <c r="B565" s="18" t="inlineStr">
        <is>
          <t>Tunon Lyon</t>
        </is>
      </c>
      <c r="C565" s="19" t="inlineStr">
        <is>
          <t>Tunon</t>
        </is>
      </c>
      <c r="D565" s="19" t="inlineStr">
        <is>
          <t>Lyon</t>
        </is>
      </c>
      <c r="E565" s="19" t="inlineStr">
        <is>
          <t>625</t>
        </is>
      </c>
      <c r="F565" s="18" t="inlineStr">
        <is>
          <t>Déplacements, missions &amp; réceptions</t>
        </is>
      </c>
      <c r="G565" s="19" t="inlineStr">
        <is>
          <t>62 — Autres services extérieurs</t>
        </is>
      </c>
      <c r="H565" s="19" t="inlineStr">
        <is>
          <t>Charge</t>
        </is>
      </c>
      <c r="I565" s="19" t="inlineStr">
        <is>
          <t>Structure</t>
        </is>
      </c>
      <c r="J565" s="19" t="inlineStr">
        <is>
          <t>2025ACT_VDEF</t>
        </is>
      </c>
      <c r="K565" s="19" t="inlineStr">
        <is>
          <t>2025 (N-1)</t>
        </is>
      </c>
      <c r="L565" s="13" t="n">
        <v>11860</v>
      </c>
    </row>
    <row r="566">
      <c r="A566" s="19" t="inlineStr">
        <is>
          <t>MBWAY_PARIS</t>
        </is>
      </c>
      <c r="B566" s="18" t="inlineStr">
        <is>
          <t>MBway Paris</t>
        </is>
      </c>
      <c r="C566" s="19" t="inlineStr">
        <is>
          <t>MBway</t>
        </is>
      </c>
      <c r="D566" s="19" t="inlineStr">
        <is>
          <t>Paris</t>
        </is>
      </c>
      <c r="E566" s="19" t="inlineStr">
        <is>
          <t>625</t>
        </is>
      </c>
      <c r="F566" s="18" t="inlineStr">
        <is>
          <t>Déplacements, missions &amp; réceptions</t>
        </is>
      </c>
      <c r="G566" s="19" t="inlineStr">
        <is>
          <t>62 — Autres services extérieurs</t>
        </is>
      </c>
      <c r="H566" s="19" t="inlineStr">
        <is>
          <t>Charge</t>
        </is>
      </c>
      <c r="I566" s="19" t="inlineStr">
        <is>
          <t>Structure</t>
        </is>
      </c>
      <c r="J566" s="19" t="inlineStr">
        <is>
          <t>2026ATT_VDEF</t>
        </is>
      </c>
      <c r="K566" s="19" t="inlineStr">
        <is>
          <t>2026 (Atterr.)</t>
        </is>
      </c>
      <c r="L566" s="13" t="n">
        <v>41577</v>
      </c>
    </row>
    <row r="567">
      <c r="A567" s="19" t="inlineStr">
        <is>
          <t>MBWAY_LYON</t>
        </is>
      </c>
      <c r="B567" s="18" t="inlineStr">
        <is>
          <t>MBway Lyon</t>
        </is>
      </c>
      <c r="C567" s="19" t="inlineStr">
        <is>
          <t>MBway</t>
        </is>
      </c>
      <c r="D567" s="19" t="inlineStr">
        <is>
          <t>Lyon</t>
        </is>
      </c>
      <c r="E567" s="19" t="inlineStr">
        <is>
          <t>625</t>
        </is>
      </c>
      <c r="F567" s="18" t="inlineStr">
        <is>
          <t>Déplacements, missions &amp; réceptions</t>
        </is>
      </c>
      <c r="G567" s="19" t="inlineStr">
        <is>
          <t>62 — Autres services extérieurs</t>
        </is>
      </c>
      <c r="H567" s="19" t="inlineStr">
        <is>
          <t>Charge</t>
        </is>
      </c>
      <c r="I567" s="19" t="inlineStr">
        <is>
          <t>Structure</t>
        </is>
      </c>
      <c r="J567" s="19" t="inlineStr">
        <is>
          <t>2026ATT_VDEF</t>
        </is>
      </c>
      <c r="K567" s="19" t="inlineStr">
        <is>
          <t>2026 (Atterr.)</t>
        </is>
      </c>
      <c r="L567" s="13" t="n">
        <v>35000</v>
      </c>
    </row>
    <row r="568">
      <c r="A568" s="19" t="inlineStr">
        <is>
          <t>MBWAY_NANTES</t>
        </is>
      </c>
      <c r="B568" s="18" t="inlineStr">
        <is>
          <t>MBway Nantes</t>
        </is>
      </c>
      <c r="C568" s="19" t="inlineStr">
        <is>
          <t>MBway</t>
        </is>
      </c>
      <c r="D568" s="19" t="inlineStr">
        <is>
          <t>Nantes</t>
        </is>
      </c>
      <c r="E568" s="19" t="inlineStr">
        <is>
          <t>625</t>
        </is>
      </c>
      <c r="F568" s="18" t="inlineStr">
        <is>
          <t>Déplacements, missions &amp; réceptions</t>
        </is>
      </c>
      <c r="G568" s="19" t="inlineStr">
        <is>
          <t>62 — Autres services extérieurs</t>
        </is>
      </c>
      <c r="H568" s="19" t="inlineStr">
        <is>
          <t>Charge</t>
        </is>
      </c>
      <c r="I568" s="19" t="inlineStr">
        <is>
          <t>Structure</t>
        </is>
      </c>
      <c r="J568" s="19" t="inlineStr">
        <is>
          <t>2026ATT_VDEF</t>
        </is>
      </c>
      <c r="K568" s="19" t="inlineStr">
        <is>
          <t>2026 (Atterr.)</t>
        </is>
      </c>
      <c r="L568" s="13" t="n">
        <v>31991</v>
      </c>
    </row>
    <row r="569">
      <c r="A569" s="19" t="inlineStr">
        <is>
          <t>MBWAY_BORDEAUX</t>
        </is>
      </c>
      <c r="B569" s="18" t="inlineStr">
        <is>
          <t>MBway Bordeaux</t>
        </is>
      </c>
      <c r="C569" s="19" t="inlineStr">
        <is>
          <t>MBway</t>
        </is>
      </c>
      <c r="D569" s="19" t="inlineStr">
        <is>
          <t>Bordeaux</t>
        </is>
      </c>
      <c r="E569" s="19" t="inlineStr">
        <is>
          <t>625</t>
        </is>
      </c>
      <c r="F569" s="18" t="inlineStr">
        <is>
          <t>Déplacements, missions &amp; réceptions</t>
        </is>
      </c>
      <c r="G569" s="19" t="inlineStr">
        <is>
          <t>62 — Autres services extérieurs</t>
        </is>
      </c>
      <c r="H569" s="19" t="inlineStr">
        <is>
          <t>Charge</t>
        </is>
      </c>
      <c r="I569" s="19" t="inlineStr">
        <is>
          <t>Structure</t>
        </is>
      </c>
      <c r="J569" s="19" t="inlineStr">
        <is>
          <t>2026ATT_VDEF</t>
        </is>
      </c>
      <c r="K569" s="19" t="inlineStr">
        <is>
          <t>2026 (Atterr.)</t>
        </is>
      </c>
      <c r="L569" s="13" t="n">
        <v>27086</v>
      </c>
    </row>
    <row r="570">
      <c r="A570" s="19" t="inlineStr">
        <is>
          <t>ISCOM_PARIS</t>
        </is>
      </c>
      <c r="B570" s="18" t="inlineStr">
        <is>
          <t>ISCOM Paris</t>
        </is>
      </c>
      <c r="C570" s="19" t="inlineStr">
        <is>
          <t>ISCOM</t>
        </is>
      </c>
      <c r="D570" s="19" t="inlineStr">
        <is>
          <t>Paris</t>
        </is>
      </c>
      <c r="E570" s="19" t="inlineStr">
        <is>
          <t>625</t>
        </is>
      </c>
      <c r="F570" s="18" t="inlineStr">
        <is>
          <t>Déplacements, missions &amp; réceptions</t>
        </is>
      </c>
      <c r="G570" s="19" t="inlineStr">
        <is>
          <t>62 — Autres services extérieurs</t>
        </is>
      </c>
      <c r="H570" s="19" t="inlineStr">
        <is>
          <t>Charge</t>
        </is>
      </c>
      <c r="I570" s="19" t="inlineStr">
        <is>
          <t>Structure</t>
        </is>
      </c>
      <c r="J570" s="19" t="inlineStr">
        <is>
          <t>2026ATT_VDEF</t>
        </is>
      </c>
      <c r="K570" s="19" t="inlineStr">
        <is>
          <t>2026 (Atterr.)</t>
        </is>
      </c>
      <c r="L570" s="13" t="n">
        <v>38344</v>
      </c>
    </row>
    <row r="571">
      <c r="A571" s="19" t="inlineStr">
        <is>
          <t>ISCOM_LILLE</t>
        </is>
      </c>
      <c r="B571" s="18" t="inlineStr">
        <is>
          <t>ISCOM Lille</t>
        </is>
      </c>
      <c r="C571" s="19" t="inlineStr">
        <is>
          <t>ISCOM</t>
        </is>
      </c>
      <c r="D571" s="19" t="inlineStr">
        <is>
          <t>Lille</t>
        </is>
      </c>
      <c r="E571" s="19" t="inlineStr">
        <is>
          <t>625</t>
        </is>
      </c>
      <c r="F571" s="18" t="inlineStr">
        <is>
          <t>Déplacements, missions &amp; réceptions</t>
        </is>
      </c>
      <c r="G571" s="19" t="inlineStr">
        <is>
          <t>62 — Autres services extérieurs</t>
        </is>
      </c>
      <c r="H571" s="19" t="inlineStr">
        <is>
          <t>Charge</t>
        </is>
      </c>
      <c r="I571" s="19" t="inlineStr">
        <is>
          <t>Structure</t>
        </is>
      </c>
      <c r="J571" s="19" t="inlineStr">
        <is>
          <t>2026ATT_VDEF</t>
        </is>
      </c>
      <c r="K571" s="19" t="inlineStr">
        <is>
          <t>2026 (Atterr.)</t>
        </is>
      </c>
      <c r="L571" s="13" t="n">
        <v>26529</v>
      </c>
    </row>
    <row r="572">
      <c r="A572" s="19" t="inlineStr">
        <is>
          <t>ISCOM_TOULOUSE</t>
        </is>
      </c>
      <c r="B572" s="18" t="inlineStr">
        <is>
          <t>ISCOM Toulouse</t>
        </is>
      </c>
      <c r="C572" s="19" t="inlineStr">
        <is>
          <t>ISCOM</t>
        </is>
      </c>
      <c r="D572" s="19" t="inlineStr">
        <is>
          <t>Toulouse</t>
        </is>
      </c>
      <c r="E572" s="19" t="inlineStr">
        <is>
          <t>625</t>
        </is>
      </c>
      <c r="F572" s="18" t="inlineStr">
        <is>
          <t>Déplacements, missions &amp; réceptions</t>
        </is>
      </c>
      <c r="G572" s="19" t="inlineStr">
        <is>
          <t>62 — Autres services extérieurs</t>
        </is>
      </c>
      <c r="H572" s="19" t="inlineStr">
        <is>
          <t>Charge</t>
        </is>
      </c>
      <c r="I572" s="19" t="inlineStr">
        <is>
          <t>Structure</t>
        </is>
      </c>
      <c r="J572" s="19" t="inlineStr">
        <is>
          <t>2026ATT_VDEF</t>
        </is>
      </c>
      <c r="K572" s="19" t="inlineStr">
        <is>
          <t>2026 (Atterr.)</t>
        </is>
      </c>
      <c r="L572" s="13" t="n">
        <v>25080</v>
      </c>
    </row>
    <row r="573">
      <c r="A573" s="19" t="inlineStr">
        <is>
          <t>IPAC_BACHELOR_FACTORY_NANTES</t>
        </is>
      </c>
      <c r="B573" s="18" t="inlineStr">
        <is>
          <t>Ipac Bachelor Factory Nantes</t>
        </is>
      </c>
      <c r="C573" s="19" t="inlineStr">
        <is>
          <t>Ipac Bachelor Factory</t>
        </is>
      </c>
      <c r="D573" s="19" t="inlineStr">
        <is>
          <t>Nantes</t>
        </is>
      </c>
      <c r="E573" s="19" t="inlineStr">
        <is>
          <t>625</t>
        </is>
      </c>
      <c r="F573" s="18" t="inlineStr">
        <is>
          <t>Déplacements, missions &amp; réceptions</t>
        </is>
      </c>
      <c r="G573" s="19" t="inlineStr">
        <is>
          <t>62 — Autres services extérieurs</t>
        </is>
      </c>
      <c r="H573" s="19" t="inlineStr">
        <is>
          <t>Charge</t>
        </is>
      </c>
      <c r="I573" s="19" t="inlineStr">
        <is>
          <t>Structure</t>
        </is>
      </c>
      <c r="J573" s="19" t="inlineStr">
        <is>
          <t>2026ATT_VDEF</t>
        </is>
      </c>
      <c r="K573" s="19" t="inlineStr">
        <is>
          <t>2026 (Atterr.)</t>
        </is>
      </c>
      <c r="L573" s="13" t="n">
        <v>15605</v>
      </c>
    </row>
    <row r="574">
      <c r="A574" s="19" t="inlineStr">
        <is>
          <t>IPAC_BACHELOR_FACTORY_RENNES</t>
        </is>
      </c>
      <c r="B574" s="18" t="inlineStr">
        <is>
          <t>Ipac Bachelor Factory Rennes</t>
        </is>
      </c>
      <c r="C574" s="19" t="inlineStr">
        <is>
          <t>Ipac Bachelor Factory</t>
        </is>
      </c>
      <c r="D574" s="19" t="inlineStr">
        <is>
          <t>Rennes</t>
        </is>
      </c>
      <c r="E574" s="19" t="inlineStr">
        <is>
          <t>625</t>
        </is>
      </c>
      <c r="F574" s="18" t="inlineStr">
        <is>
          <t>Déplacements, missions &amp; réceptions</t>
        </is>
      </c>
      <c r="G574" s="19" t="inlineStr">
        <is>
          <t>62 — Autres services extérieurs</t>
        </is>
      </c>
      <c r="H574" s="19" t="inlineStr">
        <is>
          <t>Charge</t>
        </is>
      </c>
      <c r="I574" s="19" t="inlineStr">
        <is>
          <t>Structure</t>
        </is>
      </c>
      <c r="J574" s="19" t="inlineStr">
        <is>
          <t>2026ATT_VDEF</t>
        </is>
      </c>
      <c r="K574" s="19" t="inlineStr">
        <is>
          <t>2026 (Atterr.)</t>
        </is>
      </c>
      <c r="L574" s="13" t="n">
        <v>12484</v>
      </c>
    </row>
    <row r="575">
      <c r="A575" s="19" t="inlineStr">
        <is>
          <t>IPAC_BACHELOR_FACTORY_MONTPELLIER</t>
        </is>
      </c>
      <c r="B575" s="18" t="inlineStr">
        <is>
          <t>Ipac Bachelor Factory Montpellier</t>
        </is>
      </c>
      <c r="C575" s="19" t="inlineStr">
        <is>
          <t>Ipac Bachelor Factory</t>
        </is>
      </c>
      <c r="D575" s="19" t="inlineStr">
        <is>
          <t>Montpellier</t>
        </is>
      </c>
      <c r="E575" s="19" t="inlineStr">
        <is>
          <t>625</t>
        </is>
      </c>
      <c r="F575" s="18" t="inlineStr">
        <is>
          <t>Déplacements, missions &amp; réceptions</t>
        </is>
      </c>
      <c r="G575" s="19" t="inlineStr">
        <is>
          <t>62 — Autres services extérieurs</t>
        </is>
      </c>
      <c r="H575" s="19" t="inlineStr">
        <is>
          <t>Charge</t>
        </is>
      </c>
      <c r="I575" s="19" t="inlineStr">
        <is>
          <t>Structure</t>
        </is>
      </c>
      <c r="J575" s="19" t="inlineStr">
        <is>
          <t>2026ATT_VDEF</t>
        </is>
      </c>
      <c r="K575" s="19" t="inlineStr">
        <is>
          <t>2026 (Atterr.)</t>
        </is>
      </c>
      <c r="L575" s="13" t="n">
        <v>12484</v>
      </c>
    </row>
    <row r="576">
      <c r="A576" s="19" t="inlineStr">
        <is>
          <t>PIGIER_LYON</t>
        </is>
      </c>
      <c r="B576" s="18" t="inlineStr">
        <is>
          <t>Pigier Lyon</t>
        </is>
      </c>
      <c r="C576" s="19" t="inlineStr">
        <is>
          <t>Pigier</t>
        </is>
      </c>
      <c r="D576" s="19" t="inlineStr">
        <is>
          <t>Lyon</t>
        </is>
      </c>
      <c r="E576" s="19" t="inlineStr">
        <is>
          <t>625</t>
        </is>
      </c>
      <c r="F576" s="18" t="inlineStr">
        <is>
          <t>Déplacements, missions &amp; réceptions</t>
        </is>
      </c>
      <c r="G576" s="19" t="inlineStr">
        <is>
          <t>62 — Autres services extérieurs</t>
        </is>
      </c>
      <c r="H576" s="19" t="inlineStr">
        <is>
          <t>Charge</t>
        </is>
      </c>
      <c r="I576" s="19" t="inlineStr">
        <is>
          <t>Structure</t>
        </is>
      </c>
      <c r="J576" s="19" t="inlineStr">
        <is>
          <t>2026ATT_VDEF</t>
        </is>
      </c>
      <c r="K576" s="19" t="inlineStr">
        <is>
          <t>2026 (Atterr.)</t>
        </is>
      </c>
      <c r="L576" s="13" t="n">
        <v>19952</v>
      </c>
    </row>
    <row r="577">
      <c r="A577" s="19" t="inlineStr">
        <is>
          <t>PIGIER_BORDEAUX</t>
        </is>
      </c>
      <c r="B577" s="18" t="inlineStr">
        <is>
          <t>Pigier Bordeaux</t>
        </is>
      </c>
      <c r="C577" s="19" t="inlineStr">
        <is>
          <t>Pigier</t>
        </is>
      </c>
      <c r="D577" s="19" t="inlineStr">
        <is>
          <t>Bordeaux</t>
        </is>
      </c>
      <c r="E577" s="19" t="inlineStr">
        <is>
          <t>625</t>
        </is>
      </c>
      <c r="F577" s="18" t="inlineStr">
        <is>
          <t>Déplacements, missions &amp; réceptions</t>
        </is>
      </c>
      <c r="G577" s="19" t="inlineStr">
        <is>
          <t>62 — Autres services extérieurs</t>
        </is>
      </c>
      <c r="H577" s="19" t="inlineStr">
        <is>
          <t>Charge</t>
        </is>
      </c>
      <c r="I577" s="19" t="inlineStr">
        <is>
          <t>Structure</t>
        </is>
      </c>
      <c r="J577" s="19" t="inlineStr">
        <is>
          <t>2026ATT_VDEF</t>
        </is>
      </c>
      <c r="K577" s="19" t="inlineStr">
        <is>
          <t>2026 (Atterr.)</t>
        </is>
      </c>
      <c r="L577" s="13" t="n">
        <v>15605</v>
      </c>
    </row>
    <row r="578">
      <c r="A578" s="19" t="inlineStr">
        <is>
          <t>TUNON_PARIS</t>
        </is>
      </c>
      <c r="B578" s="18" t="inlineStr">
        <is>
          <t>Tunon Paris</t>
        </is>
      </c>
      <c r="C578" s="19" t="inlineStr">
        <is>
          <t>Tunon</t>
        </is>
      </c>
      <c r="D578" s="19" t="inlineStr">
        <is>
          <t>Paris</t>
        </is>
      </c>
      <c r="E578" s="19" t="inlineStr">
        <is>
          <t>625</t>
        </is>
      </c>
      <c r="F578" s="18" t="inlineStr">
        <is>
          <t>Déplacements, missions &amp; réceptions</t>
        </is>
      </c>
      <c r="G578" s="19" t="inlineStr">
        <is>
          <t>62 — Autres services extérieurs</t>
        </is>
      </c>
      <c r="H578" s="19" t="inlineStr">
        <is>
          <t>Charge</t>
        </is>
      </c>
      <c r="I578" s="19" t="inlineStr">
        <is>
          <t>Structure</t>
        </is>
      </c>
      <c r="J578" s="19" t="inlineStr">
        <is>
          <t>2026ATT_VDEF</t>
        </is>
      </c>
      <c r="K578" s="19" t="inlineStr">
        <is>
          <t>2026 (Atterr.)</t>
        </is>
      </c>
      <c r="L578" s="13" t="n">
        <v>14825</v>
      </c>
    </row>
    <row r="579">
      <c r="A579" s="19" t="inlineStr">
        <is>
          <t>TUNON_LYON</t>
        </is>
      </c>
      <c r="B579" s="18" t="inlineStr">
        <is>
          <t>Tunon Lyon</t>
        </is>
      </c>
      <c r="C579" s="19" t="inlineStr">
        <is>
          <t>Tunon</t>
        </is>
      </c>
      <c r="D579" s="19" t="inlineStr">
        <is>
          <t>Lyon</t>
        </is>
      </c>
      <c r="E579" s="19" t="inlineStr">
        <is>
          <t>625</t>
        </is>
      </c>
      <c r="F579" s="18" t="inlineStr">
        <is>
          <t>Déplacements, missions &amp; réceptions</t>
        </is>
      </c>
      <c r="G579" s="19" t="inlineStr">
        <is>
          <t>62 — Autres services extérieurs</t>
        </is>
      </c>
      <c r="H579" s="19" t="inlineStr">
        <is>
          <t>Charge</t>
        </is>
      </c>
      <c r="I579" s="19" t="inlineStr">
        <is>
          <t>Structure</t>
        </is>
      </c>
      <c r="J579" s="19" t="inlineStr">
        <is>
          <t>2026ATT_VDEF</t>
        </is>
      </c>
      <c r="K579" s="19" t="inlineStr">
        <is>
          <t>2026 (Atterr.)</t>
        </is>
      </c>
      <c r="L579" s="13" t="n">
        <v>12484</v>
      </c>
    </row>
    <row r="580">
      <c r="A580" s="19" t="inlineStr">
        <is>
          <t>GROUPE</t>
        </is>
      </c>
      <c r="B580" s="18" t="inlineStr">
        <is>
          <t>GROUPE — Siège</t>
        </is>
      </c>
      <c r="C580" s="19" t="inlineStr">
        <is>
          <t>(groupe)</t>
        </is>
      </c>
      <c r="D580" s="19" t="inlineStr">
        <is>
          <t>(groupe)</t>
        </is>
      </c>
      <c r="E580" s="19" t="inlineStr">
        <is>
          <t>626</t>
        </is>
      </c>
      <c r="F580" s="18" t="inlineStr">
        <is>
          <t>Télécom, systèmes d'information &amp; affranchissement</t>
        </is>
      </c>
      <c r="G580" s="19" t="inlineStr">
        <is>
          <t>62 — Autres services extérieurs</t>
        </is>
      </c>
      <c r="H580" s="19" t="inlineStr">
        <is>
          <t>Charge</t>
        </is>
      </c>
      <c r="I580" s="19" t="inlineStr">
        <is>
          <t>Structure</t>
        </is>
      </c>
      <c r="J580" s="19" t="inlineStr">
        <is>
          <t>2024ACT_VDEF</t>
        </is>
      </c>
      <c r="K580" s="19" t="inlineStr">
        <is>
          <t>2024 (N-2)</t>
        </is>
      </c>
      <c r="L580" s="13" t="n">
        <v>396867</v>
      </c>
    </row>
    <row r="581">
      <c r="A581" s="19" t="inlineStr">
        <is>
          <t>GROUPE</t>
        </is>
      </c>
      <c r="B581" s="18" t="inlineStr">
        <is>
          <t>GROUPE — Siège</t>
        </is>
      </c>
      <c r="C581" s="19" t="inlineStr">
        <is>
          <t>(groupe)</t>
        </is>
      </c>
      <c r="D581" s="19" t="inlineStr">
        <is>
          <t>(groupe)</t>
        </is>
      </c>
      <c r="E581" s="19" t="inlineStr">
        <is>
          <t>626</t>
        </is>
      </c>
      <c r="F581" s="18" t="inlineStr">
        <is>
          <t>Télécom, systèmes d'information &amp; affranchissement</t>
        </is>
      </c>
      <c r="G581" s="19" t="inlineStr">
        <is>
          <t>62 — Autres services extérieurs</t>
        </is>
      </c>
      <c r="H581" s="19" t="inlineStr">
        <is>
          <t>Charge</t>
        </is>
      </c>
      <c r="I581" s="19" t="inlineStr">
        <is>
          <t>Structure</t>
        </is>
      </c>
      <c r="J581" s="19" t="inlineStr">
        <is>
          <t>2025ACT_VDEF</t>
        </is>
      </c>
      <c r="K581" s="19" t="inlineStr">
        <is>
          <t>2025 (N-1)</t>
        </is>
      </c>
      <c r="L581" s="13" t="n">
        <v>416801</v>
      </c>
    </row>
    <row r="582">
      <c r="A582" s="19" t="inlineStr">
        <is>
          <t>GROUPE</t>
        </is>
      </c>
      <c r="B582" s="18" t="inlineStr">
        <is>
          <t>GROUPE — Siège</t>
        </is>
      </c>
      <c r="C582" s="19" t="inlineStr">
        <is>
          <t>(groupe)</t>
        </is>
      </c>
      <c r="D582" s="19" t="inlineStr">
        <is>
          <t>(groupe)</t>
        </is>
      </c>
      <c r="E582" s="19" t="inlineStr">
        <is>
          <t>626</t>
        </is>
      </c>
      <c r="F582" s="18" t="inlineStr">
        <is>
          <t>Télécom, systèmes d'information &amp; affranchissement</t>
        </is>
      </c>
      <c r="G582" s="19" t="inlineStr">
        <is>
          <t>62 — Autres services extérieurs</t>
        </is>
      </c>
      <c r="H582" s="19" t="inlineStr">
        <is>
          <t>Charge</t>
        </is>
      </c>
      <c r="I582" s="19" t="inlineStr">
        <is>
          <t>Structure</t>
        </is>
      </c>
      <c r="J582" s="19" t="inlineStr">
        <is>
          <t>2026ATT_VDEF</t>
        </is>
      </c>
      <c r="K582" s="19" t="inlineStr">
        <is>
          <t>2026 (Atterr.)</t>
        </is>
      </c>
      <c r="L582" s="13" t="n">
        <v>438727</v>
      </c>
    </row>
    <row r="583">
      <c r="A583" s="19" t="inlineStr">
        <is>
          <t>GROUPE</t>
        </is>
      </c>
      <c r="B583" s="18" t="inlineStr">
        <is>
          <t>GROUPE — Siège</t>
        </is>
      </c>
      <c r="C583" s="19" t="inlineStr">
        <is>
          <t>(groupe)</t>
        </is>
      </c>
      <c r="D583" s="19" t="inlineStr">
        <is>
          <t>(groupe)</t>
        </is>
      </c>
      <c r="E583" s="19" t="inlineStr">
        <is>
          <t>6281</t>
        </is>
      </c>
      <c r="F583" s="18" t="inlineStr">
        <is>
          <t>Cotisations, documentation &amp; abonnements</t>
        </is>
      </c>
      <c r="G583" s="19" t="inlineStr">
        <is>
          <t>62 — Autres services extérieurs</t>
        </is>
      </c>
      <c r="H583" s="19" t="inlineStr">
        <is>
          <t>Charge</t>
        </is>
      </c>
      <c r="I583" s="19" t="inlineStr">
        <is>
          <t>Structure</t>
        </is>
      </c>
      <c r="J583" s="19" t="inlineStr">
        <is>
          <t>2024ACT_VDEF</t>
        </is>
      </c>
      <c r="K583" s="19" t="inlineStr">
        <is>
          <t>2024 (N-2)</t>
        </is>
      </c>
      <c r="L583" s="13" t="n">
        <v>158747</v>
      </c>
    </row>
    <row r="584">
      <c r="A584" s="19" t="inlineStr">
        <is>
          <t>GROUPE</t>
        </is>
      </c>
      <c r="B584" s="18" t="inlineStr">
        <is>
          <t>GROUPE — Siège</t>
        </is>
      </c>
      <c r="C584" s="19" t="inlineStr">
        <is>
          <t>(groupe)</t>
        </is>
      </c>
      <c r="D584" s="19" t="inlineStr">
        <is>
          <t>(groupe)</t>
        </is>
      </c>
      <c r="E584" s="19" t="inlineStr">
        <is>
          <t>6281</t>
        </is>
      </c>
      <c r="F584" s="18" t="inlineStr">
        <is>
          <t>Cotisations, documentation &amp; abonnements</t>
        </is>
      </c>
      <c r="G584" s="19" t="inlineStr">
        <is>
          <t>62 — Autres services extérieurs</t>
        </is>
      </c>
      <c r="H584" s="19" t="inlineStr">
        <is>
          <t>Charge</t>
        </is>
      </c>
      <c r="I584" s="19" t="inlineStr">
        <is>
          <t>Structure</t>
        </is>
      </c>
      <c r="J584" s="19" t="inlineStr">
        <is>
          <t>2025ACT_VDEF</t>
        </is>
      </c>
      <c r="K584" s="19" t="inlineStr">
        <is>
          <t>2025 (N-1)</t>
        </is>
      </c>
      <c r="L584" s="13" t="n">
        <v>166721</v>
      </c>
    </row>
    <row r="585">
      <c r="A585" s="19" t="inlineStr">
        <is>
          <t>GROUPE</t>
        </is>
      </c>
      <c r="B585" s="18" t="inlineStr">
        <is>
          <t>GROUPE — Siège</t>
        </is>
      </c>
      <c r="C585" s="19" t="inlineStr">
        <is>
          <t>(groupe)</t>
        </is>
      </c>
      <c r="D585" s="19" t="inlineStr">
        <is>
          <t>(groupe)</t>
        </is>
      </c>
      <c r="E585" s="19" t="inlineStr">
        <is>
          <t>6281</t>
        </is>
      </c>
      <c r="F585" s="18" t="inlineStr">
        <is>
          <t>Cotisations, documentation &amp; abonnements</t>
        </is>
      </c>
      <c r="G585" s="19" t="inlineStr">
        <is>
          <t>62 — Autres services extérieurs</t>
        </is>
      </c>
      <c r="H585" s="19" t="inlineStr">
        <is>
          <t>Charge</t>
        </is>
      </c>
      <c r="I585" s="19" t="inlineStr">
        <is>
          <t>Structure</t>
        </is>
      </c>
      <c r="J585" s="19" t="inlineStr">
        <is>
          <t>2026ATT_VDEF</t>
        </is>
      </c>
      <c r="K585" s="19" t="inlineStr">
        <is>
          <t>2026 (Atterr.)</t>
        </is>
      </c>
      <c r="L585" s="13" t="n">
        <v>175491</v>
      </c>
    </row>
    <row r="586">
      <c r="A586" s="19" t="inlineStr">
        <is>
          <t>GROUPE</t>
        </is>
      </c>
      <c r="B586" s="18" t="inlineStr">
        <is>
          <t>GROUPE — Siège</t>
        </is>
      </c>
      <c r="C586" s="19" t="inlineStr">
        <is>
          <t>(groupe)</t>
        </is>
      </c>
      <c r="D586" s="19" t="inlineStr">
        <is>
          <t>(groupe)</t>
        </is>
      </c>
      <c r="E586" s="19" t="inlineStr">
        <is>
          <t>6331</t>
        </is>
      </c>
      <c r="F586" s="18" t="inlineStr">
        <is>
          <t>Taxe sur les salaires</t>
        </is>
      </c>
      <c r="G586" s="19" t="inlineStr">
        <is>
          <t>63 — Impôts &amp; taxes</t>
        </is>
      </c>
      <c r="H586" s="19" t="inlineStr">
        <is>
          <t>Charge</t>
        </is>
      </c>
      <c r="I586" s="19" t="inlineStr">
        <is>
          <t>Impôts &amp; taxes</t>
        </is>
      </c>
      <c r="J586" s="19" t="inlineStr">
        <is>
          <t>2024ACT_VDEF</t>
        </is>
      </c>
      <c r="K586" s="19" t="inlineStr">
        <is>
          <t>2024 (N-2)</t>
        </is>
      </c>
      <c r="L586" s="13" t="n">
        <v>297650</v>
      </c>
    </row>
    <row r="587">
      <c r="A587" s="19" t="inlineStr">
        <is>
          <t>GROUPE</t>
        </is>
      </c>
      <c r="B587" s="18" t="inlineStr">
        <is>
          <t>GROUPE — Siège</t>
        </is>
      </c>
      <c r="C587" s="19" t="inlineStr">
        <is>
          <t>(groupe)</t>
        </is>
      </c>
      <c r="D587" s="19" t="inlineStr">
        <is>
          <t>(groupe)</t>
        </is>
      </c>
      <c r="E587" s="19" t="inlineStr">
        <is>
          <t>6331</t>
        </is>
      </c>
      <c r="F587" s="18" t="inlineStr">
        <is>
          <t>Taxe sur les salaires</t>
        </is>
      </c>
      <c r="G587" s="19" t="inlineStr">
        <is>
          <t>63 — Impôts &amp; taxes</t>
        </is>
      </c>
      <c r="H587" s="19" t="inlineStr">
        <is>
          <t>Charge</t>
        </is>
      </c>
      <c r="I587" s="19" t="inlineStr">
        <is>
          <t>Impôts &amp; taxes</t>
        </is>
      </c>
      <c r="J587" s="19" t="inlineStr">
        <is>
          <t>2025ACT_VDEF</t>
        </is>
      </c>
      <c r="K587" s="19" t="inlineStr">
        <is>
          <t>2025 (N-1)</t>
        </is>
      </c>
      <c r="L587" s="13" t="n">
        <v>312601</v>
      </c>
    </row>
    <row r="588">
      <c r="A588" s="19" t="inlineStr">
        <is>
          <t>GROUPE</t>
        </is>
      </c>
      <c r="B588" s="18" t="inlineStr">
        <is>
          <t>GROUPE — Siège</t>
        </is>
      </c>
      <c r="C588" s="19" t="inlineStr">
        <is>
          <t>(groupe)</t>
        </is>
      </c>
      <c r="D588" s="19" t="inlineStr">
        <is>
          <t>(groupe)</t>
        </is>
      </c>
      <c r="E588" s="19" t="inlineStr">
        <is>
          <t>6331</t>
        </is>
      </c>
      <c r="F588" s="18" t="inlineStr">
        <is>
          <t>Taxe sur les salaires</t>
        </is>
      </c>
      <c r="G588" s="19" t="inlineStr">
        <is>
          <t>63 — Impôts &amp; taxes</t>
        </is>
      </c>
      <c r="H588" s="19" t="inlineStr">
        <is>
          <t>Charge</t>
        </is>
      </c>
      <c r="I588" s="19" t="inlineStr">
        <is>
          <t>Impôts &amp; taxes</t>
        </is>
      </c>
      <c r="J588" s="19" t="inlineStr">
        <is>
          <t>2026ATT_VDEF</t>
        </is>
      </c>
      <c r="K588" s="19" t="inlineStr">
        <is>
          <t>2026 (Atterr.)</t>
        </is>
      </c>
      <c r="L588" s="13" t="n">
        <v>329045</v>
      </c>
    </row>
    <row r="589">
      <c r="A589" s="19" t="inlineStr">
        <is>
          <t>MBWAY_PARIS</t>
        </is>
      </c>
      <c r="B589" s="18" t="inlineStr">
        <is>
          <t>MBway Paris</t>
        </is>
      </c>
      <c r="C589" s="19" t="inlineStr">
        <is>
          <t>MBway</t>
        </is>
      </c>
      <c r="D589" s="19" t="inlineStr">
        <is>
          <t>Paris</t>
        </is>
      </c>
      <c r="E589" s="19" t="inlineStr">
        <is>
          <t>63511</t>
        </is>
      </c>
      <c r="F589" s="18" t="inlineStr">
        <is>
          <t>Cotisation foncière &amp; CVAE</t>
        </is>
      </c>
      <c r="G589" s="19" t="inlineStr">
        <is>
          <t>63 — Impôts &amp; taxes</t>
        </is>
      </c>
      <c r="H589" s="19" t="inlineStr">
        <is>
          <t>Charge</t>
        </is>
      </c>
      <c r="I589" s="19" t="inlineStr">
        <is>
          <t>Impôts &amp; taxes</t>
        </is>
      </c>
      <c r="J589" s="19" t="inlineStr">
        <is>
          <t>2024ACT_VDEF</t>
        </is>
      </c>
      <c r="K589" s="19" t="inlineStr">
        <is>
          <t>2024 (N-2)</t>
        </is>
      </c>
      <c r="L589" s="13" t="n">
        <v>22896</v>
      </c>
    </row>
    <row r="590">
      <c r="A590" s="19" t="inlineStr">
        <is>
          <t>MBWAY_LYON</t>
        </is>
      </c>
      <c r="B590" s="18" t="inlineStr">
        <is>
          <t>MBway Lyon</t>
        </is>
      </c>
      <c r="C590" s="19" t="inlineStr">
        <is>
          <t>MBway</t>
        </is>
      </c>
      <c r="D590" s="19" t="inlineStr">
        <is>
          <t>Lyon</t>
        </is>
      </c>
      <c r="E590" s="19" t="inlineStr">
        <is>
          <t>63511</t>
        </is>
      </c>
      <c r="F590" s="18" t="inlineStr">
        <is>
          <t>Cotisation foncière &amp; CVAE</t>
        </is>
      </c>
      <c r="G590" s="19" t="inlineStr">
        <is>
          <t>63 — Impôts &amp; taxes</t>
        </is>
      </c>
      <c r="H590" s="19" t="inlineStr">
        <is>
          <t>Charge</t>
        </is>
      </c>
      <c r="I590" s="19" t="inlineStr">
        <is>
          <t>Impôts &amp; taxes</t>
        </is>
      </c>
      <c r="J590" s="19" t="inlineStr">
        <is>
          <t>2024ACT_VDEF</t>
        </is>
      </c>
      <c r="K590" s="19" t="inlineStr">
        <is>
          <t>2024 (N-2)</t>
        </is>
      </c>
      <c r="L590" s="13" t="n">
        <v>19843</v>
      </c>
    </row>
    <row r="591">
      <c r="A591" s="19" t="inlineStr">
        <is>
          <t>MBWAY_NANTES</t>
        </is>
      </c>
      <c r="B591" s="18" t="inlineStr">
        <is>
          <t>MBway Nantes</t>
        </is>
      </c>
      <c r="C591" s="19" t="inlineStr">
        <is>
          <t>MBway</t>
        </is>
      </c>
      <c r="D591" s="19" t="inlineStr">
        <is>
          <t>Nantes</t>
        </is>
      </c>
      <c r="E591" s="19" t="inlineStr">
        <is>
          <t>63511</t>
        </is>
      </c>
      <c r="F591" s="18" t="inlineStr">
        <is>
          <t>Cotisation foncière &amp; CVAE</t>
        </is>
      </c>
      <c r="G591" s="19" t="inlineStr">
        <is>
          <t>63 — Impôts &amp; taxes</t>
        </is>
      </c>
      <c r="H591" s="19" t="inlineStr">
        <is>
          <t>Charge</t>
        </is>
      </c>
      <c r="I591" s="19" t="inlineStr">
        <is>
          <t>Impôts &amp; taxes</t>
        </is>
      </c>
      <c r="J591" s="19" t="inlineStr">
        <is>
          <t>2024ACT_VDEF</t>
        </is>
      </c>
      <c r="K591" s="19" t="inlineStr">
        <is>
          <t>2024 (N-2)</t>
        </is>
      </c>
      <c r="L591" s="13" t="n">
        <v>18317</v>
      </c>
    </row>
    <row r="592">
      <c r="A592" s="19" t="inlineStr">
        <is>
          <t>MBWAY_BORDEAUX</t>
        </is>
      </c>
      <c r="B592" s="18" t="inlineStr">
        <is>
          <t>MBway Bordeaux</t>
        </is>
      </c>
      <c r="C592" s="19" t="inlineStr">
        <is>
          <t>MBway</t>
        </is>
      </c>
      <c r="D592" s="19" t="inlineStr">
        <is>
          <t>Bordeaux</t>
        </is>
      </c>
      <c r="E592" s="19" t="inlineStr">
        <is>
          <t>63511</t>
        </is>
      </c>
      <c r="F592" s="18" t="inlineStr">
        <is>
          <t>Cotisation foncière &amp; CVAE</t>
        </is>
      </c>
      <c r="G592" s="19" t="inlineStr">
        <is>
          <t>63 — Impôts &amp; taxes</t>
        </is>
      </c>
      <c r="H592" s="19" t="inlineStr">
        <is>
          <t>Charge</t>
        </is>
      </c>
      <c r="I592" s="19" t="inlineStr">
        <is>
          <t>Impôts &amp; taxes</t>
        </is>
      </c>
      <c r="J592" s="19" t="inlineStr">
        <is>
          <t>2024ACT_VDEF</t>
        </is>
      </c>
      <c r="K592" s="19" t="inlineStr">
        <is>
          <t>2024 (N-2)</t>
        </is>
      </c>
      <c r="L592" s="13" t="n">
        <v>15264</v>
      </c>
    </row>
    <row r="593">
      <c r="A593" s="19" t="inlineStr">
        <is>
          <t>ISCOM_PARIS</t>
        </is>
      </c>
      <c r="B593" s="18" t="inlineStr">
        <is>
          <t>ISCOM Paris</t>
        </is>
      </c>
      <c r="C593" s="19" t="inlineStr">
        <is>
          <t>ISCOM</t>
        </is>
      </c>
      <c r="D593" s="19" t="inlineStr">
        <is>
          <t>Paris</t>
        </is>
      </c>
      <c r="E593" s="19" t="inlineStr">
        <is>
          <t>63511</t>
        </is>
      </c>
      <c r="F593" s="18" t="inlineStr">
        <is>
          <t>Cotisation foncière &amp; CVAE</t>
        </is>
      </c>
      <c r="G593" s="19" t="inlineStr">
        <is>
          <t>63 — Impôts &amp; taxes</t>
        </is>
      </c>
      <c r="H593" s="19" t="inlineStr">
        <is>
          <t>Charge</t>
        </is>
      </c>
      <c r="I593" s="19" t="inlineStr">
        <is>
          <t>Impôts &amp; taxes</t>
        </is>
      </c>
      <c r="J593" s="19" t="inlineStr">
        <is>
          <t>2024ACT_VDEF</t>
        </is>
      </c>
      <c r="K593" s="19" t="inlineStr">
        <is>
          <t>2024 (N-2)</t>
        </is>
      </c>
      <c r="L593" s="13" t="n">
        <v>21370</v>
      </c>
    </row>
    <row r="594">
      <c r="A594" s="19" t="inlineStr">
        <is>
          <t>ISCOM_LILLE</t>
        </is>
      </c>
      <c r="B594" s="18" t="inlineStr">
        <is>
          <t>ISCOM Lille</t>
        </is>
      </c>
      <c r="C594" s="19" t="inlineStr">
        <is>
          <t>ISCOM</t>
        </is>
      </c>
      <c r="D594" s="19" t="inlineStr">
        <is>
          <t>Lille</t>
        </is>
      </c>
      <c r="E594" s="19" t="inlineStr">
        <is>
          <t>63511</t>
        </is>
      </c>
      <c r="F594" s="18" t="inlineStr">
        <is>
          <t>Cotisation foncière &amp; CVAE</t>
        </is>
      </c>
      <c r="G594" s="19" t="inlineStr">
        <is>
          <t>63 — Impôts &amp; taxes</t>
        </is>
      </c>
      <c r="H594" s="19" t="inlineStr">
        <is>
          <t>Charge</t>
        </is>
      </c>
      <c r="I594" s="19" t="inlineStr">
        <is>
          <t>Impôts &amp; taxes</t>
        </is>
      </c>
      <c r="J594" s="19" t="inlineStr">
        <is>
          <t>2024ACT_VDEF</t>
        </is>
      </c>
      <c r="K594" s="19" t="inlineStr">
        <is>
          <t>2024 (N-2)</t>
        </is>
      </c>
      <c r="L594" s="13" t="n">
        <v>15264</v>
      </c>
    </row>
    <row r="595">
      <c r="A595" s="19" t="inlineStr">
        <is>
          <t>ISCOM_TOULOUSE</t>
        </is>
      </c>
      <c r="B595" s="18" t="inlineStr">
        <is>
          <t>ISCOM Toulouse</t>
        </is>
      </c>
      <c r="C595" s="19" t="inlineStr">
        <is>
          <t>ISCOM</t>
        </is>
      </c>
      <c r="D595" s="19" t="inlineStr">
        <is>
          <t>Toulouse</t>
        </is>
      </c>
      <c r="E595" s="19" t="inlineStr">
        <is>
          <t>63511</t>
        </is>
      </c>
      <c r="F595" s="18" t="inlineStr">
        <is>
          <t>Cotisation foncière &amp; CVAE</t>
        </is>
      </c>
      <c r="G595" s="19" t="inlineStr">
        <is>
          <t>63 — Impôts &amp; taxes</t>
        </is>
      </c>
      <c r="H595" s="19" t="inlineStr">
        <is>
          <t>Charge</t>
        </is>
      </c>
      <c r="I595" s="19" t="inlineStr">
        <is>
          <t>Impôts &amp; taxes</t>
        </is>
      </c>
      <c r="J595" s="19" t="inlineStr">
        <is>
          <t>2024ACT_VDEF</t>
        </is>
      </c>
      <c r="K595" s="19" t="inlineStr">
        <is>
          <t>2024 (N-2)</t>
        </is>
      </c>
      <c r="L595" s="13" t="n">
        <v>15264</v>
      </c>
    </row>
    <row r="596">
      <c r="A596" s="19" t="inlineStr">
        <is>
          <t>IPAC_BACHELOR_FACTORY_NANTES</t>
        </is>
      </c>
      <c r="B596" s="18" t="inlineStr">
        <is>
          <t>Ipac Bachelor Factory Nantes</t>
        </is>
      </c>
      <c r="C596" s="19" t="inlineStr">
        <is>
          <t>Ipac Bachelor Factory</t>
        </is>
      </c>
      <c r="D596" s="19" t="inlineStr">
        <is>
          <t>Nantes</t>
        </is>
      </c>
      <c r="E596" s="19" t="inlineStr">
        <is>
          <t>63511</t>
        </is>
      </c>
      <c r="F596" s="18" t="inlineStr">
        <is>
          <t>Cotisation foncière &amp; CVAE</t>
        </is>
      </c>
      <c r="G596" s="19" t="inlineStr">
        <is>
          <t>63 — Impôts &amp; taxes</t>
        </is>
      </c>
      <c r="H596" s="19" t="inlineStr">
        <is>
          <t>Charge</t>
        </is>
      </c>
      <c r="I596" s="19" t="inlineStr">
        <is>
          <t>Impôts &amp; taxes</t>
        </is>
      </c>
      <c r="J596" s="19" t="inlineStr">
        <is>
          <t>2024ACT_VDEF</t>
        </is>
      </c>
      <c r="K596" s="19" t="inlineStr">
        <is>
          <t>2024 (N-2)</t>
        </is>
      </c>
      <c r="L596" s="13" t="n">
        <v>9158</v>
      </c>
    </row>
    <row r="597">
      <c r="A597" s="19" t="inlineStr">
        <is>
          <t>IPAC_BACHELOR_FACTORY_RENNES</t>
        </is>
      </c>
      <c r="B597" s="18" t="inlineStr">
        <is>
          <t>Ipac Bachelor Factory Rennes</t>
        </is>
      </c>
      <c r="C597" s="19" t="inlineStr">
        <is>
          <t>Ipac Bachelor Factory</t>
        </is>
      </c>
      <c r="D597" s="19" t="inlineStr">
        <is>
          <t>Rennes</t>
        </is>
      </c>
      <c r="E597" s="19" t="inlineStr">
        <is>
          <t>63511</t>
        </is>
      </c>
      <c r="F597" s="18" t="inlineStr">
        <is>
          <t>Cotisation foncière &amp; CVAE</t>
        </is>
      </c>
      <c r="G597" s="19" t="inlineStr">
        <is>
          <t>63 — Impôts &amp; taxes</t>
        </is>
      </c>
      <c r="H597" s="19" t="inlineStr">
        <is>
          <t>Charge</t>
        </is>
      </c>
      <c r="I597" s="19" t="inlineStr">
        <is>
          <t>Impôts &amp; taxes</t>
        </is>
      </c>
      <c r="J597" s="19" t="inlineStr">
        <is>
          <t>2024ACT_VDEF</t>
        </is>
      </c>
      <c r="K597" s="19" t="inlineStr">
        <is>
          <t>2024 (N-2)</t>
        </is>
      </c>
      <c r="L597" s="13" t="n">
        <v>9158</v>
      </c>
    </row>
    <row r="598">
      <c r="A598" s="19" t="inlineStr">
        <is>
          <t>IPAC_BACHELOR_FACTORY_MONTPELLIER</t>
        </is>
      </c>
      <c r="B598" s="18" t="inlineStr">
        <is>
          <t>Ipac Bachelor Factory Montpellier</t>
        </is>
      </c>
      <c r="C598" s="19" t="inlineStr">
        <is>
          <t>Ipac Bachelor Factory</t>
        </is>
      </c>
      <c r="D598" s="19" t="inlineStr">
        <is>
          <t>Montpellier</t>
        </is>
      </c>
      <c r="E598" s="19" t="inlineStr">
        <is>
          <t>63511</t>
        </is>
      </c>
      <c r="F598" s="18" t="inlineStr">
        <is>
          <t>Cotisation foncière &amp; CVAE</t>
        </is>
      </c>
      <c r="G598" s="19" t="inlineStr">
        <is>
          <t>63 — Impôts &amp; taxes</t>
        </is>
      </c>
      <c r="H598" s="19" t="inlineStr">
        <is>
          <t>Charge</t>
        </is>
      </c>
      <c r="I598" s="19" t="inlineStr">
        <is>
          <t>Impôts &amp; taxes</t>
        </is>
      </c>
      <c r="J598" s="19" t="inlineStr">
        <is>
          <t>2024ACT_VDEF</t>
        </is>
      </c>
      <c r="K598" s="19" t="inlineStr">
        <is>
          <t>2024 (N-2)</t>
        </is>
      </c>
      <c r="L598" s="13" t="n">
        <v>9158</v>
      </c>
    </row>
    <row r="599">
      <c r="A599" s="19" t="inlineStr">
        <is>
          <t>PIGIER_LYON</t>
        </is>
      </c>
      <c r="B599" s="18" t="inlineStr">
        <is>
          <t>Pigier Lyon</t>
        </is>
      </c>
      <c r="C599" s="19" t="inlineStr">
        <is>
          <t>Pigier</t>
        </is>
      </c>
      <c r="D599" s="19" t="inlineStr">
        <is>
          <t>Lyon</t>
        </is>
      </c>
      <c r="E599" s="19" t="inlineStr">
        <is>
          <t>63511</t>
        </is>
      </c>
      <c r="F599" s="18" t="inlineStr">
        <is>
          <t>Cotisation foncière &amp; CVAE</t>
        </is>
      </c>
      <c r="G599" s="19" t="inlineStr">
        <is>
          <t>63 — Impôts &amp; taxes</t>
        </is>
      </c>
      <c r="H599" s="19" t="inlineStr">
        <is>
          <t>Charge</t>
        </is>
      </c>
      <c r="I599" s="19" t="inlineStr">
        <is>
          <t>Impôts &amp; taxes</t>
        </is>
      </c>
      <c r="J599" s="19" t="inlineStr">
        <is>
          <t>2024ACT_VDEF</t>
        </is>
      </c>
      <c r="K599" s="19" t="inlineStr">
        <is>
          <t>2024 (N-2)</t>
        </is>
      </c>
      <c r="L599" s="13" t="n">
        <v>12211</v>
      </c>
    </row>
    <row r="600">
      <c r="A600" s="19" t="inlineStr">
        <is>
          <t>PIGIER_BORDEAUX</t>
        </is>
      </c>
      <c r="B600" s="18" t="inlineStr">
        <is>
          <t>Pigier Bordeaux</t>
        </is>
      </c>
      <c r="C600" s="19" t="inlineStr">
        <is>
          <t>Pigier</t>
        </is>
      </c>
      <c r="D600" s="19" t="inlineStr">
        <is>
          <t>Bordeaux</t>
        </is>
      </c>
      <c r="E600" s="19" t="inlineStr">
        <is>
          <t>63511</t>
        </is>
      </c>
      <c r="F600" s="18" t="inlineStr">
        <is>
          <t>Cotisation foncière &amp; CVAE</t>
        </is>
      </c>
      <c r="G600" s="19" t="inlineStr">
        <is>
          <t>63 — Impôts &amp; taxes</t>
        </is>
      </c>
      <c r="H600" s="19" t="inlineStr">
        <is>
          <t>Charge</t>
        </is>
      </c>
      <c r="I600" s="19" t="inlineStr">
        <is>
          <t>Impôts &amp; taxes</t>
        </is>
      </c>
      <c r="J600" s="19" t="inlineStr">
        <is>
          <t>2024ACT_VDEF</t>
        </is>
      </c>
      <c r="K600" s="19" t="inlineStr">
        <is>
          <t>2024 (N-2)</t>
        </is>
      </c>
      <c r="L600" s="13" t="n">
        <v>12211</v>
      </c>
    </row>
    <row r="601">
      <c r="A601" s="19" t="inlineStr">
        <is>
          <t>TUNON_PARIS</t>
        </is>
      </c>
      <c r="B601" s="18" t="inlineStr">
        <is>
          <t>Tunon Paris</t>
        </is>
      </c>
      <c r="C601" s="19" t="inlineStr">
        <is>
          <t>Tunon</t>
        </is>
      </c>
      <c r="D601" s="19" t="inlineStr">
        <is>
          <t>Paris</t>
        </is>
      </c>
      <c r="E601" s="19" t="inlineStr">
        <is>
          <t>63511</t>
        </is>
      </c>
      <c r="F601" s="18" t="inlineStr">
        <is>
          <t>Cotisation foncière &amp; CVAE</t>
        </is>
      </c>
      <c r="G601" s="19" t="inlineStr">
        <is>
          <t>63 — Impôts &amp; taxes</t>
        </is>
      </c>
      <c r="H601" s="19" t="inlineStr">
        <is>
          <t>Charge</t>
        </is>
      </c>
      <c r="I601" s="19" t="inlineStr">
        <is>
          <t>Impôts &amp; taxes</t>
        </is>
      </c>
      <c r="J601" s="19" t="inlineStr">
        <is>
          <t>2024ACT_VDEF</t>
        </is>
      </c>
      <c r="K601" s="19" t="inlineStr">
        <is>
          <t>2024 (N-2)</t>
        </is>
      </c>
      <c r="L601" s="13" t="n">
        <v>9158</v>
      </c>
    </row>
    <row r="602">
      <c r="A602" s="19" t="inlineStr">
        <is>
          <t>TUNON_LYON</t>
        </is>
      </c>
      <c r="B602" s="18" t="inlineStr">
        <is>
          <t>Tunon Lyon</t>
        </is>
      </c>
      <c r="C602" s="19" t="inlineStr">
        <is>
          <t>Tunon</t>
        </is>
      </c>
      <c r="D602" s="19" t="inlineStr">
        <is>
          <t>Lyon</t>
        </is>
      </c>
      <c r="E602" s="19" t="inlineStr">
        <is>
          <t>63511</t>
        </is>
      </c>
      <c r="F602" s="18" t="inlineStr">
        <is>
          <t>Cotisation foncière &amp; CVAE</t>
        </is>
      </c>
      <c r="G602" s="19" t="inlineStr">
        <is>
          <t>63 — Impôts &amp; taxes</t>
        </is>
      </c>
      <c r="H602" s="19" t="inlineStr">
        <is>
          <t>Charge</t>
        </is>
      </c>
      <c r="I602" s="19" t="inlineStr">
        <is>
          <t>Impôts &amp; taxes</t>
        </is>
      </c>
      <c r="J602" s="19" t="inlineStr">
        <is>
          <t>2024ACT_VDEF</t>
        </is>
      </c>
      <c r="K602" s="19" t="inlineStr">
        <is>
          <t>2024 (N-2)</t>
        </is>
      </c>
      <c r="L602" s="13" t="n">
        <v>9158</v>
      </c>
    </row>
    <row r="603">
      <c r="A603" s="19" t="inlineStr">
        <is>
          <t>MBWAY_PARIS</t>
        </is>
      </c>
      <c r="B603" s="18" t="inlineStr">
        <is>
          <t>MBway Paris</t>
        </is>
      </c>
      <c r="C603" s="19" t="inlineStr">
        <is>
          <t>MBway</t>
        </is>
      </c>
      <c r="D603" s="19" t="inlineStr">
        <is>
          <t>Paris</t>
        </is>
      </c>
      <c r="E603" s="19" t="inlineStr">
        <is>
          <t>63511</t>
        </is>
      </c>
      <c r="F603" s="18" t="inlineStr">
        <is>
          <t>Cotisation foncière &amp; CVAE</t>
        </is>
      </c>
      <c r="G603" s="19" t="inlineStr">
        <is>
          <t>63 — Impôts &amp; taxes</t>
        </is>
      </c>
      <c r="H603" s="19" t="inlineStr">
        <is>
          <t>Charge</t>
        </is>
      </c>
      <c r="I603" s="19" t="inlineStr">
        <is>
          <t>Impôts &amp; taxes</t>
        </is>
      </c>
      <c r="J603" s="19" t="inlineStr">
        <is>
          <t>2025ACT_VDEF</t>
        </is>
      </c>
      <c r="K603" s="19" t="inlineStr">
        <is>
          <t>2025 (N-1)</t>
        </is>
      </c>
      <c r="L603" s="13" t="n">
        <v>24046</v>
      </c>
    </row>
    <row r="604">
      <c r="A604" s="19" t="inlineStr">
        <is>
          <t>MBWAY_LYON</t>
        </is>
      </c>
      <c r="B604" s="18" t="inlineStr">
        <is>
          <t>MBway Lyon</t>
        </is>
      </c>
      <c r="C604" s="19" t="inlineStr">
        <is>
          <t>MBway</t>
        </is>
      </c>
      <c r="D604" s="19" t="inlineStr">
        <is>
          <t>Lyon</t>
        </is>
      </c>
      <c r="E604" s="19" t="inlineStr">
        <is>
          <t>63511</t>
        </is>
      </c>
      <c r="F604" s="18" t="inlineStr">
        <is>
          <t>Cotisation foncière &amp; CVAE</t>
        </is>
      </c>
      <c r="G604" s="19" t="inlineStr">
        <is>
          <t>63 — Impôts &amp; taxes</t>
        </is>
      </c>
      <c r="H604" s="19" t="inlineStr">
        <is>
          <t>Charge</t>
        </is>
      </c>
      <c r="I604" s="19" t="inlineStr">
        <is>
          <t>Impôts &amp; taxes</t>
        </is>
      </c>
      <c r="J604" s="19" t="inlineStr">
        <is>
          <t>2025ACT_VDEF</t>
        </is>
      </c>
      <c r="K604" s="19" t="inlineStr">
        <is>
          <t>2025 (N-1)</t>
        </is>
      </c>
      <c r="L604" s="13" t="n">
        <v>20840</v>
      </c>
    </row>
    <row r="605">
      <c r="A605" s="19" t="inlineStr">
        <is>
          <t>MBWAY_NANTES</t>
        </is>
      </c>
      <c r="B605" s="18" t="inlineStr">
        <is>
          <t>MBway Nantes</t>
        </is>
      </c>
      <c r="C605" s="19" t="inlineStr">
        <is>
          <t>MBway</t>
        </is>
      </c>
      <c r="D605" s="19" t="inlineStr">
        <is>
          <t>Nantes</t>
        </is>
      </c>
      <c r="E605" s="19" t="inlineStr">
        <is>
          <t>63511</t>
        </is>
      </c>
      <c r="F605" s="18" t="inlineStr">
        <is>
          <t>Cotisation foncière &amp; CVAE</t>
        </is>
      </c>
      <c r="G605" s="19" t="inlineStr">
        <is>
          <t>63 — Impôts &amp; taxes</t>
        </is>
      </c>
      <c r="H605" s="19" t="inlineStr">
        <is>
          <t>Charge</t>
        </is>
      </c>
      <c r="I605" s="19" t="inlineStr">
        <is>
          <t>Impôts &amp; taxes</t>
        </is>
      </c>
      <c r="J605" s="19" t="inlineStr">
        <is>
          <t>2025ACT_VDEF</t>
        </is>
      </c>
      <c r="K605" s="19" t="inlineStr">
        <is>
          <t>2025 (N-1)</t>
        </is>
      </c>
      <c r="L605" s="13" t="n">
        <v>19237</v>
      </c>
    </row>
    <row r="606">
      <c r="A606" s="19" t="inlineStr">
        <is>
          <t>MBWAY_BORDEAUX</t>
        </is>
      </c>
      <c r="B606" s="18" t="inlineStr">
        <is>
          <t>MBway Bordeaux</t>
        </is>
      </c>
      <c r="C606" s="19" t="inlineStr">
        <is>
          <t>MBway</t>
        </is>
      </c>
      <c r="D606" s="19" t="inlineStr">
        <is>
          <t>Bordeaux</t>
        </is>
      </c>
      <c r="E606" s="19" t="inlineStr">
        <is>
          <t>63511</t>
        </is>
      </c>
      <c r="F606" s="18" t="inlineStr">
        <is>
          <t>Cotisation foncière &amp; CVAE</t>
        </is>
      </c>
      <c r="G606" s="19" t="inlineStr">
        <is>
          <t>63 — Impôts &amp; taxes</t>
        </is>
      </c>
      <c r="H606" s="19" t="inlineStr">
        <is>
          <t>Charge</t>
        </is>
      </c>
      <c r="I606" s="19" t="inlineStr">
        <is>
          <t>Impôts &amp; taxes</t>
        </is>
      </c>
      <c r="J606" s="19" t="inlineStr">
        <is>
          <t>2025ACT_VDEF</t>
        </is>
      </c>
      <c r="K606" s="19" t="inlineStr">
        <is>
          <t>2025 (N-1)</t>
        </is>
      </c>
      <c r="L606" s="13" t="n">
        <v>16031</v>
      </c>
    </row>
    <row r="607">
      <c r="A607" s="19" t="inlineStr">
        <is>
          <t>ISCOM_PARIS</t>
        </is>
      </c>
      <c r="B607" s="18" t="inlineStr">
        <is>
          <t>ISCOM Paris</t>
        </is>
      </c>
      <c r="C607" s="19" t="inlineStr">
        <is>
          <t>ISCOM</t>
        </is>
      </c>
      <c r="D607" s="19" t="inlineStr">
        <is>
          <t>Paris</t>
        </is>
      </c>
      <c r="E607" s="19" t="inlineStr">
        <is>
          <t>63511</t>
        </is>
      </c>
      <c r="F607" s="18" t="inlineStr">
        <is>
          <t>Cotisation foncière &amp; CVAE</t>
        </is>
      </c>
      <c r="G607" s="19" t="inlineStr">
        <is>
          <t>63 — Impôts &amp; taxes</t>
        </is>
      </c>
      <c r="H607" s="19" t="inlineStr">
        <is>
          <t>Charge</t>
        </is>
      </c>
      <c r="I607" s="19" t="inlineStr">
        <is>
          <t>Impôts &amp; taxes</t>
        </is>
      </c>
      <c r="J607" s="19" t="inlineStr">
        <is>
          <t>2025ACT_VDEF</t>
        </is>
      </c>
      <c r="K607" s="19" t="inlineStr">
        <is>
          <t>2025 (N-1)</t>
        </is>
      </c>
      <c r="L607" s="13" t="n">
        <v>22443</v>
      </c>
    </row>
    <row r="608">
      <c r="A608" s="19" t="inlineStr">
        <is>
          <t>ISCOM_LILLE</t>
        </is>
      </c>
      <c r="B608" s="18" t="inlineStr">
        <is>
          <t>ISCOM Lille</t>
        </is>
      </c>
      <c r="C608" s="19" t="inlineStr">
        <is>
          <t>ISCOM</t>
        </is>
      </c>
      <c r="D608" s="19" t="inlineStr">
        <is>
          <t>Lille</t>
        </is>
      </c>
      <c r="E608" s="19" t="inlineStr">
        <is>
          <t>63511</t>
        </is>
      </c>
      <c r="F608" s="18" t="inlineStr">
        <is>
          <t>Cotisation foncière &amp; CVAE</t>
        </is>
      </c>
      <c r="G608" s="19" t="inlineStr">
        <is>
          <t>63 — Impôts &amp; taxes</t>
        </is>
      </c>
      <c r="H608" s="19" t="inlineStr">
        <is>
          <t>Charge</t>
        </is>
      </c>
      <c r="I608" s="19" t="inlineStr">
        <is>
          <t>Impôts &amp; taxes</t>
        </is>
      </c>
      <c r="J608" s="19" t="inlineStr">
        <is>
          <t>2025ACT_VDEF</t>
        </is>
      </c>
      <c r="K608" s="19" t="inlineStr">
        <is>
          <t>2025 (N-1)</t>
        </is>
      </c>
      <c r="L608" s="13" t="n">
        <v>16031</v>
      </c>
    </row>
    <row r="609">
      <c r="A609" s="19" t="inlineStr">
        <is>
          <t>ISCOM_TOULOUSE</t>
        </is>
      </c>
      <c r="B609" s="18" t="inlineStr">
        <is>
          <t>ISCOM Toulouse</t>
        </is>
      </c>
      <c r="C609" s="19" t="inlineStr">
        <is>
          <t>ISCOM</t>
        </is>
      </c>
      <c r="D609" s="19" t="inlineStr">
        <is>
          <t>Toulouse</t>
        </is>
      </c>
      <c r="E609" s="19" t="inlineStr">
        <is>
          <t>63511</t>
        </is>
      </c>
      <c r="F609" s="18" t="inlineStr">
        <is>
          <t>Cotisation foncière &amp; CVAE</t>
        </is>
      </c>
      <c r="G609" s="19" t="inlineStr">
        <is>
          <t>63 — Impôts &amp; taxes</t>
        </is>
      </c>
      <c r="H609" s="19" t="inlineStr">
        <is>
          <t>Charge</t>
        </is>
      </c>
      <c r="I609" s="19" t="inlineStr">
        <is>
          <t>Impôts &amp; taxes</t>
        </is>
      </c>
      <c r="J609" s="19" t="inlineStr">
        <is>
          <t>2025ACT_VDEF</t>
        </is>
      </c>
      <c r="K609" s="19" t="inlineStr">
        <is>
          <t>2025 (N-1)</t>
        </is>
      </c>
      <c r="L609" s="13" t="n">
        <v>16031</v>
      </c>
    </row>
    <row r="610">
      <c r="A610" s="19" t="inlineStr">
        <is>
          <t>IPAC_BACHELOR_FACTORY_NANTES</t>
        </is>
      </c>
      <c r="B610" s="18" t="inlineStr">
        <is>
          <t>Ipac Bachelor Factory Nantes</t>
        </is>
      </c>
      <c r="C610" s="19" t="inlineStr">
        <is>
          <t>Ipac Bachelor Factory</t>
        </is>
      </c>
      <c r="D610" s="19" t="inlineStr">
        <is>
          <t>Nantes</t>
        </is>
      </c>
      <c r="E610" s="19" t="inlineStr">
        <is>
          <t>63511</t>
        </is>
      </c>
      <c r="F610" s="18" t="inlineStr">
        <is>
          <t>Cotisation foncière &amp; CVAE</t>
        </is>
      </c>
      <c r="G610" s="19" t="inlineStr">
        <is>
          <t>63 — Impôts &amp; taxes</t>
        </is>
      </c>
      <c r="H610" s="19" t="inlineStr">
        <is>
          <t>Charge</t>
        </is>
      </c>
      <c r="I610" s="19" t="inlineStr">
        <is>
          <t>Impôts &amp; taxes</t>
        </is>
      </c>
      <c r="J610" s="19" t="inlineStr">
        <is>
          <t>2025ACT_VDEF</t>
        </is>
      </c>
      <c r="K610" s="19" t="inlineStr">
        <is>
          <t>2025 (N-1)</t>
        </is>
      </c>
      <c r="L610" s="13" t="n">
        <v>9618</v>
      </c>
    </row>
    <row r="611">
      <c r="A611" s="19" t="inlineStr">
        <is>
          <t>IPAC_BACHELOR_FACTORY_RENNES</t>
        </is>
      </c>
      <c r="B611" s="18" t="inlineStr">
        <is>
          <t>Ipac Bachelor Factory Rennes</t>
        </is>
      </c>
      <c r="C611" s="19" t="inlineStr">
        <is>
          <t>Ipac Bachelor Factory</t>
        </is>
      </c>
      <c r="D611" s="19" t="inlineStr">
        <is>
          <t>Rennes</t>
        </is>
      </c>
      <c r="E611" s="19" t="inlineStr">
        <is>
          <t>63511</t>
        </is>
      </c>
      <c r="F611" s="18" t="inlineStr">
        <is>
          <t>Cotisation foncière &amp; CVAE</t>
        </is>
      </c>
      <c r="G611" s="19" t="inlineStr">
        <is>
          <t>63 — Impôts &amp; taxes</t>
        </is>
      </c>
      <c r="H611" s="19" t="inlineStr">
        <is>
          <t>Charge</t>
        </is>
      </c>
      <c r="I611" s="19" t="inlineStr">
        <is>
          <t>Impôts &amp; taxes</t>
        </is>
      </c>
      <c r="J611" s="19" t="inlineStr">
        <is>
          <t>2025ACT_VDEF</t>
        </is>
      </c>
      <c r="K611" s="19" t="inlineStr">
        <is>
          <t>2025 (N-1)</t>
        </is>
      </c>
      <c r="L611" s="13" t="n">
        <v>9618</v>
      </c>
    </row>
    <row r="612">
      <c r="A612" s="19" t="inlineStr">
        <is>
          <t>IPAC_BACHELOR_FACTORY_MONTPELLIER</t>
        </is>
      </c>
      <c r="B612" s="18" t="inlineStr">
        <is>
          <t>Ipac Bachelor Factory Montpellier</t>
        </is>
      </c>
      <c r="C612" s="19" t="inlineStr">
        <is>
          <t>Ipac Bachelor Factory</t>
        </is>
      </c>
      <c r="D612" s="19" t="inlineStr">
        <is>
          <t>Montpellier</t>
        </is>
      </c>
      <c r="E612" s="19" t="inlineStr">
        <is>
          <t>63511</t>
        </is>
      </c>
      <c r="F612" s="18" t="inlineStr">
        <is>
          <t>Cotisation foncière &amp; CVAE</t>
        </is>
      </c>
      <c r="G612" s="19" t="inlineStr">
        <is>
          <t>63 — Impôts &amp; taxes</t>
        </is>
      </c>
      <c r="H612" s="19" t="inlineStr">
        <is>
          <t>Charge</t>
        </is>
      </c>
      <c r="I612" s="19" t="inlineStr">
        <is>
          <t>Impôts &amp; taxes</t>
        </is>
      </c>
      <c r="J612" s="19" t="inlineStr">
        <is>
          <t>2025ACT_VDEF</t>
        </is>
      </c>
      <c r="K612" s="19" t="inlineStr">
        <is>
          <t>2025 (N-1)</t>
        </is>
      </c>
      <c r="L612" s="13" t="n">
        <v>9618</v>
      </c>
    </row>
    <row r="613">
      <c r="A613" s="19" t="inlineStr">
        <is>
          <t>PIGIER_LYON</t>
        </is>
      </c>
      <c r="B613" s="18" t="inlineStr">
        <is>
          <t>Pigier Lyon</t>
        </is>
      </c>
      <c r="C613" s="19" t="inlineStr">
        <is>
          <t>Pigier</t>
        </is>
      </c>
      <c r="D613" s="19" t="inlineStr">
        <is>
          <t>Lyon</t>
        </is>
      </c>
      <c r="E613" s="19" t="inlineStr">
        <is>
          <t>63511</t>
        </is>
      </c>
      <c r="F613" s="18" t="inlineStr">
        <is>
          <t>Cotisation foncière &amp; CVAE</t>
        </is>
      </c>
      <c r="G613" s="19" t="inlineStr">
        <is>
          <t>63 — Impôts &amp; taxes</t>
        </is>
      </c>
      <c r="H613" s="19" t="inlineStr">
        <is>
          <t>Charge</t>
        </is>
      </c>
      <c r="I613" s="19" t="inlineStr">
        <is>
          <t>Impôts &amp; taxes</t>
        </is>
      </c>
      <c r="J613" s="19" t="inlineStr">
        <is>
          <t>2025ACT_VDEF</t>
        </is>
      </c>
      <c r="K613" s="19" t="inlineStr">
        <is>
          <t>2025 (N-1)</t>
        </is>
      </c>
      <c r="L613" s="13" t="n">
        <v>12825</v>
      </c>
    </row>
    <row r="614">
      <c r="A614" s="19" t="inlineStr">
        <is>
          <t>PIGIER_BORDEAUX</t>
        </is>
      </c>
      <c r="B614" s="18" t="inlineStr">
        <is>
          <t>Pigier Bordeaux</t>
        </is>
      </c>
      <c r="C614" s="19" t="inlineStr">
        <is>
          <t>Pigier</t>
        </is>
      </c>
      <c r="D614" s="19" t="inlineStr">
        <is>
          <t>Bordeaux</t>
        </is>
      </c>
      <c r="E614" s="19" t="inlineStr">
        <is>
          <t>63511</t>
        </is>
      </c>
      <c r="F614" s="18" t="inlineStr">
        <is>
          <t>Cotisation foncière &amp; CVAE</t>
        </is>
      </c>
      <c r="G614" s="19" t="inlineStr">
        <is>
          <t>63 — Impôts &amp; taxes</t>
        </is>
      </c>
      <c r="H614" s="19" t="inlineStr">
        <is>
          <t>Charge</t>
        </is>
      </c>
      <c r="I614" s="19" t="inlineStr">
        <is>
          <t>Impôts &amp; taxes</t>
        </is>
      </c>
      <c r="J614" s="19" t="inlineStr">
        <is>
          <t>2025ACT_VDEF</t>
        </is>
      </c>
      <c r="K614" s="19" t="inlineStr">
        <is>
          <t>2025 (N-1)</t>
        </is>
      </c>
      <c r="L614" s="13" t="n">
        <v>12825</v>
      </c>
    </row>
    <row r="615">
      <c r="A615" s="19" t="inlineStr">
        <is>
          <t>TUNON_PARIS</t>
        </is>
      </c>
      <c r="B615" s="18" t="inlineStr">
        <is>
          <t>Tunon Paris</t>
        </is>
      </c>
      <c r="C615" s="19" t="inlineStr">
        <is>
          <t>Tunon</t>
        </is>
      </c>
      <c r="D615" s="19" t="inlineStr">
        <is>
          <t>Paris</t>
        </is>
      </c>
      <c r="E615" s="19" t="inlineStr">
        <is>
          <t>63511</t>
        </is>
      </c>
      <c r="F615" s="18" t="inlineStr">
        <is>
          <t>Cotisation foncière &amp; CVAE</t>
        </is>
      </c>
      <c r="G615" s="19" t="inlineStr">
        <is>
          <t>63 — Impôts &amp; taxes</t>
        </is>
      </c>
      <c r="H615" s="19" t="inlineStr">
        <is>
          <t>Charge</t>
        </is>
      </c>
      <c r="I615" s="19" t="inlineStr">
        <is>
          <t>Impôts &amp; taxes</t>
        </is>
      </c>
      <c r="J615" s="19" t="inlineStr">
        <is>
          <t>2025ACT_VDEF</t>
        </is>
      </c>
      <c r="K615" s="19" t="inlineStr">
        <is>
          <t>2025 (N-1)</t>
        </is>
      </c>
      <c r="L615" s="13" t="n">
        <v>9618</v>
      </c>
    </row>
    <row r="616">
      <c r="A616" s="19" t="inlineStr">
        <is>
          <t>TUNON_LYON</t>
        </is>
      </c>
      <c r="B616" s="18" t="inlineStr">
        <is>
          <t>Tunon Lyon</t>
        </is>
      </c>
      <c r="C616" s="19" t="inlineStr">
        <is>
          <t>Tunon</t>
        </is>
      </c>
      <c r="D616" s="19" t="inlineStr">
        <is>
          <t>Lyon</t>
        </is>
      </c>
      <c r="E616" s="19" t="inlineStr">
        <is>
          <t>63511</t>
        </is>
      </c>
      <c r="F616" s="18" t="inlineStr">
        <is>
          <t>Cotisation foncière &amp; CVAE</t>
        </is>
      </c>
      <c r="G616" s="19" t="inlineStr">
        <is>
          <t>63 — Impôts &amp; taxes</t>
        </is>
      </c>
      <c r="H616" s="19" t="inlineStr">
        <is>
          <t>Charge</t>
        </is>
      </c>
      <c r="I616" s="19" t="inlineStr">
        <is>
          <t>Impôts &amp; taxes</t>
        </is>
      </c>
      <c r="J616" s="19" t="inlineStr">
        <is>
          <t>2025ACT_VDEF</t>
        </is>
      </c>
      <c r="K616" s="19" t="inlineStr">
        <is>
          <t>2025 (N-1)</t>
        </is>
      </c>
      <c r="L616" s="13" t="n">
        <v>9618</v>
      </c>
    </row>
    <row r="617">
      <c r="A617" s="19" t="inlineStr">
        <is>
          <t>MBWAY_PARIS</t>
        </is>
      </c>
      <c r="B617" s="18" t="inlineStr">
        <is>
          <t>MBway Paris</t>
        </is>
      </c>
      <c r="C617" s="19" t="inlineStr">
        <is>
          <t>MBway</t>
        </is>
      </c>
      <c r="D617" s="19" t="inlineStr">
        <is>
          <t>Paris</t>
        </is>
      </c>
      <c r="E617" s="19" t="inlineStr">
        <is>
          <t>63511</t>
        </is>
      </c>
      <c r="F617" s="18" t="inlineStr">
        <is>
          <t>Cotisation foncière &amp; CVAE</t>
        </is>
      </c>
      <c r="G617" s="19" t="inlineStr">
        <is>
          <t>63 — Impôts &amp; taxes</t>
        </is>
      </c>
      <c r="H617" s="19" t="inlineStr">
        <is>
          <t>Charge</t>
        </is>
      </c>
      <c r="I617" s="19" t="inlineStr">
        <is>
          <t>Impôts &amp; taxes</t>
        </is>
      </c>
      <c r="J617" s="19" t="inlineStr">
        <is>
          <t>2026ATT_VDEF</t>
        </is>
      </c>
      <c r="K617" s="19" t="inlineStr">
        <is>
          <t>2026 (Atterr.)</t>
        </is>
      </c>
      <c r="L617" s="13" t="n">
        <v>25311</v>
      </c>
    </row>
    <row r="618">
      <c r="A618" s="19" t="inlineStr">
        <is>
          <t>MBWAY_LYON</t>
        </is>
      </c>
      <c r="B618" s="18" t="inlineStr">
        <is>
          <t>MBway Lyon</t>
        </is>
      </c>
      <c r="C618" s="19" t="inlineStr">
        <is>
          <t>MBway</t>
        </is>
      </c>
      <c r="D618" s="19" t="inlineStr">
        <is>
          <t>Lyon</t>
        </is>
      </c>
      <c r="E618" s="19" t="inlineStr">
        <is>
          <t>63511</t>
        </is>
      </c>
      <c r="F618" s="18" t="inlineStr">
        <is>
          <t>Cotisation foncière &amp; CVAE</t>
        </is>
      </c>
      <c r="G618" s="19" t="inlineStr">
        <is>
          <t>63 — Impôts &amp; taxes</t>
        </is>
      </c>
      <c r="H618" s="19" t="inlineStr">
        <is>
          <t>Charge</t>
        </is>
      </c>
      <c r="I618" s="19" t="inlineStr">
        <is>
          <t>Impôts &amp; taxes</t>
        </is>
      </c>
      <c r="J618" s="19" t="inlineStr">
        <is>
          <t>2026ATT_VDEF</t>
        </is>
      </c>
      <c r="K618" s="19" t="inlineStr">
        <is>
          <t>2026 (Atterr.)</t>
        </is>
      </c>
      <c r="L618" s="13" t="n">
        <v>21936</v>
      </c>
    </row>
    <row r="619">
      <c r="A619" s="19" t="inlineStr">
        <is>
          <t>MBWAY_NANTES</t>
        </is>
      </c>
      <c r="B619" s="18" t="inlineStr">
        <is>
          <t>MBway Nantes</t>
        </is>
      </c>
      <c r="C619" s="19" t="inlineStr">
        <is>
          <t>MBway</t>
        </is>
      </c>
      <c r="D619" s="19" t="inlineStr">
        <is>
          <t>Nantes</t>
        </is>
      </c>
      <c r="E619" s="19" t="inlineStr">
        <is>
          <t>63511</t>
        </is>
      </c>
      <c r="F619" s="18" t="inlineStr">
        <is>
          <t>Cotisation foncière &amp; CVAE</t>
        </is>
      </c>
      <c r="G619" s="19" t="inlineStr">
        <is>
          <t>63 — Impôts &amp; taxes</t>
        </is>
      </c>
      <c r="H619" s="19" t="inlineStr">
        <is>
          <t>Charge</t>
        </is>
      </c>
      <c r="I619" s="19" t="inlineStr">
        <is>
          <t>Impôts &amp; taxes</t>
        </is>
      </c>
      <c r="J619" s="19" t="inlineStr">
        <is>
          <t>2026ATT_VDEF</t>
        </is>
      </c>
      <c r="K619" s="19" t="inlineStr">
        <is>
          <t>2026 (Atterr.)</t>
        </is>
      </c>
      <c r="L619" s="13" t="n">
        <v>20249</v>
      </c>
    </row>
    <row r="620">
      <c r="A620" s="19" t="inlineStr">
        <is>
          <t>MBWAY_BORDEAUX</t>
        </is>
      </c>
      <c r="B620" s="18" t="inlineStr">
        <is>
          <t>MBway Bordeaux</t>
        </is>
      </c>
      <c r="C620" s="19" t="inlineStr">
        <is>
          <t>MBway</t>
        </is>
      </c>
      <c r="D620" s="19" t="inlineStr">
        <is>
          <t>Bordeaux</t>
        </is>
      </c>
      <c r="E620" s="19" t="inlineStr">
        <is>
          <t>63511</t>
        </is>
      </c>
      <c r="F620" s="18" t="inlineStr">
        <is>
          <t>Cotisation foncière &amp; CVAE</t>
        </is>
      </c>
      <c r="G620" s="19" t="inlineStr">
        <is>
          <t>63 — Impôts &amp; taxes</t>
        </is>
      </c>
      <c r="H620" s="19" t="inlineStr">
        <is>
          <t>Charge</t>
        </is>
      </c>
      <c r="I620" s="19" t="inlineStr">
        <is>
          <t>Impôts &amp; taxes</t>
        </is>
      </c>
      <c r="J620" s="19" t="inlineStr">
        <is>
          <t>2026ATT_VDEF</t>
        </is>
      </c>
      <c r="K620" s="19" t="inlineStr">
        <is>
          <t>2026 (Atterr.)</t>
        </is>
      </c>
      <c r="L620" s="13" t="n">
        <v>16874</v>
      </c>
    </row>
    <row r="621">
      <c r="A621" s="19" t="inlineStr">
        <is>
          <t>ISCOM_PARIS</t>
        </is>
      </c>
      <c r="B621" s="18" t="inlineStr">
        <is>
          <t>ISCOM Paris</t>
        </is>
      </c>
      <c r="C621" s="19" t="inlineStr">
        <is>
          <t>ISCOM</t>
        </is>
      </c>
      <c r="D621" s="19" t="inlineStr">
        <is>
          <t>Paris</t>
        </is>
      </c>
      <c r="E621" s="19" t="inlineStr">
        <is>
          <t>63511</t>
        </is>
      </c>
      <c r="F621" s="18" t="inlineStr">
        <is>
          <t>Cotisation foncière &amp; CVAE</t>
        </is>
      </c>
      <c r="G621" s="19" t="inlineStr">
        <is>
          <t>63 — Impôts &amp; taxes</t>
        </is>
      </c>
      <c r="H621" s="19" t="inlineStr">
        <is>
          <t>Charge</t>
        </is>
      </c>
      <c r="I621" s="19" t="inlineStr">
        <is>
          <t>Impôts &amp; taxes</t>
        </is>
      </c>
      <c r="J621" s="19" t="inlineStr">
        <is>
          <t>2026ATT_VDEF</t>
        </is>
      </c>
      <c r="K621" s="19" t="inlineStr">
        <is>
          <t>2026 (Atterr.)</t>
        </is>
      </c>
      <c r="L621" s="13" t="n">
        <v>23624</v>
      </c>
    </row>
    <row r="622">
      <c r="A622" s="19" t="inlineStr">
        <is>
          <t>ISCOM_LILLE</t>
        </is>
      </c>
      <c r="B622" s="18" t="inlineStr">
        <is>
          <t>ISCOM Lille</t>
        </is>
      </c>
      <c r="C622" s="19" t="inlineStr">
        <is>
          <t>ISCOM</t>
        </is>
      </c>
      <c r="D622" s="19" t="inlineStr">
        <is>
          <t>Lille</t>
        </is>
      </c>
      <c r="E622" s="19" t="inlineStr">
        <is>
          <t>63511</t>
        </is>
      </c>
      <c r="F622" s="18" t="inlineStr">
        <is>
          <t>Cotisation foncière &amp; CVAE</t>
        </is>
      </c>
      <c r="G622" s="19" t="inlineStr">
        <is>
          <t>63 — Impôts &amp; taxes</t>
        </is>
      </c>
      <c r="H622" s="19" t="inlineStr">
        <is>
          <t>Charge</t>
        </is>
      </c>
      <c r="I622" s="19" t="inlineStr">
        <is>
          <t>Impôts &amp; taxes</t>
        </is>
      </c>
      <c r="J622" s="19" t="inlineStr">
        <is>
          <t>2026ATT_VDEF</t>
        </is>
      </c>
      <c r="K622" s="19" t="inlineStr">
        <is>
          <t>2026 (Atterr.)</t>
        </is>
      </c>
      <c r="L622" s="13" t="n">
        <v>16874</v>
      </c>
    </row>
    <row r="623">
      <c r="A623" s="19" t="inlineStr">
        <is>
          <t>ISCOM_TOULOUSE</t>
        </is>
      </c>
      <c r="B623" s="18" t="inlineStr">
        <is>
          <t>ISCOM Toulouse</t>
        </is>
      </c>
      <c r="C623" s="19" t="inlineStr">
        <is>
          <t>ISCOM</t>
        </is>
      </c>
      <c r="D623" s="19" t="inlineStr">
        <is>
          <t>Toulouse</t>
        </is>
      </c>
      <c r="E623" s="19" t="inlineStr">
        <is>
          <t>63511</t>
        </is>
      </c>
      <c r="F623" s="18" t="inlineStr">
        <is>
          <t>Cotisation foncière &amp; CVAE</t>
        </is>
      </c>
      <c r="G623" s="19" t="inlineStr">
        <is>
          <t>63 — Impôts &amp; taxes</t>
        </is>
      </c>
      <c r="H623" s="19" t="inlineStr">
        <is>
          <t>Charge</t>
        </is>
      </c>
      <c r="I623" s="19" t="inlineStr">
        <is>
          <t>Impôts &amp; taxes</t>
        </is>
      </c>
      <c r="J623" s="19" t="inlineStr">
        <is>
          <t>2026ATT_VDEF</t>
        </is>
      </c>
      <c r="K623" s="19" t="inlineStr">
        <is>
          <t>2026 (Atterr.)</t>
        </is>
      </c>
      <c r="L623" s="13" t="n">
        <v>16874</v>
      </c>
    </row>
    <row r="624">
      <c r="A624" s="19" t="inlineStr">
        <is>
          <t>IPAC_BACHELOR_FACTORY_NANTES</t>
        </is>
      </c>
      <c r="B624" s="18" t="inlineStr">
        <is>
          <t>Ipac Bachelor Factory Nantes</t>
        </is>
      </c>
      <c r="C624" s="19" t="inlineStr">
        <is>
          <t>Ipac Bachelor Factory</t>
        </is>
      </c>
      <c r="D624" s="19" t="inlineStr">
        <is>
          <t>Nantes</t>
        </is>
      </c>
      <c r="E624" s="19" t="inlineStr">
        <is>
          <t>63511</t>
        </is>
      </c>
      <c r="F624" s="18" t="inlineStr">
        <is>
          <t>Cotisation foncière &amp; CVAE</t>
        </is>
      </c>
      <c r="G624" s="19" t="inlineStr">
        <is>
          <t>63 — Impôts &amp; taxes</t>
        </is>
      </c>
      <c r="H624" s="19" t="inlineStr">
        <is>
          <t>Charge</t>
        </is>
      </c>
      <c r="I624" s="19" t="inlineStr">
        <is>
          <t>Impôts &amp; taxes</t>
        </is>
      </c>
      <c r="J624" s="19" t="inlineStr">
        <is>
          <t>2026ATT_VDEF</t>
        </is>
      </c>
      <c r="K624" s="19" t="inlineStr">
        <is>
          <t>2026 (Atterr.)</t>
        </is>
      </c>
      <c r="L624" s="13" t="n">
        <v>10124</v>
      </c>
    </row>
    <row r="625">
      <c r="A625" s="19" t="inlineStr">
        <is>
          <t>IPAC_BACHELOR_FACTORY_RENNES</t>
        </is>
      </c>
      <c r="B625" s="18" t="inlineStr">
        <is>
          <t>Ipac Bachelor Factory Rennes</t>
        </is>
      </c>
      <c r="C625" s="19" t="inlineStr">
        <is>
          <t>Ipac Bachelor Factory</t>
        </is>
      </c>
      <c r="D625" s="19" t="inlineStr">
        <is>
          <t>Rennes</t>
        </is>
      </c>
      <c r="E625" s="19" t="inlineStr">
        <is>
          <t>63511</t>
        </is>
      </c>
      <c r="F625" s="18" t="inlineStr">
        <is>
          <t>Cotisation foncière &amp; CVAE</t>
        </is>
      </c>
      <c r="G625" s="19" t="inlineStr">
        <is>
          <t>63 — Impôts &amp; taxes</t>
        </is>
      </c>
      <c r="H625" s="19" t="inlineStr">
        <is>
          <t>Charge</t>
        </is>
      </c>
      <c r="I625" s="19" t="inlineStr">
        <is>
          <t>Impôts &amp; taxes</t>
        </is>
      </c>
      <c r="J625" s="19" t="inlineStr">
        <is>
          <t>2026ATT_VDEF</t>
        </is>
      </c>
      <c r="K625" s="19" t="inlineStr">
        <is>
          <t>2026 (Atterr.)</t>
        </is>
      </c>
      <c r="L625" s="13" t="n">
        <v>10124</v>
      </c>
    </row>
    <row r="626">
      <c r="A626" s="19" t="inlineStr">
        <is>
          <t>IPAC_BACHELOR_FACTORY_MONTPELLIER</t>
        </is>
      </c>
      <c r="B626" s="18" t="inlineStr">
        <is>
          <t>Ipac Bachelor Factory Montpellier</t>
        </is>
      </c>
      <c r="C626" s="19" t="inlineStr">
        <is>
          <t>Ipac Bachelor Factory</t>
        </is>
      </c>
      <c r="D626" s="19" t="inlineStr">
        <is>
          <t>Montpellier</t>
        </is>
      </c>
      <c r="E626" s="19" t="inlineStr">
        <is>
          <t>63511</t>
        </is>
      </c>
      <c r="F626" s="18" t="inlineStr">
        <is>
          <t>Cotisation foncière &amp; CVAE</t>
        </is>
      </c>
      <c r="G626" s="19" t="inlineStr">
        <is>
          <t>63 — Impôts &amp; taxes</t>
        </is>
      </c>
      <c r="H626" s="19" t="inlineStr">
        <is>
          <t>Charge</t>
        </is>
      </c>
      <c r="I626" s="19" t="inlineStr">
        <is>
          <t>Impôts &amp; taxes</t>
        </is>
      </c>
      <c r="J626" s="19" t="inlineStr">
        <is>
          <t>2026ATT_VDEF</t>
        </is>
      </c>
      <c r="K626" s="19" t="inlineStr">
        <is>
          <t>2026 (Atterr.)</t>
        </is>
      </c>
      <c r="L626" s="13" t="n">
        <v>10124</v>
      </c>
    </row>
    <row r="627">
      <c r="A627" s="19" t="inlineStr">
        <is>
          <t>PIGIER_LYON</t>
        </is>
      </c>
      <c r="B627" s="18" t="inlineStr">
        <is>
          <t>Pigier Lyon</t>
        </is>
      </c>
      <c r="C627" s="19" t="inlineStr">
        <is>
          <t>Pigier</t>
        </is>
      </c>
      <c r="D627" s="19" t="inlineStr">
        <is>
          <t>Lyon</t>
        </is>
      </c>
      <c r="E627" s="19" t="inlineStr">
        <is>
          <t>63511</t>
        </is>
      </c>
      <c r="F627" s="18" t="inlineStr">
        <is>
          <t>Cotisation foncière &amp; CVAE</t>
        </is>
      </c>
      <c r="G627" s="19" t="inlineStr">
        <is>
          <t>63 — Impôts &amp; taxes</t>
        </is>
      </c>
      <c r="H627" s="19" t="inlineStr">
        <is>
          <t>Charge</t>
        </is>
      </c>
      <c r="I627" s="19" t="inlineStr">
        <is>
          <t>Impôts &amp; taxes</t>
        </is>
      </c>
      <c r="J627" s="19" t="inlineStr">
        <is>
          <t>2026ATT_VDEF</t>
        </is>
      </c>
      <c r="K627" s="19" t="inlineStr">
        <is>
          <t>2026 (Atterr.)</t>
        </is>
      </c>
      <c r="L627" s="13" t="n">
        <v>13499</v>
      </c>
    </row>
    <row r="628">
      <c r="A628" s="19" t="inlineStr">
        <is>
          <t>PIGIER_BORDEAUX</t>
        </is>
      </c>
      <c r="B628" s="18" t="inlineStr">
        <is>
          <t>Pigier Bordeaux</t>
        </is>
      </c>
      <c r="C628" s="19" t="inlineStr">
        <is>
          <t>Pigier</t>
        </is>
      </c>
      <c r="D628" s="19" t="inlineStr">
        <is>
          <t>Bordeaux</t>
        </is>
      </c>
      <c r="E628" s="19" t="inlineStr">
        <is>
          <t>63511</t>
        </is>
      </c>
      <c r="F628" s="18" t="inlineStr">
        <is>
          <t>Cotisation foncière &amp; CVAE</t>
        </is>
      </c>
      <c r="G628" s="19" t="inlineStr">
        <is>
          <t>63 — Impôts &amp; taxes</t>
        </is>
      </c>
      <c r="H628" s="19" t="inlineStr">
        <is>
          <t>Charge</t>
        </is>
      </c>
      <c r="I628" s="19" t="inlineStr">
        <is>
          <t>Impôts &amp; taxes</t>
        </is>
      </c>
      <c r="J628" s="19" t="inlineStr">
        <is>
          <t>2026ATT_VDEF</t>
        </is>
      </c>
      <c r="K628" s="19" t="inlineStr">
        <is>
          <t>2026 (Atterr.)</t>
        </is>
      </c>
      <c r="L628" s="13" t="n">
        <v>13499</v>
      </c>
    </row>
    <row r="629">
      <c r="A629" s="19" t="inlineStr">
        <is>
          <t>TUNON_PARIS</t>
        </is>
      </c>
      <c r="B629" s="18" t="inlineStr">
        <is>
          <t>Tunon Paris</t>
        </is>
      </c>
      <c r="C629" s="19" t="inlineStr">
        <is>
          <t>Tunon</t>
        </is>
      </c>
      <c r="D629" s="19" t="inlineStr">
        <is>
          <t>Paris</t>
        </is>
      </c>
      <c r="E629" s="19" t="inlineStr">
        <is>
          <t>63511</t>
        </is>
      </c>
      <c r="F629" s="18" t="inlineStr">
        <is>
          <t>Cotisation foncière &amp; CVAE</t>
        </is>
      </c>
      <c r="G629" s="19" t="inlineStr">
        <is>
          <t>63 — Impôts &amp; taxes</t>
        </is>
      </c>
      <c r="H629" s="19" t="inlineStr">
        <is>
          <t>Charge</t>
        </is>
      </c>
      <c r="I629" s="19" t="inlineStr">
        <is>
          <t>Impôts &amp; taxes</t>
        </is>
      </c>
      <c r="J629" s="19" t="inlineStr">
        <is>
          <t>2026ATT_VDEF</t>
        </is>
      </c>
      <c r="K629" s="19" t="inlineStr">
        <is>
          <t>2026 (Atterr.)</t>
        </is>
      </c>
      <c r="L629" s="13" t="n">
        <v>10124</v>
      </c>
    </row>
    <row r="630">
      <c r="A630" s="19" t="inlineStr">
        <is>
          <t>TUNON_LYON</t>
        </is>
      </c>
      <c r="B630" s="18" t="inlineStr">
        <is>
          <t>Tunon Lyon</t>
        </is>
      </c>
      <c r="C630" s="19" t="inlineStr">
        <is>
          <t>Tunon</t>
        </is>
      </c>
      <c r="D630" s="19" t="inlineStr">
        <is>
          <t>Lyon</t>
        </is>
      </c>
      <c r="E630" s="19" t="inlineStr">
        <is>
          <t>63511</t>
        </is>
      </c>
      <c r="F630" s="18" t="inlineStr">
        <is>
          <t>Cotisation foncière &amp; CVAE</t>
        </is>
      </c>
      <c r="G630" s="19" t="inlineStr">
        <is>
          <t>63 — Impôts &amp; taxes</t>
        </is>
      </c>
      <c r="H630" s="19" t="inlineStr">
        <is>
          <t>Charge</t>
        </is>
      </c>
      <c r="I630" s="19" t="inlineStr">
        <is>
          <t>Impôts &amp; taxes</t>
        </is>
      </c>
      <c r="J630" s="19" t="inlineStr">
        <is>
          <t>2026ATT_VDEF</t>
        </is>
      </c>
      <c r="K630" s="19" t="inlineStr">
        <is>
          <t>2026 (Atterr.)</t>
        </is>
      </c>
      <c r="L630" s="13" t="n">
        <v>10124</v>
      </c>
    </row>
    <row r="631">
      <c r="A631" s="19" t="inlineStr">
        <is>
          <t>GROUPE</t>
        </is>
      </c>
      <c r="B631" s="18" t="inlineStr">
        <is>
          <t>GROUPE — Siège</t>
        </is>
      </c>
      <c r="C631" s="19" t="inlineStr">
        <is>
          <t>(groupe)</t>
        </is>
      </c>
      <c r="D631" s="19" t="inlineStr">
        <is>
          <t>(groupe)</t>
        </is>
      </c>
      <c r="E631" s="19" t="inlineStr">
        <is>
          <t>6333</t>
        </is>
      </c>
      <c r="F631" s="18" t="inlineStr">
        <is>
          <t>Participation formation professionnelle</t>
        </is>
      </c>
      <c r="G631" s="19" t="inlineStr">
        <is>
          <t>63 — Impôts &amp; taxes</t>
        </is>
      </c>
      <c r="H631" s="19" t="inlineStr">
        <is>
          <t>Charge</t>
        </is>
      </c>
      <c r="I631" s="19" t="inlineStr">
        <is>
          <t>Impôts &amp; taxes</t>
        </is>
      </c>
      <c r="J631" s="19" t="inlineStr">
        <is>
          <t>2024ACT_VDEF</t>
        </is>
      </c>
      <c r="K631" s="19" t="inlineStr">
        <is>
          <t>2024 (N-2)</t>
        </is>
      </c>
      <c r="L631" s="13" t="n">
        <v>99217</v>
      </c>
    </row>
    <row r="632">
      <c r="A632" s="19" t="inlineStr">
        <is>
          <t>GROUPE</t>
        </is>
      </c>
      <c r="B632" s="18" t="inlineStr">
        <is>
          <t>GROUPE — Siège</t>
        </is>
      </c>
      <c r="C632" s="19" t="inlineStr">
        <is>
          <t>(groupe)</t>
        </is>
      </c>
      <c r="D632" s="19" t="inlineStr">
        <is>
          <t>(groupe)</t>
        </is>
      </c>
      <c r="E632" s="19" t="inlineStr">
        <is>
          <t>6333</t>
        </is>
      </c>
      <c r="F632" s="18" t="inlineStr">
        <is>
          <t>Participation formation professionnelle</t>
        </is>
      </c>
      <c r="G632" s="19" t="inlineStr">
        <is>
          <t>63 — Impôts &amp; taxes</t>
        </is>
      </c>
      <c r="H632" s="19" t="inlineStr">
        <is>
          <t>Charge</t>
        </is>
      </c>
      <c r="I632" s="19" t="inlineStr">
        <is>
          <t>Impôts &amp; taxes</t>
        </is>
      </c>
      <c r="J632" s="19" t="inlineStr">
        <is>
          <t>2025ACT_VDEF</t>
        </is>
      </c>
      <c r="K632" s="19" t="inlineStr">
        <is>
          <t>2025 (N-1)</t>
        </is>
      </c>
      <c r="L632" s="13" t="n">
        <v>104200</v>
      </c>
    </row>
    <row r="633">
      <c r="A633" s="19" t="inlineStr">
        <is>
          <t>GROUPE</t>
        </is>
      </c>
      <c r="B633" s="18" t="inlineStr">
        <is>
          <t>GROUPE — Siège</t>
        </is>
      </c>
      <c r="C633" s="19" t="inlineStr">
        <is>
          <t>(groupe)</t>
        </is>
      </c>
      <c r="D633" s="19" t="inlineStr">
        <is>
          <t>(groupe)</t>
        </is>
      </c>
      <c r="E633" s="19" t="inlineStr">
        <is>
          <t>6333</t>
        </is>
      </c>
      <c r="F633" s="18" t="inlineStr">
        <is>
          <t>Participation formation professionnelle</t>
        </is>
      </c>
      <c r="G633" s="19" t="inlineStr">
        <is>
          <t>63 — Impôts &amp; taxes</t>
        </is>
      </c>
      <c r="H633" s="19" t="inlineStr">
        <is>
          <t>Charge</t>
        </is>
      </c>
      <c r="I633" s="19" t="inlineStr">
        <is>
          <t>Impôts &amp; taxes</t>
        </is>
      </c>
      <c r="J633" s="19" t="inlineStr">
        <is>
          <t>2026ATT_VDEF</t>
        </is>
      </c>
      <c r="K633" s="19" t="inlineStr">
        <is>
          <t>2026 (Atterr.)</t>
        </is>
      </c>
      <c r="L633" s="13" t="n">
        <v>109682</v>
      </c>
    </row>
    <row r="634">
      <c r="A634" s="19" t="inlineStr">
        <is>
          <t>MBWAY_PARIS</t>
        </is>
      </c>
      <c r="B634" s="18" t="inlineStr">
        <is>
          <t>MBway Paris</t>
        </is>
      </c>
      <c r="C634" s="19" t="inlineStr">
        <is>
          <t>MBway</t>
        </is>
      </c>
      <c r="D634" s="19" t="inlineStr">
        <is>
          <t>Paris</t>
        </is>
      </c>
      <c r="E634" s="19" t="inlineStr">
        <is>
          <t>6811</t>
        </is>
      </c>
      <c r="F634" s="18" t="inlineStr">
        <is>
          <t>Dotations aux amortissements (D&amp;A)</t>
        </is>
      </c>
      <c r="G634" s="19" t="inlineStr">
        <is>
          <t>68 — Dotations &amp; amort.</t>
        </is>
      </c>
      <c r="H634" s="19" t="inlineStr">
        <is>
          <t>Charge</t>
        </is>
      </c>
      <c r="I634" s="19" t="inlineStr">
        <is>
          <t>Dotations</t>
        </is>
      </c>
      <c r="J634" s="19" t="inlineStr">
        <is>
          <t>2024ACT_VDEF</t>
        </is>
      </c>
      <c r="K634" s="19" t="inlineStr">
        <is>
          <t>2024 (N-2)</t>
        </is>
      </c>
      <c r="L634" s="13" t="n">
        <v>135161</v>
      </c>
    </row>
    <row r="635">
      <c r="A635" s="19" t="inlineStr">
        <is>
          <t>MBWAY_LYON</t>
        </is>
      </c>
      <c r="B635" s="18" t="inlineStr">
        <is>
          <t>MBway Lyon</t>
        </is>
      </c>
      <c r="C635" s="19" t="inlineStr">
        <is>
          <t>MBway</t>
        </is>
      </c>
      <c r="D635" s="19" t="inlineStr">
        <is>
          <t>Lyon</t>
        </is>
      </c>
      <c r="E635" s="19" t="inlineStr">
        <is>
          <t>6811</t>
        </is>
      </c>
      <c r="F635" s="18" t="inlineStr">
        <is>
          <t>Dotations aux amortissements (D&amp;A)</t>
        </is>
      </c>
      <c r="G635" s="19" t="inlineStr">
        <is>
          <t>68 — Dotations &amp; amort.</t>
        </is>
      </c>
      <c r="H635" s="19" t="inlineStr">
        <is>
          <t>Charge</t>
        </is>
      </c>
      <c r="I635" s="19" t="inlineStr">
        <is>
          <t>Dotations</t>
        </is>
      </c>
      <c r="J635" s="19" t="inlineStr">
        <is>
          <t>2024ACT_VDEF</t>
        </is>
      </c>
      <c r="K635" s="19" t="inlineStr">
        <is>
          <t>2024 (N-2)</t>
        </is>
      </c>
      <c r="L635" s="13" t="n">
        <v>117140</v>
      </c>
    </row>
    <row r="636">
      <c r="A636" s="19" t="inlineStr">
        <is>
          <t>MBWAY_NANTES</t>
        </is>
      </c>
      <c r="B636" s="18" t="inlineStr">
        <is>
          <t>MBway Nantes</t>
        </is>
      </c>
      <c r="C636" s="19" t="inlineStr">
        <is>
          <t>MBway</t>
        </is>
      </c>
      <c r="D636" s="19" t="inlineStr">
        <is>
          <t>Nantes</t>
        </is>
      </c>
      <c r="E636" s="19" t="inlineStr">
        <is>
          <t>6811</t>
        </is>
      </c>
      <c r="F636" s="18" t="inlineStr">
        <is>
          <t>Dotations aux amortissements (D&amp;A)</t>
        </is>
      </c>
      <c r="G636" s="19" t="inlineStr">
        <is>
          <t>68 — Dotations &amp; amort.</t>
        </is>
      </c>
      <c r="H636" s="19" t="inlineStr">
        <is>
          <t>Charge</t>
        </is>
      </c>
      <c r="I636" s="19" t="inlineStr">
        <is>
          <t>Dotations</t>
        </is>
      </c>
      <c r="J636" s="19" t="inlineStr">
        <is>
          <t>2024ACT_VDEF</t>
        </is>
      </c>
      <c r="K636" s="19" t="inlineStr">
        <is>
          <t>2024 (N-2)</t>
        </is>
      </c>
      <c r="L636" s="13" t="n">
        <v>108129</v>
      </c>
    </row>
    <row r="637">
      <c r="A637" s="19" t="inlineStr">
        <is>
          <t>MBWAY_BORDEAUX</t>
        </is>
      </c>
      <c r="B637" s="18" t="inlineStr">
        <is>
          <t>MBway Bordeaux</t>
        </is>
      </c>
      <c r="C637" s="19" t="inlineStr">
        <is>
          <t>MBway</t>
        </is>
      </c>
      <c r="D637" s="19" t="inlineStr">
        <is>
          <t>Bordeaux</t>
        </is>
      </c>
      <c r="E637" s="19" t="inlineStr">
        <is>
          <t>6811</t>
        </is>
      </c>
      <c r="F637" s="18" t="inlineStr">
        <is>
          <t>Dotations aux amortissements (D&amp;A)</t>
        </is>
      </c>
      <c r="G637" s="19" t="inlineStr">
        <is>
          <t>68 — Dotations &amp; amort.</t>
        </is>
      </c>
      <c r="H637" s="19" t="inlineStr">
        <is>
          <t>Charge</t>
        </is>
      </c>
      <c r="I637" s="19" t="inlineStr">
        <is>
          <t>Dotations</t>
        </is>
      </c>
      <c r="J637" s="19" t="inlineStr">
        <is>
          <t>2024ACT_VDEF</t>
        </is>
      </c>
      <c r="K637" s="19" t="inlineStr">
        <is>
          <t>2024 (N-2)</t>
        </is>
      </c>
      <c r="L637" s="13" t="n">
        <v>90107</v>
      </c>
    </row>
    <row r="638">
      <c r="A638" s="19" t="inlineStr">
        <is>
          <t>ISCOM_PARIS</t>
        </is>
      </c>
      <c r="B638" s="18" t="inlineStr">
        <is>
          <t>ISCOM Paris</t>
        </is>
      </c>
      <c r="C638" s="19" t="inlineStr">
        <is>
          <t>ISCOM</t>
        </is>
      </c>
      <c r="D638" s="19" t="inlineStr">
        <is>
          <t>Paris</t>
        </is>
      </c>
      <c r="E638" s="19" t="inlineStr">
        <is>
          <t>6811</t>
        </is>
      </c>
      <c r="F638" s="18" t="inlineStr">
        <is>
          <t>Dotations aux amortissements (D&amp;A)</t>
        </is>
      </c>
      <c r="G638" s="19" t="inlineStr">
        <is>
          <t>68 — Dotations &amp; amort.</t>
        </is>
      </c>
      <c r="H638" s="19" t="inlineStr">
        <is>
          <t>Charge</t>
        </is>
      </c>
      <c r="I638" s="19" t="inlineStr">
        <is>
          <t>Dotations</t>
        </is>
      </c>
      <c r="J638" s="19" t="inlineStr">
        <is>
          <t>2024ACT_VDEF</t>
        </is>
      </c>
      <c r="K638" s="19" t="inlineStr">
        <is>
          <t>2024 (N-2)</t>
        </is>
      </c>
      <c r="L638" s="13" t="n">
        <v>126150</v>
      </c>
    </row>
    <row r="639">
      <c r="A639" s="19" t="inlineStr">
        <is>
          <t>ISCOM_LILLE</t>
        </is>
      </c>
      <c r="B639" s="18" t="inlineStr">
        <is>
          <t>ISCOM Lille</t>
        </is>
      </c>
      <c r="C639" s="19" t="inlineStr">
        <is>
          <t>ISCOM</t>
        </is>
      </c>
      <c r="D639" s="19" t="inlineStr">
        <is>
          <t>Lille</t>
        </is>
      </c>
      <c r="E639" s="19" t="inlineStr">
        <is>
          <t>6811</t>
        </is>
      </c>
      <c r="F639" s="18" t="inlineStr">
        <is>
          <t>Dotations aux amortissements (D&amp;A)</t>
        </is>
      </c>
      <c r="G639" s="19" t="inlineStr">
        <is>
          <t>68 — Dotations &amp; amort.</t>
        </is>
      </c>
      <c r="H639" s="19" t="inlineStr">
        <is>
          <t>Charge</t>
        </is>
      </c>
      <c r="I639" s="19" t="inlineStr">
        <is>
          <t>Dotations</t>
        </is>
      </c>
      <c r="J639" s="19" t="inlineStr">
        <is>
          <t>2024ACT_VDEF</t>
        </is>
      </c>
      <c r="K639" s="19" t="inlineStr">
        <is>
          <t>2024 (N-2)</t>
        </is>
      </c>
      <c r="L639" s="13" t="n">
        <v>90107</v>
      </c>
    </row>
    <row r="640">
      <c r="A640" s="19" t="inlineStr">
        <is>
          <t>ISCOM_TOULOUSE</t>
        </is>
      </c>
      <c r="B640" s="18" t="inlineStr">
        <is>
          <t>ISCOM Toulouse</t>
        </is>
      </c>
      <c r="C640" s="19" t="inlineStr">
        <is>
          <t>ISCOM</t>
        </is>
      </c>
      <c r="D640" s="19" t="inlineStr">
        <is>
          <t>Toulouse</t>
        </is>
      </c>
      <c r="E640" s="19" t="inlineStr">
        <is>
          <t>6811</t>
        </is>
      </c>
      <c r="F640" s="18" t="inlineStr">
        <is>
          <t>Dotations aux amortissements (D&amp;A)</t>
        </is>
      </c>
      <c r="G640" s="19" t="inlineStr">
        <is>
          <t>68 — Dotations &amp; amort.</t>
        </is>
      </c>
      <c r="H640" s="19" t="inlineStr">
        <is>
          <t>Charge</t>
        </is>
      </c>
      <c r="I640" s="19" t="inlineStr">
        <is>
          <t>Dotations</t>
        </is>
      </c>
      <c r="J640" s="19" t="inlineStr">
        <is>
          <t>2024ACT_VDEF</t>
        </is>
      </c>
      <c r="K640" s="19" t="inlineStr">
        <is>
          <t>2024 (N-2)</t>
        </is>
      </c>
      <c r="L640" s="13" t="n">
        <v>90107</v>
      </c>
    </row>
    <row r="641">
      <c r="A641" s="19" t="inlineStr">
        <is>
          <t>IPAC_BACHELOR_FACTORY_NANTES</t>
        </is>
      </c>
      <c r="B641" s="18" t="inlineStr">
        <is>
          <t>Ipac Bachelor Factory Nantes</t>
        </is>
      </c>
      <c r="C641" s="19" t="inlineStr">
        <is>
          <t>Ipac Bachelor Factory</t>
        </is>
      </c>
      <c r="D641" s="19" t="inlineStr">
        <is>
          <t>Nantes</t>
        </is>
      </c>
      <c r="E641" s="19" t="inlineStr">
        <is>
          <t>6811</t>
        </is>
      </c>
      <c r="F641" s="18" t="inlineStr">
        <is>
          <t>Dotations aux amortissements (D&amp;A)</t>
        </is>
      </c>
      <c r="G641" s="19" t="inlineStr">
        <is>
          <t>68 — Dotations &amp; amort.</t>
        </is>
      </c>
      <c r="H641" s="19" t="inlineStr">
        <is>
          <t>Charge</t>
        </is>
      </c>
      <c r="I641" s="19" t="inlineStr">
        <is>
          <t>Dotations</t>
        </is>
      </c>
      <c r="J641" s="19" t="inlineStr">
        <is>
          <t>2024ACT_VDEF</t>
        </is>
      </c>
      <c r="K641" s="19" t="inlineStr">
        <is>
          <t>2024 (N-2)</t>
        </is>
      </c>
      <c r="L641" s="13" t="n">
        <v>54064</v>
      </c>
    </row>
    <row r="642">
      <c r="A642" s="19" t="inlineStr">
        <is>
          <t>IPAC_BACHELOR_FACTORY_RENNES</t>
        </is>
      </c>
      <c r="B642" s="18" t="inlineStr">
        <is>
          <t>Ipac Bachelor Factory Rennes</t>
        </is>
      </c>
      <c r="C642" s="19" t="inlineStr">
        <is>
          <t>Ipac Bachelor Factory</t>
        </is>
      </c>
      <c r="D642" s="19" t="inlineStr">
        <is>
          <t>Rennes</t>
        </is>
      </c>
      <c r="E642" s="19" t="inlineStr">
        <is>
          <t>6811</t>
        </is>
      </c>
      <c r="F642" s="18" t="inlineStr">
        <is>
          <t>Dotations aux amortissements (D&amp;A)</t>
        </is>
      </c>
      <c r="G642" s="19" t="inlineStr">
        <is>
          <t>68 — Dotations &amp; amort.</t>
        </is>
      </c>
      <c r="H642" s="19" t="inlineStr">
        <is>
          <t>Charge</t>
        </is>
      </c>
      <c r="I642" s="19" t="inlineStr">
        <is>
          <t>Dotations</t>
        </is>
      </c>
      <c r="J642" s="19" t="inlineStr">
        <is>
          <t>2024ACT_VDEF</t>
        </is>
      </c>
      <c r="K642" s="19" t="inlineStr">
        <is>
          <t>2024 (N-2)</t>
        </is>
      </c>
      <c r="L642" s="13" t="n">
        <v>54064</v>
      </c>
    </row>
    <row r="643">
      <c r="A643" s="19" t="inlineStr">
        <is>
          <t>IPAC_BACHELOR_FACTORY_MONTPELLIER</t>
        </is>
      </c>
      <c r="B643" s="18" t="inlineStr">
        <is>
          <t>Ipac Bachelor Factory Montpellier</t>
        </is>
      </c>
      <c r="C643" s="19" t="inlineStr">
        <is>
          <t>Ipac Bachelor Factory</t>
        </is>
      </c>
      <c r="D643" s="19" t="inlineStr">
        <is>
          <t>Montpellier</t>
        </is>
      </c>
      <c r="E643" s="19" t="inlineStr">
        <is>
          <t>6811</t>
        </is>
      </c>
      <c r="F643" s="18" t="inlineStr">
        <is>
          <t>Dotations aux amortissements (D&amp;A)</t>
        </is>
      </c>
      <c r="G643" s="19" t="inlineStr">
        <is>
          <t>68 — Dotations &amp; amort.</t>
        </is>
      </c>
      <c r="H643" s="19" t="inlineStr">
        <is>
          <t>Charge</t>
        </is>
      </c>
      <c r="I643" s="19" t="inlineStr">
        <is>
          <t>Dotations</t>
        </is>
      </c>
      <c r="J643" s="19" t="inlineStr">
        <is>
          <t>2024ACT_VDEF</t>
        </is>
      </c>
      <c r="K643" s="19" t="inlineStr">
        <is>
          <t>2024 (N-2)</t>
        </is>
      </c>
      <c r="L643" s="13" t="n">
        <v>54064</v>
      </c>
    </row>
    <row r="644">
      <c r="A644" s="19" t="inlineStr">
        <is>
          <t>PIGIER_LYON</t>
        </is>
      </c>
      <c r="B644" s="18" t="inlineStr">
        <is>
          <t>Pigier Lyon</t>
        </is>
      </c>
      <c r="C644" s="19" t="inlineStr">
        <is>
          <t>Pigier</t>
        </is>
      </c>
      <c r="D644" s="19" t="inlineStr">
        <is>
          <t>Lyon</t>
        </is>
      </c>
      <c r="E644" s="19" t="inlineStr">
        <is>
          <t>6811</t>
        </is>
      </c>
      <c r="F644" s="18" t="inlineStr">
        <is>
          <t>Dotations aux amortissements (D&amp;A)</t>
        </is>
      </c>
      <c r="G644" s="19" t="inlineStr">
        <is>
          <t>68 — Dotations &amp; amort.</t>
        </is>
      </c>
      <c r="H644" s="19" t="inlineStr">
        <is>
          <t>Charge</t>
        </is>
      </c>
      <c r="I644" s="19" t="inlineStr">
        <is>
          <t>Dotations</t>
        </is>
      </c>
      <c r="J644" s="19" t="inlineStr">
        <is>
          <t>2024ACT_VDEF</t>
        </is>
      </c>
      <c r="K644" s="19" t="inlineStr">
        <is>
          <t>2024 (N-2)</t>
        </is>
      </c>
      <c r="L644" s="13" t="n">
        <v>72086</v>
      </c>
    </row>
    <row r="645">
      <c r="A645" s="19" t="inlineStr">
        <is>
          <t>PIGIER_BORDEAUX</t>
        </is>
      </c>
      <c r="B645" s="18" t="inlineStr">
        <is>
          <t>Pigier Bordeaux</t>
        </is>
      </c>
      <c r="C645" s="19" t="inlineStr">
        <is>
          <t>Pigier</t>
        </is>
      </c>
      <c r="D645" s="19" t="inlineStr">
        <is>
          <t>Bordeaux</t>
        </is>
      </c>
      <c r="E645" s="19" t="inlineStr">
        <is>
          <t>6811</t>
        </is>
      </c>
      <c r="F645" s="18" t="inlineStr">
        <is>
          <t>Dotations aux amortissements (D&amp;A)</t>
        </is>
      </c>
      <c r="G645" s="19" t="inlineStr">
        <is>
          <t>68 — Dotations &amp; amort.</t>
        </is>
      </c>
      <c r="H645" s="19" t="inlineStr">
        <is>
          <t>Charge</t>
        </is>
      </c>
      <c r="I645" s="19" t="inlineStr">
        <is>
          <t>Dotations</t>
        </is>
      </c>
      <c r="J645" s="19" t="inlineStr">
        <is>
          <t>2024ACT_VDEF</t>
        </is>
      </c>
      <c r="K645" s="19" t="inlineStr">
        <is>
          <t>2024 (N-2)</t>
        </is>
      </c>
      <c r="L645" s="13" t="n">
        <v>72086</v>
      </c>
    </row>
    <row r="646">
      <c r="A646" s="19" t="inlineStr">
        <is>
          <t>TUNON_PARIS</t>
        </is>
      </c>
      <c r="B646" s="18" t="inlineStr">
        <is>
          <t>Tunon Paris</t>
        </is>
      </c>
      <c r="C646" s="19" t="inlineStr">
        <is>
          <t>Tunon</t>
        </is>
      </c>
      <c r="D646" s="19" t="inlineStr">
        <is>
          <t>Paris</t>
        </is>
      </c>
      <c r="E646" s="19" t="inlineStr">
        <is>
          <t>6811</t>
        </is>
      </c>
      <c r="F646" s="18" t="inlineStr">
        <is>
          <t>Dotations aux amortissements (D&amp;A)</t>
        </is>
      </c>
      <c r="G646" s="19" t="inlineStr">
        <is>
          <t>68 — Dotations &amp; amort.</t>
        </is>
      </c>
      <c r="H646" s="19" t="inlineStr">
        <is>
          <t>Charge</t>
        </is>
      </c>
      <c r="I646" s="19" t="inlineStr">
        <is>
          <t>Dotations</t>
        </is>
      </c>
      <c r="J646" s="19" t="inlineStr">
        <is>
          <t>2024ACT_VDEF</t>
        </is>
      </c>
      <c r="K646" s="19" t="inlineStr">
        <is>
          <t>2024 (N-2)</t>
        </is>
      </c>
      <c r="L646" s="13" t="n">
        <v>54064</v>
      </c>
    </row>
    <row r="647">
      <c r="A647" s="19" t="inlineStr">
        <is>
          <t>TUNON_LYON</t>
        </is>
      </c>
      <c r="B647" s="18" t="inlineStr">
        <is>
          <t>Tunon Lyon</t>
        </is>
      </c>
      <c r="C647" s="19" t="inlineStr">
        <is>
          <t>Tunon</t>
        </is>
      </c>
      <c r="D647" s="19" t="inlineStr">
        <is>
          <t>Lyon</t>
        </is>
      </c>
      <c r="E647" s="19" t="inlineStr">
        <is>
          <t>6811</t>
        </is>
      </c>
      <c r="F647" s="18" t="inlineStr">
        <is>
          <t>Dotations aux amortissements (D&amp;A)</t>
        </is>
      </c>
      <c r="G647" s="19" t="inlineStr">
        <is>
          <t>68 — Dotations &amp; amort.</t>
        </is>
      </c>
      <c r="H647" s="19" t="inlineStr">
        <is>
          <t>Charge</t>
        </is>
      </c>
      <c r="I647" s="19" t="inlineStr">
        <is>
          <t>Dotations</t>
        </is>
      </c>
      <c r="J647" s="19" t="inlineStr">
        <is>
          <t>2024ACT_VDEF</t>
        </is>
      </c>
      <c r="K647" s="19" t="inlineStr">
        <is>
          <t>2024 (N-2)</t>
        </is>
      </c>
      <c r="L647" s="13" t="n">
        <v>54064</v>
      </c>
    </row>
    <row r="648">
      <c r="A648" s="19" t="inlineStr">
        <is>
          <t>MBWAY_PARIS</t>
        </is>
      </c>
      <c r="B648" s="18" t="inlineStr">
        <is>
          <t>MBway Paris</t>
        </is>
      </c>
      <c r="C648" s="19" t="inlineStr">
        <is>
          <t>MBway</t>
        </is>
      </c>
      <c r="D648" s="19" t="inlineStr">
        <is>
          <t>Paris</t>
        </is>
      </c>
      <c r="E648" s="19" t="inlineStr">
        <is>
          <t>6811</t>
        </is>
      </c>
      <c r="F648" s="18" t="inlineStr">
        <is>
          <t>Dotations aux amortissements (D&amp;A)</t>
        </is>
      </c>
      <c r="G648" s="19" t="inlineStr">
        <is>
          <t>68 — Dotations &amp; amort.</t>
        </is>
      </c>
      <c r="H648" s="19" t="inlineStr">
        <is>
          <t>Charge</t>
        </is>
      </c>
      <c r="I648" s="19" t="inlineStr">
        <is>
          <t>Dotations</t>
        </is>
      </c>
      <c r="J648" s="19" t="inlineStr">
        <is>
          <t>2025ACT_VDEF</t>
        </is>
      </c>
      <c r="K648" s="19" t="inlineStr">
        <is>
          <t>2025 (N-1)</t>
        </is>
      </c>
      <c r="L648" s="13" t="n">
        <v>143271</v>
      </c>
    </row>
    <row r="649">
      <c r="A649" s="19" t="inlineStr">
        <is>
          <t>MBWAY_LYON</t>
        </is>
      </c>
      <c r="B649" s="18" t="inlineStr">
        <is>
          <t>MBway Lyon</t>
        </is>
      </c>
      <c r="C649" s="19" t="inlineStr">
        <is>
          <t>MBway</t>
        </is>
      </c>
      <c r="D649" s="19" t="inlineStr">
        <is>
          <t>Lyon</t>
        </is>
      </c>
      <c r="E649" s="19" t="inlineStr">
        <is>
          <t>6811</t>
        </is>
      </c>
      <c r="F649" s="18" t="inlineStr">
        <is>
          <t>Dotations aux amortissements (D&amp;A)</t>
        </is>
      </c>
      <c r="G649" s="19" t="inlineStr">
        <is>
          <t>68 — Dotations &amp; amort.</t>
        </is>
      </c>
      <c r="H649" s="19" t="inlineStr">
        <is>
          <t>Charge</t>
        </is>
      </c>
      <c r="I649" s="19" t="inlineStr">
        <is>
          <t>Dotations</t>
        </is>
      </c>
      <c r="J649" s="19" t="inlineStr">
        <is>
          <t>2025ACT_VDEF</t>
        </is>
      </c>
      <c r="K649" s="19" t="inlineStr">
        <is>
          <t>2025 (N-1)</t>
        </is>
      </c>
      <c r="L649" s="13" t="n">
        <v>124168</v>
      </c>
    </row>
    <row r="650">
      <c r="A650" s="19" t="inlineStr">
        <is>
          <t>MBWAY_NANTES</t>
        </is>
      </c>
      <c r="B650" s="18" t="inlineStr">
        <is>
          <t>MBway Nantes</t>
        </is>
      </c>
      <c r="C650" s="19" t="inlineStr">
        <is>
          <t>MBway</t>
        </is>
      </c>
      <c r="D650" s="19" t="inlineStr">
        <is>
          <t>Nantes</t>
        </is>
      </c>
      <c r="E650" s="19" t="inlineStr">
        <is>
          <t>6811</t>
        </is>
      </c>
      <c r="F650" s="18" t="inlineStr">
        <is>
          <t>Dotations aux amortissements (D&amp;A)</t>
        </is>
      </c>
      <c r="G650" s="19" t="inlineStr">
        <is>
          <t>68 — Dotations &amp; amort.</t>
        </is>
      </c>
      <c r="H650" s="19" t="inlineStr">
        <is>
          <t>Charge</t>
        </is>
      </c>
      <c r="I650" s="19" t="inlineStr">
        <is>
          <t>Dotations</t>
        </is>
      </c>
      <c r="J650" s="19" t="inlineStr">
        <is>
          <t>2025ACT_VDEF</t>
        </is>
      </c>
      <c r="K650" s="19" t="inlineStr">
        <is>
          <t>2025 (N-1)</t>
        </is>
      </c>
      <c r="L650" s="13" t="n">
        <v>114617</v>
      </c>
    </row>
    <row r="651">
      <c r="A651" s="19" t="inlineStr">
        <is>
          <t>MBWAY_BORDEAUX</t>
        </is>
      </c>
      <c r="B651" s="18" t="inlineStr">
        <is>
          <t>MBway Bordeaux</t>
        </is>
      </c>
      <c r="C651" s="19" t="inlineStr">
        <is>
          <t>MBway</t>
        </is>
      </c>
      <c r="D651" s="19" t="inlineStr">
        <is>
          <t>Bordeaux</t>
        </is>
      </c>
      <c r="E651" s="19" t="inlineStr">
        <is>
          <t>6811</t>
        </is>
      </c>
      <c r="F651" s="18" t="inlineStr">
        <is>
          <t>Dotations aux amortissements (D&amp;A)</t>
        </is>
      </c>
      <c r="G651" s="19" t="inlineStr">
        <is>
          <t>68 — Dotations &amp; amort.</t>
        </is>
      </c>
      <c r="H651" s="19" t="inlineStr">
        <is>
          <t>Charge</t>
        </is>
      </c>
      <c r="I651" s="19" t="inlineStr">
        <is>
          <t>Dotations</t>
        </is>
      </c>
      <c r="J651" s="19" t="inlineStr">
        <is>
          <t>2025ACT_VDEF</t>
        </is>
      </c>
      <c r="K651" s="19" t="inlineStr">
        <is>
          <t>2025 (N-1)</t>
        </is>
      </c>
      <c r="L651" s="13" t="n">
        <v>95514</v>
      </c>
    </row>
    <row r="652">
      <c r="A652" s="19" t="inlineStr">
        <is>
          <t>ISCOM_PARIS</t>
        </is>
      </c>
      <c r="B652" s="18" t="inlineStr">
        <is>
          <t>ISCOM Paris</t>
        </is>
      </c>
      <c r="C652" s="19" t="inlineStr">
        <is>
          <t>ISCOM</t>
        </is>
      </c>
      <c r="D652" s="19" t="inlineStr">
        <is>
          <t>Paris</t>
        </is>
      </c>
      <c r="E652" s="19" t="inlineStr">
        <is>
          <t>6811</t>
        </is>
      </c>
      <c r="F652" s="18" t="inlineStr">
        <is>
          <t>Dotations aux amortissements (D&amp;A)</t>
        </is>
      </c>
      <c r="G652" s="19" t="inlineStr">
        <is>
          <t>68 — Dotations &amp; amort.</t>
        </is>
      </c>
      <c r="H652" s="19" t="inlineStr">
        <is>
          <t>Charge</t>
        </is>
      </c>
      <c r="I652" s="19" t="inlineStr">
        <is>
          <t>Dotations</t>
        </is>
      </c>
      <c r="J652" s="19" t="inlineStr">
        <is>
          <t>2025ACT_VDEF</t>
        </is>
      </c>
      <c r="K652" s="19" t="inlineStr">
        <is>
          <t>2025 (N-1)</t>
        </is>
      </c>
      <c r="L652" s="13" t="n">
        <v>133719</v>
      </c>
    </row>
    <row r="653">
      <c r="A653" s="19" t="inlineStr">
        <is>
          <t>ISCOM_LILLE</t>
        </is>
      </c>
      <c r="B653" s="18" t="inlineStr">
        <is>
          <t>ISCOM Lille</t>
        </is>
      </c>
      <c r="C653" s="19" t="inlineStr">
        <is>
          <t>ISCOM</t>
        </is>
      </c>
      <c r="D653" s="19" t="inlineStr">
        <is>
          <t>Lille</t>
        </is>
      </c>
      <c r="E653" s="19" t="inlineStr">
        <is>
          <t>6811</t>
        </is>
      </c>
      <c r="F653" s="18" t="inlineStr">
        <is>
          <t>Dotations aux amortissements (D&amp;A)</t>
        </is>
      </c>
      <c r="G653" s="19" t="inlineStr">
        <is>
          <t>68 — Dotations &amp; amort.</t>
        </is>
      </c>
      <c r="H653" s="19" t="inlineStr">
        <is>
          <t>Charge</t>
        </is>
      </c>
      <c r="I653" s="19" t="inlineStr">
        <is>
          <t>Dotations</t>
        </is>
      </c>
      <c r="J653" s="19" t="inlineStr">
        <is>
          <t>2025ACT_VDEF</t>
        </is>
      </c>
      <c r="K653" s="19" t="inlineStr">
        <is>
          <t>2025 (N-1)</t>
        </is>
      </c>
      <c r="L653" s="13" t="n">
        <v>95514</v>
      </c>
    </row>
    <row r="654">
      <c r="A654" s="19" t="inlineStr">
        <is>
          <t>ISCOM_TOULOUSE</t>
        </is>
      </c>
      <c r="B654" s="18" t="inlineStr">
        <is>
          <t>ISCOM Toulouse</t>
        </is>
      </c>
      <c r="C654" s="19" t="inlineStr">
        <is>
          <t>ISCOM</t>
        </is>
      </c>
      <c r="D654" s="19" t="inlineStr">
        <is>
          <t>Toulouse</t>
        </is>
      </c>
      <c r="E654" s="19" t="inlineStr">
        <is>
          <t>6811</t>
        </is>
      </c>
      <c r="F654" s="18" t="inlineStr">
        <is>
          <t>Dotations aux amortissements (D&amp;A)</t>
        </is>
      </c>
      <c r="G654" s="19" t="inlineStr">
        <is>
          <t>68 — Dotations &amp; amort.</t>
        </is>
      </c>
      <c r="H654" s="19" t="inlineStr">
        <is>
          <t>Charge</t>
        </is>
      </c>
      <c r="I654" s="19" t="inlineStr">
        <is>
          <t>Dotations</t>
        </is>
      </c>
      <c r="J654" s="19" t="inlineStr">
        <is>
          <t>2025ACT_VDEF</t>
        </is>
      </c>
      <c r="K654" s="19" t="inlineStr">
        <is>
          <t>2025 (N-1)</t>
        </is>
      </c>
      <c r="L654" s="13" t="n">
        <v>95514</v>
      </c>
    </row>
    <row r="655">
      <c r="A655" s="19" t="inlineStr">
        <is>
          <t>IPAC_BACHELOR_FACTORY_NANTES</t>
        </is>
      </c>
      <c r="B655" s="18" t="inlineStr">
        <is>
          <t>Ipac Bachelor Factory Nantes</t>
        </is>
      </c>
      <c r="C655" s="19" t="inlineStr">
        <is>
          <t>Ipac Bachelor Factory</t>
        </is>
      </c>
      <c r="D655" s="19" t="inlineStr">
        <is>
          <t>Nantes</t>
        </is>
      </c>
      <c r="E655" s="19" t="inlineStr">
        <is>
          <t>6811</t>
        </is>
      </c>
      <c r="F655" s="18" t="inlineStr">
        <is>
          <t>Dotations aux amortissements (D&amp;A)</t>
        </is>
      </c>
      <c r="G655" s="19" t="inlineStr">
        <is>
          <t>68 — Dotations &amp; amort.</t>
        </is>
      </c>
      <c r="H655" s="19" t="inlineStr">
        <is>
          <t>Charge</t>
        </is>
      </c>
      <c r="I655" s="19" t="inlineStr">
        <is>
          <t>Dotations</t>
        </is>
      </c>
      <c r="J655" s="19" t="inlineStr">
        <is>
          <t>2025ACT_VDEF</t>
        </is>
      </c>
      <c r="K655" s="19" t="inlineStr">
        <is>
          <t>2025 (N-1)</t>
        </is>
      </c>
      <c r="L655" s="13" t="n">
        <v>57308</v>
      </c>
    </row>
    <row r="656">
      <c r="A656" s="19" t="inlineStr">
        <is>
          <t>IPAC_BACHELOR_FACTORY_RENNES</t>
        </is>
      </c>
      <c r="B656" s="18" t="inlineStr">
        <is>
          <t>Ipac Bachelor Factory Rennes</t>
        </is>
      </c>
      <c r="C656" s="19" t="inlineStr">
        <is>
          <t>Ipac Bachelor Factory</t>
        </is>
      </c>
      <c r="D656" s="19" t="inlineStr">
        <is>
          <t>Rennes</t>
        </is>
      </c>
      <c r="E656" s="19" t="inlineStr">
        <is>
          <t>6811</t>
        </is>
      </c>
      <c r="F656" s="18" t="inlineStr">
        <is>
          <t>Dotations aux amortissements (D&amp;A)</t>
        </is>
      </c>
      <c r="G656" s="19" t="inlineStr">
        <is>
          <t>68 — Dotations &amp; amort.</t>
        </is>
      </c>
      <c r="H656" s="19" t="inlineStr">
        <is>
          <t>Charge</t>
        </is>
      </c>
      <c r="I656" s="19" t="inlineStr">
        <is>
          <t>Dotations</t>
        </is>
      </c>
      <c r="J656" s="19" t="inlineStr">
        <is>
          <t>2025ACT_VDEF</t>
        </is>
      </c>
      <c r="K656" s="19" t="inlineStr">
        <is>
          <t>2025 (N-1)</t>
        </is>
      </c>
      <c r="L656" s="13" t="n">
        <v>57308</v>
      </c>
    </row>
    <row r="657">
      <c r="A657" s="19" t="inlineStr">
        <is>
          <t>IPAC_BACHELOR_FACTORY_MONTPELLIER</t>
        </is>
      </c>
      <c r="B657" s="18" t="inlineStr">
        <is>
          <t>Ipac Bachelor Factory Montpellier</t>
        </is>
      </c>
      <c r="C657" s="19" t="inlineStr">
        <is>
          <t>Ipac Bachelor Factory</t>
        </is>
      </c>
      <c r="D657" s="19" t="inlineStr">
        <is>
          <t>Montpellier</t>
        </is>
      </c>
      <c r="E657" s="19" t="inlineStr">
        <is>
          <t>6811</t>
        </is>
      </c>
      <c r="F657" s="18" t="inlineStr">
        <is>
          <t>Dotations aux amortissements (D&amp;A)</t>
        </is>
      </c>
      <c r="G657" s="19" t="inlineStr">
        <is>
          <t>68 — Dotations &amp; amort.</t>
        </is>
      </c>
      <c r="H657" s="19" t="inlineStr">
        <is>
          <t>Charge</t>
        </is>
      </c>
      <c r="I657" s="19" t="inlineStr">
        <is>
          <t>Dotations</t>
        </is>
      </c>
      <c r="J657" s="19" t="inlineStr">
        <is>
          <t>2025ACT_VDEF</t>
        </is>
      </c>
      <c r="K657" s="19" t="inlineStr">
        <is>
          <t>2025 (N-1)</t>
        </is>
      </c>
      <c r="L657" s="13" t="n">
        <v>57308</v>
      </c>
    </row>
    <row r="658">
      <c r="A658" s="19" t="inlineStr">
        <is>
          <t>PIGIER_LYON</t>
        </is>
      </c>
      <c r="B658" s="18" t="inlineStr">
        <is>
          <t>Pigier Lyon</t>
        </is>
      </c>
      <c r="C658" s="19" t="inlineStr">
        <is>
          <t>Pigier</t>
        </is>
      </c>
      <c r="D658" s="19" t="inlineStr">
        <is>
          <t>Lyon</t>
        </is>
      </c>
      <c r="E658" s="19" t="inlineStr">
        <is>
          <t>6811</t>
        </is>
      </c>
      <c r="F658" s="18" t="inlineStr">
        <is>
          <t>Dotations aux amortissements (D&amp;A)</t>
        </is>
      </c>
      <c r="G658" s="19" t="inlineStr">
        <is>
          <t>68 — Dotations &amp; amort.</t>
        </is>
      </c>
      <c r="H658" s="19" t="inlineStr">
        <is>
          <t>Charge</t>
        </is>
      </c>
      <c r="I658" s="19" t="inlineStr">
        <is>
          <t>Dotations</t>
        </is>
      </c>
      <c r="J658" s="19" t="inlineStr">
        <is>
          <t>2025ACT_VDEF</t>
        </is>
      </c>
      <c r="K658" s="19" t="inlineStr">
        <is>
          <t>2025 (N-1)</t>
        </is>
      </c>
      <c r="L658" s="13" t="n">
        <v>76411</v>
      </c>
    </row>
    <row r="659">
      <c r="A659" s="19" t="inlineStr">
        <is>
          <t>PIGIER_BORDEAUX</t>
        </is>
      </c>
      <c r="B659" s="18" t="inlineStr">
        <is>
          <t>Pigier Bordeaux</t>
        </is>
      </c>
      <c r="C659" s="19" t="inlineStr">
        <is>
          <t>Pigier</t>
        </is>
      </c>
      <c r="D659" s="19" t="inlineStr">
        <is>
          <t>Bordeaux</t>
        </is>
      </c>
      <c r="E659" s="19" t="inlineStr">
        <is>
          <t>6811</t>
        </is>
      </c>
      <c r="F659" s="18" t="inlineStr">
        <is>
          <t>Dotations aux amortissements (D&amp;A)</t>
        </is>
      </c>
      <c r="G659" s="19" t="inlineStr">
        <is>
          <t>68 — Dotations &amp; amort.</t>
        </is>
      </c>
      <c r="H659" s="19" t="inlineStr">
        <is>
          <t>Charge</t>
        </is>
      </c>
      <c r="I659" s="19" t="inlineStr">
        <is>
          <t>Dotations</t>
        </is>
      </c>
      <c r="J659" s="19" t="inlineStr">
        <is>
          <t>2025ACT_VDEF</t>
        </is>
      </c>
      <c r="K659" s="19" t="inlineStr">
        <is>
          <t>2025 (N-1)</t>
        </is>
      </c>
      <c r="L659" s="13" t="n">
        <v>76411</v>
      </c>
    </row>
    <row r="660">
      <c r="A660" s="19" t="inlineStr">
        <is>
          <t>TUNON_PARIS</t>
        </is>
      </c>
      <c r="B660" s="18" t="inlineStr">
        <is>
          <t>Tunon Paris</t>
        </is>
      </c>
      <c r="C660" s="19" t="inlineStr">
        <is>
          <t>Tunon</t>
        </is>
      </c>
      <c r="D660" s="19" t="inlineStr">
        <is>
          <t>Paris</t>
        </is>
      </c>
      <c r="E660" s="19" t="inlineStr">
        <is>
          <t>6811</t>
        </is>
      </c>
      <c r="F660" s="18" t="inlineStr">
        <is>
          <t>Dotations aux amortissements (D&amp;A)</t>
        </is>
      </c>
      <c r="G660" s="19" t="inlineStr">
        <is>
          <t>68 — Dotations &amp; amort.</t>
        </is>
      </c>
      <c r="H660" s="19" t="inlineStr">
        <is>
          <t>Charge</t>
        </is>
      </c>
      <c r="I660" s="19" t="inlineStr">
        <is>
          <t>Dotations</t>
        </is>
      </c>
      <c r="J660" s="19" t="inlineStr">
        <is>
          <t>2025ACT_VDEF</t>
        </is>
      </c>
      <c r="K660" s="19" t="inlineStr">
        <is>
          <t>2025 (N-1)</t>
        </is>
      </c>
      <c r="L660" s="13" t="n">
        <v>57308</v>
      </c>
    </row>
    <row r="661">
      <c r="A661" s="19" t="inlineStr">
        <is>
          <t>TUNON_LYON</t>
        </is>
      </c>
      <c r="B661" s="18" t="inlineStr">
        <is>
          <t>Tunon Lyon</t>
        </is>
      </c>
      <c r="C661" s="19" t="inlineStr">
        <is>
          <t>Tunon</t>
        </is>
      </c>
      <c r="D661" s="19" t="inlineStr">
        <is>
          <t>Lyon</t>
        </is>
      </c>
      <c r="E661" s="19" t="inlineStr">
        <is>
          <t>6811</t>
        </is>
      </c>
      <c r="F661" s="18" t="inlineStr">
        <is>
          <t>Dotations aux amortissements (D&amp;A)</t>
        </is>
      </c>
      <c r="G661" s="19" t="inlineStr">
        <is>
          <t>68 — Dotations &amp; amort.</t>
        </is>
      </c>
      <c r="H661" s="19" t="inlineStr">
        <is>
          <t>Charge</t>
        </is>
      </c>
      <c r="I661" s="19" t="inlineStr">
        <is>
          <t>Dotations</t>
        </is>
      </c>
      <c r="J661" s="19" t="inlineStr">
        <is>
          <t>2025ACT_VDEF</t>
        </is>
      </c>
      <c r="K661" s="19" t="inlineStr">
        <is>
          <t>2025 (N-1)</t>
        </is>
      </c>
      <c r="L661" s="13" t="n">
        <v>57308</v>
      </c>
    </row>
    <row r="662">
      <c r="A662" s="19" t="inlineStr">
        <is>
          <t>MBWAY_PARIS</t>
        </is>
      </c>
      <c r="B662" s="18" t="inlineStr">
        <is>
          <t>MBway Paris</t>
        </is>
      </c>
      <c r="C662" s="19" t="inlineStr">
        <is>
          <t>MBway</t>
        </is>
      </c>
      <c r="D662" s="19" t="inlineStr">
        <is>
          <t>Paris</t>
        </is>
      </c>
      <c r="E662" s="19" t="inlineStr">
        <is>
          <t>6811</t>
        </is>
      </c>
      <c r="F662" s="18" t="inlineStr">
        <is>
          <t>Dotations aux amortissements (D&amp;A)</t>
        </is>
      </c>
      <c r="G662" s="19" t="inlineStr">
        <is>
          <t>68 — Dotations &amp; amort.</t>
        </is>
      </c>
      <c r="H662" s="19" t="inlineStr">
        <is>
          <t>Charge</t>
        </is>
      </c>
      <c r="I662" s="19" t="inlineStr">
        <is>
          <t>Dotations</t>
        </is>
      </c>
      <c r="J662" s="19" t="inlineStr">
        <is>
          <t>2026ATT_VDEF</t>
        </is>
      </c>
      <c r="K662" s="19" t="inlineStr">
        <is>
          <t>2026 (Atterr.)</t>
        </is>
      </c>
      <c r="L662" s="13" t="n">
        <v>151867</v>
      </c>
    </row>
    <row r="663">
      <c r="A663" s="19" t="inlineStr">
        <is>
          <t>MBWAY_LYON</t>
        </is>
      </c>
      <c r="B663" s="18" t="inlineStr">
        <is>
          <t>MBway Lyon</t>
        </is>
      </c>
      <c r="C663" s="19" t="inlineStr">
        <is>
          <t>MBway</t>
        </is>
      </c>
      <c r="D663" s="19" t="inlineStr">
        <is>
          <t>Lyon</t>
        </is>
      </c>
      <c r="E663" s="19" t="inlineStr">
        <is>
          <t>6811</t>
        </is>
      </c>
      <c r="F663" s="18" t="inlineStr">
        <is>
          <t>Dotations aux amortissements (D&amp;A)</t>
        </is>
      </c>
      <c r="G663" s="19" t="inlineStr">
        <is>
          <t>68 — Dotations &amp; amort.</t>
        </is>
      </c>
      <c r="H663" s="19" t="inlineStr">
        <is>
          <t>Charge</t>
        </is>
      </c>
      <c r="I663" s="19" t="inlineStr">
        <is>
          <t>Dotations</t>
        </is>
      </c>
      <c r="J663" s="19" t="inlineStr">
        <is>
          <t>2026ATT_VDEF</t>
        </is>
      </c>
      <c r="K663" s="19" t="inlineStr">
        <is>
          <t>2026 (Atterr.)</t>
        </is>
      </c>
      <c r="L663" s="13" t="n">
        <v>131618</v>
      </c>
    </row>
    <row r="664">
      <c r="A664" s="19" t="inlineStr">
        <is>
          <t>MBWAY_NANTES</t>
        </is>
      </c>
      <c r="B664" s="18" t="inlineStr">
        <is>
          <t>MBway Nantes</t>
        </is>
      </c>
      <c r="C664" s="19" t="inlineStr">
        <is>
          <t>MBway</t>
        </is>
      </c>
      <c r="D664" s="19" t="inlineStr">
        <is>
          <t>Nantes</t>
        </is>
      </c>
      <c r="E664" s="19" t="inlineStr">
        <is>
          <t>6811</t>
        </is>
      </c>
      <c r="F664" s="18" t="inlineStr">
        <is>
          <t>Dotations aux amortissements (D&amp;A)</t>
        </is>
      </c>
      <c r="G664" s="19" t="inlineStr">
        <is>
          <t>68 — Dotations &amp; amort.</t>
        </is>
      </c>
      <c r="H664" s="19" t="inlineStr">
        <is>
          <t>Charge</t>
        </is>
      </c>
      <c r="I664" s="19" t="inlineStr">
        <is>
          <t>Dotations</t>
        </is>
      </c>
      <c r="J664" s="19" t="inlineStr">
        <is>
          <t>2026ATT_VDEF</t>
        </is>
      </c>
      <c r="K664" s="19" t="inlineStr">
        <is>
          <t>2026 (Atterr.)</t>
        </is>
      </c>
      <c r="L664" s="13" t="n">
        <v>121494</v>
      </c>
    </row>
    <row r="665">
      <c r="A665" s="19" t="inlineStr">
        <is>
          <t>MBWAY_BORDEAUX</t>
        </is>
      </c>
      <c r="B665" s="18" t="inlineStr">
        <is>
          <t>MBway Bordeaux</t>
        </is>
      </c>
      <c r="C665" s="19" t="inlineStr">
        <is>
          <t>MBway</t>
        </is>
      </c>
      <c r="D665" s="19" t="inlineStr">
        <is>
          <t>Bordeaux</t>
        </is>
      </c>
      <c r="E665" s="19" t="inlineStr">
        <is>
          <t>6811</t>
        </is>
      </c>
      <c r="F665" s="18" t="inlineStr">
        <is>
          <t>Dotations aux amortissements (D&amp;A)</t>
        </is>
      </c>
      <c r="G665" s="19" t="inlineStr">
        <is>
          <t>68 — Dotations &amp; amort.</t>
        </is>
      </c>
      <c r="H665" s="19" t="inlineStr">
        <is>
          <t>Charge</t>
        </is>
      </c>
      <c r="I665" s="19" t="inlineStr">
        <is>
          <t>Dotations</t>
        </is>
      </c>
      <c r="J665" s="19" t="inlineStr">
        <is>
          <t>2026ATT_VDEF</t>
        </is>
      </c>
      <c r="K665" s="19" t="inlineStr">
        <is>
          <t>2026 (Atterr.)</t>
        </is>
      </c>
      <c r="L665" s="13" t="n">
        <v>101245</v>
      </c>
    </row>
    <row r="666">
      <c r="A666" s="19" t="inlineStr">
        <is>
          <t>ISCOM_PARIS</t>
        </is>
      </c>
      <c r="B666" s="18" t="inlineStr">
        <is>
          <t>ISCOM Paris</t>
        </is>
      </c>
      <c r="C666" s="19" t="inlineStr">
        <is>
          <t>ISCOM</t>
        </is>
      </c>
      <c r="D666" s="19" t="inlineStr">
        <is>
          <t>Paris</t>
        </is>
      </c>
      <c r="E666" s="19" t="inlineStr">
        <is>
          <t>6811</t>
        </is>
      </c>
      <c r="F666" s="18" t="inlineStr">
        <is>
          <t>Dotations aux amortissements (D&amp;A)</t>
        </is>
      </c>
      <c r="G666" s="19" t="inlineStr">
        <is>
          <t>68 — Dotations &amp; amort.</t>
        </is>
      </c>
      <c r="H666" s="19" t="inlineStr">
        <is>
          <t>Charge</t>
        </is>
      </c>
      <c r="I666" s="19" t="inlineStr">
        <is>
          <t>Dotations</t>
        </is>
      </c>
      <c r="J666" s="19" t="inlineStr">
        <is>
          <t>2026ATT_VDEF</t>
        </is>
      </c>
      <c r="K666" s="19" t="inlineStr">
        <is>
          <t>2026 (Atterr.)</t>
        </is>
      </c>
      <c r="L666" s="13" t="n">
        <v>141743</v>
      </c>
    </row>
    <row r="667">
      <c r="A667" s="19" t="inlineStr">
        <is>
          <t>ISCOM_LILLE</t>
        </is>
      </c>
      <c r="B667" s="18" t="inlineStr">
        <is>
          <t>ISCOM Lille</t>
        </is>
      </c>
      <c r="C667" s="19" t="inlineStr">
        <is>
          <t>ISCOM</t>
        </is>
      </c>
      <c r="D667" s="19" t="inlineStr">
        <is>
          <t>Lille</t>
        </is>
      </c>
      <c r="E667" s="19" t="inlineStr">
        <is>
          <t>6811</t>
        </is>
      </c>
      <c r="F667" s="18" t="inlineStr">
        <is>
          <t>Dotations aux amortissements (D&amp;A)</t>
        </is>
      </c>
      <c r="G667" s="19" t="inlineStr">
        <is>
          <t>68 — Dotations &amp; amort.</t>
        </is>
      </c>
      <c r="H667" s="19" t="inlineStr">
        <is>
          <t>Charge</t>
        </is>
      </c>
      <c r="I667" s="19" t="inlineStr">
        <is>
          <t>Dotations</t>
        </is>
      </c>
      <c r="J667" s="19" t="inlineStr">
        <is>
          <t>2026ATT_VDEF</t>
        </is>
      </c>
      <c r="K667" s="19" t="inlineStr">
        <is>
          <t>2026 (Atterr.)</t>
        </is>
      </c>
      <c r="L667" s="13" t="n">
        <v>101245</v>
      </c>
    </row>
    <row r="668">
      <c r="A668" s="19" t="inlineStr">
        <is>
          <t>ISCOM_TOULOUSE</t>
        </is>
      </c>
      <c r="B668" s="18" t="inlineStr">
        <is>
          <t>ISCOM Toulouse</t>
        </is>
      </c>
      <c r="C668" s="19" t="inlineStr">
        <is>
          <t>ISCOM</t>
        </is>
      </c>
      <c r="D668" s="19" t="inlineStr">
        <is>
          <t>Toulouse</t>
        </is>
      </c>
      <c r="E668" s="19" t="inlineStr">
        <is>
          <t>6811</t>
        </is>
      </c>
      <c r="F668" s="18" t="inlineStr">
        <is>
          <t>Dotations aux amortissements (D&amp;A)</t>
        </is>
      </c>
      <c r="G668" s="19" t="inlineStr">
        <is>
          <t>68 — Dotations &amp; amort.</t>
        </is>
      </c>
      <c r="H668" s="19" t="inlineStr">
        <is>
          <t>Charge</t>
        </is>
      </c>
      <c r="I668" s="19" t="inlineStr">
        <is>
          <t>Dotations</t>
        </is>
      </c>
      <c r="J668" s="19" t="inlineStr">
        <is>
          <t>2026ATT_VDEF</t>
        </is>
      </c>
      <c r="K668" s="19" t="inlineStr">
        <is>
          <t>2026 (Atterr.)</t>
        </is>
      </c>
      <c r="L668" s="13" t="n">
        <v>101245</v>
      </c>
    </row>
    <row r="669">
      <c r="A669" s="19" t="inlineStr">
        <is>
          <t>IPAC_BACHELOR_FACTORY_NANTES</t>
        </is>
      </c>
      <c r="B669" s="18" t="inlineStr">
        <is>
          <t>Ipac Bachelor Factory Nantes</t>
        </is>
      </c>
      <c r="C669" s="19" t="inlineStr">
        <is>
          <t>Ipac Bachelor Factory</t>
        </is>
      </c>
      <c r="D669" s="19" t="inlineStr">
        <is>
          <t>Nantes</t>
        </is>
      </c>
      <c r="E669" s="19" t="inlineStr">
        <is>
          <t>6811</t>
        </is>
      </c>
      <c r="F669" s="18" t="inlineStr">
        <is>
          <t>Dotations aux amortissements (D&amp;A)</t>
        </is>
      </c>
      <c r="G669" s="19" t="inlineStr">
        <is>
          <t>68 — Dotations &amp; amort.</t>
        </is>
      </c>
      <c r="H669" s="19" t="inlineStr">
        <is>
          <t>Charge</t>
        </is>
      </c>
      <c r="I669" s="19" t="inlineStr">
        <is>
          <t>Dotations</t>
        </is>
      </c>
      <c r="J669" s="19" t="inlineStr">
        <is>
          <t>2026ATT_VDEF</t>
        </is>
      </c>
      <c r="K669" s="19" t="inlineStr">
        <is>
          <t>2026 (Atterr.)</t>
        </is>
      </c>
      <c r="L669" s="13" t="n">
        <v>60747</v>
      </c>
    </row>
    <row r="670">
      <c r="A670" s="19" t="inlineStr">
        <is>
          <t>IPAC_BACHELOR_FACTORY_RENNES</t>
        </is>
      </c>
      <c r="B670" s="18" t="inlineStr">
        <is>
          <t>Ipac Bachelor Factory Rennes</t>
        </is>
      </c>
      <c r="C670" s="19" t="inlineStr">
        <is>
          <t>Ipac Bachelor Factory</t>
        </is>
      </c>
      <c r="D670" s="19" t="inlineStr">
        <is>
          <t>Rennes</t>
        </is>
      </c>
      <c r="E670" s="19" t="inlineStr">
        <is>
          <t>6811</t>
        </is>
      </c>
      <c r="F670" s="18" t="inlineStr">
        <is>
          <t>Dotations aux amortissements (D&amp;A)</t>
        </is>
      </c>
      <c r="G670" s="19" t="inlineStr">
        <is>
          <t>68 — Dotations &amp; amort.</t>
        </is>
      </c>
      <c r="H670" s="19" t="inlineStr">
        <is>
          <t>Charge</t>
        </is>
      </c>
      <c r="I670" s="19" t="inlineStr">
        <is>
          <t>Dotations</t>
        </is>
      </c>
      <c r="J670" s="19" t="inlineStr">
        <is>
          <t>2026ATT_VDEF</t>
        </is>
      </c>
      <c r="K670" s="19" t="inlineStr">
        <is>
          <t>2026 (Atterr.)</t>
        </is>
      </c>
      <c r="L670" s="13" t="n">
        <v>60747</v>
      </c>
    </row>
    <row r="671">
      <c r="A671" s="19" t="inlineStr">
        <is>
          <t>IPAC_BACHELOR_FACTORY_MONTPELLIER</t>
        </is>
      </c>
      <c r="B671" s="18" t="inlineStr">
        <is>
          <t>Ipac Bachelor Factory Montpellier</t>
        </is>
      </c>
      <c r="C671" s="19" t="inlineStr">
        <is>
          <t>Ipac Bachelor Factory</t>
        </is>
      </c>
      <c r="D671" s="19" t="inlineStr">
        <is>
          <t>Montpellier</t>
        </is>
      </c>
      <c r="E671" s="19" t="inlineStr">
        <is>
          <t>6811</t>
        </is>
      </c>
      <c r="F671" s="18" t="inlineStr">
        <is>
          <t>Dotations aux amortissements (D&amp;A)</t>
        </is>
      </c>
      <c r="G671" s="19" t="inlineStr">
        <is>
          <t>68 — Dotations &amp; amort.</t>
        </is>
      </c>
      <c r="H671" s="19" t="inlineStr">
        <is>
          <t>Charge</t>
        </is>
      </c>
      <c r="I671" s="19" t="inlineStr">
        <is>
          <t>Dotations</t>
        </is>
      </c>
      <c r="J671" s="19" t="inlineStr">
        <is>
          <t>2026ATT_VDEF</t>
        </is>
      </c>
      <c r="K671" s="19" t="inlineStr">
        <is>
          <t>2026 (Atterr.)</t>
        </is>
      </c>
      <c r="L671" s="13" t="n">
        <v>60747</v>
      </c>
    </row>
    <row r="672">
      <c r="A672" s="19" t="inlineStr">
        <is>
          <t>PIGIER_LYON</t>
        </is>
      </c>
      <c r="B672" s="18" t="inlineStr">
        <is>
          <t>Pigier Lyon</t>
        </is>
      </c>
      <c r="C672" s="19" t="inlineStr">
        <is>
          <t>Pigier</t>
        </is>
      </c>
      <c r="D672" s="19" t="inlineStr">
        <is>
          <t>Lyon</t>
        </is>
      </c>
      <c r="E672" s="19" t="inlineStr">
        <is>
          <t>6811</t>
        </is>
      </c>
      <c r="F672" s="18" t="inlineStr">
        <is>
          <t>Dotations aux amortissements (D&amp;A)</t>
        </is>
      </c>
      <c r="G672" s="19" t="inlineStr">
        <is>
          <t>68 — Dotations &amp; amort.</t>
        </is>
      </c>
      <c r="H672" s="19" t="inlineStr">
        <is>
          <t>Charge</t>
        </is>
      </c>
      <c r="I672" s="19" t="inlineStr">
        <is>
          <t>Dotations</t>
        </is>
      </c>
      <c r="J672" s="19" t="inlineStr">
        <is>
          <t>2026ATT_VDEF</t>
        </is>
      </c>
      <c r="K672" s="19" t="inlineStr">
        <is>
          <t>2026 (Atterr.)</t>
        </is>
      </c>
      <c r="L672" s="13" t="n">
        <v>80996</v>
      </c>
    </row>
    <row r="673">
      <c r="A673" s="19" t="inlineStr">
        <is>
          <t>PIGIER_BORDEAUX</t>
        </is>
      </c>
      <c r="B673" s="18" t="inlineStr">
        <is>
          <t>Pigier Bordeaux</t>
        </is>
      </c>
      <c r="C673" s="19" t="inlineStr">
        <is>
          <t>Pigier</t>
        </is>
      </c>
      <c r="D673" s="19" t="inlineStr">
        <is>
          <t>Bordeaux</t>
        </is>
      </c>
      <c r="E673" s="19" t="inlineStr">
        <is>
          <t>6811</t>
        </is>
      </c>
      <c r="F673" s="18" t="inlineStr">
        <is>
          <t>Dotations aux amortissements (D&amp;A)</t>
        </is>
      </c>
      <c r="G673" s="19" t="inlineStr">
        <is>
          <t>68 — Dotations &amp; amort.</t>
        </is>
      </c>
      <c r="H673" s="19" t="inlineStr">
        <is>
          <t>Charge</t>
        </is>
      </c>
      <c r="I673" s="19" t="inlineStr">
        <is>
          <t>Dotations</t>
        </is>
      </c>
      <c r="J673" s="19" t="inlineStr">
        <is>
          <t>2026ATT_VDEF</t>
        </is>
      </c>
      <c r="K673" s="19" t="inlineStr">
        <is>
          <t>2026 (Atterr.)</t>
        </is>
      </c>
      <c r="L673" s="13" t="n">
        <v>80996</v>
      </c>
    </row>
    <row r="674">
      <c r="A674" s="19" t="inlineStr">
        <is>
          <t>TUNON_PARIS</t>
        </is>
      </c>
      <c r="B674" s="18" t="inlineStr">
        <is>
          <t>Tunon Paris</t>
        </is>
      </c>
      <c r="C674" s="19" t="inlineStr">
        <is>
          <t>Tunon</t>
        </is>
      </c>
      <c r="D674" s="19" t="inlineStr">
        <is>
          <t>Paris</t>
        </is>
      </c>
      <c r="E674" s="19" t="inlineStr">
        <is>
          <t>6811</t>
        </is>
      </c>
      <c r="F674" s="18" t="inlineStr">
        <is>
          <t>Dotations aux amortissements (D&amp;A)</t>
        </is>
      </c>
      <c r="G674" s="19" t="inlineStr">
        <is>
          <t>68 — Dotations &amp; amort.</t>
        </is>
      </c>
      <c r="H674" s="19" t="inlineStr">
        <is>
          <t>Charge</t>
        </is>
      </c>
      <c r="I674" s="19" t="inlineStr">
        <is>
          <t>Dotations</t>
        </is>
      </c>
      <c r="J674" s="19" t="inlineStr">
        <is>
          <t>2026ATT_VDEF</t>
        </is>
      </c>
      <c r="K674" s="19" t="inlineStr">
        <is>
          <t>2026 (Atterr.)</t>
        </is>
      </c>
      <c r="L674" s="13" t="n">
        <v>60747</v>
      </c>
    </row>
    <row r="675">
      <c r="A675" s="19" t="inlineStr">
        <is>
          <t>TUNON_LYON</t>
        </is>
      </c>
      <c r="B675" s="18" t="inlineStr">
        <is>
          <t>Tunon Lyon</t>
        </is>
      </c>
      <c r="C675" s="19" t="inlineStr">
        <is>
          <t>Tunon</t>
        </is>
      </c>
      <c r="D675" s="19" t="inlineStr">
        <is>
          <t>Lyon</t>
        </is>
      </c>
      <c r="E675" s="19" t="inlineStr">
        <is>
          <t>6811</t>
        </is>
      </c>
      <c r="F675" s="18" t="inlineStr">
        <is>
          <t>Dotations aux amortissements (D&amp;A)</t>
        </is>
      </c>
      <c r="G675" s="19" t="inlineStr">
        <is>
          <t>68 — Dotations &amp; amort.</t>
        </is>
      </c>
      <c r="H675" s="19" t="inlineStr">
        <is>
          <t>Charge</t>
        </is>
      </c>
      <c r="I675" s="19" t="inlineStr">
        <is>
          <t>Dotations</t>
        </is>
      </c>
      <c r="J675" s="19" t="inlineStr">
        <is>
          <t>2026ATT_VDEF</t>
        </is>
      </c>
      <c r="K675" s="19" t="inlineStr">
        <is>
          <t>2026 (Atterr.)</t>
        </is>
      </c>
      <c r="L675" s="13" t="n">
        <v>60747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9" customWidth="1" min="8" max="8"/>
  </cols>
  <sheetData>
    <row r="1" ht="26" customHeight="1">
      <c r="B1" s="1" t="inlineStr">
        <is>
          <t>COMPTE DE RÉSULTAT (SIG) — réalisé 2024 · 2025 · atterrissage 2026 · BUDGET 2027 (piloté par le cadrage)</t>
        </is>
      </c>
    </row>
    <row r="3" ht="26" customHeight="1">
      <c r="B3" s="11" t="inlineStr">
        <is>
          <t>Compte</t>
        </is>
      </c>
      <c r="C3" s="11" t="inlineStr">
        <is>
          <t>Libellé</t>
        </is>
      </c>
      <c r="D3" s="11" t="inlineStr">
        <is>
          <t>2024 (N-2)</t>
        </is>
      </c>
      <c r="E3" s="11" t="inlineStr">
        <is>
          <t>2025 (N-1)</t>
        </is>
      </c>
      <c r="F3" s="11" t="inlineStr">
        <is>
          <t>2026 (Atterr.)</t>
        </is>
      </c>
      <c r="G3" s="11" t="inlineStr">
        <is>
          <t>🟢 Budget 2027</t>
        </is>
      </c>
      <c r="H3" s="11" t="inlineStr">
        <is>
          <t>Var Bud/Att %</t>
        </is>
      </c>
    </row>
    <row r="4" ht="20" customHeight="1">
      <c r="B4" s="53" t="inlineStr">
        <is>
          <t>PRODUITS</t>
        </is>
      </c>
      <c r="C4" s="54" t="n"/>
      <c r="D4" s="54" t="n"/>
      <c r="E4" s="54" t="n"/>
      <c r="F4" s="54" t="n"/>
      <c r="G4" s="54" t="n"/>
      <c r="H4" s="54" t="n"/>
    </row>
    <row r="5">
      <c r="B5" s="21" t="inlineStr">
        <is>
          <t>7062</t>
        </is>
      </c>
      <c r="C5" s="50" t="inlineStr">
        <is>
          <t>Prestations de formation — alternance (OPCO)</t>
        </is>
      </c>
      <c r="D5" s="16">
        <f>SUMIFS('06_Compta'!$L$4:$L$675,'06_Compta'!$E$4:$E$675,"7062",'06_Compta'!$J$4:$J$675,"2024ACT_VDEF")</f>
        <v/>
      </c>
      <c r="E5" s="16">
        <f>SUMIFS('06_Compta'!$L$4:$L$675,'06_Compta'!$E$4:$E$675,"7062",'06_Compta'!$J$4:$J$675,"2025ACT_VDEF")</f>
        <v/>
      </c>
      <c r="F5" s="16">
        <f>SUMIFS('06_Compta'!$L$4:$L$675,'06_Compta'!$E$4:$E$675,"7062",'06_Compta'!$J$4:$J$675,"2026ATT_VDEF")</f>
        <v/>
      </c>
      <c r="G5" s="55">
        <f>F5*('04_Moteur'!$AA$62/21936350)</f>
        <v/>
      </c>
      <c r="H5" s="17">
        <f>IFERROR(G5/F5-1,0)</f>
        <v/>
      </c>
    </row>
    <row r="6">
      <c r="B6" s="21" t="inlineStr">
        <is>
          <t>706</t>
        </is>
      </c>
      <c r="C6" s="50" t="inlineStr">
        <is>
          <t>Prestations de formation — scolarité (initial)</t>
        </is>
      </c>
      <c r="D6" s="16">
        <f>SUMIFS('06_Compta'!$L$4:$L$675,'06_Compta'!$E$4:$E$675,"706",'06_Compta'!$J$4:$J$675,"2024ACT_VDEF")</f>
        <v/>
      </c>
      <c r="E6" s="16">
        <f>SUMIFS('06_Compta'!$L$4:$L$675,'06_Compta'!$E$4:$E$675,"706",'06_Compta'!$J$4:$J$675,"2025ACT_VDEF")</f>
        <v/>
      </c>
      <c r="F6" s="16">
        <f>SUMIFS('06_Compta'!$L$4:$L$675,'06_Compta'!$E$4:$E$675,"706",'06_Compta'!$J$4:$J$675,"2026ATT_VDEF")</f>
        <v/>
      </c>
      <c r="G6" s="55">
        <f>F6*('04_Moteur'!$AA$62/21936350)</f>
        <v/>
      </c>
      <c r="H6" s="17">
        <f>IFERROR(G6/F6-1,0)</f>
        <v/>
      </c>
    </row>
    <row r="7">
      <c r="B7" s="21" t="inlineStr">
        <is>
          <t>708</t>
        </is>
      </c>
      <c r="C7" s="50" t="inlineStr">
        <is>
          <t>Frais de dossier &amp; droits d'inscription</t>
        </is>
      </c>
      <c r="D7" s="16">
        <f>SUMIFS('06_Compta'!$L$4:$L$675,'06_Compta'!$E$4:$E$675,"708",'06_Compta'!$J$4:$J$675,"2024ACT_VDEF")</f>
        <v/>
      </c>
      <c r="E7" s="16">
        <f>SUMIFS('06_Compta'!$L$4:$L$675,'06_Compta'!$E$4:$E$675,"708",'06_Compta'!$J$4:$J$675,"2025ACT_VDEF")</f>
        <v/>
      </c>
      <c r="F7" s="16">
        <f>SUMIFS('06_Compta'!$L$4:$L$675,'06_Compta'!$E$4:$E$675,"708",'06_Compta'!$J$4:$J$675,"2026ATT_VDEF")</f>
        <v/>
      </c>
      <c r="G7" s="55">
        <f>F7*('04_Moteur'!$AA$62/21936350)</f>
        <v/>
      </c>
      <c r="H7" s="17">
        <f>IFERROR(G7/F7-1,0)</f>
        <v/>
      </c>
    </row>
    <row r="8">
      <c r="B8" s="56" t="inlineStr">
        <is>
          <t> </t>
        </is>
      </c>
      <c r="C8" s="44" t="inlineStr">
        <is>
          <t>CHIFFRE D'AFFAIRES</t>
        </is>
      </c>
      <c r="D8" s="47">
        <f>SUMIFS('06_Compta'!$L$4:$L$675,'06_Compta'!$H$4:$H$675,"Produit",'06_Compta'!$J$4:$J$675,"2024ACT_VDEF")</f>
        <v/>
      </c>
      <c r="E8" s="47">
        <f>SUMIFS('06_Compta'!$L$4:$L$675,'06_Compta'!$H$4:$H$675,"Produit",'06_Compta'!$J$4:$J$675,"2025ACT_VDEF")</f>
        <v/>
      </c>
      <c r="F8" s="47">
        <f>SUMIFS('06_Compta'!$L$4:$L$675,'06_Compta'!$H$4:$H$675,"Produit",'06_Compta'!$J$4:$J$675,"2026ATT_VDEF")</f>
        <v/>
      </c>
      <c r="G8" s="57">
        <f>G5+G6+G7</f>
        <v/>
      </c>
      <c r="H8" s="58">
        <f>IFERROR(G8/F8-1,0)</f>
        <v/>
      </c>
    </row>
    <row r="9" ht="20" customHeight="1">
      <c r="B9" s="53" t="inlineStr">
        <is>
          <t>COÛTS DIRECTS</t>
        </is>
      </c>
      <c r="C9" s="54" t="n"/>
      <c r="D9" s="54" t="n"/>
      <c r="E9" s="54" t="n"/>
      <c r="F9" s="54" t="n"/>
      <c r="G9" s="54" t="n"/>
      <c r="H9" s="54" t="n"/>
    </row>
    <row r="10">
      <c r="B10" s="21" t="inlineStr">
        <is>
          <t>621</t>
        </is>
      </c>
      <c r="C10" s="50" t="inlineStr">
        <is>
          <t>Personnel extérieur — vacataires &amp; intervenants</t>
        </is>
      </c>
      <c r="D10" s="16">
        <f>-SUMIFS('06_Compta'!$L$4:$L$675,'06_Compta'!$E$4:$E$675,"621",'06_Compta'!$J$4:$J$675,"2024ACT_VDEF")</f>
        <v/>
      </c>
      <c r="E10" s="16">
        <f>-SUMIFS('06_Compta'!$L$4:$L$675,'06_Compta'!$E$4:$E$675,"621",'06_Compta'!$J$4:$J$675,"2025ACT_VDEF")</f>
        <v/>
      </c>
      <c r="F10" s="16">
        <f>-SUMIFS('06_Compta'!$L$4:$L$675,'06_Compta'!$E$4:$E$675,"621",'06_Compta'!$J$4:$J$675,"2026ATT_VDEF")</f>
        <v/>
      </c>
      <c r="G10" s="55">
        <f>F10*(('04_Moteur'!$AA$62/21936350)*(1-'01_Cadrage'!$H$24))</f>
        <v/>
      </c>
      <c r="H10" s="17">
        <f>IFERROR(G10/F10-1,0)</f>
        <v/>
      </c>
    </row>
    <row r="11">
      <c r="B11" s="21" t="inlineStr">
        <is>
          <t>604</t>
        </is>
      </c>
      <c r="C11" s="50" t="inlineStr">
        <is>
          <t>Sous-traitance pédagogique</t>
        </is>
      </c>
      <c r="D11" s="16">
        <f>-SUMIFS('06_Compta'!$L$4:$L$675,'06_Compta'!$E$4:$E$675,"604",'06_Compta'!$J$4:$J$675,"2024ACT_VDEF")</f>
        <v/>
      </c>
      <c r="E11" s="16">
        <f>-SUMIFS('06_Compta'!$L$4:$L$675,'06_Compta'!$E$4:$E$675,"604",'06_Compta'!$J$4:$J$675,"2025ACT_VDEF")</f>
        <v/>
      </c>
      <c r="F11" s="16">
        <f>-SUMIFS('06_Compta'!$L$4:$L$675,'06_Compta'!$E$4:$E$675,"604",'06_Compta'!$J$4:$J$675,"2026ATT_VDEF")</f>
        <v/>
      </c>
      <c r="G11" s="55">
        <f>F11*(('04_Moteur'!$AA$62/21936350)*(1-'01_Cadrage'!$H$24))</f>
        <v/>
      </c>
      <c r="H11" s="17">
        <f>IFERROR(G11/F11-1,0)</f>
        <v/>
      </c>
    </row>
    <row r="12">
      <c r="B12" s="21" t="inlineStr">
        <is>
          <t>6063</t>
        </is>
      </c>
      <c r="C12" s="50" t="inlineStr">
        <is>
          <t>Fournitures pédagogiques &amp; petit équipement</t>
        </is>
      </c>
      <c r="D12" s="16">
        <f>-SUMIFS('06_Compta'!$L$4:$L$675,'06_Compta'!$E$4:$E$675,"6063",'06_Compta'!$J$4:$J$675,"2024ACT_VDEF")</f>
        <v/>
      </c>
      <c r="E12" s="16">
        <f>-SUMIFS('06_Compta'!$L$4:$L$675,'06_Compta'!$E$4:$E$675,"6063",'06_Compta'!$J$4:$J$675,"2025ACT_VDEF")</f>
        <v/>
      </c>
      <c r="F12" s="16">
        <f>-SUMIFS('06_Compta'!$L$4:$L$675,'06_Compta'!$E$4:$E$675,"6063",'06_Compta'!$J$4:$J$675,"2026ATT_VDEF")</f>
        <v/>
      </c>
      <c r="G12" s="55">
        <f>F12*(('04_Moteur'!$AA$62/21936350)*(1-'01_Cadrage'!$H$24))</f>
        <v/>
      </c>
      <c r="H12" s="17">
        <f>IFERROR(G12/F12-1,0)</f>
        <v/>
      </c>
    </row>
    <row r="13">
      <c r="B13" s="21" t="inlineStr">
        <is>
          <t>6231</t>
        </is>
      </c>
      <c r="C13" s="50" t="inlineStr">
        <is>
          <t>Publicité &amp; marketing d'acquisition (leads)</t>
        </is>
      </c>
      <c r="D13" s="16">
        <f>-SUMIFS('06_Compta'!$L$4:$L$675,'06_Compta'!$E$4:$E$675,"6231",'06_Compta'!$J$4:$J$675,"2024ACT_VDEF")</f>
        <v/>
      </c>
      <c r="E13" s="16">
        <f>-SUMIFS('06_Compta'!$L$4:$L$675,'06_Compta'!$E$4:$E$675,"6231",'06_Compta'!$J$4:$J$675,"2025ACT_VDEF")</f>
        <v/>
      </c>
      <c r="F13" s="16">
        <f>-SUMIFS('06_Compta'!$L$4:$L$675,'06_Compta'!$E$4:$E$675,"6231",'06_Compta'!$J$4:$J$675,"2026ATT_VDEF")</f>
        <v/>
      </c>
      <c r="G13" s="55">
        <f>F13*(1+'01_Cadrage'!$H$16)</f>
        <v/>
      </c>
      <c r="H13" s="17">
        <f>IFERROR(G13/F13-1,0)</f>
        <v/>
      </c>
    </row>
    <row r="14">
      <c r="B14" s="56" t="inlineStr">
        <is>
          <t> </t>
        </is>
      </c>
      <c r="C14" s="44" t="inlineStr">
        <is>
          <t>MARGE DE CONTRIBUTION</t>
        </is>
      </c>
      <c r="D14" s="47">
        <f>SUMIFS('06_Compta'!$L$4:$L$675,'06_Compta'!$H$4:$H$675,"Produit",'06_Compta'!$J$4:$J$675,"2024ACT_VDEF")-SUMIFS('06_Compta'!$L$4:$L$675,'06_Compta'!$I$4:$I$675,"Coûts directs",'06_Compta'!$J$4:$J$675,"2024ACT_VDEF")</f>
        <v/>
      </c>
      <c r="E14" s="47">
        <f>SUMIFS('06_Compta'!$L$4:$L$675,'06_Compta'!$H$4:$H$675,"Produit",'06_Compta'!$J$4:$J$675,"2025ACT_VDEF")-SUMIFS('06_Compta'!$L$4:$L$675,'06_Compta'!$I$4:$I$675,"Coûts directs",'06_Compta'!$J$4:$J$675,"2025ACT_VDEF")</f>
        <v/>
      </c>
      <c r="F14" s="47">
        <f>SUMIFS('06_Compta'!$L$4:$L$675,'06_Compta'!$H$4:$H$675,"Produit",'06_Compta'!$J$4:$J$675,"2026ATT_VDEF")-SUMIFS('06_Compta'!$L$4:$L$675,'06_Compta'!$I$4:$I$675,"Coûts directs",'06_Compta'!$J$4:$J$675,"2026ATT_VDEF")</f>
        <v/>
      </c>
      <c r="G14" s="57">
        <f>G5+G6+G7+G10+G11+G12+G13</f>
        <v/>
      </c>
      <c r="H14" s="58">
        <f>IFERROR(G14/F14-1,0)</f>
        <v/>
      </c>
    </row>
    <row r="15" ht="20" customHeight="1">
      <c r="B15" s="53" t="inlineStr">
        <is>
          <t>PERSONNEL</t>
        </is>
      </c>
      <c r="C15" s="54" t="n"/>
      <c r="D15" s="54" t="n"/>
      <c r="E15" s="54" t="n"/>
      <c r="F15" s="54" t="n"/>
      <c r="G15" s="54" t="n"/>
      <c r="H15" s="54" t="n"/>
    </row>
    <row r="16">
      <c r="B16" s="21" t="inlineStr">
        <is>
          <t>6411</t>
        </is>
      </c>
      <c r="C16" s="50" t="inlineStr">
        <is>
          <t>Rémunération enseignants permanents</t>
        </is>
      </c>
      <c r="D16" s="16">
        <f>-SUMIFS('06_Compta'!$L$4:$L$675,'06_Compta'!$E$4:$E$675,"6411",'06_Compta'!$J$4:$J$675,"2024ACT_VDEF")</f>
        <v/>
      </c>
      <c r="E16" s="16">
        <f>-SUMIFS('06_Compta'!$L$4:$L$675,'06_Compta'!$E$4:$E$675,"6411",'06_Compta'!$J$4:$J$675,"2025ACT_VDEF")</f>
        <v/>
      </c>
      <c r="F16" s="16">
        <f>-SUMIFS('06_Compta'!$L$4:$L$675,'06_Compta'!$E$4:$E$675,"6411",'06_Compta'!$J$4:$J$675,"2026ATT_VDEF")</f>
        <v/>
      </c>
      <c r="G16" s="55">
        <f>F16*((1+'01_Cadrage'!$H$22)*(1+'01_Cadrage'!$H$23))</f>
        <v/>
      </c>
      <c r="H16" s="17">
        <f>IFERROR(G16/F16-1,0)</f>
        <v/>
      </c>
    </row>
    <row r="17">
      <c r="B17" s="21" t="inlineStr">
        <is>
          <t>6413</t>
        </is>
      </c>
      <c r="C17" s="50" t="inlineStr">
        <is>
          <t>Rémunération personnel administratif &amp; pédagogique</t>
        </is>
      </c>
      <c r="D17" s="16">
        <f>-SUMIFS('06_Compta'!$L$4:$L$675,'06_Compta'!$E$4:$E$675,"6413",'06_Compta'!$J$4:$J$675,"2024ACT_VDEF")</f>
        <v/>
      </c>
      <c r="E17" s="16">
        <f>-SUMIFS('06_Compta'!$L$4:$L$675,'06_Compta'!$E$4:$E$675,"6413",'06_Compta'!$J$4:$J$675,"2025ACT_VDEF")</f>
        <v/>
      </c>
      <c r="F17" s="16">
        <f>-SUMIFS('06_Compta'!$L$4:$L$675,'06_Compta'!$E$4:$E$675,"6413",'06_Compta'!$J$4:$J$675,"2026ATT_VDEF")</f>
        <v/>
      </c>
      <c r="G17" s="55">
        <f>F17*((1+'01_Cadrage'!$H$22)*(1+'01_Cadrage'!$H$23))</f>
        <v/>
      </c>
      <c r="H17" s="17">
        <f>IFERROR(G17/F17-1,0)</f>
        <v/>
      </c>
    </row>
    <row r="18">
      <c r="B18" s="21" t="inlineStr">
        <is>
          <t>6414</t>
        </is>
      </c>
      <c r="C18" s="50" t="inlineStr">
        <is>
          <t>Rémunération direction &amp; fonctions support (siège)</t>
        </is>
      </c>
      <c r="D18" s="16">
        <f>-SUMIFS('06_Compta'!$L$4:$L$675,'06_Compta'!$E$4:$E$675,"6414",'06_Compta'!$J$4:$J$675,"2024ACT_VDEF")</f>
        <v/>
      </c>
      <c r="E18" s="16">
        <f>-SUMIFS('06_Compta'!$L$4:$L$675,'06_Compta'!$E$4:$E$675,"6414",'06_Compta'!$J$4:$J$675,"2025ACT_VDEF")</f>
        <v/>
      </c>
      <c r="F18" s="16">
        <f>-SUMIFS('06_Compta'!$L$4:$L$675,'06_Compta'!$E$4:$E$675,"6414",'06_Compta'!$J$4:$J$675,"2026ATT_VDEF")</f>
        <v/>
      </c>
      <c r="G18" s="55">
        <f>F18*((1+'01_Cadrage'!$H$22)*(1+'01_Cadrage'!$H$23))</f>
        <v/>
      </c>
      <c r="H18" s="17">
        <f>IFERROR(G18/F18-1,0)</f>
        <v/>
      </c>
    </row>
    <row r="19">
      <c r="B19" s="21" t="inlineStr">
        <is>
          <t>645</t>
        </is>
      </c>
      <c r="C19" s="50" t="inlineStr">
        <is>
          <t>Charges sociales &amp; de prévoyance</t>
        </is>
      </c>
      <c r="D19" s="16">
        <f>-SUMIFS('06_Compta'!$L$4:$L$675,'06_Compta'!$E$4:$E$675,"645",'06_Compta'!$J$4:$J$675,"2024ACT_VDEF")</f>
        <v/>
      </c>
      <c r="E19" s="16">
        <f>-SUMIFS('06_Compta'!$L$4:$L$675,'06_Compta'!$E$4:$E$675,"645",'06_Compta'!$J$4:$J$675,"2025ACT_VDEF")</f>
        <v/>
      </c>
      <c r="F19" s="16">
        <f>-SUMIFS('06_Compta'!$L$4:$L$675,'06_Compta'!$E$4:$E$675,"645",'06_Compta'!$J$4:$J$675,"2026ATT_VDEF")</f>
        <v/>
      </c>
      <c r="G19" s="55">
        <f>F19*((1+'01_Cadrage'!$H$22)*(1+'01_Cadrage'!$H$23))</f>
        <v/>
      </c>
      <c r="H19" s="17">
        <f>IFERROR(G19/F19-1,0)</f>
        <v/>
      </c>
    </row>
    <row r="20" ht="20" customHeight="1">
      <c r="B20" s="53" t="inlineStr">
        <is>
          <t>STRUCTURE</t>
        </is>
      </c>
      <c r="C20" s="54" t="n"/>
      <c r="D20" s="54" t="n"/>
      <c r="E20" s="54" t="n"/>
      <c r="F20" s="54" t="n"/>
      <c r="G20" s="54" t="n"/>
      <c r="H20" s="54" t="n"/>
    </row>
    <row r="21">
      <c r="B21" s="21" t="inlineStr">
        <is>
          <t>613</t>
        </is>
      </c>
      <c r="C21" s="50" t="inlineStr">
        <is>
          <t>Loyers &amp; charges locatives (campus)</t>
        </is>
      </c>
      <c r="D21" s="16">
        <f>-SUMIFS('06_Compta'!$L$4:$L$675,'06_Compta'!$E$4:$E$675,"613",'06_Compta'!$J$4:$J$675,"2024ACT_VDEF")</f>
        <v/>
      </c>
      <c r="E21" s="16">
        <f>-SUMIFS('06_Compta'!$L$4:$L$675,'06_Compta'!$E$4:$E$675,"613",'06_Compta'!$J$4:$J$675,"2025ACT_VDEF")</f>
        <v/>
      </c>
      <c r="F21" s="16">
        <f>-SUMIFS('06_Compta'!$L$4:$L$675,'06_Compta'!$E$4:$E$675,"613",'06_Compta'!$J$4:$J$675,"2026ATT_VDEF")</f>
        <v/>
      </c>
      <c r="G21" s="55">
        <f>F21*((1+'01_Cadrage'!$H$21)*(1-'01_Cadrage'!$H$24))</f>
        <v/>
      </c>
      <c r="H21" s="17">
        <f>IFERROR(G21/F21-1,0)</f>
        <v/>
      </c>
    </row>
    <row r="22">
      <c r="B22" s="21" t="inlineStr">
        <is>
          <t>615</t>
        </is>
      </c>
      <c r="C22" s="50" t="inlineStr">
        <is>
          <t>Entretien &amp; maintenance</t>
        </is>
      </c>
      <c r="D22" s="16">
        <f>-SUMIFS('06_Compta'!$L$4:$L$675,'06_Compta'!$E$4:$E$675,"615",'06_Compta'!$J$4:$J$675,"2024ACT_VDEF")</f>
        <v/>
      </c>
      <c r="E22" s="16">
        <f>-SUMIFS('06_Compta'!$L$4:$L$675,'06_Compta'!$E$4:$E$675,"615",'06_Compta'!$J$4:$J$675,"2025ACT_VDEF")</f>
        <v/>
      </c>
      <c r="F22" s="16">
        <f>-SUMIFS('06_Compta'!$L$4:$L$675,'06_Compta'!$E$4:$E$675,"615",'06_Compta'!$J$4:$J$675,"2026ATT_VDEF")</f>
        <v/>
      </c>
      <c r="G22" s="55">
        <f>F22*((1+'01_Cadrage'!$H$21)*(1-'01_Cadrage'!$H$24))</f>
        <v/>
      </c>
      <c r="H22" s="17">
        <f>IFERROR(G22/F22-1,0)</f>
        <v/>
      </c>
    </row>
    <row r="23">
      <c r="B23" s="21" t="inlineStr">
        <is>
          <t>616</t>
        </is>
      </c>
      <c r="C23" s="50" t="inlineStr">
        <is>
          <t>Primes d'assurance</t>
        </is>
      </c>
      <c r="D23" s="16">
        <f>-SUMIFS('06_Compta'!$L$4:$L$675,'06_Compta'!$E$4:$E$675,"616",'06_Compta'!$J$4:$J$675,"2024ACT_VDEF")</f>
        <v/>
      </c>
      <c r="E23" s="16">
        <f>-SUMIFS('06_Compta'!$L$4:$L$675,'06_Compta'!$E$4:$E$675,"616",'06_Compta'!$J$4:$J$675,"2025ACT_VDEF")</f>
        <v/>
      </c>
      <c r="F23" s="16">
        <f>-SUMIFS('06_Compta'!$L$4:$L$675,'06_Compta'!$E$4:$E$675,"616",'06_Compta'!$J$4:$J$675,"2026ATT_VDEF")</f>
        <v/>
      </c>
      <c r="G23" s="55">
        <f>F23*((1+'01_Cadrage'!$H$21)*(1-'01_Cadrage'!$H$24))</f>
        <v/>
      </c>
      <c r="H23" s="17">
        <f>IFERROR(G23/F23-1,0)</f>
        <v/>
      </c>
    </row>
    <row r="24">
      <c r="B24" s="21" t="inlineStr">
        <is>
          <t>6226</t>
        </is>
      </c>
      <c r="C24" s="50" t="inlineStr">
        <is>
          <t>Honoraires (audit, conseil, juridique)</t>
        </is>
      </c>
      <c r="D24" s="16">
        <f>-SUMIFS('06_Compta'!$L$4:$L$675,'06_Compta'!$E$4:$E$675,"6226",'06_Compta'!$J$4:$J$675,"2024ACT_VDEF")</f>
        <v/>
      </c>
      <c r="E24" s="16">
        <f>-SUMIFS('06_Compta'!$L$4:$L$675,'06_Compta'!$E$4:$E$675,"6226",'06_Compta'!$J$4:$J$675,"2025ACT_VDEF")</f>
        <v/>
      </c>
      <c r="F24" s="16">
        <f>-SUMIFS('06_Compta'!$L$4:$L$675,'06_Compta'!$E$4:$E$675,"6226",'06_Compta'!$J$4:$J$675,"2026ATT_VDEF")</f>
        <v/>
      </c>
      <c r="G24" s="55">
        <f>F24*((1+'01_Cadrage'!$H$21)*(1-'01_Cadrage'!$H$24))</f>
        <v/>
      </c>
      <c r="H24" s="17">
        <f>IFERROR(G24/F24-1,0)</f>
        <v/>
      </c>
    </row>
    <row r="25">
      <c r="B25" s="21" t="inlineStr">
        <is>
          <t>6236</t>
        </is>
      </c>
      <c r="C25" s="50" t="inlineStr">
        <is>
          <t>Marketing de marque, salons &amp; JPO</t>
        </is>
      </c>
      <c r="D25" s="16">
        <f>-SUMIFS('06_Compta'!$L$4:$L$675,'06_Compta'!$E$4:$E$675,"6236",'06_Compta'!$J$4:$J$675,"2024ACT_VDEF")</f>
        <v/>
      </c>
      <c r="E25" s="16">
        <f>-SUMIFS('06_Compta'!$L$4:$L$675,'06_Compta'!$E$4:$E$675,"6236",'06_Compta'!$J$4:$J$675,"2025ACT_VDEF")</f>
        <v/>
      </c>
      <c r="F25" s="16">
        <f>-SUMIFS('06_Compta'!$L$4:$L$675,'06_Compta'!$E$4:$E$675,"6236",'06_Compta'!$J$4:$J$675,"2026ATT_VDEF")</f>
        <v/>
      </c>
      <c r="G25" s="55">
        <f>F25*((1+'01_Cadrage'!$H$21)*(1-'01_Cadrage'!$H$24))</f>
        <v/>
      </c>
      <c r="H25" s="17">
        <f>IFERROR(G25/F25-1,0)</f>
        <v/>
      </c>
    </row>
    <row r="26">
      <c r="B26" s="21" t="inlineStr">
        <is>
          <t>625</t>
        </is>
      </c>
      <c r="C26" s="50" t="inlineStr">
        <is>
          <t>Déplacements, missions &amp; réceptions</t>
        </is>
      </c>
      <c r="D26" s="16">
        <f>-SUMIFS('06_Compta'!$L$4:$L$675,'06_Compta'!$E$4:$E$675,"625",'06_Compta'!$J$4:$J$675,"2024ACT_VDEF")</f>
        <v/>
      </c>
      <c r="E26" s="16">
        <f>-SUMIFS('06_Compta'!$L$4:$L$675,'06_Compta'!$E$4:$E$675,"625",'06_Compta'!$J$4:$J$675,"2025ACT_VDEF")</f>
        <v/>
      </c>
      <c r="F26" s="16">
        <f>-SUMIFS('06_Compta'!$L$4:$L$675,'06_Compta'!$E$4:$E$675,"625",'06_Compta'!$J$4:$J$675,"2026ATT_VDEF")</f>
        <v/>
      </c>
      <c r="G26" s="55">
        <f>F26*((1+'01_Cadrage'!$H$21)*(1-'01_Cadrage'!$H$24))</f>
        <v/>
      </c>
      <c r="H26" s="17">
        <f>IFERROR(G26/F26-1,0)</f>
        <v/>
      </c>
    </row>
    <row r="27">
      <c r="B27" s="21" t="inlineStr">
        <is>
          <t>626</t>
        </is>
      </c>
      <c r="C27" s="50" t="inlineStr">
        <is>
          <t>Télécom, systèmes d'information &amp; affranchissement</t>
        </is>
      </c>
      <c r="D27" s="16">
        <f>-SUMIFS('06_Compta'!$L$4:$L$675,'06_Compta'!$E$4:$E$675,"626",'06_Compta'!$J$4:$J$675,"2024ACT_VDEF")</f>
        <v/>
      </c>
      <c r="E27" s="16">
        <f>-SUMIFS('06_Compta'!$L$4:$L$675,'06_Compta'!$E$4:$E$675,"626",'06_Compta'!$J$4:$J$675,"2025ACT_VDEF")</f>
        <v/>
      </c>
      <c r="F27" s="16">
        <f>-SUMIFS('06_Compta'!$L$4:$L$675,'06_Compta'!$E$4:$E$675,"626",'06_Compta'!$J$4:$J$675,"2026ATT_VDEF")</f>
        <v/>
      </c>
      <c r="G27" s="55">
        <f>F27*((1+'01_Cadrage'!$H$21)*(1-'01_Cadrage'!$H$24))</f>
        <v/>
      </c>
      <c r="H27" s="17">
        <f>IFERROR(G27/F27-1,0)</f>
        <v/>
      </c>
    </row>
    <row r="28">
      <c r="B28" s="21" t="inlineStr">
        <is>
          <t>6281</t>
        </is>
      </c>
      <c r="C28" s="50" t="inlineStr">
        <is>
          <t>Cotisations, documentation &amp; abonnements</t>
        </is>
      </c>
      <c r="D28" s="16">
        <f>-SUMIFS('06_Compta'!$L$4:$L$675,'06_Compta'!$E$4:$E$675,"6281",'06_Compta'!$J$4:$J$675,"2024ACT_VDEF")</f>
        <v/>
      </c>
      <c r="E28" s="16">
        <f>-SUMIFS('06_Compta'!$L$4:$L$675,'06_Compta'!$E$4:$E$675,"6281",'06_Compta'!$J$4:$J$675,"2025ACT_VDEF")</f>
        <v/>
      </c>
      <c r="F28" s="16">
        <f>-SUMIFS('06_Compta'!$L$4:$L$675,'06_Compta'!$E$4:$E$675,"6281",'06_Compta'!$J$4:$J$675,"2026ATT_VDEF")</f>
        <v/>
      </c>
      <c r="G28" s="55">
        <f>F28*((1+'01_Cadrage'!$H$21)*(1-'01_Cadrage'!$H$24))</f>
        <v/>
      </c>
      <c r="H28" s="17">
        <f>IFERROR(G28/F28-1,0)</f>
        <v/>
      </c>
    </row>
    <row r="29" ht="20" customHeight="1">
      <c r="B29" s="53" t="inlineStr">
        <is>
          <t>IMPÔTS &amp; TAXES</t>
        </is>
      </c>
      <c r="C29" s="54" t="n"/>
      <c r="D29" s="54" t="n"/>
      <c r="E29" s="54" t="n"/>
      <c r="F29" s="54" t="n"/>
      <c r="G29" s="54" t="n"/>
      <c r="H29" s="54" t="n"/>
    </row>
    <row r="30">
      <c r="B30" s="21" t="inlineStr">
        <is>
          <t>6331</t>
        </is>
      </c>
      <c r="C30" s="50" t="inlineStr">
        <is>
          <t>Taxe sur les salaires</t>
        </is>
      </c>
      <c r="D30" s="16">
        <f>-SUMIFS('06_Compta'!$L$4:$L$675,'06_Compta'!$E$4:$E$675,"6331",'06_Compta'!$J$4:$J$675,"2024ACT_VDEF")</f>
        <v/>
      </c>
      <c r="E30" s="16">
        <f>-SUMIFS('06_Compta'!$L$4:$L$675,'06_Compta'!$E$4:$E$675,"6331",'06_Compta'!$J$4:$J$675,"2025ACT_VDEF")</f>
        <v/>
      </c>
      <c r="F30" s="16">
        <f>-SUMIFS('06_Compta'!$L$4:$L$675,'06_Compta'!$E$4:$E$675,"6331",'06_Compta'!$J$4:$J$675,"2026ATT_VDEF")</f>
        <v/>
      </c>
      <c r="G30" s="55">
        <f>F30*((1+'01_Cadrage'!$H$21)*(1-'01_Cadrage'!$H$24))</f>
        <v/>
      </c>
      <c r="H30" s="17">
        <f>IFERROR(G30/F30-1,0)</f>
        <v/>
      </c>
    </row>
    <row r="31">
      <c r="B31" s="21" t="inlineStr">
        <is>
          <t>63511</t>
        </is>
      </c>
      <c r="C31" s="50" t="inlineStr">
        <is>
          <t>Cotisation foncière &amp; CVAE</t>
        </is>
      </c>
      <c r="D31" s="16">
        <f>-SUMIFS('06_Compta'!$L$4:$L$675,'06_Compta'!$E$4:$E$675,"63511",'06_Compta'!$J$4:$J$675,"2024ACT_VDEF")</f>
        <v/>
      </c>
      <c r="E31" s="16">
        <f>-SUMIFS('06_Compta'!$L$4:$L$675,'06_Compta'!$E$4:$E$675,"63511",'06_Compta'!$J$4:$J$675,"2025ACT_VDEF")</f>
        <v/>
      </c>
      <c r="F31" s="16">
        <f>-SUMIFS('06_Compta'!$L$4:$L$675,'06_Compta'!$E$4:$E$675,"63511",'06_Compta'!$J$4:$J$675,"2026ATT_VDEF")</f>
        <v/>
      </c>
      <c r="G31" s="55">
        <f>F31*((1+'01_Cadrage'!$H$21)*(1-'01_Cadrage'!$H$24))</f>
        <v/>
      </c>
      <c r="H31" s="17">
        <f>IFERROR(G31/F31-1,0)</f>
        <v/>
      </c>
    </row>
    <row r="32">
      <c r="B32" s="21" t="inlineStr">
        <is>
          <t>6333</t>
        </is>
      </c>
      <c r="C32" s="50" t="inlineStr">
        <is>
          <t>Participation formation professionnelle</t>
        </is>
      </c>
      <c r="D32" s="16">
        <f>-SUMIFS('06_Compta'!$L$4:$L$675,'06_Compta'!$E$4:$E$675,"6333",'06_Compta'!$J$4:$J$675,"2024ACT_VDEF")</f>
        <v/>
      </c>
      <c r="E32" s="16">
        <f>-SUMIFS('06_Compta'!$L$4:$L$675,'06_Compta'!$E$4:$E$675,"6333",'06_Compta'!$J$4:$J$675,"2025ACT_VDEF")</f>
        <v/>
      </c>
      <c r="F32" s="16">
        <f>-SUMIFS('06_Compta'!$L$4:$L$675,'06_Compta'!$E$4:$E$675,"6333",'06_Compta'!$J$4:$J$675,"2026ATT_VDEF")</f>
        <v/>
      </c>
      <c r="G32" s="55">
        <f>F32*((1+'01_Cadrage'!$H$21)*(1-'01_Cadrage'!$H$24))</f>
        <v/>
      </c>
      <c r="H32" s="17">
        <f>IFERROR(G32/F32-1,0)</f>
        <v/>
      </c>
    </row>
    <row r="33">
      <c r="B33" s="56" t="inlineStr">
        <is>
          <t> </t>
        </is>
      </c>
      <c r="C33" s="44" t="inlineStr">
        <is>
          <t>EBITDA</t>
        </is>
      </c>
      <c r="D33" s="47">
        <f>SUMIFS('06_Compta'!$L$4:$L$675,'06_Compta'!$H$4:$H$675,"Produit",'06_Compta'!$J$4:$J$675,"2024ACT_VDEF")-SUMIFS('06_Compta'!$L$4:$L$675,'06_Compta'!$H$4:$H$675,"Charge",'06_Compta'!$J$4:$J$675,"2024ACT_VDEF")+SUMIFS('06_Compta'!$L$4:$L$675,'06_Compta'!$I$4:$I$675,"Dotations",'06_Compta'!$J$4:$J$675,"2024ACT_VDEF")</f>
        <v/>
      </c>
      <c r="E33" s="47">
        <f>SUMIFS('06_Compta'!$L$4:$L$675,'06_Compta'!$H$4:$H$675,"Produit",'06_Compta'!$J$4:$J$675,"2025ACT_VDEF")-SUMIFS('06_Compta'!$L$4:$L$675,'06_Compta'!$H$4:$H$675,"Charge",'06_Compta'!$J$4:$J$675,"2025ACT_VDEF")+SUMIFS('06_Compta'!$L$4:$L$675,'06_Compta'!$I$4:$I$675,"Dotations",'06_Compta'!$J$4:$J$675,"2025ACT_VDEF")</f>
        <v/>
      </c>
      <c r="F33" s="47">
        <f>SUMIFS('06_Compta'!$L$4:$L$675,'06_Compta'!$H$4:$H$675,"Produit",'06_Compta'!$J$4:$J$675,"2026ATT_VDEF")-SUMIFS('06_Compta'!$L$4:$L$675,'06_Compta'!$H$4:$H$675,"Charge",'06_Compta'!$J$4:$J$675,"2026ATT_VDEF")+SUMIFS('06_Compta'!$L$4:$L$675,'06_Compta'!$I$4:$I$675,"Dotations",'06_Compta'!$J$4:$J$675,"2026ATT_VDEF")</f>
        <v/>
      </c>
      <c r="G33" s="57">
        <f>G5+G6+G7+G10+G11+G12+G13+G16+G17+G18+G19+G21+G22+G23+G24+G25+G26+G27+G28+G30+G31+G32</f>
        <v/>
      </c>
      <c r="H33" s="58">
        <f>IFERROR(G33/F33-1,0)</f>
        <v/>
      </c>
    </row>
    <row r="34" ht="20" customHeight="1">
      <c r="B34" s="53" t="inlineStr">
        <is>
          <t>DOTATIONS</t>
        </is>
      </c>
      <c r="C34" s="54" t="n"/>
      <c r="D34" s="54" t="n"/>
      <c r="E34" s="54" t="n"/>
      <c r="F34" s="54" t="n"/>
      <c r="G34" s="54" t="n"/>
      <c r="H34" s="54" t="n"/>
    </row>
    <row r="35">
      <c r="B35" s="21" t="inlineStr">
        <is>
          <t>6811</t>
        </is>
      </c>
      <c r="C35" s="50" t="inlineStr">
        <is>
          <t>Dotations aux amortissements (D&amp;A)</t>
        </is>
      </c>
      <c r="D35" s="16">
        <f>-SUMIFS('06_Compta'!$L$4:$L$675,'06_Compta'!$E$4:$E$675,"6811",'06_Compta'!$J$4:$J$675,"2024ACT_VDEF")</f>
        <v/>
      </c>
      <c r="E35" s="16">
        <f>-SUMIFS('06_Compta'!$L$4:$L$675,'06_Compta'!$E$4:$E$675,"6811",'06_Compta'!$J$4:$J$675,"2025ACT_VDEF")</f>
        <v/>
      </c>
      <c r="F35" s="16">
        <f>-SUMIFS('06_Compta'!$L$4:$L$675,'06_Compta'!$E$4:$E$675,"6811",'06_Compta'!$J$4:$J$675,"2026ATT_VDEF")</f>
        <v/>
      </c>
      <c r="G35" s="55">
        <f>F35*(1+'01_Cadrage'!$H$21)</f>
        <v/>
      </c>
      <c r="H35" s="17">
        <f>IFERROR(G35/F35-1,0)</f>
        <v/>
      </c>
    </row>
    <row r="36">
      <c r="B36" s="56" t="inlineStr">
        <is>
          <t> </t>
        </is>
      </c>
      <c r="C36" s="44" t="inlineStr">
        <is>
          <t>EBIT / RÉSULTAT D'EXPLOITATION</t>
        </is>
      </c>
      <c r="D36" s="47">
        <f>SUMIFS('06_Compta'!$L$4:$L$675,'06_Compta'!$H$4:$H$675,"Produit",'06_Compta'!$J$4:$J$675,"2024ACT_VDEF")-SUMIFS('06_Compta'!$L$4:$L$675,'06_Compta'!$H$4:$H$675,"Charge",'06_Compta'!$J$4:$J$675,"2024ACT_VDEF")</f>
        <v/>
      </c>
      <c r="E36" s="47">
        <f>SUMIFS('06_Compta'!$L$4:$L$675,'06_Compta'!$H$4:$H$675,"Produit",'06_Compta'!$J$4:$J$675,"2025ACT_VDEF")-SUMIFS('06_Compta'!$L$4:$L$675,'06_Compta'!$H$4:$H$675,"Charge",'06_Compta'!$J$4:$J$675,"2025ACT_VDEF")</f>
        <v/>
      </c>
      <c r="F36" s="47">
        <f>SUMIFS('06_Compta'!$L$4:$L$675,'06_Compta'!$H$4:$H$675,"Produit",'06_Compta'!$J$4:$J$675,"2026ATT_VDEF")-SUMIFS('06_Compta'!$L$4:$L$675,'06_Compta'!$H$4:$H$675,"Charge",'06_Compta'!$J$4:$J$675,"2026ATT_VDEF")</f>
        <v/>
      </c>
      <c r="G36" s="57">
        <f>G5+G6+G7+G10+G11+G12+G13+G16+G17+G18+G19+G21+G22+G23+G24+G25+G26+G27+G28+G30+G31+G32+G35</f>
        <v/>
      </c>
      <c r="H36" s="58">
        <f>IFERROR(G36/F36-1,0)</f>
        <v/>
      </c>
    </row>
    <row r="37">
      <c r="C37" s="36" t="inlineStr">
        <is>
          <t>Marge EBITDA %</t>
        </is>
      </c>
      <c r="D37" s="59">
        <f>IFERROR(D33/D8,0)</f>
        <v/>
      </c>
      <c r="E37" s="59">
        <f>IFERROR(E33/E8,0)</f>
        <v/>
      </c>
      <c r="F37" s="59">
        <f>IFERROR(F33/F8,0)</f>
        <v/>
      </c>
      <c r="G37" s="59">
        <f>IFERROR(G33/G8,0)</f>
        <v/>
      </c>
    </row>
    <row r="38">
      <c r="C38" s="36" t="inlineStr">
        <is>
          <t>Marge EBIT %</t>
        </is>
      </c>
      <c r="D38" s="59">
        <f>IFERROR(D36/D8,0)</f>
        <v/>
      </c>
      <c r="E38" s="59">
        <f>IFERROR(E36/E8,0)</f>
        <v/>
      </c>
      <c r="F38" s="59">
        <f>IFERROR(F36/F8,0)</f>
        <v/>
      </c>
      <c r="G38" s="59">
        <f>IFERROR(G36/G8,0)</f>
        <v/>
      </c>
    </row>
  </sheetData>
  <mergeCells count="7">
    <mergeCell ref="B9:H9"/>
    <mergeCell ref="B1:H1"/>
    <mergeCell ref="B4:H4"/>
    <mergeCell ref="B34:H34"/>
    <mergeCell ref="B15:H15"/>
    <mergeCell ref="B29:H29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2026-08-18T09:47:51Z</dcterms:created>
  <dcterms:modified xsi:type="dcterms:W3CDTF">2026-08-18T09:47:51Z</dcterms:modified>
</cp:coreProperties>
</file>