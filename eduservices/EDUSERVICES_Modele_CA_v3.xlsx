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</row>
    <row r="30" ht="44" customHeight="1">
      <c r="A30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49" t="inlineStr">
        <is>
          <t>TOTAL GROUPE</t>
        </is>
      </c>
      <c r="B49" s="50" t="inlineStr">
        <is>
          <t> </t>
        </is>
      </c>
      <c r="C49" s="51">
        <f>SUM(C35:C48)</f>
        <v/>
      </c>
      <c r="D49" s="51">
        <f>SUM(D35:D48)</f>
        <v/>
      </c>
      <c r="E49" s="51">
        <f>SUM(E35:E48)</f>
        <v/>
      </c>
      <c r="F49" s="51">
        <f>SUM(F35:F48)</f>
        <v/>
      </c>
      <c r="G49" s="52">
        <f>SUM(G35:G48)</f>
        <v/>
      </c>
      <c r="H49" s="51">
        <f>SUM(H35:H48)</f>
        <v/>
      </c>
      <c r="I49" s="53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J31"/>
    <mergeCell ref="B59:I59"/>
    <mergeCell ref="A3:C3"/>
    <mergeCell ref="A13:J13"/>
    <mergeCell ref="B56:I56"/>
    <mergeCell ref="B58:I58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5:E48">
    <cfRule type="dataBar" priority="2">
      <dataBar>
        <cfvo type="min"/>
        <cfvo type="max"/>
        <color rgb="005B9BD5"/>
      </dataBar>
    </cfRule>
  </conditionalFormatting>
  <conditionalFormatting sqref="H35:H48">
    <cfRule type="dataBar" priority="3">
      <dataBar>
        <cfvo type="min"/>
        <cfvo type="max"/>
        <color rgb="0070AD47"/>
      </dataBar>
    </cfRule>
  </conditionalFormatting>
  <conditionalFormatting sqref="I35:I4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4" t="n">
        <v>1</v>
      </c>
      <c r="H4" s="54" t="n">
        <v>646</v>
      </c>
      <c r="I4" s="54" t="n">
        <v>181</v>
      </c>
      <c r="J4" s="54" t="n">
        <v>130</v>
      </c>
      <c r="K4" s="54" t="n">
        <v>78</v>
      </c>
      <c r="L4" s="54" t="n">
        <v>0</v>
      </c>
      <c r="M4" s="54" t="n">
        <v>78</v>
      </c>
      <c r="N4" s="54" t="n">
        <v>0</v>
      </c>
      <c r="O4" s="54" t="n">
        <v>3</v>
      </c>
      <c r="P4" s="55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6">
        <f>M4*P4+K4*V4</f>
        <v/>
      </c>
      <c r="V4" s="55" t="n">
        <v>90</v>
      </c>
      <c r="W4" s="54" t="n">
        <v>232</v>
      </c>
      <c r="X4" s="54" t="n">
        <v>414</v>
      </c>
      <c r="Y4" s="57">
        <f>W4+X4</f>
        <v/>
      </c>
      <c r="Z4" s="55" t="n">
        <v>22326</v>
      </c>
      <c r="AA4" s="55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76</v>
      </c>
      <c r="M5" s="54" t="n">
        <v>76</v>
      </c>
      <c r="N5" s="54" t="n">
        <v>78</v>
      </c>
      <c r="O5" s="54" t="n">
        <v>3</v>
      </c>
      <c r="P5" s="55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6">
        <f>M5*P5+K5*V5</f>
        <v/>
      </c>
      <c r="V5" s="55" t="n">
        <v>90</v>
      </c>
      <c r="W5" s="54" t="n">
        <v>0</v>
      </c>
      <c r="X5" s="54" t="n">
        <v>0</v>
      </c>
      <c r="Y5" s="57">
        <f>W5+X5</f>
        <v/>
      </c>
      <c r="Z5" s="55" t="n">
        <v>0</v>
      </c>
      <c r="AA5" s="55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4" t="n">
        <v>0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74</v>
      </c>
      <c r="M6" s="54" t="n">
        <v>74</v>
      </c>
      <c r="N6" s="54" t="n">
        <v>76</v>
      </c>
      <c r="O6" s="54" t="n">
        <v>3</v>
      </c>
      <c r="P6" s="55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6">
        <f>M6*P6+K6*V6</f>
        <v/>
      </c>
      <c r="V6" s="55" t="n">
        <v>90</v>
      </c>
      <c r="W6" s="54" t="n">
        <v>0</v>
      </c>
      <c r="X6" s="54" t="n">
        <v>0</v>
      </c>
      <c r="Y6" s="57">
        <f>W6+X6</f>
        <v/>
      </c>
      <c r="Z6" s="55" t="n">
        <v>0</v>
      </c>
      <c r="AA6" s="55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4" t="n">
        <v>1</v>
      </c>
      <c r="H7" s="54" t="n">
        <v>1330</v>
      </c>
      <c r="I7" s="54" t="n">
        <v>266</v>
      </c>
      <c r="J7" s="54" t="n">
        <v>186</v>
      </c>
      <c r="K7" s="54" t="n">
        <v>78</v>
      </c>
      <c r="L7" s="54" t="n">
        <v>0</v>
      </c>
      <c r="M7" s="54" t="n">
        <v>78</v>
      </c>
      <c r="N7" s="54" t="n">
        <v>0</v>
      </c>
      <c r="O7" s="54" t="n">
        <v>3</v>
      </c>
      <c r="P7" s="55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6">
        <f>M7*P7+K7*V7</f>
        <v/>
      </c>
      <c r="V7" s="55" t="n">
        <v>90</v>
      </c>
      <c r="W7" s="54" t="n">
        <v>479</v>
      </c>
      <c r="X7" s="54" t="n">
        <v>851</v>
      </c>
      <c r="Y7" s="57">
        <f>W7+X7</f>
        <v/>
      </c>
      <c r="Z7" s="55" t="n">
        <v>45965</v>
      </c>
      <c r="AA7" s="55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4" t="n">
        <v>0</v>
      </c>
      <c r="H8" s="54" t="n">
        <v>0</v>
      </c>
      <c r="I8" s="54" t="n">
        <v>0</v>
      </c>
      <c r="J8" s="54" t="n">
        <v>0</v>
      </c>
      <c r="K8" s="54" t="n">
        <v>0</v>
      </c>
      <c r="L8" s="54" t="n">
        <v>76</v>
      </c>
      <c r="M8" s="54" t="n">
        <v>76</v>
      </c>
      <c r="N8" s="54" t="n">
        <v>78</v>
      </c>
      <c r="O8" s="54" t="n">
        <v>3</v>
      </c>
      <c r="P8" s="55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6">
        <f>M8*P8+K8*V8</f>
        <v/>
      </c>
      <c r="V8" s="55" t="n">
        <v>90</v>
      </c>
      <c r="W8" s="54" t="n">
        <v>0</v>
      </c>
      <c r="X8" s="54" t="n">
        <v>0</v>
      </c>
      <c r="Y8" s="57">
        <f>W8+X8</f>
        <v/>
      </c>
      <c r="Z8" s="55" t="n">
        <v>0</v>
      </c>
      <c r="AA8" s="55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4" t="n">
        <v>1</v>
      </c>
      <c r="H9" s="54" t="n">
        <v>546</v>
      </c>
      <c r="I9" s="54" t="n">
        <v>153</v>
      </c>
      <c r="J9" s="54" t="n">
        <v>110</v>
      </c>
      <c r="K9" s="54" t="n">
        <v>66</v>
      </c>
      <c r="L9" s="54" t="n">
        <v>0</v>
      </c>
      <c r="M9" s="54" t="n">
        <v>66</v>
      </c>
      <c r="N9" s="54" t="n">
        <v>0</v>
      </c>
      <c r="O9" s="54" t="n">
        <v>3</v>
      </c>
      <c r="P9" s="55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6">
        <f>M9*P9+K9*V9</f>
        <v/>
      </c>
      <c r="V9" s="55" t="n">
        <v>90</v>
      </c>
      <c r="W9" s="54" t="n">
        <v>235</v>
      </c>
      <c r="X9" s="54" t="n">
        <v>311</v>
      </c>
      <c r="Y9" s="57">
        <f>W9+X9</f>
        <v/>
      </c>
      <c r="Z9" s="55" t="n">
        <v>13694</v>
      </c>
      <c r="AA9" s="55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64</v>
      </c>
      <c r="M10" s="54" t="n">
        <v>64</v>
      </c>
      <c r="N10" s="54" t="n">
        <v>66</v>
      </c>
      <c r="O10" s="54" t="n">
        <v>2</v>
      </c>
      <c r="P10" s="55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6">
        <f>M10*P10+K10*V10</f>
        <v/>
      </c>
      <c r="V10" s="55" t="n">
        <v>90</v>
      </c>
      <c r="W10" s="54" t="n">
        <v>0</v>
      </c>
      <c r="X10" s="54" t="n">
        <v>0</v>
      </c>
      <c r="Y10" s="57">
        <f>W10+X10</f>
        <v/>
      </c>
      <c r="Z10" s="55" t="n">
        <v>0</v>
      </c>
      <c r="AA10" s="55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4" t="n">
        <v>0</v>
      </c>
      <c r="H11" s="54" t="n">
        <v>0</v>
      </c>
      <c r="I11" s="54" t="n">
        <v>0</v>
      </c>
      <c r="J11" s="54" t="n">
        <v>0</v>
      </c>
      <c r="K11" s="54" t="n">
        <v>0</v>
      </c>
      <c r="L11" s="54" t="n">
        <v>63</v>
      </c>
      <c r="M11" s="54" t="n">
        <v>63</v>
      </c>
      <c r="N11" s="54" t="n">
        <v>64</v>
      </c>
      <c r="O11" s="54" t="n">
        <v>2</v>
      </c>
      <c r="P11" s="55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6">
        <f>M11*P11+K11*V11</f>
        <v/>
      </c>
      <c r="V11" s="55" t="n">
        <v>90</v>
      </c>
      <c r="W11" s="54" t="n">
        <v>0</v>
      </c>
      <c r="X11" s="54" t="n">
        <v>0</v>
      </c>
      <c r="Y11" s="57">
        <f>W11+X11</f>
        <v/>
      </c>
      <c r="Z11" s="55" t="n">
        <v>0</v>
      </c>
      <c r="AA11" s="55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4" t="n">
        <v>1</v>
      </c>
      <c r="H12" s="54" t="n">
        <v>1120</v>
      </c>
      <c r="I12" s="54" t="n">
        <v>224</v>
      </c>
      <c r="J12" s="54" t="n">
        <v>157</v>
      </c>
      <c r="K12" s="54" t="n">
        <v>66</v>
      </c>
      <c r="L12" s="54" t="n">
        <v>0</v>
      </c>
      <c r="M12" s="54" t="n">
        <v>66</v>
      </c>
      <c r="N12" s="54" t="n">
        <v>0</v>
      </c>
      <c r="O12" s="54" t="n">
        <v>3</v>
      </c>
      <c r="P12" s="55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6">
        <f>M12*P12+K12*V12</f>
        <v/>
      </c>
      <c r="V12" s="55" t="n">
        <v>90</v>
      </c>
      <c r="W12" s="54" t="n">
        <v>481</v>
      </c>
      <c r="X12" s="54" t="n">
        <v>639</v>
      </c>
      <c r="Y12" s="57">
        <f>W12+X12</f>
        <v/>
      </c>
      <c r="Z12" s="55" t="n">
        <v>28089</v>
      </c>
      <c r="AA12" s="55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65</v>
      </c>
      <c r="M13" s="54" t="n">
        <v>65</v>
      </c>
      <c r="N13" s="54" t="n">
        <v>66</v>
      </c>
      <c r="O13" s="54" t="n">
        <v>3</v>
      </c>
      <c r="P13" s="55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6">
        <f>M13*P13+K13*V13</f>
        <v/>
      </c>
      <c r="V13" s="55" t="n">
        <v>90</v>
      </c>
      <c r="W13" s="54" t="n">
        <v>0</v>
      </c>
      <c r="X13" s="54" t="n">
        <v>0</v>
      </c>
      <c r="Y13" s="57">
        <f>W13+X13</f>
        <v/>
      </c>
      <c r="Z13" s="55" t="n">
        <v>0</v>
      </c>
      <c r="AA13" s="55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4" t="n">
        <v>1</v>
      </c>
      <c r="H14" s="54" t="n">
        <v>496</v>
      </c>
      <c r="I14" s="54" t="n">
        <v>139</v>
      </c>
      <c r="J14" s="54" t="n">
        <v>100</v>
      </c>
      <c r="K14" s="54" t="n">
        <v>60</v>
      </c>
      <c r="L14" s="54" t="n">
        <v>0</v>
      </c>
      <c r="M14" s="54" t="n">
        <v>60</v>
      </c>
      <c r="N14" s="54" t="n">
        <v>0</v>
      </c>
      <c r="O14" s="54" t="n">
        <v>2</v>
      </c>
      <c r="P14" s="55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6">
        <f>M14*P14+K14*V14</f>
        <v/>
      </c>
      <c r="V14" s="55" t="n">
        <v>90</v>
      </c>
      <c r="W14" s="54" t="n">
        <v>238</v>
      </c>
      <c r="X14" s="54" t="n">
        <v>258</v>
      </c>
      <c r="Y14" s="57">
        <f>W14+X14</f>
        <v/>
      </c>
      <c r="Z14" s="55" t="n">
        <v>10317</v>
      </c>
      <c r="AA14" s="55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58</v>
      </c>
      <c r="M15" s="54" t="n">
        <v>58</v>
      </c>
      <c r="N15" s="54" t="n">
        <v>60</v>
      </c>
      <c r="O15" s="54" t="n">
        <v>2</v>
      </c>
      <c r="P15" s="55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6">
        <f>M15*P15+K15*V15</f>
        <v/>
      </c>
      <c r="V15" s="55" t="n">
        <v>90</v>
      </c>
      <c r="W15" s="54" t="n">
        <v>0</v>
      </c>
      <c r="X15" s="54" t="n">
        <v>0</v>
      </c>
      <c r="Y15" s="57">
        <f>W15+X15</f>
        <v/>
      </c>
      <c r="Z15" s="55" t="n">
        <v>0</v>
      </c>
      <c r="AA15" s="55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57</v>
      </c>
      <c r="M16" s="54" t="n">
        <v>57</v>
      </c>
      <c r="N16" s="54" t="n">
        <v>58</v>
      </c>
      <c r="O16" s="54" t="n">
        <v>2</v>
      </c>
      <c r="P16" s="55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6">
        <f>M16*P16+K16*V16</f>
        <v/>
      </c>
      <c r="V16" s="55" t="n">
        <v>90</v>
      </c>
      <c r="W16" s="54" t="n">
        <v>0</v>
      </c>
      <c r="X16" s="54" t="n">
        <v>0</v>
      </c>
      <c r="Y16" s="57">
        <f>W16+X16</f>
        <v/>
      </c>
      <c r="Z16" s="55" t="n">
        <v>0</v>
      </c>
      <c r="AA16" s="55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4" t="n">
        <v>1</v>
      </c>
      <c r="H17" s="54" t="n">
        <v>1020</v>
      </c>
      <c r="I17" s="54" t="n">
        <v>204</v>
      </c>
      <c r="J17" s="54" t="n">
        <v>143</v>
      </c>
      <c r="K17" s="54" t="n">
        <v>60</v>
      </c>
      <c r="L17" s="54" t="n">
        <v>0</v>
      </c>
      <c r="M17" s="54" t="n">
        <v>60</v>
      </c>
      <c r="N17" s="54" t="n">
        <v>0</v>
      </c>
      <c r="O17" s="54" t="n">
        <v>3</v>
      </c>
      <c r="P17" s="55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6">
        <f>M17*P17+K17*V17</f>
        <v/>
      </c>
      <c r="V17" s="55" t="n">
        <v>90</v>
      </c>
      <c r="W17" s="54" t="n">
        <v>490</v>
      </c>
      <c r="X17" s="54" t="n">
        <v>530</v>
      </c>
      <c r="Y17" s="57">
        <f>W17+X17</f>
        <v/>
      </c>
      <c r="Z17" s="55" t="n">
        <v>21216</v>
      </c>
      <c r="AA17" s="55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59</v>
      </c>
      <c r="M18" s="54" t="n">
        <v>59</v>
      </c>
      <c r="N18" s="54" t="n">
        <v>60</v>
      </c>
      <c r="O18" s="54" t="n">
        <v>3</v>
      </c>
      <c r="P18" s="55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6">
        <f>M18*P18+K18*V18</f>
        <v/>
      </c>
      <c r="V18" s="55" t="n">
        <v>90</v>
      </c>
      <c r="W18" s="54" t="n">
        <v>0</v>
      </c>
      <c r="X18" s="54" t="n">
        <v>0</v>
      </c>
      <c r="Y18" s="57">
        <f>W18+X18</f>
        <v/>
      </c>
      <c r="Z18" s="55" t="n">
        <v>0</v>
      </c>
      <c r="AA18" s="55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4" t="n">
        <v>1</v>
      </c>
      <c r="H19" s="54" t="n">
        <v>421</v>
      </c>
      <c r="I19" s="54" t="n">
        <v>118</v>
      </c>
      <c r="J19" s="54" t="n">
        <v>85</v>
      </c>
      <c r="K19" s="54" t="n">
        <v>51</v>
      </c>
      <c r="L19" s="54" t="n">
        <v>0</v>
      </c>
      <c r="M19" s="54" t="n">
        <v>51</v>
      </c>
      <c r="N19" s="54" t="n">
        <v>0</v>
      </c>
      <c r="O19" s="54" t="n">
        <v>2</v>
      </c>
      <c r="P19" s="55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6">
        <f>M19*P19+K19*V19</f>
        <v/>
      </c>
      <c r="V19" s="55" t="n">
        <v>90</v>
      </c>
      <c r="W19" s="54" t="n">
        <v>206</v>
      </c>
      <c r="X19" s="54" t="n">
        <v>215</v>
      </c>
      <c r="Y19" s="57">
        <f>W19+X19</f>
        <v/>
      </c>
      <c r="Z19" s="55" t="n">
        <v>8159</v>
      </c>
      <c r="AA19" s="55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49</v>
      </c>
      <c r="M20" s="54" t="n">
        <v>49</v>
      </c>
      <c r="N20" s="54" t="n">
        <v>51</v>
      </c>
      <c r="O20" s="54" t="n">
        <v>2</v>
      </c>
      <c r="P20" s="55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6">
        <f>M20*P20+K20*V20</f>
        <v/>
      </c>
      <c r="V20" s="55" t="n">
        <v>90</v>
      </c>
      <c r="W20" s="54" t="n">
        <v>0</v>
      </c>
      <c r="X20" s="54" t="n">
        <v>0</v>
      </c>
      <c r="Y20" s="57">
        <f>W20+X20</f>
        <v/>
      </c>
      <c r="Z20" s="55" t="n">
        <v>0</v>
      </c>
      <c r="AA20" s="55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4" t="n">
        <v>0</v>
      </c>
      <c r="H21" s="54" t="n">
        <v>0</v>
      </c>
      <c r="I21" s="54" t="n">
        <v>0</v>
      </c>
      <c r="J21" s="54" t="n">
        <v>0</v>
      </c>
      <c r="K21" s="54" t="n">
        <v>0</v>
      </c>
      <c r="L21" s="54" t="n">
        <v>48</v>
      </c>
      <c r="M21" s="54" t="n">
        <v>48</v>
      </c>
      <c r="N21" s="54" t="n">
        <v>49</v>
      </c>
      <c r="O21" s="54" t="n">
        <v>2</v>
      </c>
      <c r="P21" s="55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6">
        <f>M21*P21+K21*V21</f>
        <v/>
      </c>
      <c r="V21" s="55" t="n">
        <v>90</v>
      </c>
      <c r="W21" s="54" t="n">
        <v>0</v>
      </c>
      <c r="X21" s="54" t="n">
        <v>0</v>
      </c>
      <c r="Y21" s="57">
        <f>W21+X21</f>
        <v/>
      </c>
      <c r="Z21" s="55" t="n">
        <v>0</v>
      </c>
      <c r="AA21" s="55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4" t="n">
        <v>1</v>
      </c>
      <c r="H22" s="54" t="n">
        <v>865</v>
      </c>
      <c r="I22" s="54" t="n">
        <v>173</v>
      </c>
      <c r="J22" s="54" t="n">
        <v>121</v>
      </c>
      <c r="K22" s="54" t="n">
        <v>51</v>
      </c>
      <c r="L22" s="54" t="n">
        <v>0</v>
      </c>
      <c r="M22" s="54" t="n">
        <v>51</v>
      </c>
      <c r="N22" s="54" t="n">
        <v>0</v>
      </c>
      <c r="O22" s="54" t="n">
        <v>2</v>
      </c>
      <c r="P22" s="55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6">
        <f>M22*P22+K22*V22</f>
        <v/>
      </c>
      <c r="V22" s="55" t="n">
        <v>90</v>
      </c>
      <c r="W22" s="54" t="n">
        <v>424</v>
      </c>
      <c r="X22" s="54" t="n">
        <v>441</v>
      </c>
      <c r="Y22" s="57">
        <f>W22+X22</f>
        <v/>
      </c>
      <c r="Z22" s="55" t="n">
        <v>16764</v>
      </c>
      <c r="AA22" s="55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50</v>
      </c>
      <c r="M23" s="54" t="n">
        <v>50</v>
      </c>
      <c r="N23" s="54" t="n">
        <v>51</v>
      </c>
      <c r="O23" s="54" t="n">
        <v>2</v>
      </c>
      <c r="P23" s="55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6">
        <f>M23*P23+K23*V23</f>
        <v/>
      </c>
      <c r="V23" s="55" t="n">
        <v>90</v>
      </c>
      <c r="W23" s="54" t="n">
        <v>0</v>
      </c>
      <c r="X23" s="54" t="n">
        <v>0</v>
      </c>
      <c r="Y23" s="57">
        <f>W23+X23</f>
        <v/>
      </c>
      <c r="Z23" s="55" t="n">
        <v>0</v>
      </c>
      <c r="AA23" s="55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4" t="n">
        <v>1</v>
      </c>
      <c r="H24" s="54" t="n">
        <v>596</v>
      </c>
      <c r="I24" s="54" t="n">
        <v>167</v>
      </c>
      <c r="J24" s="54" t="n">
        <v>120</v>
      </c>
      <c r="K24" s="54" t="n">
        <v>72</v>
      </c>
      <c r="L24" s="54" t="n">
        <v>0</v>
      </c>
      <c r="M24" s="54" t="n">
        <v>72</v>
      </c>
      <c r="N24" s="54" t="n">
        <v>0</v>
      </c>
      <c r="O24" s="54" t="n">
        <v>3</v>
      </c>
      <c r="P24" s="55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6">
        <f>M24*P24+K24*V24</f>
        <v/>
      </c>
      <c r="V24" s="55" t="n">
        <v>90</v>
      </c>
      <c r="W24" s="54" t="n">
        <v>226</v>
      </c>
      <c r="X24" s="54" t="n">
        <v>370</v>
      </c>
      <c r="Y24" s="57">
        <f>W24+X24</f>
        <v/>
      </c>
      <c r="Z24" s="55" t="n">
        <v>19954</v>
      </c>
      <c r="AA24" s="55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4" t="n">
        <v>70</v>
      </c>
      <c r="M25" s="54" t="n">
        <v>70</v>
      </c>
      <c r="N25" s="54" t="n">
        <v>72</v>
      </c>
      <c r="O25" s="54" t="n">
        <v>3</v>
      </c>
      <c r="P25" s="55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6">
        <f>M25*P25+K25*V25</f>
        <v/>
      </c>
      <c r="V25" s="55" t="n">
        <v>90</v>
      </c>
      <c r="W25" s="54" t="n">
        <v>0</v>
      </c>
      <c r="X25" s="54" t="n">
        <v>0</v>
      </c>
      <c r="Y25" s="57">
        <f>W25+X25</f>
        <v/>
      </c>
      <c r="Z25" s="55" t="n">
        <v>0</v>
      </c>
      <c r="AA25" s="55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4" t="n">
        <v>0</v>
      </c>
      <c r="H26" s="54" t="n">
        <v>0</v>
      </c>
      <c r="I26" s="54" t="n">
        <v>0</v>
      </c>
      <c r="J26" s="54" t="n">
        <v>0</v>
      </c>
      <c r="K26" s="54" t="n">
        <v>0</v>
      </c>
      <c r="L26" s="54" t="n">
        <v>69</v>
      </c>
      <c r="M26" s="54" t="n">
        <v>69</v>
      </c>
      <c r="N26" s="54" t="n">
        <v>70</v>
      </c>
      <c r="O26" s="54" t="n">
        <v>3</v>
      </c>
      <c r="P26" s="55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6">
        <f>M26*P26+K26*V26</f>
        <v/>
      </c>
      <c r="V26" s="55" t="n">
        <v>90</v>
      </c>
      <c r="W26" s="54" t="n">
        <v>0</v>
      </c>
      <c r="X26" s="54" t="n">
        <v>0</v>
      </c>
      <c r="Y26" s="57">
        <f>W26+X26</f>
        <v/>
      </c>
      <c r="Z26" s="55" t="n">
        <v>0</v>
      </c>
      <c r="AA26" s="55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4" t="n">
        <v>1</v>
      </c>
      <c r="H27" s="54" t="n">
        <v>1220</v>
      </c>
      <c r="I27" s="54" t="n">
        <v>244</v>
      </c>
      <c r="J27" s="54" t="n">
        <v>171</v>
      </c>
      <c r="K27" s="54" t="n">
        <v>72</v>
      </c>
      <c r="L27" s="54" t="n">
        <v>0</v>
      </c>
      <c r="M27" s="54" t="n">
        <v>72</v>
      </c>
      <c r="N27" s="54" t="n">
        <v>0</v>
      </c>
      <c r="O27" s="54" t="n">
        <v>3</v>
      </c>
      <c r="P27" s="55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6">
        <f>M27*P27+K27*V27</f>
        <v/>
      </c>
      <c r="V27" s="55" t="n">
        <v>90</v>
      </c>
      <c r="W27" s="54" t="n">
        <v>464</v>
      </c>
      <c r="X27" s="54" t="n">
        <v>756</v>
      </c>
      <c r="Y27" s="57">
        <f>W27+X27</f>
        <v/>
      </c>
      <c r="Z27" s="55" t="n">
        <v>40846</v>
      </c>
      <c r="AA27" s="55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4" t="n">
        <v>0</v>
      </c>
      <c r="H28" s="54" t="n">
        <v>0</v>
      </c>
      <c r="I28" s="54" t="n">
        <v>0</v>
      </c>
      <c r="J28" s="54" t="n">
        <v>0</v>
      </c>
      <c r="K28" s="54" t="n">
        <v>0</v>
      </c>
      <c r="L28" s="54" t="n">
        <v>71</v>
      </c>
      <c r="M28" s="54" t="n">
        <v>71</v>
      </c>
      <c r="N28" s="54" t="n">
        <v>72</v>
      </c>
      <c r="O28" s="54" t="n">
        <v>3</v>
      </c>
      <c r="P28" s="55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6">
        <f>M28*P28+K28*V28</f>
        <v/>
      </c>
      <c r="V28" s="55" t="n">
        <v>90</v>
      </c>
      <c r="W28" s="54" t="n">
        <v>0</v>
      </c>
      <c r="X28" s="54" t="n">
        <v>0</v>
      </c>
      <c r="Y28" s="57">
        <f>W28+X28</f>
        <v/>
      </c>
      <c r="Z28" s="55" t="n">
        <v>0</v>
      </c>
      <c r="AA28" s="55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4" t="n">
        <v>1</v>
      </c>
      <c r="H29" s="54" t="n">
        <v>411</v>
      </c>
      <c r="I29" s="54" t="n">
        <v>115</v>
      </c>
      <c r="J29" s="54" t="n">
        <v>83</v>
      </c>
      <c r="K29" s="54" t="n">
        <v>50</v>
      </c>
      <c r="L29" s="54" t="n">
        <v>0</v>
      </c>
      <c r="M29" s="54" t="n">
        <v>50</v>
      </c>
      <c r="N29" s="54" t="n">
        <v>0</v>
      </c>
      <c r="O29" s="54" t="n">
        <v>2</v>
      </c>
      <c r="P29" s="55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6">
        <f>M29*P29+K29*V29</f>
        <v/>
      </c>
      <c r="V29" s="55" t="n">
        <v>90</v>
      </c>
      <c r="W29" s="54" t="n">
        <v>205</v>
      </c>
      <c r="X29" s="54" t="n">
        <v>205</v>
      </c>
      <c r="Y29" s="57">
        <f>W29+X29</f>
        <v/>
      </c>
      <c r="Z29" s="55" t="n">
        <v>8220</v>
      </c>
      <c r="AA29" s="55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48</v>
      </c>
      <c r="M30" s="54" t="n">
        <v>48</v>
      </c>
      <c r="N30" s="54" t="n">
        <v>50</v>
      </c>
      <c r="O30" s="54" t="n">
        <v>2</v>
      </c>
      <c r="P30" s="55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6">
        <f>M30*P30+K30*V30</f>
        <v/>
      </c>
      <c r="V30" s="55" t="n">
        <v>90</v>
      </c>
      <c r="W30" s="54" t="n">
        <v>0</v>
      </c>
      <c r="X30" s="54" t="n">
        <v>0</v>
      </c>
      <c r="Y30" s="57">
        <f>W30+X30</f>
        <v/>
      </c>
      <c r="Z30" s="55" t="n">
        <v>0</v>
      </c>
      <c r="AA30" s="55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4" t="n">
        <v>0</v>
      </c>
      <c r="H31" s="54" t="n">
        <v>0</v>
      </c>
      <c r="I31" s="54" t="n">
        <v>0</v>
      </c>
      <c r="J31" s="54" t="n">
        <v>0</v>
      </c>
      <c r="K31" s="54" t="n">
        <v>0</v>
      </c>
      <c r="L31" s="54" t="n">
        <v>47</v>
      </c>
      <c r="M31" s="54" t="n">
        <v>47</v>
      </c>
      <c r="N31" s="54" t="n">
        <v>48</v>
      </c>
      <c r="O31" s="54" t="n">
        <v>2</v>
      </c>
      <c r="P31" s="55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6">
        <f>M31*P31+K31*V31</f>
        <v/>
      </c>
      <c r="V31" s="55" t="n">
        <v>90</v>
      </c>
      <c r="W31" s="54" t="n">
        <v>0</v>
      </c>
      <c r="X31" s="54" t="n">
        <v>0</v>
      </c>
      <c r="Y31" s="57">
        <f>W31+X31</f>
        <v/>
      </c>
      <c r="Z31" s="55" t="n">
        <v>0</v>
      </c>
      <c r="AA31" s="55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4" t="n">
        <v>1</v>
      </c>
      <c r="H32" s="54" t="n">
        <v>850</v>
      </c>
      <c r="I32" s="54" t="n">
        <v>170</v>
      </c>
      <c r="J32" s="54" t="n">
        <v>119</v>
      </c>
      <c r="K32" s="54" t="n">
        <v>50</v>
      </c>
      <c r="L32" s="54" t="n">
        <v>0</v>
      </c>
      <c r="M32" s="54" t="n">
        <v>50</v>
      </c>
      <c r="N32" s="54" t="n">
        <v>0</v>
      </c>
      <c r="O32" s="54" t="n">
        <v>2</v>
      </c>
      <c r="P32" s="55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6">
        <f>M32*P32+K32*V32</f>
        <v/>
      </c>
      <c r="V32" s="55" t="n">
        <v>90</v>
      </c>
      <c r="W32" s="54" t="n">
        <v>425</v>
      </c>
      <c r="X32" s="54" t="n">
        <v>425</v>
      </c>
      <c r="Y32" s="57">
        <f>W32+X32</f>
        <v/>
      </c>
      <c r="Z32" s="55" t="n">
        <v>17000</v>
      </c>
      <c r="AA32" s="55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4" t="n">
        <v>0</v>
      </c>
      <c r="H33" s="54" t="n">
        <v>0</v>
      </c>
      <c r="I33" s="54" t="n">
        <v>0</v>
      </c>
      <c r="J33" s="54" t="n">
        <v>0</v>
      </c>
      <c r="K33" s="54" t="n">
        <v>0</v>
      </c>
      <c r="L33" s="54" t="n">
        <v>49</v>
      </c>
      <c r="M33" s="54" t="n">
        <v>49</v>
      </c>
      <c r="N33" s="54" t="n">
        <v>50</v>
      </c>
      <c r="O33" s="54" t="n">
        <v>2</v>
      </c>
      <c r="P33" s="55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6">
        <f>M33*P33+K33*V33</f>
        <v/>
      </c>
      <c r="V33" s="55" t="n">
        <v>90</v>
      </c>
      <c r="W33" s="54" t="n">
        <v>0</v>
      </c>
      <c r="X33" s="54" t="n">
        <v>0</v>
      </c>
      <c r="Y33" s="57">
        <f>W33+X33</f>
        <v/>
      </c>
      <c r="Z33" s="55" t="n">
        <v>0</v>
      </c>
      <c r="AA33" s="55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4" t="n">
        <v>1</v>
      </c>
      <c r="H34" s="54" t="n">
        <v>386</v>
      </c>
      <c r="I34" s="54" t="n">
        <v>108</v>
      </c>
      <c r="J34" s="54" t="n">
        <v>78</v>
      </c>
      <c r="K34" s="54" t="n">
        <v>47</v>
      </c>
      <c r="L34" s="54" t="n">
        <v>0</v>
      </c>
      <c r="M34" s="54" t="n">
        <v>47</v>
      </c>
      <c r="N34" s="54" t="n">
        <v>0</v>
      </c>
      <c r="O34" s="54" t="n">
        <v>2</v>
      </c>
      <c r="P34" s="55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6">
        <f>M34*P34+K34*V34</f>
        <v/>
      </c>
      <c r="V34" s="55" t="n">
        <v>90</v>
      </c>
      <c r="W34" s="54" t="n">
        <v>197</v>
      </c>
      <c r="X34" s="54" t="n">
        <v>189</v>
      </c>
      <c r="Y34" s="57">
        <f>W34+X34</f>
        <v/>
      </c>
      <c r="Z34" s="55" t="n">
        <v>7187</v>
      </c>
      <c r="AA34" s="55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4" t="n">
        <v>0</v>
      </c>
      <c r="H35" s="54" t="n">
        <v>0</v>
      </c>
      <c r="I35" s="54" t="n">
        <v>0</v>
      </c>
      <c r="J35" s="54" t="n">
        <v>0</v>
      </c>
      <c r="K35" s="54" t="n">
        <v>0</v>
      </c>
      <c r="L35" s="54" t="n">
        <v>46</v>
      </c>
      <c r="M35" s="54" t="n">
        <v>46</v>
      </c>
      <c r="N35" s="54" t="n">
        <v>47</v>
      </c>
      <c r="O35" s="54" t="n">
        <v>2</v>
      </c>
      <c r="P35" s="55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6">
        <f>M35*P35+K35*V35</f>
        <v/>
      </c>
      <c r="V35" s="55" t="n">
        <v>90</v>
      </c>
      <c r="W35" s="54" t="n">
        <v>0</v>
      </c>
      <c r="X35" s="54" t="n">
        <v>0</v>
      </c>
      <c r="Y35" s="57">
        <f>W35+X35</f>
        <v/>
      </c>
      <c r="Z35" s="55" t="n">
        <v>0</v>
      </c>
      <c r="AA35" s="55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4" t="n">
        <v>0</v>
      </c>
      <c r="H36" s="54" t="n">
        <v>0</v>
      </c>
      <c r="I36" s="54" t="n">
        <v>0</v>
      </c>
      <c r="J36" s="54" t="n">
        <v>0</v>
      </c>
      <c r="K36" s="54" t="n">
        <v>0</v>
      </c>
      <c r="L36" s="54" t="n">
        <v>45</v>
      </c>
      <c r="M36" s="54" t="n">
        <v>45</v>
      </c>
      <c r="N36" s="54" t="n">
        <v>46</v>
      </c>
      <c r="O36" s="54" t="n">
        <v>2</v>
      </c>
      <c r="P36" s="55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6">
        <f>M36*P36+K36*V36</f>
        <v/>
      </c>
      <c r="V36" s="55" t="n">
        <v>90</v>
      </c>
      <c r="W36" s="54" t="n">
        <v>0</v>
      </c>
      <c r="X36" s="54" t="n">
        <v>0</v>
      </c>
      <c r="Y36" s="57">
        <f>W36+X36</f>
        <v/>
      </c>
      <c r="Z36" s="55" t="n">
        <v>0</v>
      </c>
      <c r="AA36" s="55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4" t="n">
        <v>1</v>
      </c>
      <c r="H37" s="54" t="n">
        <v>800</v>
      </c>
      <c r="I37" s="54" t="n">
        <v>160</v>
      </c>
      <c r="J37" s="54" t="n">
        <v>112</v>
      </c>
      <c r="K37" s="54" t="n">
        <v>47</v>
      </c>
      <c r="L37" s="54" t="n">
        <v>0</v>
      </c>
      <c r="M37" s="54" t="n">
        <v>47</v>
      </c>
      <c r="N37" s="54" t="n">
        <v>0</v>
      </c>
      <c r="O37" s="54" t="n">
        <v>2</v>
      </c>
      <c r="P37" s="55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6">
        <f>M37*P37+K37*V37</f>
        <v/>
      </c>
      <c r="V37" s="55" t="n">
        <v>90</v>
      </c>
      <c r="W37" s="54" t="n">
        <v>408</v>
      </c>
      <c r="X37" s="54" t="n">
        <v>392</v>
      </c>
      <c r="Y37" s="57">
        <f>W37+X37</f>
        <v/>
      </c>
      <c r="Z37" s="55" t="n">
        <v>14896</v>
      </c>
      <c r="AA37" s="55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4" t="n">
        <v>0</v>
      </c>
      <c r="H38" s="54" t="n">
        <v>0</v>
      </c>
      <c r="I38" s="54" t="n">
        <v>0</v>
      </c>
      <c r="J38" s="54" t="n">
        <v>0</v>
      </c>
      <c r="K38" s="54" t="n">
        <v>0</v>
      </c>
      <c r="L38" s="54" t="n">
        <v>46</v>
      </c>
      <c r="M38" s="54" t="n">
        <v>46</v>
      </c>
      <c r="N38" s="54" t="n">
        <v>47</v>
      </c>
      <c r="O38" s="54" t="n">
        <v>2</v>
      </c>
      <c r="P38" s="55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6">
        <f>M38*P38+K38*V38</f>
        <v/>
      </c>
      <c r="V38" s="55" t="n">
        <v>90</v>
      </c>
      <c r="W38" s="54" t="n">
        <v>0</v>
      </c>
      <c r="X38" s="54" t="n">
        <v>0</v>
      </c>
      <c r="Y38" s="57">
        <f>W38+X38</f>
        <v/>
      </c>
      <c r="Z38" s="55" t="n">
        <v>0</v>
      </c>
      <c r="AA38" s="55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4" t="n">
        <v>1</v>
      </c>
      <c r="H39" s="54" t="n">
        <v>850</v>
      </c>
      <c r="I39" s="54" t="n">
        <v>170</v>
      </c>
      <c r="J39" s="54" t="n">
        <v>119</v>
      </c>
      <c r="K39" s="54" t="n">
        <v>50</v>
      </c>
      <c r="L39" s="54" t="n">
        <v>0</v>
      </c>
      <c r="M39" s="54" t="n">
        <v>50</v>
      </c>
      <c r="N39" s="54" t="n">
        <v>0</v>
      </c>
      <c r="O39" s="54" t="n">
        <v>2</v>
      </c>
      <c r="P39" s="55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6">
        <f>M39*P39+K39*V39</f>
        <v/>
      </c>
      <c r="V39" s="55" t="n">
        <v>90</v>
      </c>
      <c r="W39" s="54" t="n">
        <v>306</v>
      </c>
      <c r="X39" s="54" t="n">
        <v>544</v>
      </c>
      <c r="Y39" s="57">
        <f>W39+X39</f>
        <v/>
      </c>
      <c r="Z39" s="55" t="n">
        <v>21760</v>
      </c>
      <c r="AA39" s="55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48</v>
      </c>
      <c r="M40" s="54" t="n">
        <v>48</v>
      </c>
      <c r="N40" s="54" t="n">
        <v>50</v>
      </c>
      <c r="O40" s="54" t="n">
        <v>2</v>
      </c>
      <c r="P40" s="55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6">
        <f>M40*P40+K40*V40</f>
        <v/>
      </c>
      <c r="V40" s="55" t="n">
        <v>90</v>
      </c>
      <c r="W40" s="54" t="n">
        <v>0</v>
      </c>
      <c r="X40" s="54" t="n">
        <v>0</v>
      </c>
      <c r="Y40" s="57">
        <f>W40+X40</f>
        <v/>
      </c>
      <c r="Z40" s="55" t="n">
        <v>0</v>
      </c>
      <c r="AA40" s="55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4" t="n">
        <v>0</v>
      </c>
      <c r="H41" s="54" t="n">
        <v>0</v>
      </c>
      <c r="I41" s="54" t="n">
        <v>0</v>
      </c>
      <c r="J41" s="54" t="n">
        <v>0</v>
      </c>
      <c r="K41" s="54" t="n">
        <v>0</v>
      </c>
      <c r="L41" s="54" t="n">
        <v>47</v>
      </c>
      <c r="M41" s="54" t="n">
        <v>47</v>
      </c>
      <c r="N41" s="54" t="n">
        <v>48</v>
      </c>
      <c r="O41" s="54" t="n">
        <v>2</v>
      </c>
      <c r="P41" s="55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6">
        <f>M41*P41+K41*V41</f>
        <v/>
      </c>
      <c r="V41" s="55" t="n">
        <v>90</v>
      </c>
      <c r="W41" s="54" t="n">
        <v>0</v>
      </c>
      <c r="X41" s="54" t="n">
        <v>0</v>
      </c>
      <c r="Y41" s="57">
        <f>W41+X41</f>
        <v/>
      </c>
      <c r="Z41" s="55" t="n">
        <v>0</v>
      </c>
      <c r="AA41" s="55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4" t="n">
        <v>1</v>
      </c>
      <c r="H42" s="54" t="n">
        <v>680</v>
      </c>
      <c r="I42" s="54" t="n">
        <v>136</v>
      </c>
      <c r="J42" s="54" t="n">
        <v>95</v>
      </c>
      <c r="K42" s="54" t="n">
        <v>40</v>
      </c>
      <c r="L42" s="54" t="n">
        <v>0</v>
      </c>
      <c r="M42" s="54" t="n">
        <v>40</v>
      </c>
      <c r="N42" s="54" t="n">
        <v>0</v>
      </c>
      <c r="O42" s="54" t="n">
        <v>2</v>
      </c>
      <c r="P42" s="55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6">
        <f>M42*P42+K42*V42</f>
        <v/>
      </c>
      <c r="V42" s="55" t="n">
        <v>90</v>
      </c>
      <c r="W42" s="54" t="n">
        <v>265</v>
      </c>
      <c r="X42" s="54" t="n">
        <v>415</v>
      </c>
      <c r="Y42" s="57">
        <f>W42+X42</f>
        <v/>
      </c>
      <c r="Z42" s="55" t="n">
        <v>14933</v>
      </c>
      <c r="AA42" s="55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4" t="n">
        <v>0</v>
      </c>
      <c r="H43" s="54" t="n">
        <v>0</v>
      </c>
      <c r="I43" s="54" t="n">
        <v>0</v>
      </c>
      <c r="J43" s="54" t="n">
        <v>0</v>
      </c>
      <c r="K43" s="54" t="n">
        <v>0</v>
      </c>
      <c r="L43" s="54" t="n">
        <v>39</v>
      </c>
      <c r="M43" s="54" t="n">
        <v>39</v>
      </c>
      <c r="N43" s="54" t="n">
        <v>40</v>
      </c>
      <c r="O43" s="54" t="n">
        <v>2</v>
      </c>
      <c r="P43" s="55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6">
        <f>M43*P43+K43*V43</f>
        <v/>
      </c>
      <c r="V43" s="55" t="n">
        <v>90</v>
      </c>
      <c r="W43" s="54" t="n">
        <v>0</v>
      </c>
      <c r="X43" s="54" t="n">
        <v>0</v>
      </c>
      <c r="Y43" s="57">
        <f>W43+X43</f>
        <v/>
      </c>
      <c r="Z43" s="55" t="n">
        <v>0</v>
      </c>
      <c r="AA43" s="55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4" t="n">
        <v>0</v>
      </c>
      <c r="H44" s="54" t="n">
        <v>0</v>
      </c>
      <c r="I44" s="54" t="n">
        <v>0</v>
      </c>
      <c r="J44" s="54" t="n">
        <v>0</v>
      </c>
      <c r="K44" s="54" t="n">
        <v>0</v>
      </c>
      <c r="L44" s="54" t="n">
        <v>38</v>
      </c>
      <c r="M44" s="54" t="n">
        <v>38</v>
      </c>
      <c r="N44" s="54" t="n">
        <v>39</v>
      </c>
      <c r="O44" s="54" t="n">
        <v>2</v>
      </c>
      <c r="P44" s="55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6">
        <f>M44*P44+K44*V44</f>
        <v/>
      </c>
      <c r="V44" s="55" t="n">
        <v>90</v>
      </c>
      <c r="W44" s="54" t="n">
        <v>0</v>
      </c>
      <c r="X44" s="54" t="n">
        <v>0</v>
      </c>
      <c r="Y44" s="57">
        <f>W44+X44</f>
        <v/>
      </c>
      <c r="Z44" s="55" t="n">
        <v>0</v>
      </c>
      <c r="AA44" s="55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4" t="n">
        <v>1</v>
      </c>
      <c r="H45" s="54" t="n">
        <v>680</v>
      </c>
      <c r="I45" s="54" t="n">
        <v>136</v>
      </c>
      <c r="J45" s="54" t="n">
        <v>95</v>
      </c>
      <c r="K45" s="54" t="n">
        <v>40</v>
      </c>
      <c r="L45" s="54" t="n">
        <v>0</v>
      </c>
      <c r="M45" s="54" t="n">
        <v>40</v>
      </c>
      <c r="N45" s="54" t="n">
        <v>0</v>
      </c>
      <c r="O45" s="54" t="n">
        <v>2</v>
      </c>
      <c r="P45" s="55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6">
        <f>M45*P45+K45*V45</f>
        <v/>
      </c>
      <c r="V45" s="55" t="n">
        <v>90</v>
      </c>
      <c r="W45" s="54" t="n">
        <v>258</v>
      </c>
      <c r="X45" s="54" t="n">
        <v>422</v>
      </c>
      <c r="Y45" s="57">
        <f>W45+X45</f>
        <v/>
      </c>
      <c r="Z45" s="55" t="n">
        <v>15178</v>
      </c>
      <c r="AA45" s="55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39</v>
      </c>
      <c r="M46" s="54" t="n">
        <v>39</v>
      </c>
      <c r="N46" s="54" t="n">
        <v>40</v>
      </c>
      <c r="O46" s="54" t="n">
        <v>2</v>
      </c>
      <c r="P46" s="55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6">
        <f>M46*P46+K46*V46</f>
        <v/>
      </c>
      <c r="V46" s="55" t="n">
        <v>90</v>
      </c>
      <c r="W46" s="54" t="n">
        <v>0</v>
      </c>
      <c r="X46" s="54" t="n">
        <v>0</v>
      </c>
      <c r="Y46" s="57">
        <f>W46+X46</f>
        <v/>
      </c>
      <c r="Z46" s="55" t="n">
        <v>0</v>
      </c>
      <c r="AA46" s="55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38</v>
      </c>
      <c r="M47" s="54" t="n">
        <v>38</v>
      </c>
      <c r="N47" s="54" t="n">
        <v>39</v>
      </c>
      <c r="O47" s="54" t="n">
        <v>2</v>
      </c>
      <c r="P47" s="55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6">
        <f>M47*P47+K47*V47</f>
        <v/>
      </c>
      <c r="V47" s="55" t="n">
        <v>90</v>
      </c>
      <c r="W47" s="54" t="n">
        <v>0</v>
      </c>
      <c r="X47" s="54" t="n">
        <v>0</v>
      </c>
      <c r="Y47" s="57">
        <f>W47+X47</f>
        <v/>
      </c>
      <c r="Z47" s="55" t="n">
        <v>0</v>
      </c>
      <c r="AA47" s="55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4" t="n">
        <v>1</v>
      </c>
      <c r="H48" s="54" t="n">
        <v>785</v>
      </c>
      <c r="I48" s="54" t="n">
        <v>157</v>
      </c>
      <c r="J48" s="54" t="n">
        <v>110</v>
      </c>
      <c r="K48" s="54" t="n">
        <v>46</v>
      </c>
      <c r="L48" s="54" t="n">
        <v>0</v>
      </c>
      <c r="M48" s="54" t="n">
        <v>46</v>
      </c>
      <c r="N48" s="54" t="n">
        <v>0</v>
      </c>
      <c r="O48" s="54" t="n">
        <v>2</v>
      </c>
      <c r="P48" s="55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6">
        <f>M48*P48+K48*V48</f>
        <v/>
      </c>
      <c r="V48" s="55" t="n">
        <v>90</v>
      </c>
      <c r="W48" s="54" t="n">
        <v>369</v>
      </c>
      <c r="X48" s="54" t="n">
        <v>416</v>
      </c>
      <c r="Y48" s="57">
        <f>W48+X48</f>
        <v/>
      </c>
      <c r="Z48" s="55" t="n">
        <v>18306</v>
      </c>
      <c r="AA48" s="55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4" t="n">
        <v>0</v>
      </c>
      <c r="H49" s="54" t="n">
        <v>0</v>
      </c>
      <c r="I49" s="54" t="n">
        <v>0</v>
      </c>
      <c r="J49" s="54" t="n">
        <v>0</v>
      </c>
      <c r="K49" s="54" t="n">
        <v>0</v>
      </c>
      <c r="L49" s="54" t="n">
        <v>45</v>
      </c>
      <c r="M49" s="54" t="n">
        <v>45</v>
      </c>
      <c r="N49" s="54" t="n">
        <v>46</v>
      </c>
      <c r="O49" s="54" t="n">
        <v>2</v>
      </c>
      <c r="P49" s="55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6">
        <f>M49*P49+K49*V49</f>
        <v/>
      </c>
      <c r="V49" s="55" t="n">
        <v>90</v>
      </c>
      <c r="W49" s="54" t="n">
        <v>0</v>
      </c>
      <c r="X49" s="54" t="n">
        <v>0</v>
      </c>
      <c r="Y49" s="57">
        <f>W49+X49</f>
        <v/>
      </c>
      <c r="Z49" s="55" t="n">
        <v>0</v>
      </c>
      <c r="AA49" s="55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4" t="n">
        <v>1</v>
      </c>
      <c r="H50" s="54" t="n">
        <v>785</v>
      </c>
      <c r="I50" s="54" t="n">
        <v>157</v>
      </c>
      <c r="J50" s="54" t="n">
        <v>110</v>
      </c>
      <c r="K50" s="54" t="n">
        <v>46</v>
      </c>
      <c r="L50" s="54" t="n">
        <v>0</v>
      </c>
      <c r="M50" s="54" t="n">
        <v>46</v>
      </c>
      <c r="N50" s="54" t="n">
        <v>0</v>
      </c>
      <c r="O50" s="54" t="n">
        <v>2</v>
      </c>
      <c r="P50" s="55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6">
        <f>M50*P50+K50*V50</f>
        <v/>
      </c>
      <c r="V50" s="55" t="n">
        <v>90</v>
      </c>
      <c r="W50" s="54" t="n">
        <v>369</v>
      </c>
      <c r="X50" s="54" t="n">
        <v>416</v>
      </c>
      <c r="Y50" s="57">
        <f>W50+X50</f>
        <v/>
      </c>
      <c r="Z50" s="55" t="n">
        <v>18306</v>
      </c>
      <c r="AA50" s="55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4" t="n">
        <v>0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45</v>
      </c>
      <c r="M51" s="54" t="n">
        <v>45</v>
      </c>
      <c r="N51" s="54" t="n">
        <v>46</v>
      </c>
      <c r="O51" s="54" t="n">
        <v>2</v>
      </c>
      <c r="P51" s="55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6">
        <f>M51*P51+K51*V51</f>
        <v/>
      </c>
      <c r="V51" s="55" t="n">
        <v>90</v>
      </c>
      <c r="W51" s="54" t="n">
        <v>0</v>
      </c>
      <c r="X51" s="54" t="n">
        <v>0</v>
      </c>
      <c r="Y51" s="57">
        <f>W51+X51</f>
        <v/>
      </c>
      <c r="Z51" s="55" t="n">
        <v>0</v>
      </c>
      <c r="AA51" s="55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4" t="n">
        <v>1</v>
      </c>
      <c r="H52" s="54" t="n">
        <v>615</v>
      </c>
      <c r="I52" s="54" t="n">
        <v>123</v>
      </c>
      <c r="J52" s="54" t="n">
        <v>86</v>
      </c>
      <c r="K52" s="54" t="n">
        <v>36</v>
      </c>
      <c r="L52" s="54" t="n">
        <v>0</v>
      </c>
      <c r="M52" s="54" t="n">
        <v>36</v>
      </c>
      <c r="N52" s="54" t="n">
        <v>0</v>
      </c>
      <c r="O52" s="54" t="n">
        <v>2</v>
      </c>
      <c r="P52" s="55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6">
        <f>M52*P52+K52*V52</f>
        <v/>
      </c>
      <c r="V52" s="55" t="n">
        <v>90</v>
      </c>
      <c r="W52" s="54" t="n">
        <v>326</v>
      </c>
      <c r="X52" s="54" t="n">
        <v>289</v>
      </c>
      <c r="Y52" s="57">
        <f>W52+X52</f>
        <v/>
      </c>
      <c r="Z52" s="55" t="n">
        <v>10984</v>
      </c>
      <c r="AA52" s="55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4" t="n">
        <v>0</v>
      </c>
      <c r="H53" s="54" t="n">
        <v>0</v>
      </c>
      <c r="I53" s="54" t="n">
        <v>0</v>
      </c>
      <c r="J53" s="54" t="n">
        <v>0</v>
      </c>
      <c r="K53" s="54" t="n">
        <v>0</v>
      </c>
      <c r="L53" s="54" t="n">
        <v>35</v>
      </c>
      <c r="M53" s="54" t="n">
        <v>35</v>
      </c>
      <c r="N53" s="54" t="n">
        <v>36</v>
      </c>
      <c r="O53" s="54" t="n">
        <v>2</v>
      </c>
      <c r="P53" s="55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6">
        <f>M53*P53+K53*V53</f>
        <v/>
      </c>
      <c r="V53" s="55" t="n">
        <v>90</v>
      </c>
      <c r="W53" s="54" t="n">
        <v>0</v>
      </c>
      <c r="X53" s="54" t="n">
        <v>0</v>
      </c>
      <c r="Y53" s="57">
        <f>W53+X53</f>
        <v/>
      </c>
      <c r="Z53" s="55" t="n">
        <v>0</v>
      </c>
      <c r="AA53" s="55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4" t="n">
        <v>1</v>
      </c>
      <c r="H54" s="54" t="n">
        <v>615</v>
      </c>
      <c r="I54" s="54" t="n">
        <v>123</v>
      </c>
      <c r="J54" s="54" t="n">
        <v>86</v>
      </c>
      <c r="K54" s="54" t="n">
        <v>36</v>
      </c>
      <c r="L54" s="54" t="n">
        <v>0</v>
      </c>
      <c r="M54" s="54" t="n">
        <v>36</v>
      </c>
      <c r="N54" s="54" t="n">
        <v>0</v>
      </c>
      <c r="O54" s="54" t="n">
        <v>2</v>
      </c>
      <c r="P54" s="55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6">
        <f>M54*P54+K54*V54</f>
        <v/>
      </c>
      <c r="V54" s="55" t="n">
        <v>90</v>
      </c>
      <c r="W54" s="54" t="n">
        <v>326</v>
      </c>
      <c r="X54" s="54" t="n">
        <v>289</v>
      </c>
      <c r="Y54" s="57">
        <f>W54+X54</f>
        <v/>
      </c>
      <c r="Z54" s="55" t="n">
        <v>10984</v>
      </c>
      <c r="AA54" s="55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4" t="n">
        <v>0</v>
      </c>
      <c r="H55" s="54" t="n">
        <v>0</v>
      </c>
      <c r="I55" s="54" t="n">
        <v>0</v>
      </c>
      <c r="J55" s="54" t="n">
        <v>0</v>
      </c>
      <c r="K55" s="54" t="n">
        <v>0</v>
      </c>
      <c r="L55" s="54" t="n">
        <v>35</v>
      </c>
      <c r="M55" s="54" t="n">
        <v>35</v>
      </c>
      <c r="N55" s="54" t="n">
        <v>36</v>
      </c>
      <c r="O55" s="54" t="n">
        <v>2</v>
      </c>
      <c r="P55" s="55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6">
        <f>M55*P55+K55*V55</f>
        <v/>
      </c>
      <c r="V55" s="55" t="n">
        <v>90</v>
      </c>
      <c r="W55" s="54" t="n">
        <v>0</v>
      </c>
      <c r="X55" s="54" t="n">
        <v>0</v>
      </c>
      <c r="Y55" s="57">
        <f>W55+X55</f>
        <v/>
      </c>
      <c r="Z55" s="55" t="n">
        <v>0</v>
      </c>
      <c r="AA55" s="55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4" t="n">
        <v>1</v>
      </c>
      <c r="H56" s="54" t="n">
        <v>800</v>
      </c>
      <c r="I56" s="54" t="n">
        <v>160</v>
      </c>
      <c r="J56" s="54" t="n">
        <v>112</v>
      </c>
      <c r="K56" s="54" t="n">
        <v>47</v>
      </c>
      <c r="L56" s="54" t="n">
        <v>0</v>
      </c>
      <c r="M56" s="54" t="n">
        <v>47</v>
      </c>
      <c r="N56" s="54" t="n">
        <v>0</v>
      </c>
      <c r="O56" s="54" t="n">
        <v>2</v>
      </c>
      <c r="P56" s="55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6">
        <f>M56*P56+K56*V56</f>
        <v/>
      </c>
      <c r="V56" s="55" t="n">
        <v>90</v>
      </c>
      <c r="W56" s="54" t="n">
        <v>240</v>
      </c>
      <c r="X56" s="54" t="n">
        <v>560</v>
      </c>
      <c r="Y56" s="57">
        <f>W56+X56</f>
        <v/>
      </c>
      <c r="Z56" s="55" t="n">
        <v>30240</v>
      </c>
      <c r="AA56" s="55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46</v>
      </c>
      <c r="M57" s="54" t="n">
        <v>46</v>
      </c>
      <c r="N57" s="54" t="n">
        <v>47</v>
      </c>
      <c r="O57" s="54" t="n">
        <v>2</v>
      </c>
      <c r="P57" s="55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6">
        <f>M57*P57+K57*V57</f>
        <v/>
      </c>
      <c r="V57" s="55" t="n">
        <v>90</v>
      </c>
      <c r="W57" s="54" t="n">
        <v>0</v>
      </c>
      <c r="X57" s="54" t="n">
        <v>0</v>
      </c>
      <c r="Y57" s="57">
        <f>W57+X57</f>
        <v/>
      </c>
      <c r="Z57" s="55" t="n">
        <v>0</v>
      </c>
      <c r="AA57" s="55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45</v>
      </c>
      <c r="M58" s="54" t="n">
        <v>45</v>
      </c>
      <c r="N58" s="54" t="n">
        <v>46</v>
      </c>
      <c r="O58" s="54" t="n">
        <v>2</v>
      </c>
      <c r="P58" s="55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6">
        <f>M58*P58+K58*V58</f>
        <v/>
      </c>
      <c r="V58" s="55" t="n">
        <v>90</v>
      </c>
      <c r="W58" s="54" t="n">
        <v>0</v>
      </c>
      <c r="X58" s="54" t="n">
        <v>0</v>
      </c>
      <c r="Y58" s="57">
        <f>W58+X58</f>
        <v/>
      </c>
      <c r="Z58" s="55" t="n">
        <v>0</v>
      </c>
      <c r="AA58" s="55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4" t="n">
        <v>1</v>
      </c>
      <c r="H59" s="54" t="n">
        <v>680</v>
      </c>
      <c r="I59" s="54" t="n">
        <v>136</v>
      </c>
      <c r="J59" s="54" t="n">
        <v>95</v>
      </c>
      <c r="K59" s="54" t="n">
        <v>40</v>
      </c>
      <c r="L59" s="54" t="n">
        <v>0</v>
      </c>
      <c r="M59" s="54" t="n">
        <v>40</v>
      </c>
      <c r="N59" s="54" t="n">
        <v>0</v>
      </c>
      <c r="O59" s="54" t="n">
        <v>2</v>
      </c>
      <c r="P59" s="55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6">
        <f>M59*P59+K59*V59</f>
        <v/>
      </c>
      <c r="V59" s="55" t="n">
        <v>90</v>
      </c>
      <c r="W59" s="54" t="n">
        <v>252</v>
      </c>
      <c r="X59" s="54" t="n">
        <v>428</v>
      </c>
      <c r="Y59" s="57">
        <f>W59+X59</f>
        <v/>
      </c>
      <c r="Z59" s="55" t="n">
        <v>18850</v>
      </c>
      <c r="AA59" s="55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4" t="n">
        <v>0</v>
      </c>
      <c r="H60" s="54" t="n">
        <v>0</v>
      </c>
      <c r="I60" s="54" t="n">
        <v>0</v>
      </c>
      <c r="J60" s="54" t="n">
        <v>0</v>
      </c>
      <c r="K60" s="54" t="n">
        <v>0</v>
      </c>
      <c r="L60" s="54" t="n">
        <v>39</v>
      </c>
      <c r="M60" s="54" t="n">
        <v>39</v>
      </c>
      <c r="N60" s="54" t="n">
        <v>40</v>
      </c>
      <c r="O60" s="54" t="n">
        <v>2</v>
      </c>
      <c r="P60" s="55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6">
        <f>M60*P60+K60*V60</f>
        <v/>
      </c>
      <c r="V60" s="55" t="n">
        <v>90</v>
      </c>
      <c r="W60" s="54" t="n">
        <v>0</v>
      </c>
      <c r="X60" s="54" t="n">
        <v>0</v>
      </c>
      <c r="Y60" s="57">
        <f>W60+X60</f>
        <v/>
      </c>
      <c r="Z60" s="55" t="n">
        <v>0</v>
      </c>
      <c r="AA60" s="55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4" t="n">
        <v>0</v>
      </c>
      <c r="H61" s="54" t="n">
        <v>0</v>
      </c>
      <c r="I61" s="54" t="n">
        <v>0</v>
      </c>
      <c r="J61" s="54" t="n">
        <v>0</v>
      </c>
      <c r="K61" s="54" t="n">
        <v>0</v>
      </c>
      <c r="L61" s="54" t="n">
        <v>38</v>
      </c>
      <c r="M61" s="54" t="n">
        <v>38</v>
      </c>
      <c r="N61" s="54" t="n">
        <v>39</v>
      </c>
      <c r="O61" s="54" t="n">
        <v>2</v>
      </c>
      <c r="P61" s="55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6">
        <f>M61*P61+K61*V61</f>
        <v/>
      </c>
      <c r="V61" s="55" t="n">
        <v>90</v>
      </c>
      <c r="W61" s="54" t="n">
        <v>0</v>
      </c>
      <c r="X61" s="54" t="n">
        <v>0</v>
      </c>
      <c r="Y61" s="57">
        <f>W61+X61</f>
        <v/>
      </c>
      <c r="Z61" s="55" t="n">
        <v>0</v>
      </c>
      <c r="AA61" s="55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4" t="n">
        <v>1</v>
      </c>
      <c r="H62" s="54" t="n">
        <v>609</v>
      </c>
      <c r="I62" s="54" t="n">
        <v>171</v>
      </c>
      <c r="J62" s="54" t="n">
        <v>123</v>
      </c>
      <c r="K62" s="54" t="n">
        <v>74</v>
      </c>
      <c r="L62" s="54" t="n">
        <v>0</v>
      </c>
      <c r="M62" s="54" t="n">
        <v>74</v>
      </c>
      <c r="N62" s="54" t="n">
        <v>0</v>
      </c>
      <c r="O62" s="54" t="n">
        <v>3</v>
      </c>
      <c r="P62" s="55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6">
        <f>M62*P62+K62*V62</f>
        <v/>
      </c>
      <c r="V62" s="55" t="n">
        <v>90</v>
      </c>
      <c r="W62" s="54" t="n">
        <v>217</v>
      </c>
      <c r="X62" s="54" t="n">
        <v>396</v>
      </c>
      <c r="Y62" s="57">
        <f>W62+X62</f>
        <v/>
      </c>
      <c r="Z62" s="55" t="n">
        <v>20296</v>
      </c>
      <c r="AA62" s="55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4" t="n">
        <v>0</v>
      </c>
      <c r="H63" s="54" t="n">
        <v>0</v>
      </c>
      <c r="I63" s="54" t="n">
        <v>0</v>
      </c>
      <c r="J63" s="54" t="n">
        <v>0</v>
      </c>
      <c r="K63" s="54" t="n">
        <v>0</v>
      </c>
      <c r="L63" s="54" t="n">
        <v>72</v>
      </c>
      <c r="M63" s="54" t="n">
        <v>72</v>
      </c>
      <c r="N63" s="54" t="n">
        <v>74</v>
      </c>
      <c r="O63" s="54" t="n">
        <v>3</v>
      </c>
      <c r="P63" s="55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6">
        <f>M63*P63+K63*V63</f>
        <v/>
      </c>
      <c r="V63" s="55" t="n">
        <v>90</v>
      </c>
      <c r="W63" s="54" t="n">
        <v>0</v>
      </c>
      <c r="X63" s="54" t="n">
        <v>0</v>
      </c>
      <c r="Y63" s="57">
        <f>W63+X63</f>
        <v/>
      </c>
      <c r="Z63" s="55" t="n">
        <v>0</v>
      </c>
      <c r="AA63" s="55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70</v>
      </c>
      <c r="M64" s="54" t="n">
        <v>70</v>
      </c>
      <c r="N64" s="54" t="n">
        <v>72</v>
      </c>
      <c r="O64" s="54" t="n">
        <v>3</v>
      </c>
      <c r="P64" s="55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6">
        <f>M64*P64+K64*V64</f>
        <v/>
      </c>
      <c r="V64" s="55" t="n">
        <v>90</v>
      </c>
      <c r="W64" s="54" t="n">
        <v>0</v>
      </c>
      <c r="X64" s="54" t="n">
        <v>0</v>
      </c>
      <c r="Y64" s="57">
        <f>W64+X64</f>
        <v/>
      </c>
      <c r="Z64" s="55" t="n">
        <v>0</v>
      </c>
      <c r="AA64" s="55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4" t="n">
        <v>1</v>
      </c>
      <c r="H65" s="54" t="n">
        <v>1255</v>
      </c>
      <c r="I65" s="54" t="n">
        <v>251</v>
      </c>
      <c r="J65" s="54" t="n">
        <v>175</v>
      </c>
      <c r="K65" s="54" t="n">
        <v>74</v>
      </c>
      <c r="L65" s="54" t="n">
        <v>0</v>
      </c>
      <c r="M65" s="54" t="n">
        <v>74</v>
      </c>
      <c r="N65" s="54" t="n">
        <v>0</v>
      </c>
      <c r="O65" s="54" t="n">
        <v>3</v>
      </c>
      <c r="P65" s="55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6">
        <f>M65*P65+K65*V65</f>
        <v/>
      </c>
      <c r="V65" s="55" t="n">
        <v>90</v>
      </c>
      <c r="W65" s="54" t="n">
        <v>448</v>
      </c>
      <c r="X65" s="54" t="n">
        <v>814</v>
      </c>
      <c r="Y65" s="57">
        <f>W65+X65</f>
        <v/>
      </c>
      <c r="Z65" s="55" t="n">
        <v>41786</v>
      </c>
      <c r="AA65" s="55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72</v>
      </c>
      <c r="M66" s="54" t="n">
        <v>72</v>
      </c>
      <c r="N66" s="54" t="n">
        <v>74</v>
      </c>
      <c r="O66" s="54" t="n">
        <v>3</v>
      </c>
      <c r="P66" s="55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6">
        <f>M66*P66+K66*V66</f>
        <v/>
      </c>
      <c r="V66" s="55" t="n">
        <v>90</v>
      </c>
      <c r="W66" s="54" t="n">
        <v>0</v>
      </c>
      <c r="X66" s="54" t="n">
        <v>0</v>
      </c>
      <c r="Y66" s="57">
        <f>W66+X66</f>
        <v/>
      </c>
      <c r="Z66" s="55" t="n">
        <v>0</v>
      </c>
      <c r="AA66" s="55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4" t="n">
        <v>1</v>
      </c>
      <c r="H67" s="54" t="n">
        <v>515</v>
      </c>
      <c r="I67" s="54" t="n">
        <v>144</v>
      </c>
      <c r="J67" s="54" t="n">
        <v>104</v>
      </c>
      <c r="K67" s="54" t="n">
        <v>62</v>
      </c>
      <c r="L67" s="54" t="n">
        <v>0</v>
      </c>
      <c r="M67" s="54" t="n">
        <v>62</v>
      </c>
      <c r="N67" s="54" t="n">
        <v>0</v>
      </c>
      <c r="O67" s="54" t="n">
        <v>3</v>
      </c>
      <c r="P67" s="55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6">
        <f>M67*P67+K67*V67</f>
        <v/>
      </c>
      <c r="V67" s="55" t="n">
        <v>90</v>
      </c>
      <c r="W67" s="54" t="n">
        <v>220</v>
      </c>
      <c r="X67" s="54" t="n">
        <v>297</v>
      </c>
      <c r="Y67" s="57">
        <f>W67+X67</f>
        <v/>
      </c>
      <c r="Z67" s="55" t="n">
        <v>12449</v>
      </c>
      <c r="AA67" s="55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4" t="n">
        <v>0</v>
      </c>
      <c r="H68" s="54" t="n">
        <v>0</v>
      </c>
      <c r="I68" s="54" t="n">
        <v>0</v>
      </c>
      <c r="J68" s="54" t="n">
        <v>0</v>
      </c>
      <c r="K68" s="54" t="n">
        <v>0</v>
      </c>
      <c r="L68" s="54" t="n">
        <v>60</v>
      </c>
      <c r="M68" s="54" t="n">
        <v>60</v>
      </c>
      <c r="N68" s="54" t="n">
        <v>62</v>
      </c>
      <c r="O68" s="54" t="n">
        <v>2</v>
      </c>
      <c r="P68" s="55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6">
        <f>M68*P68+K68*V68</f>
        <v/>
      </c>
      <c r="V68" s="55" t="n">
        <v>90</v>
      </c>
      <c r="W68" s="54" t="n">
        <v>0</v>
      </c>
      <c r="X68" s="54" t="n">
        <v>0</v>
      </c>
      <c r="Y68" s="57">
        <f>W68+X68</f>
        <v/>
      </c>
      <c r="Z68" s="55" t="n">
        <v>0</v>
      </c>
      <c r="AA68" s="55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59</v>
      </c>
      <c r="M69" s="54" t="n">
        <v>59</v>
      </c>
      <c r="N69" s="54" t="n">
        <v>60</v>
      </c>
      <c r="O69" s="54" t="n">
        <v>2</v>
      </c>
      <c r="P69" s="55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6">
        <f>M69*P69+K69*V69</f>
        <v/>
      </c>
      <c r="V69" s="55" t="n">
        <v>90</v>
      </c>
      <c r="W69" s="54" t="n">
        <v>0</v>
      </c>
      <c r="X69" s="54" t="n">
        <v>0</v>
      </c>
      <c r="Y69" s="57">
        <f>W69+X69</f>
        <v/>
      </c>
      <c r="Z69" s="55" t="n">
        <v>0</v>
      </c>
      <c r="AA69" s="55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4" t="n">
        <v>1</v>
      </c>
      <c r="H70" s="54" t="n">
        <v>1057</v>
      </c>
      <c r="I70" s="54" t="n">
        <v>211</v>
      </c>
      <c r="J70" s="54" t="n">
        <v>148</v>
      </c>
      <c r="K70" s="54" t="n">
        <v>62</v>
      </c>
      <c r="L70" s="54" t="n">
        <v>0</v>
      </c>
      <c r="M70" s="54" t="n">
        <v>62</v>
      </c>
      <c r="N70" s="54" t="n">
        <v>0</v>
      </c>
      <c r="O70" s="54" t="n">
        <v>3</v>
      </c>
      <c r="P70" s="55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6">
        <f>M70*P70+K70*V70</f>
        <v/>
      </c>
      <c r="V70" s="55" t="n">
        <v>90</v>
      </c>
      <c r="W70" s="54" t="n">
        <v>450</v>
      </c>
      <c r="X70" s="54" t="n">
        <v>608</v>
      </c>
      <c r="Y70" s="57">
        <f>W70+X70</f>
        <v/>
      </c>
      <c r="Z70" s="55" t="n">
        <v>25536</v>
      </c>
      <c r="AA70" s="55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4" t="n">
        <v>0</v>
      </c>
      <c r="H71" s="54" t="n">
        <v>0</v>
      </c>
      <c r="I71" s="54" t="n">
        <v>0</v>
      </c>
      <c r="J71" s="54" t="n">
        <v>0</v>
      </c>
      <c r="K71" s="54" t="n">
        <v>0</v>
      </c>
      <c r="L71" s="54" t="n">
        <v>61</v>
      </c>
      <c r="M71" s="54" t="n">
        <v>61</v>
      </c>
      <c r="N71" s="54" t="n">
        <v>62</v>
      </c>
      <c r="O71" s="54" t="n">
        <v>3</v>
      </c>
      <c r="P71" s="55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6">
        <f>M71*P71+K71*V71</f>
        <v/>
      </c>
      <c r="V71" s="55" t="n">
        <v>90</v>
      </c>
      <c r="W71" s="54" t="n">
        <v>0</v>
      </c>
      <c r="X71" s="54" t="n">
        <v>0</v>
      </c>
      <c r="Y71" s="57">
        <f>W71+X71</f>
        <v/>
      </c>
      <c r="Z71" s="55" t="n">
        <v>0</v>
      </c>
      <c r="AA71" s="55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4" t="n">
        <v>1</v>
      </c>
      <c r="H72" s="54" t="n">
        <v>468</v>
      </c>
      <c r="I72" s="54" t="n">
        <v>131</v>
      </c>
      <c r="J72" s="54" t="n">
        <v>94</v>
      </c>
      <c r="K72" s="54" t="n">
        <v>57</v>
      </c>
      <c r="L72" s="54" t="n">
        <v>0</v>
      </c>
      <c r="M72" s="54" t="n">
        <v>57</v>
      </c>
      <c r="N72" s="54" t="n">
        <v>0</v>
      </c>
      <c r="O72" s="54" t="n">
        <v>2</v>
      </c>
      <c r="P72" s="55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6">
        <f>M72*P72+K72*V72</f>
        <v/>
      </c>
      <c r="V72" s="55" t="n">
        <v>90</v>
      </c>
      <c r="W72" s="54" t="n">
        <v>222</v>
      </c>
      <c r="X72" s="54" t="n">
        <v>245</v>
      </c>
      <c r="Y72" s="57">
        <f>W72+X72</f>
        <v/>
      </c>
      <c r="Z72" s="55" t="n">
        <v>9379</v>
      </c>
      <c r="AA72" s="55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4" t="n">
        <v>0</v>
      </c>
      <c r="H73" s="54" t="n">
        <v>0</v>
      </c>
      <c r="I73" s="54" t="n">
        <v>0</v>
      </c>
      <c r="J73" s="54" t="n">
        <v>0</v>
      </c>
      <c r="K73" s="54" t="n">
        <v>0</v>
      </c>
      <c r="L73" s="54" t="n">
        <v>55</v>
      </c>
      <c r="M73" s="54" t="n">
        <v>55</v>
      </c>
      <c r="N73" s="54" t="n">
        <v>57</v>
      </c>
      <c r="O73" s="54" t="n">
        <v>2</v>
      </c>
      <c r="P73" s="55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6">
        <f>M73*P73+K73*V73</f>
        <v/>
      </c>
      <c r="V73" s="55" t="n">
        <v>90</v>
      </c>
      <c r="W73" s="54" t="n">
        <v>0</v>
      </c>
      <c r="X73" s="54" t="n">
        <v>0</v>
      </c>
      <c r="Y73" s="57">
        <f>W73+X73</f>
        <v/>
      </c>
      <c r="Z73" s="55" t="n">
        <v>0</v>
      </c>
      <c r="AA73" s="55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4" t="n">
        <v>0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54</v>
      </c>
      <c r="M74" s="54" t="n">
        <v>54</v>
      </c>
      <c r="N74" s="54" t="n">
        <v>55</v>
      </c>
      <c r="O74" s="54" t="n">
        <v>2</v>
      </c>
      <c r="P74" s="55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6">
        <f>M74*P74+K74*V74</f>
        <v/>
      </c>
      <c r="V74" s="55" t="n">
        <v>90</v>
      </c>
      <c r="W74" s="54" t="n">
        <v>0</v>
      </c>
      <c r="X74" s="54" t="n">
        <v>0</v>
      </c>
      <c r="Y74" s="57">
        <f>W74+X74</f>
        <v/>
      </c>
      <c r="Z74" s="55" t="n">
        <v>0</v>
      </c>
      <c r="AA74" s="55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4" t="n">
        <v>1</v>
      </c>
      <c r="H75" s="54" t="n">
        <v>962</v>
      </c>
      <c r="I75" s="54" t="n">
        <v>192</v>
      </c>
      <c r="J75" s="54" t="n">
        <v>135</v>
      </c>
      <c r="K75" s="54" t="n">
        <v>57</v>
      </c>
      <c r="L75" s="54" t="n">
        <v>0</v>
      </c>
      <c r="M75" s="54" t="n">
        <v>57</v>
      </c>
      <c r="N75" s="54" t="n">
        <v>0</v>
      </c>
      <c r="O75" s="54" t="n">
        <v>3</v>
      </c>
      <c r="P75" s="55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6">
        <f>M75*P75+K75*V75</f>
        <v/>
      </c>
      <c r="V75" s="55" t="n">
        <v>90</v>
      </c>
      <c r="W75" s="54" t="n">
        <v>458</v>
      </c>
      <c r="X75" s="54" t="n">
        <v>504</v>
      </c>
      <c r="Y75" s="57">
        <f>W75+X75</f>
        <v/>
      </c>
      <c r="Z75" s="55" t="n">
        <v>19287</v>
      </c>
      <c r="AA75" s="55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4" t="n">
        <v>0</v>
      </c>
      <c r="H76" s="54" t="n">
        <v>0</v>
      </c>
      <c r="I76" s="54" t="n">
        <v>0</v>
      </c>
      <c r="J76" s="54" t="n">
        <v>0</v>
      </c>
      <c r="K76" s="54" t="n">
        <v>0</v>
      </c>
      <c r="L76" s="54" t="n">
        <v>56</v>
      </c>
      <c r="M76" s="54" t="n">
        <v>56</v>
      </c>
      <c r="N76" s="54" t="n">
        <v>57</v>
      </c>
      <c r="O76" s="54" t="n">
        <v>3</v>
      </c>
      <c r="P76" s="55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6">
        <f>M76*P76+K76*V76</f>
        <v/>
      </c>
      <c r="V76" s="55" t="n">
        <v>90</v>
      </c>
      <c r="W76" s="54" t="n">
        <v>0</v>
      </c>
      <c r="X76" s="54" t="n">
        <v>0</v>
      </c>
      <c r="Y76" s="57">
        <f>W76+X76</f>
        <v/>
      </c>
      <c r="Z76" s="55" t="n">
        <v>0</v>
      </c>
      <c r="AA76" s="55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4" t="n">
        <v>1</v>
      </c>
      <c r="H77" s="54" t="n">
        <v>397</v>
      </c>
      <c r="I77" s="54" t="n">
        <v>111</v>
      </c>
      <c r="J77" s="54" t="n">
        <v>80</v>
      </c>
      <c r="K77" s="54" t="n">
        <v>48</v>
      </c>
      <c r="L77" s="54" t="n">
        <v>0</v>
      </c>
      <c r="M77" s="54" t="n">
        <v>48</v>
      </c>
      <c r="N77" s="54" t="n">
        <v>0</v>
      </c>
      <c r="O77" s="54" t="n">
        <v>2</v>
      </c>
      <c r="P77" s="55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6">
        <f>M77*P77+K77*V77</f>
        <v/>
      </c>
      <c r="V77" s="55" t="n">
        <v>90</v>
      </c>
      <c r="W77" s="54" t="n">
        <v>193</v>
      </c>
      <c r="X77" s="54" t="n">
        <v>204</v>
      </c>
      <c r="Y77" s="57">
        <f>W77+X77</f>
        <v/>
      </c>
      <c r="Z77" s="55" t="n">
        <v>7417</v>
      </c>
      <c r="AA77" s="55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4" t="n">
        <v>0</v>
      </c>
      <c r="H78" s="54" t="n">
        <v>0</v>
      </c>
      <c r="I78" s="54" t="n">
        <v>0</v>
      </c>
      <c r="J78" s="54" t="n">
        <v>0</v>
      </c>
      <c r="K78" s="54" t="n">
        <v>0</v>
      </c>
      <c r="L78" s="54" t="n">
        <v>46</v>
      </c>
      <c r="M78" s="54" t="n">
        <v>46</v>
      </c>
      <c r="N78" s="54" t="n">
        <v>48</v>
      </c>
      <c r="O78" s="54" t="n">
        <v>2</v>
      </c>
      <c r="P78" s="55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6">
        <f>M78*P78+K78*V78</f>
        <v/>
      </c>
      <c r="V78" s="55" t="n">
        <v>90</v>
      </c>
      <c r="W78" s="54" t="n">
        <v>0</v>
      </c>
      <c r="X78" s="54" t="n">
        <v>0</v>
      </c>
      <c r="Y78" s="57">
        <f>W78+X78</f>
        <v/>
      </c>
      <c r="Z78" s="55" t="n">
        <v>0</v>
      </c>
      <c r="AA78" s="55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4" t="n">
        <v>0</v>
      </c>
      <c r="H79" s="54" t="n">
        <v>0</v>
      </c>
      <c r="I79" s="54" t="n">
        <v>0</v>
      </c>
      <c r="J79" s="54" t="n">
        <v>0</v>
      </c>
      <c r="K79" s="54" t="n">
        <v>0</v>
      </c>
      <c r="L79" s="54" t="n">
        <v>45</v>
      </c>
      <c r="M79" s="54" t="n">
        <v>45</v>
      </c>
      <c r="N79" s="54" t="n">
        <v>46</v>
      </c>
      <c r="O79" s="54" t="n">
        <v>2</v>
      </c>
      <c r="P79" s="55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6">
        <f>M79*P79+K79*V79</f>
        <v/>
      </c>
      <c r="V79" s="55" t="n">
        <v>90</v>
      </c>
      <c r="W79" s="54" t="n">
        <v>0</v>
      </c>
      <c r="X79" s="54" t="n">
        <v>0</v>
      </c>
      <c r="Y79" s="57">
        <f>W79+X79</f>
        <v/>
      </c>
      <c r="Z79" s="55" t="n">
        <v>0</v>
      </c>
      <c r="AA79" s="55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4" t="n">
        <v>1</v>
      </c>
      <c r="H80" s="54" t="n">
        <v>816</v>
      </c>
      <c r="I80" s="54" t="n">
        <v>163</v>
      </c>
      <c r="J80" s="54" t="n">
        <v>114</v>
      </c>
      <c r="K80" s="54" t="n">
        <v>48</v>
      </c>
      <c r="L80" s="54" t="n">
        <v>0</v>
      </c>
      <c r="M80" s="54" t="n">
        <v>48</v>
      </c>
      <c r="N80" s="54" t="n">
        <v>0</v>
      </c>
      <c r="O80" s="54" t="n">
        <v>2</v>
      </c>
      <c r="P80" s="55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6">
        <f>M80*P80+K80*V80</f>
        <v/>
      </c>
      <c r="V80" s="55" t="n">
        <v>90</v>
      </c>
      <c r="W80" s="54" t="n">
        <v>396</v>
      </c>
      <c r="X80" s="54" t="n">
        <v>419</v>
      </c>
      <c r="Y80" s="57">
        <f>W80+X80</f>
        <v/>
      </c>
      <c r="Z80" s="55" t="n">
        <v>15240</v>
      </c>
      <c r="AA80" s="55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4" t="n">
        <v>0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47</v>
      </c>
      <c r="M81" s="54" t="n">
        <v>47</v>
      </c>
      <c r="N81" s="54" t="n">
        <v>48</v>
      </c>
      <c r="O81" s="54" t="n">
        <v>2</v>
      </c>
      <c r="P81" s="55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6">
        <f>M81*P81+K81*V81</f>
        <v/>
      </c>
      <c r="V81" s="55" t="n">
        <v>90</v>
      </c>
      <c r="W81" s="54" t="n">
        <v>0</v>
      </c>
      <c r="X81" s="54" t="n">
        <v>0</v>
      </c>
      <c r="Y81" s="57">
        <f>W81+X81</f>
        <v/>
      </c>
      <c r="Z81" s="55" t="n">
        <v>0</v>
      </c>
      <c r="AA81" s="55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4" t="n">
        <v>1</v>
      </c>
      <c r="H82" s="54" t="n">
        <v>562</v>
      </c>
      <c r="I82" s="54" t="n">
        <v>158</v>
      </c>
      <c r="J82" s="54" t="n">
        <v>113</v>
      </c>
      <c r="K82" s="54" t="n">
        <v>68</v>
      </c>
      <c r="L82" s="54" t="n">
        <v>0</v>
      </c>
      <c r="M82" s="54" t="n">
        <v>68</v>
      </c>
      <c r="N82" s="54" t="n">
        <v>0</v>
      </c>
      <c r="O82" s="54" t="n">
        <v>3</v>
      </c>
      <c r="P82" s="55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6">
        <f>M82*P82+K82*V82</f>
        <v/>
      </c>
      <c r="V82" s="55" t="n">
        <v>90</v>
      </c>
      <c r="W82" s="54" t="n">
        <v>220</v>
      </c>
      <c r="X82" s="54" t="n">
        <v>354</v>
      </c>
      <c r="Y82" s="57">
        <f>W82+X82</f>
        <v/>
      </c>
      <c r="Z82" s="55" t="n">
        <v>18140</v>
      </c>
      <c r="AA82" s="55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4" t="n">
        <v>0</v>
      </c>
      <c r="H83" s="54" t="n">
        <v>0</v>
      </c>
      <c r="I83" s="54" t="n">
        <v>0</v>
      </c>
      <c r="J83" s="54" t="n">
        <v>0</v>
      </c>
      <c r="K83" s="54" t="n">
        <v>0</v>
      </c>
      <c r="L83" s="54" t="n">
        <v>66</v>
      </c>
      <c r="M83" s="54" t="n">
        <v>66</v>
      </c>
      <c r="N83" s="54" t="n">
        <v>68</v>
      </c>
      <c r="O83" s="54" t="n">
        <v>3</v>
      </c>
      <c r="P83" s="55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6">
        <f>M83*P83+K83*V83</f>
        <v/>
      </c>
      <c r="V83" s="55" t="n">
        <v>90</v>
      </c>
      <c r="W83" s="54" t="n">
        <v>0</v>
      </c>
      <c r="X83" s="54" t="n">
        <v>0</v>
      </c>
      <c r="Y83" s="57">
        <f>W83+X83</f>
        <v/>
      </c>
      <c r="Z83" s="55" t="n">
        <v>0</v>
      </c>
      <c r="AA83" s="55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4" t="n">
        <v>0</v>
      </c>
      <c r="H84" s="54" t="n">
        <v>0</v>
      </c>
      <c r="I84" s="54" t="n">
        <v>0</v>
      </c>
      <c r="J84" s="54" t="n">
        <v>0</v>
      </c>
      <c r="K84" s="54" t="n">
        <v>0</v>
      </c>
      <c r="L84" s="54" t="n">
        <v>65</v>
      </c>
      <c r="M84" s="54" t="n">
        <v>65</v>
      </c>
      <c r="N84" s="54" t="n">
        <v>66</v>
      </c>
      <c r="O84" s="54" t="n">
        <v>3</v>
      </c>
      <c r="P84" s="55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6">
        <f>M84*P84+K84*V84</f>
        <v/>
      </c>
      <c r="V84" s="55" t="n">
        <v>90</v>
      </c>
      <c r="W84" s="54" t="n">
        <v>0</v>
      </c>
      <c r="X84" s="54" t="n">
        <v>0</v>
      </c>
      <c r="Y84" s="57">
        <f>W84+X84</f>
        <v/>
      </c>
      <c r="Z84" s="55" t="n">
        <v>0</v>
      </c>
      <c r="AA84" s="55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4" t="n">
        <v>1</v>
      </c>
      <c r="H85" s="54" t="n">
        <v>1151</v>
      </c>
      <c r="I85" s="54" t="n">
        <v>230</v>
      </c>
      <c r="J85" s="54" t="n">
        <v>161</v>
      </c>
      <c r="K85" s="54" t="n">
        <v>68</v>
      </c>
      <c r="L85" s="54" t="n">
        <v>0</v>
      </c>
      <c r="M85" s="54" t="n">
        <v>68</v>
      </c>
      <c r="N85" s="54" t="n">
        <v>0</v>
      </c>
      <c r="O85" s="54" t="n">
        <v>3</v>
      </c>
      <c r="P85" s="55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6">
        <f>M85*P85+K85*V85</f>
        <v/>
      </c>
      <c r="V85" s="55" t="n">
        <v>90</v>
      </c>
      <c r="W85" s="54" t="n">
        <v>450</v>
      </c>
      <c r="X85" s="54" t="n">
        <v>726</v>
      </c>
      <c r="Y85" s="57">
        <f>W85+X85</f>
        <v/>
      </c>
      <c r="Z85" s="55" t="n">
        <v>37132</v>
      </c>
      <c r="AA85" s="55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4" t="n">
        <v>0</v>
      </c>
      <c r="H86" s="54" t="n">
        <v>0</v>
      </c>
      <c r="I86" s="54" t="n">
        <v>0</v>
      </c>
      <c r="J86" s="54" t="n">
        <v>0</v>
      </c>
      <c r="K86" s="54" t="n">
        <v>0</v>
      </c>
      <c r="L86" s="54" t="n">
        <v>67</v>
      </c>
      <c r="M86" s="54" t="n">
        <v>67</v>
      </c>
      <c r="N86" s="54" t="n">
        <v>68</v>
      </c>
      <c r="O86" s="54" t="n">
        <v>3</v>
      </c>
      <c r="P86" s="55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6">
        <f>M86*P86+K86*V86</f>
        <v/>
      </c>
      <c r="V86" s="55" t="n">
        <v>90</v>
      </c>
      <c r="W86" s="54" t="n">
        <v>0</v>
      </c>
      <c r="X86" s="54" t="n">
        <v>0</v>
      </c>
      <c r="Y86" s="57">
        <f>W86+X86</f>
        <v/>
      </c>
      <c r="Z86" s="55" t="n">
        <v>0</v>
      </c>
      <c r="AA86" s="55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4" t="n">
        <v>1</v>
      </c>
      <c r="H87" s="54" t="n">
        <v>388</v>
      </c>
      <c r="I87" s="54" t="n">
        <v>108</v>
      </c>
      <c r="J87" s="54" t="n">
        <v>78</v>
      </c>
      <c r="K87" s="54" t="n">
        <v>47</v>
      </c>
      <c r="L87" s="54" t="n">
        <v>0</v>
      </c>
      <c r="M87" s="54" t="n">
        <v>47</v>
      </c>
      <c r="N87" s="54" t="n">
        <v>0</v>
      </c>
      <c r="O87" s="54" t="n">
        <v>2</v>
      </c>
      <c r="P87" s="55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6">
        <f>M87*P87+K87*V87</f>
        <v/>
      </c>
      <c r="V87" s="55" t="n">
        <v>90</v>
      </c>
      <c r="W87" s="54" t="n">
        <v>199</v>
      </c>
      <c r="X87" s="54" t="n">
        <v>196</v>
      </c>
      <c r="Y87" s="57">
        <f>W87+X87</f>
        <v/>
      </c>
      <c r="Z87" s="55" t="n">
        <v>7473</v>
      </c>
      <c r="AA87" s="55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4" t="n">
        <v>0</v>
      </c>
      <c r="H88" s="54" t="n">
        <v>0</v>
      </c>
      <c r="I88" s="54" t="n">
        <v>0</v>
      </c>
      <c r="J88" s="54" t="n">
        <v>0</v>
      </c>
      <c r="K88" s="54" t="n">
        <v>0</v>
      </c>
      <c r="L88" s="54" t="n">
        <v>45</v>
      </c>
      <c r="M88" s="54" t="n">
        <v>45</v>
      </c>
      <c r="N88" s="54" t="n">
        <v>47</v>
      </c>
      <c r="O88" s="54" t="n">
        <v>2</v>
      </c>
      <c r="P88" s="55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6">
        <f>M88*P88+K88*V88</f>
        <v/>
      </c>
      <c r="V88" s="55" t="n">
        <v>90</v>
      </c>
      <c r="W88" s="54" t="n">
        <v>0</v>
      </c>
      <c r="X88" s="54" t="n">
        <v>0</v>
      </c>
      <c r="Y88" s="57">
        <f>W88+X88</f>
        <v/>
      </c>
      <c r="Z88" s="55" t="n">
        <v>0</v>
      </c>
      <c r="AA88" s="55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4" t="n">
        <v>0</v>
      </c>
      <c r="H89" s="54" t="n">
        <v>0</v>
      </c>
      <c r="I89" s="54" t="n">
        <v>0</v>
      </c>
      <c r="J89" s="54" t="n">
        <v>0</v>
      </c>
      <c r="K89" s="54" t="n">
        <v>0</v>
      </c>
      <c r="L89" s="54" t="n">
        <v>44</v>
      </c>
      <c r="M89" s="54" t="n">
        <v>44</v>
      </c>
      <c r="N89" s="54" t="n">
        <v>45</v>
      </c>
      <c r="O89" s="54" t="n">
        <v>2</v>
      </c>
      <c r="P89" s="55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6">
        <f>M89*P89+K89*V89</f>
        <v/>
      </c>
      <c r="V89" s="55" t="n">
        <v>90</v>
      </c>
      <c r="W89" s="54" t="n">
        <v>0</v>
      </c>
      <c r="X89" s="54" t="n">
        <v>0</v>
      </c>
      <c r="Y89" s="57">
        <f>W89+X89</f>
        <v/>
      </c>
      <c r="Z89" s="55" t="n">
        <v>0</v>
      </c>
      <c r="AA89" s="55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4" t="n">
        <v>1</v>
      </c>
      <c r="H90" s="54" t="n">
        <v>802</v>
      </c>
      <c r="I90" s="54" t="n">
        <v>160</v>
      </c>
      <c r="J90" s="54" t="n">
        <v>112</v>
      </c>
      <c r="K90" s="54" t="n">
        <v>47</v>
      </c>
      <c r="L90" s="54" t="n">
        <v>0</v>
      </c>
      <c r="M90" s="54" t="n">
        <v>47</v>
      </c>
      <c r="N90" s="54" t="n">
        <v>0</v>
      </c>
      <c r="O90" s="54" t="n">
        <v>2</v>
      </c>
      <c r="P90" s="55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6">
        <f>M90*P90+K90*V90</f>
        <v/>
      </c>
      <c r="V90" s="55" t="n">
        <v>90</v>
      </c>
      <c r="W90" s="54" t="n">
        <v>413</v>
      </c>
      <c r="X90" s="54" t="n">
        <v>404</v>
      </c>
      <c r="Y90" s="57">
        <f>W90+X90</f>
        <v/>
      </c>
      <c r="Z90" s="55" t="n">
        <v>15454</v>
      </c>
      <c r="AA90" s="55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4" t="n">
        <v>0</v>
      </c>
      <c r="H91" s="54" t="n">
        <v>0</v>
      </c>
      <c r="I91" s="54" t="n">
        <v>0</v>
      </c>
      <c r="J91" s="54" t="n">
        <v>0</v>
      </c>
      <c r="K91" s="54" t="n">
        <v>0</v>
      </c>
      <c r="L91" s="54" t="n">
        <v>46</v>
      </c>
      <c r="M91" s="54" t="n">
        <v>46</v>
      </c>
      <c r="N91" s="54" t="n">
        <v>47</v>
      </c>
      <c r="O91" s="54" t="n">
        <v>2</v>
      </c>
      <c r="P91" s="55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6">
        <f>M91*P91+K91*V91</f>
        <v/>
      </c>
      <c r="V91" s="55" t="n">
        <v>90</v>
      </c>
      <c r="W91" s="54" t="n">
        <v>0</v>
      </c>
      <c r="X91" s="54" t="n">
        <v>0</v>
      </c>
      <c r="Y91" s="57">
        <f>W91+X91</f>
        <v/>
      </c>
      <c r="Z91" s="55" t="n">
        <v>0</v>
      </c>
      <c r="AA91" s="55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4" t="n">
        <v>1</v>
      </c>
      <c r="H92" s="54" t="n">
        <v>364</v>
      </c>
      <c r="I92" s="54" t="n">
        <v>102</v>
      </c>
      <c r="J92" s="54" t="n">
        <v>74</v>
      </c>
      <c r="K92" s="54" t="n">
        <v>44</v>
      </c>
      <c r="L92" s="54" t="n">
        <v>0</v>
      </c>
      <c r="M92" s="54" t="n">
        <v>44</v>
      </c>
      <c r="N92" s="54" t="n">
        <v>0</v>
      </c>
      <c r="O92" s="54" t="n">
        <v>2</v>
      </c>
      <c r="P92" s="55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6">
        <f>M92*P92+K92*V92</f>
        <v/>
      </c>
      <c r="V92" s="55" t="n">
        <v>90</v>
      </c>
      <c r="W92" s="54" t="n">
        <v>191</v>
      </c>
      <c r="X92" s="54" t="n">
        <v>180</v>
      </c>
      <c r="Y92" s="57">
        <f>W92+X92</f>
        <v/>
      </c>
      <c r="Z92" s="55" t="n">
        <v>6534</v>
      </c>
      <c r="AA92" s="55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4" t="n">
        <v>0</v>
      </c>
      <c r="H93" s="54" t="n">
        <v>0</v>
      </c>
      <c r="I93" s="54" t="n">
        <v>0</v>
      </c>
      <c r="J93" s="54" t="n">
        <v>0</v>
      </c>
      <c r="K93" s="54" t="n">
        <v>0</v>
      </c>
      <c r="L93" s="54" t="n">
        <v>43</v>
      </c>
      <c r="M93" s="54" t="n">
        <v>43</v>
      </c>
      <c r="N93" s="54" t="n">
        <v>44</v>
      </c>
      <c r="O93" s="54" t="n">
        <v>2</v>
      </c>
      <c r="P93" s="55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6">
        <f>M93*P93+K93*V93</f>
        <v/>
      </c>
      <c r="V93" s="55" t="n">
        <v>90</v>
      </c>
      <c r="W93" s="54" t="n">
        <v>0</v>
      </c>
      <c r="X93" s="54" t="n">
        <v>0</v>
      </c>
      <c r="Y93" s="57">
        <f>W93+X93</f>
        <v/>
      </c>
      <c r="Z93" s="55" t="n">
        <v>0</v>
      </c>
      <c r="AA93" s="55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4" t="n">
        <v>0</v>
      </c>
      <c r="H94" s="54" t="n">
        <v>0</v>
      </c>
      <c r="I94" s="54" t="n">
        <v>0</v>
      </c>
      <c r="J94" s="54" t="n">
        <v>0</v>
      </c>
      <c r="K94" s="54" t="n">
        <v>0</v>
      </c>
      <c r="L94" s="54" t="n">
        <v>42</v>
      </c>
      <c r="M94" s="54" t="n">
        <v>42</v>
      </c>
      <c r="N94" s="54" t="n">
        <v>43</v>
      </c>
      <c r="O94" s="54" t="n">
        <v>2</v>
      </c>
      <c r="P94" s="55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6">
        <f>M94*P94+K94*V94</f>
        <v/>
      </c>
      <c r="V94" s="55" t="n">
        <v>90</v>
      </c>
      <c r="W94" s="54" t="n">
        <v>0</v>
      </c>
      <c r="X94" s="54" t="n">
        <v>0</v>
      </c>
      <c r="Y94" s="57">
        <f>W94+X94</f>
        <v/>
      </c>
      <c r="Z94" s="55" t="n">
        <v>0</v>
      </c>
      <c r="AA94" s="55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4" t="n">
        <v>1</v>
      </c>
      <c r="H95" s="54" t="n">
        <v>755</v>
      </c>
      <c r="I95" s="54" t="n">
        <v>151</v>
      </c>
      <c r="J95" s="54" t="n">
        <v>106</v>
      </c>
      <c r="K95" s="54" t="n">
        <v>44</v>
      </c>
      <c r="L95" s="54" t="n">
        <v>0</v>
      </c>
      <c r="M95" s="54" t="n">
        <v>44</v>
      </c>
      <c r="N95" s="54" t="n">
        <v>0</v>
      </c>
      <c r="O95" s="54" t="n">
        <v>2</v>
      </c>
      <c r="P95" s="55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6">
        <f>M95*P95+K95*V95</f>
        <v/>
      </c>
      <c r="V95" s="55" t="n">
        <v>90</v>
      </c>
      <c r="W95" s="54" t="n">
        <v>396</v>
      </c>
      <c r="X95" s="54" t="n">
        <v>373</v>
      </c>
      <c r="Y95" s="57">
        <f>W95+X95</f>
        <v/>
      </c>
      <c r="Z95" s="55" t="n">
        <v>13542</v>
      </c>
      <c r="AA95" s="55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43</v>
      </c>
      <c r="M96" s="54" t="n">
        <v>43</v>
      </c>
      <c r="N96" s="54" t="n">
        <v>44</v>
      </c>
      <c r="O96" s="54" t="n">
        <v>2</v>
      </c>
      <c r="P96" s="55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6">
        <f>M96*P96+K96*V96</f>
        <v/>
      </c>
      <c r="V96" s="55" t="n">
        <v>90</v>
      </c>
      <c r="W96" s="54" t="n">
        <v>0</v>
      </c>
      <c r="X96" s="54" t="n">
        <v>0</v>
      </c>
      <c r="Y96" s="57">
        <f>W96+X96</f>
        <v/>
      </c>
      <c r="Z96" s="55" t="n">
        <v>0</v>
      </c>
      <c r="AA96" s="55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4" t="n">
        <v>1</v>
      </c>
      <c r="H97" s="54" t="n">
        <v>802</v>
      </c>
      <c r="I97" s="54" t="n">
        <v>160</v>
      </c>
      <c r="J97" s="54" t="n">
        <v>112</v>
      </c>
      <c r="K97" s="54" t="n">
        <v>47</v>
      </c>
      <c r="L97" s="54" t="n">
        <v>0</v>
      </c>
      <c r="M97" s="54" t="n">
        <v>47</v>
      </c>
      <c r="N97" s="54" t="n">
        <v>0</v>
      </c>
      <c r="O97" s="54" t="n">
        <v>2</v>
      </c>
      <c r="P97" s="55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6">
        <f>M97*P97+K97*V97</f>
        <v/>
      </c>
      <c r="V97" s="55" t="n">
        <v>90</v>
      </c>
      <c r="W97" s="54" t="n">
        <v>281</v>
      </c>
      <c r="X97" s="54" t="n">
        <v>516</v>
      </c>
      <c r="Y97" s="57">
        <f>W97+X97</f>
        <v/>
      </c>
      <c r="Z97" s="55" t="n">
        <v>19782</v>
      </c>
      <c r="AA97" s="55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45</v>
      </c>
      <c r="M98" s="54" t="n">
        <v>45</v>
      </c>
      <c r="N98" s="54" t="n">
        <v>47</v>
      </c>
      <c r="O98" s="54" t="n">
        <v>2</v>
      </c>
      <c r="P98" s="55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6">
        <f>M98*P98+K98*V98</f>
        <v/>
      </c>
      <c r="V98" s="55" t="n">
        <v>90</v>
      </c>
      <c r="W98" s="54" t="n">
        <v>0</v>
      </c>
      <c r="X98" s="54" t="n">
        <v>0</v>
      </c>
      <c r="Y98" s="57">
        <f>W98+X98</f>
        <v/>
      </c>
      <c r="Z98" s="55" t="n">
        <v>0</v>
      </c>
      <c r="AA98" s="55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44</v>
      </c>
      <c r="M99" s="54" t="n">
        <v>44</v>
      </c>
      <c r="N99" s="54" t="n">
        <v>45</v>
      </c>
      <c r="O99" s="54" t="n">
        <v>2</v>
      </c>
      <c r="P99" s="55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6">
        <f>M99*P99+K99*V99</f>
        <v/>
      </c>
      <c r="V99" s="55" t="n">
        <v>90</v>
      </c>
      <c r="W99" s="54" t="n">
        <v>0</v>
      </c>
      <c r="X99" s="54" t="n">
        <v>0</v>
      </c>
      <c r="Y99" s="57">
        <f>W99+X99</f>
        <v/>
      </c>
      <c r="Z99" s="55" t="n">
        <v>0</v>
      </c>
      <c r="AA99" s="55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4" t="n">
        <v>1</v>
      </c>
      <c r="H100" s="54" t="n">
        <v>642</v>
      </c>
      <c r="I100" s="54" t="n">
        <v>128</v>
      </c>
      <c r="J100" s="54" t="n">
        <v>90</v>
      </c>
      <c r="K100" s="54" t="n">
        <v>38</v>
      </c>
      <c r="L100" s="54" t="n">
        <v>0</v>
      </c>
      <c r="M100" s="54" t="n">
        <v>38</v>
      </c>
      <c r="N100" s="54" t="n">
        <v>0</v>
      </c>
      <c r="O100" s="54" t="n">
        <v>2</v>
      </c>
      <c r="P100" s="55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6">
        <f>M100*P100+K100*V100</f>
        <v/>
      </c>
      <c r="V100" s="55" t="n">
        <v>90</v>
      </c>
      <c r="W100" s="54" t="n">
        <v>243</v>
      </c>
      <c r="X100" s="54" t="n">
        <v>392</v>
      </c>
      <c r="Y100" s="57">
        <f>W100+X100</f>
        <v/>
      </c>
      <c r="Z100" s="55" t="n">
        <v>13575</v>
      </c>
      <c r="AA100" s="55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4" t="n">
        <v>0</v>
      </c>
      <c r="H101" s="54" t="n">
        <v>0</v>
      </c>
      <c r="I101" s="54" t="n">
        <v>0</v>
      </c>
      <c r="J101" s="54" t="n">
        <v>0</v>
      </c>
      <c r="K101" s="54" t="n">
        <v>0</v>
      </c>
      <c r="L101" s="54" t="n">
        <v>37</v>
      </c>
      <c r="M101" s="54" t="n">
        <v>37</v>
      </c>
      <c r="N101" s="54" t="n">
        <v>38</v>
      </c>
      <c r="O101" s="54" t="n">
        <v>2</v>
      </c>
      <c r="P101" s="55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6">
        <f>M101*P101+K101*V101</f>
        <v/>
      </c>
      <c r="V101" s="55" t="n">
        <v>90</v>
      </c>
      <c r="W101" s="54" t="n">
        <v>0</v>
      </c>
      <c r="X101" s="54" t="n">
        <v>0</v>
      </c>
      <c r="Y101" s="57">
        <f>W101+X101</f>
        <v/>
      </c>
      <c r="Z101" s="55" t="n">
        <v>0</v>
      </c>
      <c r="AA101" s="55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4" t="n">
        <v>0</v>
      </c>
      <c r="H102" s="54" t="n">
        <v>0</v>
      </c>
      <c r="I102" s="54" t="n">
        <v>0</v>
      </c>
      <c r="J102" s="54" t="n">
        <v>0</v>
      </c>
      <c r="K102" s="54" t="n">
        <v>0</v>
      </c>
      <c r="L102" s="54" t="n">
        <v>36</v>
      </c>
      <c r="M102" s="54" t="n">
        <v>36</v>
      </c>
      <c r="N102" s="54" t="n">
        <v>37</v>
      </c>
      <c r="O102" s="54" t="n">
        <v>2</v>
      </c>
      <c r="P102" s="55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6">
        <f>M102*P102+K102*V102</f>
        <v/>
      </c>
      <c r="V102" s="55" t="n">
        <v>90</v>
      </c>
      <c r="W102" s="54" t="n">
        <v>0</v>
      </c>
      <c r="X102" s="54" t="n">
        <v>0</v>
      </c>
      <c r="Y102" s="57">
        <f>W102+X102</f>
        <v/>
      </c>
      <c r="Z102" s="55" t="n">
        <v>0</v>
      </c>
      <c r="AA102" s="55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4" t="n">
        <v>1</v>
      </c>
      <c r="H103" s="54" t="n">
        <v>642</v>
      </c>
      <c r="I103" s="54" t="n">
        <v>128</v>
      </c>
      <c r="J103" s="54" t="n">
        <v>90</v>
      </c>
      <c r="K103" s="54" t="n">
        <v>38</v>
      </c>
      <c r="L103" s="54" t="n">
        <v>0</v>
      </c>
      <c r="M103" s="54" t="n">
        <v>38</v>
      </c>
      <c r="N103" s="54" t="n">
        <v>0</v>
      </c>
      <c r="O103" s="54" t="n">
        <v>2</v>
      </c>
      <c r="P103" s="55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6">
        <f>M103*P103+K103*V103</f>
        <v/>
      </c>
      <c r="V103" s="55" t="n">
        <v>90</v>
      </c>
      <c r="W103" s="54" t="n">
        <v>237</v>
      </c>
      <c r="X103" s="54" t="n">
        <v>399</v>
      </c>
      <c r="Y103" s="57">
        <f>W103+X103</f>
        <v/>
      </c>
      <c r="Z103" s="55" t="n">
        <v>13798</v>
      </c>
      <c r="AA103" s="55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4" t="n">
        <v>0</v>
      </c>
      <c r="H104" s="54" t="n">
        <v>0</v>
      </c>
      <c r="I104" s="54" t="n">
        <v>0</v>
      </c>
      <c r="J104" s="54" t="n">
        <v>0</v>
      </c>
      <c r="K104" s="54" t="n">
        <v>0</v>
      </c>
      <c r="L104" s="54" t="n">
        <v>37</v>
      </c>
      <c r="M104" s="54" t="n">
        <v>37</v>
      </c>
      <c r="N104" s="54" t="n">
        <v>38</v>
      </c>
      <c r="O104" s="54" t="n">
        <v>2</v>
      </c>
      <c r="P104" s="55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6">
        <f>M104*P104+K104*V104</f>
        <v/>
      </c>
      <c r="V104" s="55" t="n">
        <v>90</v>
      </c>
      <c r="W104" s="54" t="n">
        <v>0</v>
      </c>
      <c r="X104" s="54" t="n">
        <v>0</v>
      </c>
      <c r="Y104" s="57">
        <f>W104+X104</f>
        <v/>
      </c>
      <c r="Z104" s="55" t="n">
        <v>0</v>
      </c>
      <c r="AA104" s="55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4" t="n">
        <v>0</v>
      </c>
      <c r="H105" s="54" t="n">
        <v>0</v>
      </c>
      <c r="I105" s="54" t="n">
        <v>0</v>
      </c>
      <c r="J105" s="54" t="n">
        <v>0</v>
      </c>
      <c r="K105" s="54" t="n">
        <v>0</v>
      </c>
      <c r="L105" s="54" t="n">
        <v>36</v>
      </c>
      <c r="M105" s="54" t="n">
        <v>36</v>
      </c>
      <c r="N105" s="54" t="n">
        <v>37</v>
      </c>
      <c r="O105" s="54" t="n">
        <v>2</v>
      </c>
      <c r="P105" s="55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6">
        <f>M105*P105+K105*V105</f>
        <v/>
      </c>
      <c r="V105" s="55" t="n">
        <v>90</v>
      </c>
      <c r="W105" s="54" t="n">
        <v>0</v>
      </c>
      <c r="X105" s="54" t="n">
        <v>0</v>
      </c>
      <c r="Y105" s="57">
        <f>W105+X105</f>
        <v/>
      </c>
      <c r="Z105" s="55" t="n">
        <v>0</v>
      </c>
      <c r="AA105" s="55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4" t="n">
        <v>1</v>
      </c>
      <c r="H106" s="54" t="n">
        <v>741</v>
      </c>
      <c r="I106" s="54" t="n">
        <v>148</v>
      </c>
      <c r="J106" s="54" t="n">
        <v>104</v>
      </c>
      <c r="K106" s="54" t="n">
        <v>43</v>
      </c>
      <c r="L106" s="54" t="n">
        <v>0</v>
      </c>
      <c r="M106" s="54" t="n">
        <v>43</v>
      </c>
      <c r="N106" s="54" t="n">
        <v>0</v>
      </c>
      <c r="O106" s="54" t="n">
        <v>2</v>
      </c>
      <c r="P106" s="55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6">
        <f>M106*P106+K106*V106</f>
        <v/>
      </c>
      <c r="V106" s="55" t="n">
        <v>90</v>
      </c>
      <c r="W106" s="54" t="n">
        <v>355</v>
      </c>
      <c r="X106" s="54" t="n">
        <v>399</v>
      </c>
      <c r="Y106" s="57">
        <f>W106+X106</f>
        <v/>
      </c>
      <c r="Z106" s="55" t="n">
        <v>16642</v>
      </c>
      <c r="AA106" s="55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4" t="n">
        <v>0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42</v>
      </c>
      <c r="M107" s="54" t="n">
        <v>42</v>
      </c>
      <c r="N107" s="54" t="n">
        <v>43</v>
      </c>
      <c r="O107" s="54" t="n">
        <v>2</v>
      </c>
      <c r="P107" s="55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6">
        <f>M107*P107+K107*V107</f>
        <v/>
      </c>
      <c r="V107" s="55" t="n">
        <v>90</v>
      </c>
      <c r="W107" s="54" t="n">
        <v>0</v>
      </c>
      <c r="X107" s="54" t="n">
        <v>0</v>
      </c>
      <c r="Y107" s="57">
        <f>W107+X107</f>
        <v/>
      </c>
      <c r="Z107" s="55" t="n">
        <v>0</v>
      </c>
      <c r="AA107" s="55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4" t="n">
        <v>1</v>
      </c>
      <c r="H108" s="54" t="n">
        <v>741</v>
      </c>
      <c r="I108" s="54" t="n">
        <v>148</v>
      </c>
      <c r="J108" s="54" t="n">
        <v>104</v>
      </c>
      <c r="K108" s="54" t="n">
        <v>43</v>
      </c>
      <c r="L108" s="54" t="n">
        <v>0</v>
      </c>
      <c r="M108" s="54" t="n">
        <v>43</v>
      </c>
      <c r="N108" s="54" t="n">
        <v>0</v>
      </c>
      <c r="O108" s="54" t="n">
        <v>2</v>
      </c>
      <c r="P108" s="55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6">
        <f>M108*P108+K108*V108</f>
        <v/>
      </c>
      <c r="V108" s="55" t="n">
        <v>90</v>
      </c>
      <c r="W108" s="54" t="n">
        <v>355</v>
      </c>
      <c r="X108" s="54" t="n">
        <v>399</v>
      </c>
      <c r="Y108" s="57">
        <f>W108+X108</f>
        <v/>
      </c>
      <c r="Z108" s="55" t="n">
        <v>16642</v>
      </c>
      <c r="AA108" s="55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4" t="n">
        <v>0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42</v>
      </c>
      <c r="M109" s="54" t="n">
        <v>42</v>
      </c>
      <c r="N109" s="54" t="n">
        <v>43</v>
      </c>
      <c r="O109" s="54" t="n">
        <v>2</v>
      </c>
      <c r="P109" s="55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6">
        <f>M109*P109+K109*V109</f>
        <v/>
      </c>
      <c r="V109" s="55" t="n">
        <v>90</v>
      </c>
      <c r="W109" s="54" t="n">
        <v>0</v>
      </c>
      <c r="X109" s="54" t="n">
        <v>0</v>
      </c>
      <c r="Y109" s="57">
        <f>W109+X109</f>
        <v/>
      </c>
      <c r="Z109" s="55" t="n">
        <v>0</v>
      </c>
      <c r="AA109" s="55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4" t="n">
        <v>1</v>
      </c>
      <c r="H110" s="54" t="n">
        <v>580</v>
      </c>
      <c r="I110" s="54" t="n">
        <v>116</v>
      </c>
      <c r="J110" s="54" t="n">
        <v>81</v>
      </c>
      <c r="K110" s="54" t="n">
        <v>34</v>
      </c>
      <c r="L110" s="54" t="n">
        <v>0</v>
      </c>
      <c r="M110" s="54" t="n">
        <v>34</v>
      </c>
      <c r="N110" s="54" t="n">
        <v>0</v>
      </c>
      <c r="O110" s="54" t="n">
        <v>2</v>
      </c>
      <c r="P110" s="55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6">
        <f>M110*P110+K110*V110</f>
        <v/>
      </c>
      <c r="V110" s="55" t="n">
        <v>90</v>
      </c>
      <c r="W110" s="54" t="n">
        <v>314</v>
      </c>
      <c r="X110" s="54" t="n">
        <v>276</v>
      </c>
      <c r="Y110" s="57">
        <f>W110+X110</f>
        <v/>
      </c>
      <c r="Z110" s="55" t="n">
        <v>9986</v>
      </c>
      <c r="AA110" s="55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4" t="n">
        <v>0</v>
      </c>
      <c r="H111" s="54" t="n">
        <v>0</v>
      </c>
      <c r="I111" s="54" t="n">
        <v>0</v>
      </c>
      <c r="J111" s="54" t="n">
        <v>0</v>
      </c>
      <c r="K111" s="54" t="n">
        <v>0</v>
      </c>
      <c r="L111" s="54" t="n">
        <v>33</v>
      </c>
      <c r="M111" s="54" t="n">
        <v>33</v>
      </c>
      <c r="N111" s="54" t="n">
        <v>34</v>
      </c>
      <c r="O111" s="54" t="n">
        <v>2</v>
      </c>
      <c r="P111" s="55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6">
        <f>M111*P111+K111*V111</f>
        <v/>
      </c>
      <c r="V111" s="55" t="n">
        <v>90</v>
      </c>
      <c r="W111" s="54" t="n">
        <v>0</v>
      </c>
      <c r="X111" s="54" t="n">
        <v>0</v>
      </c>
      <c r="Y111" s="57">
        <f>W111+X111</f>
        <v/>
      </c>
      <c r="Z111" s="55" t="n">
        <v>0</v>
      </c>
      <c r="AA111" s="55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4" t="n">
        <v>1</v>
      </c>
      <c r="H112" s="54" t="n">
        <v>580</v>
      </c>
      <c r="I112" s="54" t="n">
        <v>116</v>
      </c>
      <c r="J112" s="54" t="n">
        <v>81</v>
      </c>
      <c r="K112" s="54" t="n">
        <v>34</v>
      </c>
      <c r="L112" s="54" t="n">
        <v>0</v>
      </c>
      <c r="M112" s="54" t="n">
        <v>34</v>
      </c>
      <c r="N112" s="54" t="n">
        <v>0</v>
      </c>
      <c r="O112" s="54" t="n">
        <v>2</v>
      </c>
      <c r="P112" s="55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6">
        <f>M112*P112+K112*V112</f>
        <v/>
      </c>
      <c r="V112" s="55" t="n">
        <v>90</v>
      </c>
      <c r="W112" s="54" t="n">
        <v>313</v>
      </c>
      <c r="X112" s="54" t="n">
        <v>276</v>
      </c>
      <c r="Y112" s="57">
        <f>W112+X112</f>
        <v/>
      </c>
      <c r="Z112" s="55" t="n">
        <v>9985</v>
      </c>
      <c r="AA112" s="55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4" t="n">
        <v>0</v>
      </c>
      <c r="H113" s="54" t="n">
        <v>0</v>
      </c>
      <c r="I113" s="54" t="n">
        <v>0</v>
      </c>
      <c r="J113" s="54" t="n">
        <v>0</v>
      </c>
      <c r="K113" s="54" t="n">
        <v>0</v>
      </c>
      <c r="L113" s="54" t="n">
        <v>33</v>
      </c>
      <c r="M113" s="54" t="n">
        <v>33</v>
      </c>
      <c r="N113" s="54" t="n">
        <v>34</v>
      </c>
      <c r="O113" s="54" t="n">
        <v>2</v>
      </c>
      <c r="P113" s="55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6">
        <f>M113*P113+K113*V113</f>
        <v/>
      </c>
      <c r="V113" s="55" t="n">
        <v>90</v>
      </c>
      <c r="W113" s="54" t="n">
        <v>0</v>
      </c>
      <c r="X113" s="54" t="n">
        <v>0</v>
      </c>
      <c r="Y113" s="57">
        <f>W113+X113</f>
        <v/>
      </c>
      <c r="Z113" s="55" t="n">
        <v>0</v>
      </c>
      <c r="AA113" s="55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4" t="n">
        <v>1</v>
      </c>
      <c r="H114" s="54" t="n">
        <v>755</v>
      </c>
      <c r="I114" s="54" t="n">
        <v>151</v>
      </c>
      <c r="J114" s="54" t="n">
        <v>106</v>
      </c>
      <c r="K114" s="54" t="n">
        <v>44</v>
      </c>
      <c r="L114" s="54" t="n">
        <v>0</v>
      </c>
      <c r="M114" s="54" t="n">
        <v>44</v>
      </c>
      <c r="N114" s="54" t="n">
        <v>0</v>
      </c>
      <c r="O114" s="54" t="n">
        <v>2</v>
      </c>
      <c r="P114" s="55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6">
        <f>M114*P114+K114*V114</f>
        <v/>
      </c>
      <c r="V114" s="55" t="n">
        <v>90</v>
      </c>
      <c r="W114" s="54" t="n">
        <v>235</v>
      </c>
      <c r="X114" s="54" t="n">
        <v>538</v>
      </c>
      <c r="Y114" s="57">
        <f>W114+X114</f>
        <v/>
      </c>
      <c r="Z114" s="55" t="n">
        <v>27491</v>
      </c>
      <c r="AA114" s="55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4" t="n">
        <v>0</v>
      </c>
      <c r="H115" s="54" t="n">
        <v>0</v>
      </c>
      <c r="I115" s="54" t="n">
        <v>0</v>
      </c>
      <c r="J115" s="54" t="n">
        <v>0</v>
      </c>
      <c r="K115" s="54" t="n">
        <v>0</v>
      </c>
      <c r="L115" s="54" t="n">
        <v>43</v>
      </c>
      <c r="M115" s="54" t="n">
        <v>43</v>
      </c>
      <c r="N115" s="54" t="n">
        <v>44</v>
      </c>
      <c r="O115" s="54" t="n">
        <v>2</v>
      </c>
      <c r="P115" s="55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6">
        <f>M115*P115+K115*V115</f>
        <v/>
      </c>
      <c r="V115" s="55" t="n">
        <v>90</v>
      </c>
      <c r="W115" s="54" t="n">
        <v>0</v>
      </c>
      <c r="X115" s="54" t="n">
        <v>0</v>
      </c>
      <c r="Y115" s="57">
        <f>W115+X115</f>
        <v/>
      </c>
      <c r="Z115" s="55" t="n">
        <v>0</v>
      </c>
      <c r="AA115" s="55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4" t="n">
        <v>0</v>
      </c>
      <c r="H116" s="54" t="n">
        <v>0</v>
      </c>
      <c r="I116" s="54" t="n">
        <v>0</v>
      </c>
      <c r="J116" s="54" t="n">
        <v>0</v>
      </c>
      <c r="K116" s="54" t="n">
        <v>0</v>
      </c>
      <c r="L116" s="54" t="n">
        <v>42</v>
      </c>
      <c r="M116" s="54" t="n">
        <v>42</v>
      </c>
      <c r="N116" s="54" t="n">
        <v>43</v>
      </c>
      <c r="O116" s="54" t="n">
        <v>2</v>
      </c>
      <c r="P116" s="55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6">
        <f>M116*P116+K116*V116</f>
        <v/>
      </c>
      <c r="V116" s="55" t="n">
        <v>90</v>
      </c>
      <c r="W116" s="54" t="n">
        <v>0</v>
      </c>
      <c r="X116" s="54" t="n">
        <v>0</v>
      </c>
      <c r="Y116" s="57">
        <f>W116+X116</f>
        <v/>
      </c>
      <c r="Z116" s="55" t="n">
        <v>0</v>
      </c>
      <c r="AA116" s="55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4" t="n">
        <v>1</v>
      </c>
      <c r="H117" s="54" t="n">
        <v>642</v>
      </c>
      <c r="I117" s="54" t="n">
        <v>128</v>
      </c>
      <c r="J117" s="54" t="n">
        <v>90</v>
      </c>
      <c r="K117" s="54" t="n">
        <v>38</v>
      </c>
      <c r="L117" s="54" t="n">
        <v>0</v>
      </c>
      <c r="M117" s="54" t="n">
        <v>38</v>
      </c>
      <c r="N117" s="54" t="n">
        <v>0</v>
      </c>
      <c r="O117" s="54" t="n">
        <v>2</v>
      </c>
      <c r="P117" s="55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6">
        <f>M117*P117+K117*V117</f>
        <v/>
      </c>
      <c r="V117" s="55" t="n">
        <v>90</v>
      </c>
      <c r="W117" s="54" t="n">
        <v>247</v>
      </c>
      <c r="X117" s="54" t="n">
        <v>410</v>
      </c>
      <c r="Y117" s="57">
        <f>W117+X117</f>
        <v/>
      </c>
      <c r="Z117" s="55" t="n">
        <v>17136</v>
      </c>
      <c r="AA117" s="55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4" t="n">
        <v>0</v>
      </c>
      <c r="H118" s="54" t="n">
        <v>0</v>
      </c>
      <c r="I118" s="54" t="n">
        <v>0</v>
      </c>
      <c r="J118" s="54" t="n">
        <v>0</v>
      </c>
      <c r="K118" s="54" t="n">
        <v>0</v>
      </c>
      <c r="L118" s="54" t="n">
        <v>37</v>
      </c>
      <c r="M118" s="54" t="n">
        <v>37</v>
      </c>
      <c r="N118" s="54" t="n">
        <v>38</v>
      </c>
      <c r="O118" s="54" t="n">
        <v>2</v>
      </c>
      <c r="P118" s="55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6">
        <f>M118*P118+K118*V118</f>
        <v/>
      </c>
      <c r="V118" s="55" t="n">
        <v>90</v>
      </c>
      <c r="W118" s="54" t="n">
        <v>0</v>
      </c>
      <c r="X118" s="54" t="n">
        <v>0</v>
      </c>
      <c r="Y118" s="57">
        <f>W118+X118</f>
        <v/>
      </c>
      <c r="Z118" s="55" t="n">
        <v>0</v>
      </c>
      <c r="AA118" s="55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4" t="n">
        <v>0</v>
      </c>
      <c r="H119" s="54" t="n">
        <v>0</v>
      </c>
      <c r="I119" s="54" t="n">
        <v>0</v>
      </c>
      <c r="J119" s="54" t="n">
        <v>0</v>
      </c>
      <c r="K119" s="54" t="n">
        <v>0</v>
      </c>
      <c r="L119" s="54" t="n">
        <v>36</v>
      </c>
      <c r="M119" s="54" t="n">
        <v>36</v>
      </c>
      <c r="N119" s="54" t="n">
        <v>37</v>
      </c>
      <c r="O119" s="54" t="n">
        <v>2</v>
      </c>
      <c r="P119" s="55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6">
        <f>M119*P119+K119*V119</f>
        <v/>
      </c>
      <c r="V119" s="55" t="n">
        <v>90</v>
      </c>
      <c r="W119" s="54" t="n">
        <v>0</v>
      </c>
      <c r="X119" s="54" t="n">
        <v>0</v>
      </c>
      <c r="Y119" s="57">
        <f>W119+X119</f>
        <v/>
      </c>
      <c r="Z119" s="55" t="n">
        <v>0</v>
      </c>
      <c r="AA119" s="55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4" t="n">
        <v>1</v>
      </c>
      <c r="H120" s="54" t="n">
        <v>575</v>
      </c>
      <c r="I120" s="54" t="n">
        <v>161</v>
      </c>
      <c r="J120" s="54" t="n">
        <v>116</v>
      </c>
      <c r="K120" s="54" t="n">
        <v>69</v>
      </c>
      <c r="L120" s="54" t="n">
        <v>0</v>
      </c>
      <c r="M120" s="54" t="n">
        <v>69</v>
      </c>
      <c r="N120" s="54" t="n">
        <v>0</v>
      </c>
      <c r="O120" s="54" t="n">
        <v>3</v>
      </c>
      <c r="P120" s="55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6">
        <f>M120*P120+K120*V120</f>
        <v/>
      </c>
      <c r="V120" s="55" t="n">
        <v>90</v>
      </c>
      <c r="W120" s="54" t="n">
        <v>203</v>
      </c>
      <c r="X120" s="54" t="n">
        <v>379</v>
      </c>
      <c r="Y120" s="57">
        <f>W120+X120</f>
        <v/>
      </c>
      <c r="Z120" s="55" t="n">
        <v>18451</v>
      </c>
      <c r="AA120" s="55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4" t="n">
        <v>0</v>
      </c>
      <c r="H121" s="54" t="n">
        <v>0</v>
      </c>
      <c r="I121" s="54" t="n">
        <v>0</v>
      </c>
      <c r="J121" s="54" t="n">
        <v>0</v>
      </c>
      <c r="K121" s="54" t="n">
        <v>0</v>
      </c>
      <c r="L121" s="54" t="n">
        <v>68</v>
      </c>
      <c r="M121" s="54" t="n">
        <v>68</v>
      </c>
      <c r="N121" s="54" t="n">
        <v>69</v>
      </c>
      <c r="O121" s="54" t="n">
        <v>3</v>
      </c>
      <c r="P121" s="55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6">
        <f>M121*P121+K121*V121</f>
        <v/>
      </c>
      <c r="V121" s="55" t="n">
        <v>90</v>
      </c>
      <c r="W121" s="54" t="n">
        <v>0</v>
      </c>
      <c r="X121" s="54" t="n">
        <v>0</v>
      </c>
      <c r="Y121" s="57">
        <f>W121+X121</f>
        <v/>
      </c>
      <c r="Z121" s="55" t="n">
        <v>0</v>
      </c>
      <c r="AA121" s="55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4" t="n">
        <v>0</v>
      </c>
      <c r="H122" s="54" t="n">
        <v>0</v>
      </c>
      <c r="I122" s="54" t="n">
        <v>0</v>
      </c>
      <c r="J122" s="54" t="n">
        <v>0</v>
      </c>
      <c r="K122" s="54" t="n">
        <v>0</v>
      </c>
      <c r="L122" s="54" t="n">
        <v>66</v>
      </c>
      <c r="M122" s="54" t="n">
        <v>66</v>
      </c>
      <c r="N122" s="54" t="n">
        <v>68</v>
      </c>
      <c r="O122" s="54" t="n">
        <v>3</v>
      </c>
      <c r="P122" s="55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6">
        <f>M122*P122+K122*V122</f>
        <v/>
      </c>
      <c r="V122" s="55" t="n">
        <v>90</v>
      </c>
      <c r="W122" s="54" t="n">
        <v>0</v>
      </c>
      <c r="X122" s="54" t="n">
        <v>0</v>
      </c>
      <c r="Y122" s="57">
        <f>W122+X122</f>
        <v/>
      </c>
      <c r="Z122" s="55" t="n">
        <v>0</v>
      </c>
      <c r="AA122" s="55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4" t="n">
        <v>1</v>
      </c>
      <c r="H123" s="54" t="n">
        <v>1184</v>
      </c>
      <c r="I123" s="54" t="n">
        <v>237</v>
      </c>
      <c r="J123" s="54" t="n">
        <v>166</v>
      </c>
      <c r="K123" s="54" t="n">
        <v>69</v>
      </c>
      <c r="L123" s="54" t="n">
        <v>0</v>
      </c>
      <c r="M123" s="54" t="n">
        <v>69</v>
      </c>
      <c r="N123" s="54" t="n">
        <v>0</v>
      </c>
      <c r="O123" s="54" t="n">
        <v>3</v>
      </c>
      <c r="P123" s="55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6">
        <f>M123*P123+K123*V123</f>
        <v/>
      </c>
      <c r="V123" s="55" t="n">
        <v>90</v>
      </c>
      <c r="W123" s="54" t="n">
        <v>418</v>
      </c>
      <c r="X123" s="54" t="n">
        <v>779</v>
      </c>
      <c r="Y123" s="57">
        <f>W123+X123</f>
        <v/>
      </c>
      <c r="Z123" s="55" t="n">
        <v>37987</v>
      </c>
      <c r="AA123" s="55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4" t="n">
        <v>0</v>
      </c>
      <c r="H124" s="54" t="n">
        <v>0</v>
      </c>
      <c r="I124" s="54" t="n">
        <v>0</v>
      </c>
      <c r="J124" s="54" t="n">
        <v>0</v>
      </c>
      <c r="K124" s="54" t="n">
        <v>0</v>
      </c>
      <c r="L124" s="54" t="n">
        <v>68</v>
      </c>
      <c r="M124" s="54" t="n">
        <v>68</v>
      </c>
      <c r="N124" s="54" t="n">
        <v>69</v>
      </c>
      <c r="O124" s="54" t="n">
        <v>3</v>
      </c>
      <c r="P124" s="55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6">
        <f>M124*P124+K124*V124</f>
        <v/>
      </c>
      <c r="V124" s="55" t="n">
        <v>90</v>
      </c>
      <c r="W124" s="54" t="n">
        <v>0</v>
      </c>
      <c r="X124" s="54" t="n">
        <v>0</v>
      </c>
      <c r="Y124" s="57">
        <f>W124+X124</f>
        <v/>
      </c>
      <c r="Z124" s="55" t="n">
        <v>0</v>
      </c>
      <c r="AA124" s="55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4" t="n">
        <v>1</v>
      </c>
      <c r="H125" s="54" t="n">
        <v>486</v>
      </c>
      <c r="I125" s="54" t="n">
        <v>136</v>
      </c>
      <c r="J125" s="54" t="n">
        <v>98</v>
      </c>
      <c r="K125" s="54" t="n">
        <v>59</v>
      </c>
      <c r="L125" s="54" t="n">
        <v>0</v>
      </c>
      <c r="M125" s="54" t="n">
        <v>59</v>
      </c>
      <c r="N125" s="54" t="n">
        <v>0</v>
      </c>
      <c r="O125" s="54" t="n">
        <v>3</v>
      </c>
      <c r="P125" s="55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6">
        <f>M125*P125+K125*V125</f>
        <v/>
      </c>
      <c r="V125" s="55" t="n">
        <v>90</v>
      </c>
      <c r="W125" s="54" t="n">
        <v>205</v>
      </c>
      <c r="X125" s="54" t="n">
        <v>283</v>
      </c>
      <c r="Y125" s="57">
        <f>W125+X125</f>
        <v/>
      </c>
      <c r="Z125" s="55" t="n">
        <v>11317</v>
      </c>
      <c r="AA125" s="55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4" t="n">
        <v>0</v>
      </c>
      <c r="H126" s="54" t="n">
        <v>0</v>
      </c>
      <c r="I126" s="54" t="n">
        <v>0</v>
      </c>
      <c r="J126" s="54" t="n">
        <v>0</v>
      </c>
      <c r="K126" s="54" t="n">
        <v>0</v>
      </c>
      <c r="L126" s="54" t="n">
        <v>57</v>
      </c>
      <c r="M126" s="54" t="n">
        <v>57</v>
      </c>
      <c r="N126" s="54" t="n">
        <v>59</v>
      </c>
      <c r="O126" s="54" t="n">
        <v>2</v>
      </c>
      <c r="P126" s="55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6">
        <f>M126*P126+K126*V126</f>
        <v/>
      </c>
      <c r="V126" s="55" t="n">
        <v>90</v>
      </c>
      <c r="W126" s="54" t="n">
        <v>0</v>
      </c>
      <c r="X126" s="54" t="n">
        <v>0</v>
      </c>
      <c r="Y126" s="57">
        <f>W126+X126</f>
        <v/>
      </c>
      <c r="Z126" s="55" t="n">
        <v>0</v>
      </c>
      <c r="AA126" s="55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4" t="n">
        <v>0</v>
      </c>
      <c r="H127" s="54" t="n">
        <v>0</v>
      </c>
      <c r="I127" s="54" t="n">
        <v>0</v>
      </c>
      <c r="J127" s="54" t="n">
        <v>0</v>
      </c>
      <c r="K127" s="54" t="n">
        <v>0</v>
      </c>
      <c r="L127" s="54" t="n">
        <v>56</v>
      </c>
      <c r="M127" s="54" t="n">
        <v>56</v>
      </c>
      <c r="N127" s="54" t="n">
        <v>57</v>
      </c>
      <c r="O127" s="54" t="n">
        <v>2</v>
      </c>
      <c r="P127" s="55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6">
        <f>M127*P127+K127*V127</f>
        <v/>
      </c>
      <c r="V127" s="55" t="n">
        <v>90</v>
      </c>
      <c r="W127" s="54" t="n">
        <v>0</v>
      </c>
      <c r="X127" s="54" t="n">
        <v>0</v>
      </c>
      <c r="Y127" s="57">
        <f>W127+X127</f>
        <v/>
      </c>
      <c r="Z127" s="55" t="n">
        <v>0</v>
      </c>
      <c r="AA127" s="55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4" t="n">
        <v>1</v>
      </c>
      <c r="H128" s="54" t="n">
        <v>997</v>
      </c>
      <c r="I128" s="54" t="n">
        <v>199</v>
      </c>
      <c r="J128" s="54" t="n">
        <v>140</v>
      </c>
      <c r="K128" s="54" t="n">
        <v>59</v>
      </c>
      <c r="L128" s="54" t="n">
        <v>0</v>
      </c>
      <c r="M128" s="54" t="n">
        <v>59</v>
      </c>
      <c r="N128" s="54" t="n">
        <v>0</v>
      </c>
      <c r="O128" s="54" t="n">
        <v>3</v>
      </c>
      <c r="P128" s="55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6">
        <f>M128*P128+K128*V128</f>
        <v/>
      </c>
      <c r="V128" s="55" t="n">
        <v>90</v>
      </c>
      <c r="W128" s="54" t="n">
        <v>421</v>
      </c>
      <c r="X128" s="54" t="n">
        <v>580</v>
      </c>
      <c r="Y128" s="57">
        <f>W128+X128</f>
        <v/>
      </c>
      <c r="Z128" s="55" t="n">
        <v>23215</v>
      </c>
      <c r="AA128" s="55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4" t="n">
        <v>0</v>
      </c>
      <c r="H129" s="54" t="n">
        <v>0</v>
      </c>
      <c r="I129" s="54" t="n">
        <v>0</v>
      </c>
      <c r="J129" s="54" t="n">
        <v>0</v>
      </c>
      <c r="K129" s="54" t="n">
        <v>0</v>
      </c>
      <c r="L129" s="54" t="n">
        <v>58</v>
      </c>
      <c r="M129" s="54" t="n">
        <v>58</v>
      </c>
      <c r="N129" s="54" t="n">
        <v>59</v>
      </c>
      <c r="O129" s="54" t="n">
        <v>3</v>
      </c>
      <c r="P129" s="55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6">
        <f>M129*P129+K129*V129</f>
        <v/>
      </c>
      <c r="V129" s="55" t="n">
        <v>90</v>
      </c>
      <c r="W129" s="54" t="n">
        <v>0</v>
      </c>
      <c r="X129" s="54" t="n">
        <v>0</v>
      </c>
      <c r="Y129" s="57">
        <f>W129+X129</f>
        <v/>
      </c>
      <c r="Z129" s="55" t="n">
        <v>0</v>
      </c>
      <c r="AA129" s="55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4" t="n">
        <v>1</v>
      </c>
      <c r="H130" s="54" t="n">
        <v>441</v>
      </c>
      <c r="I130" s="54" t="n">
        <v>124</v>
      </c>
      <c r="J130" s="54" t="n">
        <v>89</v>
      </c>
      <c r="K130" s="54" t="n">
        <v>53</v>
      </c>
      <c r="L130" s="54" t="n">
        <v>0</v>
      </c>
      <c r="M130" s="54" t="n">
        <v>53</v>
      </c>
      <c r="N130" s="54" t="n">
        <v>0</v>
      </c>
      <c r="O130" s="54" t="n">
        <v>2</v>
      </c>
      <c r="P130" s="55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6">
        <f>M130*P130+K130*V130</f>
        <v/>
      </c>
      <c r="V130" s="55" t="n">
        <v>90</v>
      </c>
      <c r="W130" s="54" t="n">
        <v>208</v>
      </c>
      <c r="X130" s="54" t="n">
        <v>233</v>
      </c>
      <c r="Y130" s="57">
        <f>W130+X130</f>
        <v/>
      </c>
      <c r="Z130" s="55" t="n">
        <v>8526</v>
      </c>
      <c r="AA130" s="55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4" t="n">
        <v>0</v>
      </c>
      <c r="H131" s="54" t="n">
        <v>0</v>
      </c>
      <c r="I131" s="54" t="n">
        <v>0</v>
      </c>
      <c r="J131" s="54" t="n">
        <v>0</v>
      </c>
      <c r="K131" s="54" t="n">
        <v>0</v>
      </c>
      <c r="L131" s="54" t="n">
        <v>52</v>
      </c>
      <c r="M131" s="54" t="n">
        <v>52</v>
      </c>
      <c r="N131" s="54" t="n">
        <v>53</v>
      </c>
      <c r="O131" s="54" t="n">
        <v>2</v>
      </c>
      <c r="P131" s="55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6">
        <f>M131*P131+K131*V131</f>
        <v/>
      </c>
      <c r="V131" s="55" t="n">
        <v>90</v>
      </c>
      <c r="W131" s="54" t="n">
        <v>0</v>
      </c>
      <c r="X131" s="54" t="n">
        <v>0</v>
      </c>
      <c r="Y131" s="57">
        <f>W131+X131</f>
        <v/>
      </c>
      <c r="Z131" s="55" t="n">
        <v>0</v>
      </c>
      <c r="AA131" s="55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4" t="n">
        <v>0</v>
      </c>
      <c r="H132" s="54" t="n">
        <v>0</v>
      </c>
      <c r="I132" s="54" t="n">
        <v>0</v>
      </c>
      <c r="J132" s="54" t="n">
        <v>0</v>
      </c>
      <c r="K132" s="54" t="n">
        <v>0</v>
      </c>
      <c r="L132" s="54" t="n">
        <v>51</v>
      </c>
      <c r="M132" s="54" t="n">
        <v>51</v>
      </c>
      <c r="N132" s="54" t="n">
        <v>52</v>
      </c>
      <c r="O132" s="54" t="n">
        <v>2</v>
      </c>
      <c r="P132" s="55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6">
        <f>M132*P132+K132*V132</f>
        <v/>
      </c>
      <c r="V132" s="55" t="n">
        <v>90</v>
      </c>
      <c r="W132" s="54" t="n">
        <v>0</v>
      </c>
      <c r="X132" s="54" t="n">
        <v>0</v>
      </c>
      <c r="Y132" s="57">
        <f>W132+X132</f>
        <v/>
      </c>
      <c r="Z132" s="55" t="n">
        <v>0</v>
      </c>
      <c r="AA132" s="55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4" t="n">
        <v>1</v>
      </c>
      <c r="H133" s="54" t="n">
        <v>908</v>
      </c>
      <c r="I133" s="54" t="n">
        <v>182</v>
      </c>
      <c r="J133" s="54" t="n">
        <v>127</v>
      </c>
      <c r="K133" s="54" t="n">
        <v>53</v>
      </c>
      <c r="L133" s="54" t="n">
        <v>0</v>
      </c>
      <c r="M133" s="54" t="n">
        <v>53</v>
      </c>
      <c r="N133" s="54" t="n">
        <v>0</v>
      </c>
      <c r="O133" s="54" t="n">
        <v>3</v>
      </c>
      <c r="P133" s="55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6">
        <f>M133*P133+K133*V133</f>
        <v/>
      </c>
      <c r="V133" s="55" t="n">
        <v>90</v>
      </c>
      <c r="W133" s="54" t="n">
        <v>428</v>
      </c>
      <c r="X133" s="54" t="n">
        <v>480</v>
      </c>
      <c r="Y133" s="57">
        <f>W133+X133</f>
        <v/>
      </c>
      <c r="Z133" s="55" t="n">
        <v>17534</v>
      </c>
      <c r="AA133" s="55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4" t="n">
        <v>0</v>
      </c>
      <c r="H134" s="54" t="n">
        <v>0</v>
      </c>
      <c r="I134" s="54" t="n">
        <v>0</v>
      </c>
      <c r="J134" s="54" t="n">
        <v>0</v>
      </c>
      <c r="K134" s="54" t="n">
        <v>0</v>
      </c>
      <c r="L134" s="54" t="n">
        <v>53</v>
      </c>
      <c r="M134" s="54" t="n">
        <v>53</v>
      </c>
      <c r="N134" s="54" t="n">
        <v>53</v>
      </c>
      <c r="O134" s="54" t="n">
        <v>3</v>
      </c>
      <c r="P134" s="55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6">
        <f>M134*P134+K134*V134</f>
        <v/>
      </c>
      <c r="V134" s="55" t="n">
        <v>90</v>
      </c>
      <c r="W134" s="54" t="n">
        <v>0</v>
      </c>
      <c r="X134" s="54" t="n">
        <v>0</v>
      </c>
      <c r="Y134" s="57">
        <f>W134+X134</f>
        <v/>
      </c>
      <c r="Z134" s="55" t="n">
        <v>0</v>
      </c>
      <c r="AA134" s="55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4" t="n">
        <v>1</v>
      </c>
      <c r="H135" s="54" t="n">
        <v>375</v>
      </c>
      <c r="I135" s="54" t="n">
        <v>105</v>
      </c>
      <c r="J135" s="54" t="n">
        <v>76</v>
      </c>
      <c r="K135" s="54" t="n">
        <v>45</v>
      </c>
      <c r="L135" s="54" t="n">
        <v>0</v>
      </c>
      <c r="M135" s="54" t="n">
        <v>45</v>
      </c>
      <c r="N135" s="54" t="n">
        <v>0</v>
      </c>
      <c r="O135" s="54" t="n">
        <v>2</v>
      </c>
      <c r="P135" s="55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6">
        <f>M135*P135+K135*V135</f>
        <v/>
      </c>
      <c r="V135" s="55" t="n">
        <v>90</v>
      </c>
      <c r="W135" s="54" t="n">
        <v>180</v>
      </c>
      <c r="X135" s="54" t="n">
        <v>194</v>
      </c>
      <c r="Y135" s="57">
        <f>W135+X135</f>
        <v/>
      </c>
      <c r="Z135" s="55" t="n">
        <v>6743</v>
      </c>
      <c r="AA135" s="55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4" t="n">
        <v>0</v>
      </c>
      <c r="H136" s="54" t="n">
        <v>0</v>
      </c>
      <c r="I136" s="54" t="n">
        <v>0</v>
      </c>
      <c r="J136" s="54" t="n">
        <v>0</v>
      </c>
      <c r="K136" s="54" t="n">
        <v>0</v>
      </c>
      <c r="L136" s="54" t="n">
        <v>44</v>
      </c>
      <c r="M136" s="54" t="n">
        <v>44</v>
      </c>
      <c r="N136" s="54" t="n">
        <v>45</v>
      </c>
      <c r="O136" s="54" t="n">
        <v>2</v>
      </c>
      <c r="P136" s="55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6">
        <f>M136*P136+K136*V136</f>
        <v/>
      </c>
      <c r="V136" s="55" t="n">
        <v>90</v>
      </c>
      <c r="W136" s="54" t="n">
        <v>0</v>
      </c>
      <c r="X136" s="54" t="n">
        <v>0</v>
      </c>
      <c r="Y136" s="57">
        <f>W136+X136</f>
        <v/>
      </c>
      <c r="Z136" s="55" t="n">
        <v>0</v>
      </c>
      <c r="AA136" s="55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4" t="n">
        <v>0</v>
      </c>
      <c r="H137" s="54" t="n">
        <v>0</v>
      </c>
      <c r="I137" s="54" t="n">
        <v>0</v>
      </c>
      <c r="J137" s="54" t="n">
        <v>0</v>
      </c>
      <c r="K137" s="54" t="n">
        <v>0</v>
      </c>
      <c r="L137" s="54" t="n">
        <v>43</v>
      </c>
      <c r="M137" s="54" t="n">
        <v>43</v>
      </c>
      <c r="N137" s="54" t="n">
        <v>44</v>
      </c>
      <c r="O137" s="54" t="n">
        <v>2</v>
      </c>
      <c r="P137" s="55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6">
        <f>M137*P137+K137*V137</f>
        <v/>
      </c>
      <c r="V137" s="55" t="n">
        <v>90</v>
      </c>
      <c r="W137" s="54" t="n">
        <v>0</v>
      </c>
      <c r="X137" s="54" t="n">
        <v>0</v>
      </c>
      <c r="Y137" s="57">
        <f>W137+X137</f>
        <v/>
      </c>
      <c r="Z137" s="55" t="n">
        <v>0</v>
      </c>
      <c r="AA137" s="55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4" t="n">
        <v>1</v>
      </c>
      <c r="H138" s="54" t="n">
        <v>770</v>
      </c>
      <c r="I138" s="54" t="n">
        <v>154</v>
      </c>
      <c r="J138" s="54" t="n">
        <v>108</v>
      </c>
      <c r="K138" s="54" t="n">
        <v>45</v>
      </c>
      <c r="L138" s="54" t="n">
        <v>0</v>
      </c>
      <c r="M138" s="54" t="n">
        <v>45</v>
      </c>
      <c r="N138" s="54" t="n">
        <v>0</v>
      </c>
      <c r="O138" s="54" t="n">
        <v>2</v>
      </c>
      <c r="P138" s="55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6">
        <f>M138*P138+K138*V138</f>
        <v/>
      </c>
      <c r="V138" s="55" t="n">
        <v>90</v>
      </c>
      <c r="W138" s="54" t="n">
        <v>370</v>
      </c>
      <c r="X138" s="54" t="n">
        <v>398</v>
      </c>
      <c r="Y138" s="57">
        <f>W138+X138</f>
        <v/>
      </c>
      <c r="Z138" s="55" t="n">
        <v>13854</v>
      </c>
      <c r="AA138" s="55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4" t="n">
        <v>0</v>
      </c>
      <c r="H139" s="54" t="n">
        <v>0</v>
      </c>
      <c r="I139" s="54" t="n">
        <v>0</v>
      </c>
      <c r="J139" s="54" t="n">
        <v>0</v>
      </c>
      <c r="K139" s="54" t="n">
        <v>0</v>
      </c>
      <c r="L139" s="54" t="n">
        <v>44</v>
      </c>
      <c r="M139" s="54" t="n">
        <v>44</v>
      </c>
      <c r="N139" s="54" t="n">
        <v>45</v>
      </c>
      <c r="O139" s="54" t="n">
        <v>2</v>
      </c>
      <c r="P139" s="55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6">
        <f>M139*P139+K139*V139</f>
        <v/>
      </c>
      <c r="V139" s="55" t="n">
        <v>90</v>
      </c>
      <c r="W139" s="54" t="n">
        <v>0</v>
      </c>
      <c r="X139" s="54" t="n">
        <v>0</v>
      </c>
      <c r="Y139" s="57">
        <f>W139+X139</f>
        <v/>
      </c>
      <c r="Z139" s="55" t="n">
        <v>0</v>
      </c>
      <c r="AA139" s="55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4" t="n">
        <v>1</v>
      </c>
      <c r="H140" s="54" t="n">
        <v>530</v>
      </c>
      <c r="I140" s="54" t="n">
        <v>149</v>
      </c>
      <c r="J140" s="54" t="n">
        <v>107</v>
      </c>
      <c r="K140" s="54" t="n">
        <v>64</v>
      </c>
      <c r="L140" s="54" t="n">
        <v>0</v>
      </c>
      <c r="M140" s="54" t="n">
        <v>64</v>
      </c>
      <c r="N140" s="54" t="n">
        <v>0</v>
      </c>
      <c r="O140" s="54" t="n">
        <v>3</v>
      </c>
      <c r="P140" s="55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6">
        <f>M140*P140+K140*V140</f>
        <v/>
      </c>
      <c r="V140" s="55" t="n">
        <v>90</v>
      </c>
      <c r="W140" s="54" t="n">
        <v>213</v>
      </c>
      <c r="X140" s="54" t="n">
        <v>340</v>
      </c>
      <c r="Y140" s="57">
        <f>W140+X140</f>
        <v/>
      </c>
      <c r="Z140" s="55" t="n">
        <v>16491</v>
      </c>
      <c r="AA140" s="55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4" t="n">
        <v>0</v>
      </c>
      <c r="H141" s="54" t="n">
        <v>0</v>
      </c>
      <c r="I141" s="54" t="n">
        <v>0</v>
      </c>
      <c r="J141" s="54" t="n">
        <v>0</v>
      </c>
      <c r="K141" s="54" t="n">
        <v>0</v>
      </c>
      <c r="L141" s="54" t="n">
        <v>62</v>
      </c>
      <c r="M141" s="54" t="n">
        <v>62</v>
      </c>
      <c r="N141" s="54" t="n">
        <v>64</v>
      </c>
      <c r="O141" s="54" t="n">
        <v>3</v>
      </c>
      <c r="P141" s="55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6">
        <f>M141*P141+K141*V141</f>
        <v/>
      </c>
      <c r="V141" s="55" t="n">
        <v>90</v>
      </c>
      <c r="W141" s="54" t="n">
        <v>0</v>
      </c>
      <c r="X141" s="54" t="n">
        <v>0</v>
      </c>
      <c r="Y141" s="57">
        <f>W141+X141</f>
        <v/>
      </c>
      <c r="Z141" s="55" t="n">
        <v>0</v>
      </c>
      <c r="AA141" s="55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4" t="n">
        <v>0</v>
      </c>
      <c r="H142" s="54" t="n">
        <v>0</v>
      </c>
      <c r="I142" s="54" t="n">
        <v>0</v>
      </c>
      <c r="J142" s="54" t="n">
        <v>0</v>
      </c>
      <c r="K142" s="54" t="n">
        <v>0</v>
      </c>
      <c r="L142" s="54" t="n">
        <v>61</v>
      </c>
      <c r="M142" s="54" t="n">
        <v>61</v>
      </c>
      <c r="N142" s="54" t="n">
        <v>62</v>
      </c>
      <c r="O142" s="54" t="n">
        <v>3</v>
      </c>
      <c r="P142" s="55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6">
        <f>M142*P142+K142*V142</f>
        <v/>
      </c>
      <c r="V142" s="55" t="n">
        <v>90</v>
      </c>
      <c r="W142" s="54" t="n">
        <v>0</v>
      </c>
      <c r="X142" s="54" t="n">
        <v>0</v>
      </c>
      <c r="Y142" s="57">
        <f>W142+X142</f>
        <v/>
      </c>
      <c r="Z142" s="55" t="n">
        <v>0</v>
      </c>
      <c r="AA142" s="55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4" t="n">
        <v>1</v>
      </c>
      <c r="H143" s="54" t="n">
        <v>1086</v>
      </c>
      <c r="I143" s="54" t="n">
        <v>217</v>
      </c>
      <c r="J143" s="54" t="n">
        <v>152</v>
      </c>
      <c r="K143" s="54" t="n">
        <v>64</v>
      </c>
      <c r="L143" s="54" t="n">
        <v>0</v>
      </c>
      <c r="M143" s="54" t="n">
        <v>64</v>
      </c>
      <c r="N143" s="54" t="n">
        <v>0</v>
      </c>
      <c r="O143" s="54" t="n">
        <v>3</v>
      </c>
      <c r="P143" s="55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6">
        <f>M143*P143+K143*V143</f>
        <v/>
      </c>
      <c r="V143" s="55" t="n">
        <v>90</v>
      </c>
      <c r="W143" s="54" t="n">
        <v>437</v>
      </c>
      <c r="X143" s="54" t="n">
        <v>695</v>
      </c>
      <c r="Y143" s="57">
        <f>W143+X143</f>
        <v/>
      </c>
      <c r="Z143" s="55" t="n">
        <v>33757</v>
      </c>
      <c r="AA143" s="55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4" t="n">
        <v>0</v>
      </c>
      <c r="H144" s="54" t="n">
        <v>0</v>
      </c>
      <c r="I144" s="54" t="n">
        <v>0</v>
      </c>
      <c r="J144" s="54" t="n">
        <v>0</v>
      </c>
      <c r="K144" s="54" t="n">
        <v>0</v>
      </c>
      <c r="L144" s="54" t="n">
        <v>63</v>
      </c>
      <c r="M144" s="54" t="n">
        <v>63</v>
      </c>
      <c r="N144" s="54" t="n">
        <v>64</v>
      </c>
      <c r="O144" s="54" t="n">
        <v>3</v>
      </c>
      <c r="P144" s="55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6">
        <f>M144*P144+K144*V144</f>
        <v/>
      </c>
      <c r="V144" s="55" t="n">
        <v>90</v>
      </c>
      <c r="W144" s="54" t="n">
        <v>0</v>
      </c>
      <c r="X144" s="54" t="n">
        <v>0</v>
      </c>
      <c r="Y144" s="57">
        <f>W144+X144</f>
        <v/>
      </c>
      <c r="Z144" s="55" t="n">
        <v>0</v>
      </c>
      <c r="AA144" s="55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4" t="n">
        <v>1</v>
      </c>
      <c r="H145" s="54" t="n">
        <v>366</v>
      </c>
      <c r="I145" s="54" t="n">
        <v>102</v>
      </c>
      <c r="J145" s="54" t="n">
        <v>74</v>
      </c>
      <c r="K145" s="54" t="n">
        <v>44</v>
      </c>
      <c r="L145" s="54" t="n">
        <v>0</v>
      </c>
      <c r="M145" s="54" t="n">
        <v>44</v>
      </c>
      <c r="N145" s="54" t="n">
        <v>0</v>
      </c>
      <c r="O145" s="54" t="n">
        <v>2</v>
      </c>
      <c r="P145" s="55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6">
        <f>M145*P145+K145*V145</f>
        <v/>
      </c>
      <c r="V145" s="55" t="n">
        <v>90</v>
      </c>
      <c r="W145" s="54" t="n">
        <v>194</v>
      </c>
      <c r="X145" s="54" t="n">
        <v>186</v>
      </c>
      <c r="Y145" s="57">
        <f>W145+X145</f>
        <v/>
      </c>
      <c r="Z145" s="55" t="n">
        <v>6793</v>
      </c>
      <c r="AA145" s="55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4" t="n">
        <v>0</v>
      </c>
      <c r="H146" s="54" t="n">
        <v>0</v>
      </c>
      <c r="I146" s="54" t="n">
        <v>0</v>
      </c>
      <c r="J146" s="54" t="n">
        <v>0</v>
      </c>
      <c r="K146" s="54" t="n">
        <v>0</v>
      </c>
      <c r="L146" s="54" t="n">
        <v>43</v>
      </c>
      <c r="M146" s="54" t="n">
        <v>43</v>
      </c>
      <c r="N146" s="54" t="n">
        <v>44</v>
      </c>
      <c r="O146" s="54" t="n">
        <v>2</v>
      </c>
      <c r="P146" s="55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6">
        <f>M146*P146+K146*V146</f>
        <v/>
      </c>
      <c r="V146" s="55" t="n">
        <v>90</v>
      </c>
      <c r="W146" s="54" t="n">
        <v>0</v>
      </c>
      <c r="X146" s="54" t="n">
        <v>0</v>
      </c>
      <c r="Y146" s="57">
        <f>W146+X146</f>
        <v/>
      </c>
      <c r="Z146" s="55" t="n">
        <v>0</v>
      </c>
      <c r="AA146" s="55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4" t="n">
        <v>0</v>
      </c>
      <c r="H147" s="54" t="n">
        <v>0</v>
      </c>
      <c r="I147" s="54" t="n">
        <v>0</v>
      </c>
      <c r="J147" s="54" t="n">
        <v>0</v>
      </c>
      <c r="K147" s="54" t="n">
        <v>0</v>
      </c>
      <c r="L147" s="54" t="n">
        <v>42</v>
      </c>
      <c r="M147" s="54" t="n">
        <v>42</v>
      </c>
      <c r="N147" s="54" t="n">
        <v>43</v>
      </c>
      <c r="O147" s="54" t="n">
        <v>2</v>
      </c>
      <c r="P147" s="55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6">
        <f>M147*P147+K147*V147</f>
        <v/>
      </c>
      <c r="V147" s="55" t="n">
        <v>90</v>
      </c>
      <c r="W147" s="54" t="n">
        <v>0</v>
      </c>
      <c r="X147" s="54" t="n">
        <v>0</v>
      </c>
      <c r="Y147" s="57">
        <f>W147+X147</f>
        <v/>
      </c>
      <c r="Z147" s="55" t="n">
        <v>0</v>
      </c>
      <c r="AA147" s="55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4" t="n">
        <v>1</v>
      </c>
      <c r="H148" s="54" t="n">
        <v>756</v>
      </c>
      <c r="I148" s="54" t="n">
        <v>151</v>
      </c>
      <c r="J148" s="54" t="n">
        <v>106</v>
      </c>
      <c r="K148" s="54" t="n">
        <v>44</v>
      </c>
      <c r="L148" s="54" t="n">
        <v>0</v>
      </c>
      <c r="M148" s="54" t="n">
        <v>44</v>
      </c>
      <c r="N148" s="54" t="n">
        <v>0</v>
      </c>
      <c r="O148" s="54" t="n">
        <v>2</v>
      </c>
      <c r="P148" s="55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6">
        <f>M148*P148+K148*V148</f>
        <v/>
      </c>
      <c r="V148" s="55" t="n">
        <v>90</v>
      </c>
      <c r="W148" s="54" t="n">
        <v>400</v>
      </c>
      <c r="X148" s="54" t="n">
        <v>385</v>
      </c>
      <c r="Y148" s="57">
        <f>W148+X148</f>
        <v/>
      </c>
      <c r="Z148" s="55" t="n">
        <v>14050</v>
      </c>
      <c r="AA148" s="55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4" t="n">
        <v>0</v>
      </c>
      <c r="H149" s="54" t="n">
        <v>0</v>
      </c>
      <c r="I149" s="54" t="n">
        <v>0</v>
      </c>
      <c r="J149" s="54" t="n">
        <v>0</v>
      </c>
      <c r="K149" s="54" t="n">
        <v>0</v>
      </c>
      <c r="L149" s="54" t="n">
        <v>44</v>
      </c>
      <c r="M149" s="54" t="n">
        <v>44</v>
      </c>
      <c r="N149" s="54" t="n">
        <v>44</v>
      </c>
      <c r="O149" s="54" t="n">
        <v>2</v>
      </c>
      <c r="P149" s="55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6">
        <f>M149*P149+K149*V149</f>
        <v/>
      </c>
      <c r="V149" s="55" t="n">
        <v>90</v>
      </c>
      <c r="W149" s="54" t="n">
        <v>0</v>
      </c>
      <c r="X149" s="54" t="n">
        <v>0</v>
      </c>
      <c r="Y149" s="57">
        <f>W149+X149</f>
        <v/>
      </c>
      <c r="Z149" s="55" t="n">
        <v>0</v>
      </c>
      <c r="AA149" s="55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4" t="n">
        <v>1</v>
      </c>
      <c r="H150" s="54" t="n">
        <v>344</v>
      </c>
      <c r="I150" s="54" t="n">
        <v>96</v>
      </c>
      <c r="J150" s="54" t="n">
        <v>69</v>
      </c>
      <c r="K150" s="54" t="n">
        <v>42</v>
      </c>
      <c r="L150" s="54" t="n">
        <v>0</v>
      </c>
      <c r="M150" s="54" t="n">
        <v>42</v>
      </c>
      <c r="N150" s="54" t="n">
        <v>0</v>
      </c>
      <c r="O150" s="54" t="n">
        <v>2</v>
      </c>
      <c r="P150" s="55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6">
        <f>M150*P150+K150*V150</f>
        <v/>
      </c>
      <c r="V150" s="55" t="n">
        <v>90</v>
      </c>
      <c r="W150" s="54" t="n">
        <v>186</v>
      </c>
      <c r="X150" s="54" t="n">
        <v>171</v>
      </c>
      <c r="Y150" s="57">
        <f>W150+X150</f>
        <v/>
      </c>
      <c r="Z150" s="55" t="n">
        <v>5940</v>
      </c>
      <c r="AA150" s="55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4" t="n">
        <v>0</v>
      </c>
      <c r="H151" s="54" t="n">
        <v>0</v>
      </c>
      <c r="I151" s="54" t="n">
        <v>0</v>
      </c>
      <c r="J151" s="54" t="n">
        <v>0</v>
      </c>
      <c r="K151" s="54" t="n">
        <v>0</v>
      </c>
      <c r="L151" s="54" t="n">
        <v>41</v>
      </c>
      <c r="M151" s="54" t="n">
        <v>41</v>
      </c>
      <c r="N151" s="54" t="n">
        <v>42</v>
      </c>
      <c r="O151" s="54" t="n">
        <v>2</v>
      </c>
      <c r="P151" s="55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6">
        <f>M151*P151+K151*V151</f>
        <v/>
      </c>
      <c r="V151" s="55" t="n">
        <v>90</v>
      </c>
      <c r="W151" s="54" t="n">
        <v>0</v>
      </c>
      <c r="X151" s="54" t="n">
        <v>0</v>
      </c>
      <c r="Y151" s="57">
        <f>W151+X151</f>
        <v/>
      </c>
      <c r="Z151" s="55" t="n">
        <v>0</v>
      </c>
      <c r="AA151" s="55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4" t="n">
        <v>0</v>
      </c>
      <c r="H152" s="54" t="n">
        <v>0</v>
      </c>
      <c r="I152" s="54" t="n">
        <v>0</v>
      </c>
      <c r="J152" s="54" t="n">
        <v>0</v>
      </c>
      <c r="K152" s="54" t="n">
        <v>0</v>
      </c>
      <c r="L152" s="54" t="n">
        <v>40</v>
      </c>
      <c r="M152" s="54" t="n">
        <v>40</v>
      </c>
      <c r="N152" s="54" t="n">
        <v>41</v>
      </c>
      <c r="O152" s="54" t="n">
        <v>2</v>
      </c>
      <c r="P152" s="55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6">
        <f>M152*P152+K152*V152</f>
        <v/>
      </c>
      <c r="V152" s="55" t="n">
        <v>90</v>
      </c>
      <c r="W152" s="54" t="n">
        <v>0</v>
      </c>
      <c r="X152" s="54" t="n">
        <v>0</v>
      </c>
      <c r="Y152" s="57">
        <f>W152+X152</f>
        <v/>
      </c>
      <c r="Z152" s="55" t="n">
        <v>0</v>
      </c>
      <c r="AA152" s="55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4" t="n">
        <v>1</v>
      </c>
      <c r="H153" s="54" t="n">
        <v>712</v>
      </c>
      <c r="I153" s="54" t="n">
        <v>142</v>
      </c>
      <c r="J153" s="54" t="n">
        <v>100</v>
      </c>
      <c r="K153" s="54" t="n">
        <v>42</v>
      </c>
      <c r="L153" s="54" t="n">
        <v>0</v>
      </c>
      <c r="M153" s="54" t="n">
        <v>42</v>
      </c>
      <c r="N153" s="54" t="n">
        <v>0</v>
      </c>
      <c r="O153" s="54" t="n">
        <v>2</v>
      </c>
      <c r="P153" s="55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6">
        <f>M153*P153+K153*V153</f>
        <v/>
      </c>
      <c r="V153" s="55" t="n">
        <v>90</v>
      </c>
      <c r="W153" s="54" t="n">
        <v>384</v>
      </c>
      <c r="X153" s="54" t="n">
        <v>355</v>
      </c>
      <c r="Y153" s="57">
        <f>W153+X153</f>
        <v/>
      </c>
      <c r="Z153" s="55" t="n">
        <v>12311</v>
      </c>
      <c r="AA153" s="55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4" t="n">
        <v>0</v>
      </c>
      <c r="H154" s="54" t="n">
        <v>0</v>
      </c>
      <c r="I154" s="54" t="n">
        <v>0</v>
      </c>
      <c r="J154" s="54" t="n">
        <v>0</v>
      </c>
      <c r="K154" s="54" t="n">
        <v>0</v>
      </c>
      <c r="L154" s="54" t="n">
        <v>41</v>
      </c>
      <c r="M154" s="54" t="n">
        <v>41</v>
      </c>
      <c r="N154" s="54" t="n">
        <v>42</v>
      </c>
      <c r="O154" s="54" t="n">
        <v>2</v>
      </c>
      <c r="P154" s="55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6">
        <f>M154*P154+K154*V154</f>
        <v/>
      </c>
      <c r="V154" s="55" t="n">
        <v>90</v>
      </c>
      <c r="W154" s="54" t="n">
        <v>0</v>
      </c>
      <c r="X154" s="54" t="n">
        <v>0</v>
      </c>
      <c r="Y154" s="57">
        <f>W154+X154</f>
        <v/>
      </c>
      <c r="Z154" s="55" t="n">
        <v>0</v>
      </c>
      <c r="AA154" s="55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4" t="n">
        <v>1</v>
      </c>
      <c r="H155" s="54" t="n">
        <v>756</v>
      </c>
      <c r="I155" s="54" t="n">
        <v>151</v>
      </c>
      <c r="J155" s="54" t="n">
        <v>106</v>
      </c>
      <c r="K155" s="54" t="n">
        <v>44</v>
      </c>
      <c r="L155" s="54" t="n">
        <v>0</v>
      </c>
      <c r="M155" s="54" t="n">
        <v>44</v>
      </c>
      <c r="N155" s="54" t="n">
        <v>0</v>
      </c>
      <c r="O155" s="54" t="n">
        <v>2</v>
      </c>
      <c r="P155" s="55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6">
        <f>M155*P155+K155*V155</f>
        <v/>
      </c>
      <c r="V155" s="55" t="n">
        <v>90</v>
      </c>
      <c r="W155" s="54" t="n">
        <v>258</v>
      </c>
      <c r="X155" s="54" t="n">
        <v>489</v>
      </c>
      <c r="Y155" s="57">
        <f>W155+X155</f>
        <v/>
      </c>
      <c r="Z155" s="55" t="n">
        <v>17983</v>
      </c>
      <c r="AA155" s="55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4" t="n">
        <v>0</v>
      </c>
      <c r="H156" s="54" t="n">
        <v>0</v>
      </c>
      <c r="I156" s="54" t="n">
        <v>0</v>
      </c>
      <c r="J156" s="54" t="n">
        <v>0</v>
      </c>
      <c r="K156" s="54" t="n">
        <v>0</v>
      </c>
      <c r="L156" s="54" t="n">
        <v>43</v>
      </c>
      <c r="M156" s="54" t="n">
        <v>43</v>
      </c>
      <c r="N156" s="54" t="n">
        <v>44</v>
      </c>
      <c r="O156" s="54" t="n">
        <v>2</v>
      </c>
      <c r="P156" s="55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6">
        <f>M156*P156+K156*V156</f>
        <v/>
      </c>
      <c r="V156" s="55" t="n">
        <v>90</v>
      </c>
      <c r="W156" s="54" t="n">
        <v>0</v>
      </c>
      <c r="X156" s="54" t="n">
        <v>0</v>
      </c>
      <c r="Y156" s="57">
        <f>W156+X156</f>
        <v/>
      </c>
      <c r="Z156" s="55" t="n">
        <v>0</v>
      </c>
      <c r="AA156" s="55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4" t="n">
        <v>0</v>
      </c>
      <c r="H157" s="54" t="n">
        <v>0</v>
      </c>
      <c r="I157" s="54" t="n">
        <v>0</v>
      </c>
      <c r="J157" s="54" t="n">
        <v>0</v>
      </c>
      <c r="K157" s="54" t="n">
        <v>0</v>
      </c>
      <c r="L157" s="54" t="n">
        <v>42</v>
      </c>
      <c r="M157" s="54" t="n">
        <v>42</v>
      </c>
      <c r="N157" s="54" t="n">
        <v>43</v>
      </c>
      <c r="O157" s="54" t="n">
        <v>2</v>
      </c>
      <c r="P157" s="55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6">
        <f>M157*P157+K157*V157</f>
        <v/>
      </c>
      <c r="V157" s="55" t="n">
        <v>90</v>
      </c>
      <c r="W157" s="54" t="n">
        <v>0</v>
      </c>
      <c r="X157" s="54" t="n">
        <v>0</v>
      </c>
      <c r="Y157" s="57">
        <f>W157+X157</f>
        <v/>
      </c>
      <c r="Z157" s="55" t="n">
        <v>0</v>
      </c>
      <c r="AA157" s="55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4" t="n">
        <v>1</v>
      </c>
      <c r="H158" s="54" t="n">
        <v>605</v>
      </c>
      <c r="I158" s="54" t="n">
        <v>121</v>
      </c>
      <c r="J158" s="54" t="n">
        <v>85</v>
      </c>
      <c r="K158" s="54" t="n">
        <v>36</v>
      </c>
      <c r="L158" s="54" t="n">
        <v>0</v>
      </c>
      <c r="M158" s="54" t="n">
        <v>36</v>
      </c>
      <c r="N158" s="54" t="n">
        <v>0</v>
      </c>
      <c r="O158" s="54" t="n">
        <v>2</v>
      </c>
      <c r="P158" s="55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6">
        <f>M158*P158+K158*V158</f>
        <v/>
      </c>
      <c r="V158" s="55" t="n">
        <v>90</v>
      </c>
      <c r="W158" s="54" t="n">
        <v>223</v>
      </c>
      <c r="X158" s="54" t="n">
        <v>371</v>
      </c>
      <c r="Y158" s="57">
        <f>W158+X158</f>
        <v/>
      </c>
      <c r="Z158" s="55" t="n">
        <v>12341</v>
      </c>
      <c r="AA158" s="55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4" t="n">
        <v>0</v>
      </c>
      <c r="H159" s="54" t="n">
        <v>0</v>
      </c>
      <c r="I159" s="54" t="n">
        <v>0</v>
      </c>
      <c r="J159" s="54" t="n">
        <v>0</v>
      </c>
      <c r="K159" s="54" t="n">
        <v>0</v>
      </c>
      <c r="L159" s="54" t="n">
        <v>35</v>
      </c>
      <c r="M159" s="54" t="n">
        <v>35</v>
      </c>
      <c r="N159" s="54" t="n">
        <v>36</v>
      </c>
      <c r="O159" s="54" t="n">
        <v>2</v>
      </c>
      <c r="P159" s="55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6">
        <f>M159*P159+K159*V159</f>
        <v/>
      </c>
      <c r="V159" s="55" t="n">
        <v>90</v>
      </c>
      <c r="W159" s="54" t="n">
        <v>0</v>
      </c>
      <c r="X159" s="54" t="n">
        <v>0</v>
      </c>
      <c r="Y159" s="57">
        <f>W159+X159</f>
        <v/>
      </c>
      <c r="Z159" s="55" t="n">
        <v>0</v>
      </c>
      <c r="AA159" s="55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4" t="n">
        <v>0</v>
      </c>
      <c r="H160" s="54" t="n">
        <v>0</v>
      </c>
      <c r="I160" s="54" t="n">
        <v>0</v>
      </c>
      <c r="J160" s="54" t="n">
        <v>0</v>
      </c>
      <c r="K160" s="54" t="n">
        <v>0</v>
      </c>
      <c r="L160" s="54" t="n">
        <v>34</v>
      </c>
      <c r="M160" s="54" t="n">
        <v>34</v>
      </c>
      <c r="N160" s="54" t="n">
        <v>35</v>
      </c>
      <c r="O160" s="54" t="n">
        <v>2</v>
      </c>
      <c r="P160" s="55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6">
        <f>M160*P160+K160*V160</f>
        <v/>
      </c>
      <c r="V160" s="55" t="n">
        <v>90</v>
      </c>
      <c r="W160" s="54" t="n">
        <v>0</v>
      </c>
      <c r="X160" s="54" t="n">
        <v>0</v>
      </c>
      <c r="Y160" s="57">
        <f>W160+X160</f>
        <v/>
      </c>
      <c r="Z160" s="55" t="n">
        <v>0</v>
      </c>
      <c r="AA160" s="55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4" t="n">
        <v>1</v>
      </c>
      <c r="H161" s="54" t="n">
        <v>605</v>
      </c>
      <c r="I161" s="54" t="n">
        <v>121</v>
      </c>
      <c r="J161" s="54" t="n">
        <v>85</v>
      </c>
      <c r="K161" s="54" t="n">
        <v>36</v>
      </c>
      <c r="L161" s="54" t="n">
        <v>0</v>
      </c>
      <c r="M161" s="54" t="n">
        <v>36</v>
      </c>
      <c r="N161" s="54" t="n">
        <v>0</v>
      </c>
      <c r="O161" s="54" t="n">
        <v>2</v>
      </c>
      <c r="P161" s="55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6">
        <f>M161*P161+K161*V161</f>
        <v/>
      </c>
      <c r="V161" s="55" t="n">
        <v>90</v>
      </c>
      <c r="W161" s="54" t="n">
        <v>217</v>
      </c>
      <c r="X161" s="54" t="n">
        <v>377</v>
      </c>
      <c r="Y161" s="57">
        <f>W161+X161</f>
        <v/>
      </c>
      <c r="Z161" s="55" t="n">
        <v>12543</v>
      </c>
      <c r="AA161" s="55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4" t="n">
        <v>0</v>
      </c>
      <c r="H162" s="54" t="n">
        <v>0</v>
      </c>
      <c r="I162" s="54" t="n">
        <v>0</v>
      </c>
      <c r="J162" s="54" t="n">
        <v>0</v>
      </c>
      <c r="K162" s="54" t="n">
        <v>0</v>
      </c>
      <c r="L162" s="54" t="n">
        <v>35</v>
      </c>
      <c r="M162" s="54" t="n">
        <v>35</v>
      </c>
      <c r="N162" s="54" t="n">
        <v>36</v>
      </c>
      <c r="O162" s="54" t="n">
        <v>2</v>
      </c>
      <c r="P162" s="55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6">
        <f>M162*P162+K162*V162</f>
        <v/>
      </c>
      <c r="V162" s="55" t="n">
        <v>90</v>
      </c>
      <c r="W162" s="54" t="n">
        <v>0</v>
      </c>
      <c r="X162" s="54" t="n">
        <v>0</v>
      </c>
      <c r="Y162" s="57">
        <f>W162+X162</f>
        <v/>
      </c>
      <c r="Z162" s="55" t="n">
        <v>0</v>
      </c>
      <c r="AA162" s="55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4" t="n">
        <v>0</v>
      </c>
      <c r="H163" s="54" t="n">
        <v>0</v>
      </c>
      <c r="I163" s="54" t="n">
        <v>0</v>
      </c>
      <c r="J163" s="54" t="n">
        <v>0</v>
      </c>
      <c r="K163" s="54" t="n">
        <v>0</v>
      </c>
      <c r="L163" s="54" t="n">
        <v>34</v>
      </c>
      <c r="M163" s="54" t="n">
        <v>34</v>
      </c>
      <c r="N163" s="54" t="n">
        <v>35</v>
      </c>
      <c r="O163" s="54" t="n">
        <v>2</v>
      </c>
      <c r="P163" s="55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6">
        <f>M163*P163+K163*V163</f>
        <v/>
      </c>
      <c r="V163" s="55" t="n">
        <v>90</v>
      </c>
      <c r="W163" s="54" t="n">
        <v>0</v>
      </c>
      <c r="X163" s="54" t="n">
        <v>0</v>
      </c>
      <c r="Y163" s="57">
        <f>W163+X163</f>
        <v/>
      </c>
      <c r="Z163" s="55" t="n">
        <v>0</v>
      </c>
      <c r="AA163" s="55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4" t="n">
        <v>1</v>
      </c>
      <c r="H164" s="54" t="n">
        <v>699</v>
      </c>
      <c r="I164" s="54" t="n">
        <v>140</v>
      </c>
      <c r="J164" s="54" t="n">
        <v>98</v>
      </c>
      <c r="K164" s="54" t="n">
        <v>41</v>
      </c>
      <c r="L164" s="54" t="n">
        <v>0</v>
      </c>
      <c r="M164" s="54" t="n">
        <v>41</v>
      </c>
      <c r="N164" s="54" t="n">
        <v>0</v>
      </c>
      <c r="O164" s="54" t="n">
        <v>2</v>
      </c>
      <c r="P164" s="55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6">
        <f>M164*P164+K164*V164</f>
        <v/>
      </c>
      <c r="V164" s="55" t="n">
        <v>90</v>
      </c>
      <c r="W164" s="54" t="n">
        <v>341</v>
      </c>
      <c r="X164" s="54" t="n">
        <v>382</v>
      </c>
      <c r="Y164" s="57">
        <f>W164+X164</f>
        <v/>
      </c>
      <c r="Z164" s="55" t="n">
        <v>15129</v>
      </c>
      <c r="AA164" s="55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4" t="n">
        <v>0</v>
      </c>
      <c r="H165" s="54" t="n">
        <v>0</v>
      </c>
      <c r="I165" s="54" t="n">
        <v>0</v>
      </c>
      <c r="J165" s="54" t="n">
        <v>0</v>
      </c>
      <c r="K165" s="54" t="n">
        <v>0</v>
      </c>
      <c r="L165" s="54" t="n">
        <v>40</v>
      </c>
      <c r="M165" s="54" t="n">
        <v>40</v>
      </c>
      <c r="N165" s="54" t="n">
        <v>41</v>
      </c>
      <c r="O165" s="54" t="n">
        <v>2</v>
      </c>
      <c r="P165" s="55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6">
        <f>M165*P165+K165*V165</f>
        <v/>
      </c>
      <c r="V165" s="55" t="n">
        <v>90</v>
      </c>
      <c r="W165" s="54" t="n">
        <v>0</v>
      </c>
      <c r="X165" s="54" t="n">
        <v>0</v>
      </c>
      <c r="Y165" s="57">
        <f>W165+X165</f>
        <v/>
      </c>
      <c r="Z165" s="55" t="n">
        <v>0</v>
      </c>
      <c r="AA165" s="55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4" t="n">
        <v>1</v>
      </c>
      <c r="H166" s="54" t="n">
        <v>699</v>
      </c>
      <c r="I166" s="54" t="n">
        <v>140</v>
      </c>
      <c r="J166" s="54" t="n">
        <v>98</v>
      </c>
      <c r="K166" s="54" t="n">
        <v>41</v>
      </c>
      <c r="L166" s="54" t="n">
        <v>0</v>
      </c>
      <c r="M166" s="54" t="n">
        <v>41</v>
      </c>
      <c r="N166" s="54" t="n">
        <v>0</v>
      </c>
      <c r="O166" s="54" t="n">
        <v>2</v>
      </c>
      <c r="P166" s="55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6">
        <f>M166*P166+K166*V166</f>
        <v/>
      </c>
      <c r="V166" s="55" t="n">
        <v>90</v>
      </c>
      <c r="W166" s="54" t="n">
        <v>341</v>
      </c>
      <c r="X166" s="54" t="n">
        <v>383</v>
      </c>
      <c r="Y166" s="57">
        <f>W166+X166</f>
        <v/>
      </c>
      <c r="Z166" s="55" t="n">
        <v>15129</v>
      </c>
      <c r="AA166" s="55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4" t="n">
        <v>0</v>
      </c>
      <c r="H167" s="54" t="n">
        <v>0</v>
      </c>
      <c r="I167" s="54" t="n">
        <v>0</v>
      </c>
      <c r="J167" s="54" t="n">
        <v>0</v>
      </c>
      <c r="K167" s="54" t="n">
        <v>0</v>
      </c>
      <c r="L167" s="54" t="n">
        <v>40</v>
      </c>
      <c r="M167" s="54" t="n">
        <v>40</v>
      </c>
      <c r="N167" s="54" t="n">
        <v>41</v>
      </c>
      <c r="O167" s="54" t="n">
        <v>2</v>
      </c>
      <c r="P167" s="55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6">
        <f>M167*P167+K167*V167</f>
        <v/>
      </c>
      <c r="V167" s="55" t="n">
        <v>90</v>
      </c>
      <c r="W167" s="54" t="n">
        <v>0</v>
      </c>
      <c r="X167" s="54" t="n">
        <v>0</v>
      </c>
      <c r="Y167" s="57">
        <f>W167+X167</f>
        <v/>
      </c>
      <c r="Z167" s="55" t="n">
        <v>0</v>
      </c>
      <c r="AA167" s="55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4" t="n">
        <v>1</v>
      </c>
      <c r="H168" s="54" t="n">
        <v>547</v>
      </c>
      <c r="I168" s="54" t="n">
        <v>109</v>
      </c>
      <c r="J168" s="54" t="n">
        <v>77</v>
      </c>
      <c r="K168" s="54" t="n">
        <v>32</v>
      </c>
      <c r="L168" s="54" t="n">
        <v>0</v>
      </c>
      <c r="M168" s="54" t="n">
        <v>32</v>
      </c>
      <c r="N168" s="54" t="n">
        <v>0</v>
      </c>
      <c r="O168" s="54" t="n">
        <v>2</v>
      </c>
      <c r="P168" s="55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6">
        <f>M168*P168+K168*V168</f>
        <v/>
      </c>
      <c r="V168" s="55" t="n">
        <v>90</v>
      </c>
      <c r="W168" s="54" t="n">
        <v>302</v>
      </c>
      <c r="X168" s="54" t="n">
        <v>264</v>
      </c>
      <c r="Y168" s="57">
        <f>W168+X168</f>
        <v/>
      </c>
      <c r="Z168" s="55" t="n">
        <v>9078</v>
      </c>
      <c r="AA168" s="55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4" t="n">
        <v>0</v>
      </c>
      <c r="H169" s="54" t="n">
        <v>0</v>
      </c>
      <c r="I169" s="54" t="n">
        <v>0</v>
      </c>
      <c r="J169" s="54" t="n">
        <v>0</v>
      </c>
      <c r="K169" s="54" t="n">
        <v>0</v>
      </c>
      <c r="L169" s="54" t="n">
        <v>31</v>
      </c>
      <c r="M169" s="54" t="n">
        <v>31</v>
      </c>
      <c r="N169" s="54" t="n">
        <v>32</v>
      </c>
      <c r="O169" s="54" t="n">
        <v>2</v>
      </c>
      <c r="P169" s="55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6">
        <f>M169*P169+K169*V169</f>
        <v/>
      </c>
      <c r="V169" s="55" t="n">
        <v>90</v>
      </c>
      <c r="W169" s="54" t="n">
        <v>0</v>
      </c>
      <c r="X169" s="54" t="n">
        <v>0</v>
      </c>
      <c r="Y169" s="57">
        <f>W169+X169</f>
        <v/>
      </c>
      <c r="Z169" s="55" t="n">
        <v>0</v>
      </c>
      <c r="AA169" s="55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4" t="n">
        <v>1</v>
      </c>
      <c r="H170" s="54" t="n">
        <v>547</v>
      </c>
      <c r="I170" s="54" t="n">
        <v>109</v>
      </c>
      <c r="J170" s="54" t="n">
        <v>77</v>
      </c>
      <c r="K170" s="54" t="n">
        <v>32</v>
      </c>
      <c r="L170" s="54" t="n">
        <v>0</v>
      </c>
      <c r="M170" s="54" t="n">
        <v>32</v>
      </c>
      <c r="N170" s="54" t="n">
        <v>0</v>
      </c>
      <c r="O170" s="54" t="n">
        <v>2</v>
      </c>
      <c r="P170" s="55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6">
        <f>M170*P170+K170*V170</f>
        <v/>
      </c>
      <c r="V170" s="55" t="n">
        <v>90</v>
      </c>
      <c r="W170" s="54" t="n">
        <v>301</v>
      </c>
      <c r="X170" s="54" t="n">
        <v>264</v>
      </c>
      <c r="Y170" s="57">
        <f>W170+X170</f>
        <v/>
      </c>
      <c r="Z170" s="55" t="n">
        <v>9077</v>
      </c>
      <c r="AA170" s="55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4" t="n">
        <v>0</v>
      </c>
      <c r="H171" s="54" t="n">
        <v>0</v>
      </c>
      <c r="I171" s="54" t="n">
        <v>0</v>
      </c>
      <c r="J171" s="54" t="n">
        <v>0</v>
      </c>
      <c r="K171" s="54" t="n">
        <v>0</v>
      </c>
      <c r="L171" s="54" t="n">
        <v>31</v>
      </c>
      <c r="M171" s="54" t="n">
        <v>31</v>
      </c>
      <c r="N171" s="54" t="n">
        <v>32</v>
      </c>
      <c r="O171" s="54" t="n">
        <v>2</v>
      </c>
      <c r="P171" s="55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6">
        <f>M171*P171+K171*V171</f>
        <v/>
      </c>
      <c r="V171" s="55" t="n">
        <v>90</v>
      </c>
      <c r="W171" s="54" t="n">
        <v>0</v>
      </c>
      <c r="X171" s="54" t="n">
        <v>0</v>
      </c>
      <c r="Y171" s="57">
        <f>W171+X171</f>
        <v/>
      </c>
      <c r="Z171" s="55" t="n">
        <v>0</v>
      </c>
      <c r="AA171" s="55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4" t="n">
        <v>1</v>
      </c>
      <c r="H172" s="54" t="n">
        <v>712</v>
      </c>
      <c r="I172" s="54" t="n">
        <v>142</v>
      </c>
      <c r="J172" s="54" t="n">
        <v>100</v>
      </c>
      <c r="K172" s="54" t="n">
        <v>42</v>
      </c>
      <c r="L172" s="54" t="n">
        <v>0</v>
      </c>
      <c r="M172" s="54" t="n">
        <v>42</v>
      </c>
      <c r="N172" s="54" t="n">
        <v>0</v>
      </c>
      <c r="O172" s="54" t="n">
        <v>2</v>
      </c>
      <c r="P172" s="55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6">
        <f>M172*P172+K172*V172</f>
        <v/>
      </c>
      <c r="V172" s="55" t="n">
        <v>90</v>
      </c>
      <c r="W172" s="54" t="n">
        <v>231</v>
      </c>
      <c r="X172" s="54" t="n">
        <v>517</v>
      </c>
      <c r="Y172" s="57">
        <f>W172+X172</f>
        <v/>
      </c>
      <c r="Z172" s="55" t="n">
        <v>24992</v>
      </c>
      <c r="AA172" s="55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4" t="n">
        <v>0</v>
      </c>
      <c r="H173" s="54" t="n">
        <v>0</v>
      </c>
      <c r="I173" s="54" t="n">
        <v>0</v>
      </c>
      <c r="J173" s="54" t="n">
        <v>0</v>
      </c>
      <c r="K173" s="54" t="n">
        <v>0</v>
      </c>
      <c r="L173" s="54" t="n">
        <v>41</v>
      </c>
      <c r="M173" s="54" t="n">
        <v>41</v>
      </c>
      <c r="N173" s="54" t="n">
        <v>42</v>
      </c>
      <c r="O173" s="54" t="n">
        <v>2</v>
      </c>
      <c r="P173" s="55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6">
        <f>M173*P173+K173*V173</f>
        <v/>
      </c>
      <c r="V173" s="55" t="n">
        <v>90</v>
      </c>
      <c r="W173" s="54" t="n">
        <v>0</v>
      </c>
      <c r="X173" s="54" t="n">
        <v>0</v>
      </c>
      <c r="Y173" s="57">
        <f>W173+X173</f>
        <v/>
      </c>
      <c r="Z173" s="55" t="n">
        <v>0</v>
      </c>
      <c r="AA173" s="55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4" t="n">
        <v>0</v>
      </c>
      <c r="H174" s="54" t="n">
        <v>0</v>
      </c>
      <c r="I174" s="54" t="n">
        <v>0</v>
      </c>
      <c r="J174" s="54" t="n">
        <v>0</v>
      </c>
      <c r="K174" s="54" t="n">
        <v>0</v>
      </c>
      <c r="L174" s="54" t="n">
        <v>40</v>
      </c>
      <c r="M174" s="54" t="n">
        <v>40</v>
      </c>
      <c r="N174" s="54" t="n">
        <v>41</v>
      </c>
      <c r="O174" s="54" t="n">
        <v>2</v>
      </c>
      <c r="P174" s="55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6">
        <f>M174*P174+K174*V174</f>
        <v/>
      </c>
      <c r="V174" s="55" t="n">
        <v>90</v>
      </c>
      <c r="W174" s="54" t="n">
        <v>0</v>
      </c>
      <c r="X174" s="54" t="n">
        <v>0</v>
      </c>
      <c r="Y174" s="57">
        <f>W174+X174</f>
        <v/>
      </c>
      <c r="Z174" s="55" t="n">
        <v>0</v>
      </c>
      <c r="AA174" s="55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4" t="n">
        <v>1</v>
      </c>
      <c r="H175" s="54" t="n">
        <v>605</v>
      </c>
      <c r="I175" s="54" t="n">
        <v>121</v>
      </c>
      <c r="J175" s="54" t="n">
        <v>85</v>
      </c>
      <c r="K175" s="54" t="n">
        <v>36</v>
      </c>
      <c r="L175" s="54" t="n">
        <v>0</v>
      </c>
      <c r="M175" s="54" t="n">
        <v>36</v>
      </c>
      <c r="N175" s="54" t="n">
        <v>0</v>
      </c>
      <c r="O175" s="54" t="n">
        <v>2</v>
      </c>
      <c r="P175" s="55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6">
        <f>M175*P175+K175*V175</f>
        <v/>
      </c>
      <c r="V175" s="55" t="n">
        <v>90</v>
      </c>
      <c r="W175" s="54" t="n">
        <v>242</v>
      </c>
      <c r="X175" s="54" t="n">
        <v>392</v>
      </c>
      <c r="Y175" s="57">
        <f>W175+X175</f>
        <v/>
      </c>
      <c r="Z175" s="55" t="n">
        <v>15578</v>
      </c>
      <c r="AA175" s="55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4" t="n">
        <v>0</v>
      </c>
      <c r="H176" s="54" t="n">
        <v>0</v>
      </c>
      <c r="I176" s="54" t="n">
        <v>0</v>
      </c>
      <c r="J176" s="54" t="n">
        <v>0</v>
      </c>
      <c r="K176" s="54" t="n">
        <v>0</v>
      </c>
      <c r="L176" s="54" t="n">
        <v>35</v>
      </c>
      <c r="M176" s="54" t="n">
        <v>35</v>
      </c>
      <c r="N176" s="54" t="n">
        <v>36</v>
      </c>
      <c r="O176" s="54" t="n">
        <v>2</v>
      </c>
      <c r="P176" s="55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6">
        <f>M176*P176+K176*V176</f>
        <v/>
      </c>
      <c r="V176" s="55" t="n">
        <v>90</v>
      </c>
      <c r="W176" s="54" t="n">
        <v>0</v>
      </c>
      <c r="X176" s="54" t="n">
        <v>0</v>
      </c>
      <c r="Y176" s="57">
        <f>W176+X176</f>
        <v/>
      </c>
      <c r="Z176" s="55" t="n">
        <v>0</v>
      </c>
      <c r="AA176" s="55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4" t="n">
        <v>0</v>
      </c>
      <c r="H177" s="54" t="n">
        <v>0</v>
      </c>
      <c r="I177" s="54" t="n">
        <v>0</v>
      </c>
      <c r="J177" s="54" t="n">
        <v>0</v>
      </c>
      <c r="K177" s="54" t="n">
        <v>0</v>
      </c>
      <c r="L177" s="54" t="n">
        <v>34</v>
      </c>
      <c r="M177" s="54" t="n">
        <v>34</v>
      </c>
      <c r="N177" s="54" t="n">
        <v>35</v>
      </c>
      <c r="O177" s="54" t="n">
        <v>2</v>
      </c>
      <c r="P177" s="55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6">
        <f>M177*P177+K177*V177</f>
        <v/>
      </c>
      <c r="V177" s="55" t="n">
        <v>90</v>
      </c>
      <c r="W177" s="54" t="n">
        <v>0</v>
      </c>
      <c r="X177" s="54" t="n">
        <v>0</v>
      </c>
      <c r="Y177" s="57">
        <f>W177+X177</f>
        <v/>
      </c>
      <c r="Z177" s="55" t="n">
        <v>0</v>
      </c>
      <c r="AA177" s="55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4">
        <f>'02_Socle'!G4</f>
        <v/>
      </c>
      <c r="G4" s="54">
        <f>'02_Socle'!H4</f>
        <v/>
      </c>
      <c r="H4" s="54">
        <f>'02_Socle'!I4</f>
        <v/>
      </c>
      <c r="I4" s="54">
        <f>'02_Socle'!K4</f>
        <v/>
      </c>
      <c r="J4" s="54">
        <f>'02_Socle'!L4</f>
        <v/>
      </c>
      <c r="K4" s="54">
        <f>'02_Socle'!M4</f>
        <v/>
      </c>
      <c r="L4" s="54">
        <f>'02_Socle'!N4</f>
        <v/>
      </c>
      <c r="M4" s="55">
        <f>'02_Socle'!P4</f>
        <v/>
      </c>
      <c r="N4" s="58">
        <f>'02_Socle'!Q4</f>
        <v/>
      </c>
      <c r="O4" s="58">
        <f>'02_Socle'!R4</f>
        <v/>
      </c>
      <c r="P4" s="58">
        <f>'02_Socle'!S4</f>
        <v/>
      </c>
      <c r="Q4" s="58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4">
        <f>'02_Socle'!G5</f>
        <v/>
      </c>
      <c r="G5" s="54">
        <f>'02_Socle'!H5</f>
        <v/>
      </c>
      <c r="H5" s="54">
        <f>'02_Socle'!I5</f>
        <v/>
      </c>
      <c r="I5" s="54">
        <f>'02_Socle'!K5</f>
        <v/>
      </c>
      <c r="J5" s="54">
        <f>'02_Socle'!L5</f>
        <v/>
      </c>
      <c r="K5" s="54">
        <f>'02_Socle'!M5</f>
        <v/>
      </c>
      <c r="L5" s="54">
        <f>'02_Socle'!N5</f>
        <v/>
      </c>
      <c r="M5" s="55">
        <f>'02_Socle'!P5</f>
        <v/>
      </c>
      <c r="N5" s="58">
        <f>'02_Socle'!Q5</f>
        <v/>
      </c>
      <c r="O5" s="58">
        <f>'02_Socle'!R5</f>
        <v/>
      </c>
      <c r="P5" s="58">
        <f>'02_Socle'!S5</f>
        <v/>
      </c>
      <c r="Q5" s="58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4">
        <f>'02_Socle'!G6</f>
        <v/>
      </c>
      <c r="G6" s="54">
        <f>'02_Socle'!H6</f>
        <v/>
      </c>
      <c r="H6" s="54">
        <f>'02_Socle'!I6</f>
        <v/>
      </c>
      <c r="I6" s="54">
        <f>'02_Socle'!K6</f>
        <v/>
      </c>
      <c r="J6" s="54">
        <f>'02_Socle'!L6</f>
        <v/>
      </c>
      <c r="K6" s="54">
        <f>'02_Socle'!M6</f>
        <v/>
      </c>
      <c r="L6" s="54">
        <f>'02_Socle'!N6</f>
        <v/>
      </c>
      <c r="M6" s="55">
        <f>'02_Socle'!P6</f>
        <v/>
      </c>
      <c r="N6" s="58">
        <f>'02_Socle'!Q6</f>
        <v/>
      </c>
      <c r="O6" s="58">
        <f>'02_Socle'!R6</f>
        <v/>
      </c>
      <c r="P6" s="58">
        <f>'02_Socle'!S6</f>
        <v/>
      </c>
      <c r="Q6" s="58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4">
        <f>'02_Socle'!G7</f>
        <v/>
      </c>
      <c r="G7" s="54">
        <f>'02_Socle'!H7</f>
        <v/>
      </c>
      <c r="H7" s="54">
        <f>'02_Socle'!I7</f>
        <v/>
      </c>
      <c r="I7" s="54">
        <f>'02_Socle'!K7</f>
        <v/>
      </c>
      <c r="J7" s="54">
        <f>'02_Socle'!L7</f>
        <v/>
      </c>
      <c r="K7" s="54">
        <f>'02_Socle'!M7</f>
        <v/>
      </c>
      <c r="L7" s="54">
        <f>'02_Socle'!N7</f>
        <v/>
      </c>
      <c r="M7" s="55">
        <f>'02_Socle'!P7</f>
        <v/>
      </c>
      <c r="N7" s="58">
        <f>'02_Socle'!Q7</f>
        <v/>
      </c>
      <c r="O7" s="58">
        <f>'02_Socle'!R7</f>
        <v/>
      </c>
      <c r="P7" s="58">
        <f>'02_Socle'!S7</f>
        <v/>
      </c>
      <c r="Q7" s="58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4">
        <f>'02_Socle'!G8</f>
        <v/>
      </c>
      <c r="G8" s="54">
        <f>'02_Socle'!H8</f>
        <v/>
      </c>
      <c r="H8" s="54">
        <f>'02_Socle'!I8</f>
        <v/>
      </c>
      <c r="I8" s="54">
        <f>'02_Socle'!K8</f>
        <v/>
      </c>
      <c r="J8" s="54">
        <f>'02_Socle'!L8</f>
        <v/>
      </c>
      <c r="K8" s="54">
        <f>'02_Socle'!M8</f>
        <v/>
      </c>
      <c r="L8" s="54">
        <f>'02_Socle'!N8</f>
        <v/>
      </c>
      <c r="M8" s="55">
        <f>'02_Socle'!P8</f>
        <v/>
      </c>
      <c r="N8" s="58">
        <f>'02_Socle'!Q8</f>
        <v/>
      </c>
      <c r="O8" s="58">
        <f>'02_Socle'!R8</f>
        <v/>
      </c>
      <c r="P8" s="58">
        <f>'02_Socle'!S8</f>
        <v/>
      </c>
      <c r="Q8" s="58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4">
        <f>'02_Socle'!G9</f>
        <v/>
      </c>
      <c r="G9" s="54">
        <f>'02_Socle'!H9</f>
        <v/>
      </c>
      <c r="H9" s="54">
        <f>'02_Socle'!I9</f>
        <v/>
      </c>
      <c r="I9" s="54">
        <f>'02_Socle'!K9</f>
        <v/>
      </c>
      <c r="J9" s="54">
        <f>'02_Socle'!L9</f>
        <v/>
      </c>
      <c r="K9" s="54">
        <f>'02_Socle'!M9</f>
        <v/>
      </c>
      <c r="L9" s="54">
        <f>'02_Socle'!N9</f>
        <v/>
      </c>
      <c r="M9" s="55">
        <f>'02_Socle'!P9</f>
        <v/>
      </c>
      <c r="N9" s="58">
        <f>'02_Socle'!Q9</f>
        <v/>
      </c>
      <c r="O9" s="58">
        <f>'02_Socle'!R9</f>
        <v/>
      </c>
      <c r="P9" s="58">
        <f>'02_Socle'!S9</f>
        <v/>
      </c>
      <c r="Q9" s="58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8">
        <f>'08_Saisie_Campus'!I7</f>
        <v/>
      </c>
      <c r="AG9" s="58">
        <f>'08_Saisie_Campus'!J7</f>
        <v/>
      </c>
      <c r="AH9" s="58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4">
        <f>'02_Socle'!G10</f>
        <v/>
      </c>
      <c r="G10" s="54">
        <f>'02_Socle'!H10</f>
        <v/>
      </c>
      <c r="H10" s="54">
        <f>'02_Socle'!I10</f>
        <v/>
      </c>
      <c r="I10" s="54">
        <f>'02_Socle'!K10</f>
        <v/>
      </c>
      <c r="J10" s="54">
        <f>'02_Socle'!L10</f>
        <v/>
      </c>
      <c r="K10" s="54">
        <f>'02_Socle'!M10</f>
        <v/>
      </c>
      <c r="L10" s="54">
        <f>'02_Socle'!N10</f>
        <v/>
      </c>
      <c r="M10" s="55">
        <f>'02_Socle'!P10</f>
        <v/>
      </c>
      <c r="N10" s="58">
        <f>'02_Socle'!Q10</f>
        <v/>
      </c>
      <c r="O10" s="58">
        <f>'02_Socle'!R10</f>
        <v/>
      </c>
      <c r="P10" s="58">
        <f>'02_Socle'!S10</f>
        <v/>
      </c>
      <c r="Q10" s="58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8">
        <f>'08_Saisie_Campus'!I8</f>
        <v/>
      </c>
      <c r="AG10" s="58">
        <f>'08_Saisie_Campus'!J8</f>
        <v/>
      </c>
      <c r="AH10" s="58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4">
        <f>'02_Socle'!G11</f>
        <v/>
      </c>
      <c r="G11" s="54">
        <f>'02_Socle'!H11</f>
        <v/>
      </c>
      <c r="H11" s="54">
        <f>'02_Socle'!I11</f>
        <v/>
      </c>
      <c r="I11" s="54">
        <f>'02_Socle'!K11</f>
        <v/>
      </c>
      <c r="J11" s="54">
        <f>'02_Socle'!L11</f>
        <v/>
      </c>
      <c r="K11" s="54">
        <f>'02_Socle'!M11</f>
        <v/>
      </c>
      <c r="L11" s="54">
        <f>'02_Socle'!N11</f>
        <v/>
      </c>
      <c r="M11" s="55">
        <f>'02_Socle'!P11</f>
        <v/>
      </c>
      <c r="N11" s="58">
        <f>'02_Socle'!Q11</f>
        <v/>
      </c>
      <c r="O11" s="58">
        <f>'02_Socle'!R11</f>
        <v/>
      </c>
      <c r="P11" s="58">
        <f>'02_Socle'!S11</f>
        <v/>
      </c>
      <c r="Q11" s="58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8">
        <f>'08_Saisie_Campus'!I9</f>
        <v/>
      </c>
      <c r="AG11" s="58">
        <f>'08_Saisie_Campus'!J9</f>
        <v/>
      </c>
      <c r="AH11" s="58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4">
        <f>'02_Socle'!G12</f>
        <v/>
      </c>
      <c r="G12" s="54">
        <f>'02_Socle'!H12</f>
        <v/>
      </c>
      <c r="H12" s="54">
        <f>'02_Socle'!I12</f>
        <v/>
      </c>
      <c r="I12" s="54">
        <f>'02_Socle'!K12</f>
        <v/>
      </c>
      <c r="J12" s="54">
        <f>'02_Socle'!L12</f>
        <v/>
      </c>
      <c r="K12" s="54">
        <f>'02_Socle'!M12</f>
        <v/>
      </c>
      <c r="L12" s="54">
        <f>'02_Socle'!N12</f>
        <v/>
      </c>
      <c r="M12" s="55">
        <f>'02_Socle'!P12</f>
        <v/>
      </c>
      <c r="N12" s="58">
        <f>'02_Socle'!Q12</f>
        <v/>
      </c>
      <c r="O12" s="58">
        <f>'02_Socle'!R12</f>
        <v/>
      </c>
      <c r="P12" s="58">
        <f>'02_Socle'!S12</f>
        <v/>
      </c>
      <c r="Q12" s="58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8">
        <f>'08_Saisie_Campus'!I10</f>
        <v/>
      </c>
      <c r="AG12" s="58">
        <f>'08_Saisie_Campus'!J10</f>
        <v/>
      </c>
      <c r="AH12" s="58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4">
        <f>'02_Socle'!G13</f>
        <v/>
      </c>
      <c r="G13" s="54">
        <f>'02_Socle'!H13</f>
        <v/>
      </c>
      <c r="H13" s="54">
        <f>'02_Socle'!I13</f>
        <v/>
      </c>
      <c r="I13" s="54">
        <f>'02_Socle'!K13</f>
        <v/>
      </c>
      <c r="J13" s="54">
        <f>'02_Socle'!L13</f>
        <v/>
      </c>
      <c r="K13" s="54">
        <f>'02_Socle'!M13</f>
        <v/>
      </c>
      <c r="L13" s="54">
        <f>'02_Socle'!N13</f>
        <v/>
      </c>
      <c r="M13" s="55">
        <f>'02_Socle'!P13</f>
        <v/>
      </c>
      <c r="N13" s="58">
        <f>'02_Socle'!Q13</f>
        <v/>
      </c>
      <c r="O13" s="58">
        <f>'02_Socle'!R13</f>
        <v/>
      </c>
      <c r="P13" s="58">
        <f>'02_Socle'!S13</f>
        <v/>
      </c>
      <c r="Q13" s="58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8">
        <f>'08_Saisie_Campus'!I11</f>
        <v/>
      </c>
      <c r="AG13" s="58">
        <f>'08_Saisie_Campus'!J11</f>
        <v/>
      </c>
      <c r="AH13" s="58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4">
        <f>'02_Socle'!G14</f>
        <v/>
      </c>
      <c r="G14" s="54">
        <f>'02_Socle'!H14</f>
        <v/>
      </c>
      <c r="H14" s="54">
        <f>'02_Socle'!I14</f>
        <v/>
      </c>
      <c r="I14" s="54">
        <f>'02_Socle'!K14</f>
        <v/>
      </c>
      <c r="J14" s="54">
        <f>'02_Socle'!L14</f>
        <v/>
      </c>
      <c r="K14" s="54">
        <f>'02_Socle'!M14</f>
        <v/>
      </c>
      <c r="L14" s="54">
        <f>'02_Socle'!N14</f>
        <v/>
      </c>
      <c r="M14" s="55">
        <f>'02_Socle'!P14</f>
        <v/>
      </c>
      <c r="N14" s="58">
        <f>'02_Socle'!Q14</f>
        <v/>
      </c>
      <c r="O14" s="58">
        <f>'02_Socle'!R14</f>
        <v/>
      </c>
      <c r="P14" s="58">
        <f>'02_Socle'!S14</f>
        <v/>
      </c>
      <c r="Q14" s="58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4">
        <f>'02_Socle'!G15</f>
        <v/>
      </c>
      <c r="G15" s="54">
        <f>'02_Socle'!H15</f>
        <v/>
      </c>
      <c r="H15" s="54">
        <f>'02_Socle'!I15</f>
        <v/>
      </c>
      <c r="I15" s="54">
        <f>'02_Socle'!K15</f>
        <v/>
      </c>
      <c r="J15" s="54">
        <f>'02_Socle'!L15</f>
        <v/>
      </c>
      <c r="K15" s="54">
        <f>'02_Socle'!M15</f>
        <v/>
      </c>
      <c r="L15" s="54">
        <f>'02_Socle'!N15</f>
        <v/>
      </c>
      <c r="M15" s="55">
        <f>'02_Socle'!P15</f>
        <v/>
      </c>
      <c r="N15" s="58">
        <f>'02_Socle'!Q15</f>
        <v/>
      </c>
      <c r="O15" s="58">
        <f>'02_Socle'!R15</f>
        <v/>
      </c>
      <c r="P15" s="58">
        <f>'02_Socle'!S15</f>
        <v/>
      </c>
      <c r="Q15" s="58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4">
        <f>'02_Socle'!G16</f>
        <v/>
      </c>
      <c r="G16" s="54">
        <f>'02_Socle'!H16</f>
        <v/>
      </c>
      <c r="H16" s="54">
        <f>'02_Socle'!I16</f>
        <v/>
      </c>
      <c r="I16" s="54">
        <f>'02_Socle'!K16</f>
        <v/>
      </c>
      <c r="J16" s="54">
        <f>'02_Socle'!L16</f>
        <v/>
      </c>
      <c r="K16" s="54">
        <f>'02_Socle'!M16</f>
        <v/>
      </c>
      <c r="L16" s="54">
        <f>'02_Socle'!N16</f>
        <v/>
      </c>
      <c r="M16" s="55">
        <f>'02_Socle'!P16</f>
        <v/>
      </c>
      <c r="N16" s="58">
        <f>'02_Socle'!Q16</f>
        <v/>
      </c>
      <c r="O16" s="58">
        <f>'02_Socle'!R16</f>
        <v/>
      </c>
      <c r="P16" s="58">
        <f>'02_Socle'!S16</f>
        <v/>
      </c>
      <c r="Q16" s="58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4">
        <f>'02_Socle'!G17</f>
        <v/>
      </c>
      <c r="G17" s="54">
        <f>'02_Socle'!H17</f>
        <v/>
      </c>
      <c r="H17" s="54">
        <f>'02_Socle'!I17</f>
        <v/>
      </c>
      <c r="I17" s="54">
        <f>'02_Socle'!K17</f>
        <v/>
      </c>
      <c r="J17" s="54">
        <f>'02_Socle'!L17</f>
        <v/>
      </c>
      <c r="K17" s="54">
        <f>'02_Socle'!M17</f>
        <v/>
      </c>
      <c r="L17" s="54">
        <f>'02_Socle'!N17</f>
        <v/>
      </c>
      <c r="M17" s="55">
        <f>'02_Socle'!P17</f>
        <v/>
      </c>
      <c r="N17" s="58">
        <f>'02_Socle'!Q17</f>
        <v/>
      </c>
      <c r="O17" s="58">
        <f>'02_Socle'!R17</f>
        <v/>
      </c>
      <c r="P17" s="58">
        <f>'02_Socle'!S17</f>
        <v/>
      </c>
      <c r="Q17" s="58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4">
        <f>'02_Socle'!G18</f>
        <v/>
      </c>
      <c r="G18" s="54">
        <f>'02_Socle'!H18</f>
        <v/>
      </c>
      <c r="H18" s="54">
        <f>'02_Socle'!I18</f>
        <v/>
      </c>
      <c r="I18" s="54">
        <f>'02_Socle'!K18</f>
        <v/>
      </c>
      <c r="J18" s="54">
        <f>'02_Socle'!L18</f>
        <v/>
      </c>
      <c r="K18" s="54">
        <f>'02_Socle'!M18</f>
        <v/>
      </c>
      <c r="L18" s="54">
        <f>'02_Socle'!N18</f>
        <v/>
      </c>
      <c r="M18" s="55">
        <f>'02_Socle'!P18</f>
        <v/>
      </c>
      <c r="N18" s="58">
        <f>'02_Socle'!Q18</f>
        <v/>
      </c>
      <c r="O18" s="58">
        <f>'02_Socle'!R18</f>
        <v/>
      </c>
      <c r="P18" s="58">
        <f>'02_Socle'!S18</f>
        <v/>
      </c>
      <c r="Q18" s="58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4">
        <f>'02_Socle'!G19</f>
        <v/>
      </c>
      <c r="G19" s="54">
        <f>'02_Socle'!H19</f>
        <v/>
      </c>
      <c r="H19" s="54">
        <f>'02_Socle'!I19</f>
        <v/>
      </c>
      <c r="I19" s="54">
        <f>'02_Socle'!K19</f>
        <v/>
      </c>
      <c r="J19" s="54">
        <f>'02_Socle'!L19</f>
        <v/>
      </c>
      <c r="K19" s="54">
        <f>'02_Socle'!M19</f>
        <v/>
      </c>
      <c r="L19" s="54">
        <f>'02_Socle'!N19</f>
        <v/>
      </c>
      <c r="M19" s="55">
        <f>'02_Socle'!P19</f>
        <v/>
      </c>
      <c r="N19" s="58">
        <f>'02_Socle'!Q19</f>
        <v/>
      </c>
      <c r="O19" s="58">
        <f>'02_Socle'!R19</f>
        <v/>
      </c>
      <c r="P19" s="58">
        <f>'02_Socle'!S19</f>
        <v/>
      </c>
      <c r="Q19" s="58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4">
        <f>'02_Socle'!G20</f>
        <v/>
      </c>
      <c r="G20" s="54">
        <f>'02_Socle'!H20</f>
        <v/>
      </c>
      <c r="H20" s="54">
        <f>'02_Socle'!I20</f>
        <v/>
      </c>
      <c r="I20" s="54">
        <f>'02_Socle'!K20</f>
        <v/>
      </c>
      <c r="J20" s="54">
        <f>'02_Socle'!L20</f>
        <v/>
      </c>
      <c r="K20" s="54">
        <f>'02_Socle'!M20</f>
        <v/>
      </c>
      <c r="L20" s="54">
        <f>'02_Socle'!N20</f>
        <v/>
      </c>
      <c r="M20" s="55">
        <f>'02_Socle'!P20</f>
        <v/>
      </c>
      <c r="N20" s="58">
        <f>'02_Socle'!Q20</f>
        <v/>
      </c>
      <c r="O20" s="58">
        <f>'02_Socle'!R20</f>
        <v/>
      </c>
      <c r="P20" s="58">
        <f>'02_Socle'!S20</f>
        <v/>
      </c>
      <c r="Q20" s="58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4">
        <f>'02_Socle'!G21</f>
        <v/>
      </c>
      <c r="G21" s="54">
        <f>'02_Socle'!H21</f>
        <v/>
      </c>
      <c r="H21" s="54">
        <f>'02_Socle'!I21</f>
        <v/>
      </c>
      <c r="I21" s="54">
        <f>'02_Socle'!K21</f>
        <v/>
      </c>
      <c r="J21" s="54">
        <f>'02_Socle'!L21</f>
        <v/>
      </c>
      <c r="K21" s="54">
        <f>'02_Socle'!M21</f>
        <v/>
      </c>
      <c r="L21" s="54">
        <f>'02_Socle'!N21</f>
        <v/>
      </c>
      <c r="M21" s="55">
        <f>'02_Socle'!P21</f>
        <v/>
      </c>
      <c r="N21" s="58">
        <f>'02_Socle'!Q21</f>
        <v/>
      </c>
      <c r="O21" s="58">
        <f>'02_Socle'!R21</f>
        <v/>
      </c>
      <c r="P21" s="58">
        <f>'02_Socle'!S21</f>
        <v/>
      </c>
      <c r="Q21" s="58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4">
        <f>'02_Socle'!G22</f>
        <v/>
      </c>
      <c r="G22" s="54">
        <f>'02_Socle'!H22</f>
        <v/>
      </c>
      <c r="H22" s="54">
        <f>'02_Socle'!I22</f>
        <v/>
      </c>
      <c r="I22" s="54">
        <f>'02_Socle'!K22</f>
        <v/>
      </c>
      <c r="J22" s="54">
        <f>'02_Socle'!L22</f>
        <v/>
      </c>
      <c r="K22" s="54">
        <f>'02_Socle'!M22</f>
        <v/>
      </c>
      <c r="L22" s="54">
        <f>'02_Socle'!N22</f>
        <v/>
      </c>
      <c r="M22" s="55">
        <f>'02_Socle'!P22</f>
        <v/>
      </c>
      <c r="N22" s="58">
        <f>'02_Socle'!Q22</f>
        <v/>
      </c>
      <c r="O22" s="58">
        <f>'02_Socle'!R22</f>
        <v/>
      </c>
      <c r="P22" s="58">
        <f>'02_Socle'!S22</f>
        <v/>
      </c>
      <c r="Q22" s="58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4">
        <f>'02_Socle'!G23</f>
        <v/>
      </c>
      <c r="G23" s="54">
        <f>'02_Socle'!H23</f>
        <v/>
      </c>
      <c r="H23" s="54">
        <f>'02_Socle'!I23</f>
        <v/>
      </c>
      <c r="I23" s="54">
        <f>'02_Socle'!K23</f>
        <v/>
      </c>
      <c r="J23" s="54">
        <f>'02_Socle'!L23</f>
        <v/>
      </c>
      <c r="K23" s="54">
        <f>'02_Socle'!M23</f>
        <v/>
      </c>
      <c r="L23" s="54">
        <f>'02_Socle'!N23</f>
        <v/>
      </c>
      <c r="M23" s="55">
        <f>'02_Socle'!P23</f>
        <v/>
      </c>
      <c r="N23" s="58">
        <f>'02_Socle'!Q23</f>
        <v/>
      </c>
      <c r="O23" s="58">
        <f>'02_Socle'!R23</f>
        <v/>
      </c>
      <c r="P23" s="58">
        <f>'02_Socle'!S23</f>
        <v/>
      </c>
      <c r="Q23" s="58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4">
        <f>'02_Socle'!G24</f>
        <v/>
      </c>
      <c r="G24" s="54">
        <f>'02_Socle'!H24</f>
        <v/>
      </c>
      <c r="H24" s="54">
        <f>'02_Socle'!I24</f>
        <v/>
      </c>
      <c r="I24" s="54">
        <f>'02_Socle'!K24</f>
        <v/>
      </c>
      <c r="J24" s="54">
        <f>'02_Socle'!L24</f>
        <v/>
      </c>
      <c r="K24" s="54">
        <f>'02_Socle'!M24</f>
        <v/>
      </c>
      <c r="L24" s="54">
        <f>'02_Socle'!N24</f>
        <v/>
      </c>
      <c r="M24" s="55">
        <f>'02_Socle'!P24</f>
        <v/>
      </c>
      <c r="N24" s="58">
        <f>'02_Socle'!Q24</f>
        <v/>
      </c>
      <c r="O24" s="58">
        <f>'02_Socle'!R24</f>
        <v/>
      </c>
      <c r="P24" s="58">
        <f>'02_Socle'!S24</f>
        <v/>
      </c>
      <c r="Q24" s="58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4">
        <f>'02_Socle'!G25</f>
        <v/>
      </c>
      <c r="G25" s="54">
        <f>'02_Socle'!H25</f>
        <v/>
      </c>
      <c r="H25" s="54">
        <f>'02_Socle'!I25</f>
        <v/>
      </c>
      <c r="I25" s="54">
        <f>'02_Socle'!K25</f>
        <v/>
      </c>
      <c r="J25" s="54">
        <f>'02_Socle'!L25</f>
        <v/>
      </c>
      <c r="K25" s="54">
        <f>'02_Socle'!M25</f>
        <v/>
      </c>
      <c r="L25" s="54">
        <f>'02_Socle'!N25</f>
        <v/>
      </c>
      <c r="M25" s="55">
        <f>'02_Socle'!P25</f>
        <v/>
      </c>
      <c r="N25" s="58">
        <f>'02_Socle'!Q25</f>
        <v/>
      </c>
      <c r="O25" s="58">
        <f>'02_Socle'!R25</f>
        <v/>
      </c>
      <c r="P25" s="58">
        <f>'02_Socle'!S25</f>
        <v/>
      </c>
      <c r="Q25" s="58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4">
        <f>'02_Socle'!G26</f>
        <v/>
      </c>
      <c r="G26" s="54">
        <f>'02_Socle'!H26</f>
        <v/>
      </c>
      <c r="H26" s="54">
        <f>'02_Socle'!I26</f>
        <v/>
      </c>
      <c r="I26" s="54">
        <f>'02_Socle'!K26</f>
        <v/>
      </c>
      <c r="J26" s="54">
        <f>'02_Socle'!L26</f>
        <v/>
      </c>
      <c r="K26" s="54">
        <f>'02_Socle'!M26</f>
        <v/>
      </c>
      <c r="L26" s="54">
        <f>'02_Socle'!N26</f>
        <v/>
      </c>
      <c r="M26" s="55">
        <f>'02_Socle'!P26</f>
        <v/>
      </c>
      <c r="N26" s="58">
        <f>'02_Socle'!Q26</f>
        <v/>
      </c>
      <c r="O26" s="58">
        <f>'02_Socle'!R26</f>
        <v/>
      </c>
      <c r="P26" s="58">
        <f>'02_Socle'!S26</f>
        <v/>
      </c>
      <c r="Q26" s="58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4">
        <f>'02_Socle'!G27</f>
        <v/>
      </c>
      <c r="G27" s="54">
        <f>'02_Socle'!H27</f>
        <v/>
      </c>
      <c r="H27" s="54">
        <f>'02_Socle'!I27</f>
        <v/>
      </c>
      <c r="I27" s="54">
        <f>'02_Socle'!K27</f>
        <v/>
      </c>
      <c r="J27" s="54">
        <f>'02_Socle'!L27</f>
        <v/>
      </c>
      <c r="K27" s="54">
        <f>'02_Socle'!M27</f>
        <v/>
      </c>
      <c r="L27" s="54">
        <f>'02_Socle'!N27</f>
        <v/>
      </c>
      <c r="M27" s="55">
        <f>'02_Socle'!P27</f>
        <v/>
      </c>
      <c r="N27" s="58">
        <f>'02_Socle'!Q27</f>
        <v/>
      </c>
      <c r="O27" s="58">
        <f>'02_Socle'!R27</f>
        <v/>
      </c>
      <c r="P27" s="58">
        <f>'02_Socle'!S27</f>
        <v/>
      </c>
      <c r="Q27" s="58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4">
        <f>'02_Socle'!G28</f>
        <v/>
      </c>
      <c r="G28" s="54">
        <f>'02_Socle'!H28</f>
        <v/>
      </c>
      <c r="H28" s="54">
        <f>'02_Socle'!I28</f>
        <v/>
      </c>
      <c r="I28" s="54">
        <f>'02_Socle'!K28</f>
        <v/>
      </c>
      <c r="J28" s="54">
        <f>'02_Socle'!L28</f>
        <v/>
      </c>
      <c r="K28" s="54">
        <f>'02_Socle'!M28</f>
        <v/>
      </c>
      <c r="L28" s="54">
        <f>'02_Socle'!N28</f>
        <v/>
      </c>
      <c r="M28" s="55">
        <f>'02_Socle'!P28</f>
        <v/>
      </c>
      <c r="N28" s="58">
        <f>'02_Socle'!Q28</f>
        <v/>
      </c>
      <c r="O28" s="58">
        <f>'02_Socle'!R28</f>
        <v/>
      </c>
      <c r="P28" s="58">
        <f>'02_Socle'!S28</f>
        <v/>
      </c>
      <c r="Q28" s="58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4">
        <f>'02_Socle'!G29</f>
        <v/>
      </c>
      <c r="G29" s="54">
        <f>'02_Socle'!H29</f>
        <v/>
      </c>
      <c r="H29" s="54">
        <f>'02_Socle'!I29</f>
        <v/>
      </c>
      <c r="I29" s="54">
        <f>'02_Socle'!K29</f>
        <v/>
      </c>
      <c r="J29" s="54">
        <f>'02_Socle'!L29</f>
        <v/>
      </c>
      <c r="K29" s="54">
        <f>'02_Socle'!M29</f>
        <v/>
      </c>
      <c r="L29" s="54">
        <f>'02_Socle'!N29</f>
        <v/>
      </c>
      <c r="M29" s="55">
        <f>'02_Socle'!P29</f>
        <v/>
      </c>
      <c r="N29" s="58">
        <f>'02_Socle'!Q29</f>
        <v/>
      </c>
      <c r="O29" s="58">
        <f>'02_Socle'!R29</f>
        <v/>
      </c>
      <c r="P29" s="58">
        <f>'02_Socle'!S29</f>
        <v/>
      </c>
      <c r="Q29" s="58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4">
        <f>'02_Socle'!G30</f>
        <v/>
      </c>
      <c r="G30" s="54">
        <f>'02_Socle'!H30</f>
        <v/>
      </c>
      <c r="H30" s="54">
        <f>'02_Socle'!I30</f>
        <v/>
      </c>
      <c r="I30" s="54">
        <f>'02_Socle'!K30</f>
        <v/>
      </c>
      <c r="J30" s="54">
        <f>'02_Socle'!L30</f>
        <v/>
      </c>
      <c r="K30" s="54">
        <f>'02_Socle'!M30</f>
        <v/>
      </c>
      <c r="L30" s="54">
        <f>'02_Socle'!N30</f>
        <v/>
      </c>
      <c r="M30" s="55">
        <f>'02_Socle'!P30</f>
        <v/>
      </c>
      <c r="N30" s="58">
        <f>'02_Socle'!Q30</f>
        <v/>
      </c>
      <c r="O30" s="58">
        <f>'02_Socle'!R30</f>
        <v/>
      </c>
      <c r="P30" s="58">
        <f>'02_Socle'!S30</f>
        <v/>
      </c>
      <c r="Q30" s="58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4">
        <f>'02_Socle'!G31</f>
        <v/>
      </c>
      <c r="G31" s="54">
        <f>'02_Socle'!H31</f>
        <v/>
      </c>
      <c r="H31" s="54">
        <f>'02_Socle'!I31</f>
        <v/>
      </c>
      <c r="I31" s="54">
        <f>'02_Socle'!K31</f>
        <v/>
      </c>
      <c r="J31" s="54">
        <f>'02_Socle'!L31</f>
        <v/>
      </c>
      <c r="K31" s="54">
        <f>'02_Socle'!M31</f>
        <v/>
      </c>
      <c r="L31" s="54">
        <f>'02_Socle'!N31</f>
        <v/>
      </c>
      <c r="M31" s="55">
        <f>'02_Socle'!P31</f>
        <v/>
      </c>
      <c r="N31" s="58">
        <f>'02_Socle'!Q31</f>
        <v/>
      </c>
      <c r="O31" s="58">
        <f>'02_Socle'!R31</f>
        <v/>
      </c>
      <c r="P31" s="58">
        <f>'02_Socle'!S31</f>
        <v/>
      </c>
      <c r="Q31" s="58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4">
        <f>'02_Socle'!G32</f>
        <v/>
      </c>
      <c r="G32" s="54">
        <f>'02_Socle'!H32</f>
        <v/>
      </c>
      <c r="H32" s="54">
        <f>'02_Socle'!I32</f>
        <v/>
      </c>
      <c r="I32" s="54">
        <f>'02_Socle'!K32</f>
        <v/>
      </c>
      <c r="J32" s="54">
        <f>'02_Socle'!L32</f>
        <v/>
      </c>
      <c r="K32" s="54">
        <f>'02_Socle'!M32</f>
        <v/>
      </c>
      <c r="L32" s="54">
        <f>'02_Socle'!N32</f>
        <v/>
      </c>
      <c r="M32" s="55">
        <f>'02_Socle'!P32</f>
        <v/>
      </c>
      <c r="N32" s="58">
        <f>'02_Socle'!Q32</f>
        <v/>
      </c>
      <c r="O32" s="58">
        <f>'02_Socle'!R32</f>
        <v/>
      </c>
      <c r="P32" s="58">
        <f>'02_Socle'!S32</f>
        <v/>
      </c>
      <c r="Q32" s="58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4">
        <f>'02_Socle'!G33</f>
        <v/>
      </c>
      <c r="G33" s="54">
        <f>'02_Socle'!H33</f>
        <v/>
      </c>
      <c r="H33" s="54">
        <f>'02_Socle'!I33</f>
        <v/>
      </c>
      <c r="I33" s="54">
        <f>'02_Socle'!K33</f>
        <v/>
      </c>
      <c r="J33" s="54">
        <f>'02_Socle'!L33</f>
        <v/>
      </c>
      <c r="K33" s="54">
        <f>'02_Socle'!M33</f>
        <v/>
      </c>
      <c r="L33" s="54">
        <f>'02_Socle'!N33</f>
        <v/>
      </c>
      <c r="M33" s="55">
        <f>'02_Socle'!P33</f>
        <v/>
      </c>
      <c r="N33" s="58">
        <f>'02_Socle'!Q33</f>
        <v/>
      </c>
      <c r="O33" s="58">
        <f>'02_Socle'!R33</f>
        <v/>
      </c>
      <c r="P33" s="58">
        <f>'02_Socle'!S33</f>
        <v/>
      </c>
      <c r="Q33" s="58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4">
        <f>'02_Socle'!G34</f>
        <v/>
      </c>
      <c r="G34" s="54">
        <f>'02_Socle'!H34</f>
        <v/>
      </c>
      <c r="H34" s="54">
        <f>'02_Socle'!I34</f>
        <v/>
      </c>
      <c r="I34" s="54">
        <f>'02_Socle'!K34</f>
        <v/>
      </c>
      <c r="J34" s="54">
        <f>'02_Socle'!L34</f>
        <v/>
      </c>
      <c r="K34" s="54">
        <f>'02_Socle'!M34</f>
        <v/>
      </c>
      <c r="L34" s="54">
        <f>'02_Socle'!N34</f>
        <v/>
      </c>
      <c r="M34" s="55">
        <f>'02_Socle'!P34</f>
        <v/>
      </c>
      <c r="N34" s="58">
        <f>'02_Socle'!Q34</f>
        <v/>
      </c>
      <c r="O34" s="58">
        <f>'02_Socle'!R34</f>
        <v/>
      </c>
      <c r="P34" s="58">
        <f>'02_Socle'!S34</f>
        <v/>
      </c>
      <c r="Q34" s="58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4">
        <f>'02_Socle'!G35</f>
        <v/>
      </c>
      <c r="G35" s="54">
        <f>'02_Socle'!H35</f>
        <v/>
      </c>
      <c r="H35" s="54">
        <f>'02_Socle'!I35</f>
        <v/>
      </c>
      <c r="I35" s="54">
        <f>'02_Socle'!K35</f>
        <v/>
      </c>
      <c r="J35" s="54">
        <f>'02_Socle'!L35</f>
        <v/>
      </c>
      <c r="K35" s="54">
        <f>'02_Socle'!M35</f>
        <v/>
      </c>
      <c r="L35" s="54">
        <f>'02_Socle'!N35</f>
        <v/>
      </c>
      <c r="M35" s="55">
        <f>'02_Socle'!P35</f>
        <v/>
      </c>
      <c r="N35" s="58">
        <f>'02_Socle'!Q35</f>
        <v/>
      </c>
      <c r="O35" s="58">
        <f>'02_Socle'!R35</f>
        <v/>
      </c>
      <c r="P35" s="58">
        <f>'02_Socle'!S35</f>
        <v/>
      </c>
      <c r="Q35" s="58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4">
        <f>'02_Socle'!G36</f>
        <v/>
      </c>
      <c r="G36" s="54">
        <f>'02_Socle'!H36</f>
        <v/>
      </c>
      <c r="H36" s="54">
        <f>'02_Socle'!I36</f>
        <v/>
      </c>
      <c r="I36" s="54">
        <f>'02_Socle'!K36</f>
        <v/>
      </c>
      <c r="J36" s="54">
        <f>'02_Socle'!L36</f>
        <v/>
      </c>
      <c r="K36" s="54">
        <f>'02_Socle'!M36</f>
        <v/>
      </c>
      <c r="L36" s="54">
        <f>'02_Socle'!N36</f>
        <v/>
      </c>
      <c r="M36" s="55">
        <f>'02_Socle'!P36</f>
        <v/>
      </c>
      <c r="N36" s="58">
        <f>'02_Socle'!Q36</f>
        <v/>
      </c>
      <c r="O36" s="58">
        <f>'02_Socle'!R36</f>
        <v/>
      </c>
      <c r="P36" s="58">
        <f>'02_Socle'!S36</f>
        <v/>
      </c>
      <c r="Q36" s="58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4">
        <f>'02_Socle'!G37</f>
        <v/>
      </c>
      <c r="G37" s="54">
        <f>'02_Socle'!H37</f>
        <v/>
      </c>
      <c r="H37" s="54">
        <f>'02_Socle'!I37</f>
        <v/>
      </c>
      <c r="I37" s="54">
        <f>'02_Socle'!K37</f>
        <v/>
      </c>
      <c r="J37" s="54">
        <f>'02_Socle'!L37</f>
        <v/>
      </c>
      <c r="K37" s="54">
        <f>'02_Socle'!M37</f>
        <v/>
      </c>
      <c r="L37" s="54">
        <f>'02_Socle'!N37</f>
        <v/>
      </c>
      <c r="M37" s="55">
        <f>'02_Socle'!P37</f>
        <v/>
      </c>
      <c r="N37" s="58">
        <f>'02_Socle'!Q37</f>
        <v/>
      </c>
      <c r="O37" s="58">
        <f>'02_Socle'!R37</f>
        <v/>
      </c>
      <c r="P37" s="58">
        <f>'02_Socle'!S37</f>
        <v/>
      </c>
      <c r="Q37" s="58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4">
        <f>'02_Socle'!G38</f>
        <v/>
      </c>
      <c r="G38" s="54">
        <f>'02_Socle'!H38</f>
        <v/>
      </c>
      <c r="H38" s="54">
        <f>'02_Socle'!I38</f>
        <v/>
      </c>
      <c r="I38" s="54">
        <f>'02_Socle'!K38</f>
        <v/>
      </c>
      <c r="J38" s="54">
        <f>'02_Socle'!L38</f>
        <v/>
      </c>
      <c r="K38" s="54">
        <f>'02_Socle'!M38</f>
        <v/>
      </c>
      <c r="L38" s="54">
        <f>'02_Socle'!N38</f>
        <v/>
      </c>
      <c r="M38" s="55">
        <f>'02_Socle'!P38</f>
        <v/>
      </c>
      <c r="N38" s="58">
        <f>'02_Socle'!Q38</f>
        <v/>
      </c>
      <c r="O38" s="58">
        <f>'02_Socle'!R38</f>
        <v/>
      </c>
      <c r="P38" s="58">
        <f>'02_Socle'!S38</f>
        <v/>
      </c>
      <c r="Q38" s="58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4">
        <f>'02_Socle'!G39</f>
        <v/>
      </c>
      <c r="G39" s="54">
        <f>'02_Socle'!H39</f>
        <v/>
      </c>
      <c r="H39" s="54">
        <f>'02_Socle'!I39</f>
        <v/>
      </c>
      <c r="I39" s="54">
        <f>'02_Socle'!K39</f>
        <v/>
      </c>
      <c r="J39" s="54">
        <f>'02_Socle'!L39</f>
        <v/>
      </c>
      <c r="K39" s="54">
        <f>'02_Socle'!M39</f>
        <v/>
      </c>
      <c r="L39" s="54">
        <f>'02_Socle'!N39</f>
        <v/>
      </c>
      <c r="M39" s="55">
        <f>'02_Socle'!P39</f>
        <v/>
      </c>
      <c r="N39" s="58">
        <f>'02_Socle'!Q39</f>
        <v/>
      </c>
      <c r="O39" s="58">
        <f>'02_Socle'!R39</f>
        <v/>
      </c>
      <c r="P39" s="58">
        <f>'02_Socle'!S39</f>
        <v/>
      </c>
      <c r="Q39" s="58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4">
        <f>'02_Socle'!G40</f>
        <v/>
      </c>
      <c r="G40" s="54">
        <f>'02_Socle'!H40</f>
        <v/>
      </c>
      <c r="H40" s="54">
        <f>'02_Socle'!I40</f>
        <v/>
      </c>
      <c r="I40" s="54">
        <f>'02_Socle'!K40</f>
        <v/>
      </c>
      <c r="J40" s="54">
        <f>'02_Socle'!L40</f>
        <v/>
      </c>
      <c r="K40" s="54">
        <f>'02_Socle'!M40</f>
        <v/>
      </c>
      <c r="L40" s="54">
        <f>'02_Socle'!N40</f>
        <v/>
      </c>
      <c r="M40" s="55">
        <f>'02_Socle'!P40</f>
        <v/>
      </c>
      <c r="N40" s="58">
        <f>'02_Socle'!Q40</f>
        <v/>
      </c>
      <c r="O40" s="58">
        <f>'02_Socle'!R40</f>
        <v/>
      </c>
      <c r="P40" s="58">
        <f>'02_Socle'!S40</f>
        <v/>
      </c>
      <c r="Q40" s="58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4">
        <f>'02_Socle'!G41</f>
        <v/>
      </c>
      <c r="G41" s="54">
        <f>'02_Socle'!H41</f>
        <v/>
      </c>
      <c r="H41" s="54">
        <f>'02_Socle'!I41</f>
        <v/>
      </c>
      <c r="I41" s="54">
        <f>'02_Socle'!K41</f>
        <v/>
      </c>
      <c r="J41" s="54">
        <f>'02_Socle'!L41</f>
        <v/>
      </c>
      <c r="K41" s="54">
        <f>'02_Socle'!M41</f>
        <v/>
      </c>
      <c r="L41" s="54">
        <f>'02_Socle'!N41</f>
        <v/>
      </c>
      <c r="M41" s="55">
        <f>'02_Socle'!P41</f>
        <v/>
      </c>
      <c r="N41" s="58">
        <f>'02_Socle'!Q41</f>
        <v/>
      </c>
      <c r="O41" s="58">
        <f>'02_Socle'!R41</f>
        <v/>
      </c>
      <c r="P41" s="58">
        <f>'02_Socle'!S41</f>
        <v/>
      </c>
      <c r="Q41" s="58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4">
        <f>'02_Socle'!G42</f>
        <v/>
      </c>
      <c r="G42" s="54">
        <f>'02_Socle'!H42</f>
        <v/>
      </c>
      <c r="H42" s="54">
        <f>'02_Socle'!I42</f>
        <v/>
      </c>
      <c r="I42" s="54">
        <f>'02_Socle'!K42</f>
        <v/>
      </c>
      <c r="J42" s="54">
        <f>'02_Socle'!L42</f>
        <v/>
      </c>
      <c r="K42" s="54">
        <f>'02_Socle'!M42</f>
        <v/>
      </c>
      <c r="L42" s="54">
        <f>'02_Socle'!N42</f>
        <v/>
      </c>
      <c r="M42" s="55">
        <f>'02_Socle'!P42</f>
        <v/>
      </c>
      <c r="N42" s="58">
        <f>'02_Socle'!Q42</f>
        <v/>
      </c>
      <c r="O42" s="58">
        <f>'02_Socle'!R42</f>
        <v/>
      </c>
      <c r="P42" s="58">
        <f>'02_Socle'!S42</f>
        <v/>
      </c>
      <c r="Q42" s="58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4">
        <f>'02_Socle'!G43</f>
        <v/>
      </c>
      <c r="G43" s="54">
        <f>'02_Socle'!H43</f>
        <v/>
      </c>
      <c r="H43" s="54">
        <f>'02_Socle'!I43</f>
        <v/>
      </c>
      <c r="I43" s="54">
        <f>'02_Socle'!K43</f>
        <v/>
      </c>
      <c r="J43" s="54">
        <f>'02_Socle'!L43</f>
        <v/>
      </c>
      <c r="K43" s="54">
        <f>'02_Socle'!M43</f>
        <v/>
      </c>
      <c r="L43" s="54">
        <f>'02_Socle'!N43</f>
        <v/>
      </c>
      <c r="M43" s="55">
        <f>'02_Socle'!P43</f>
        <v/>
      </c>
      <c r="N43" s="58">
        <f>'02_Socle'!Q43</f>
        <v/>
      </c>
      <c r="O43" s="58">
        <f>'02_Socle'!R43</f>
        <v/>
      </c>
      <c r="P43" s="58">
        <f>'02_Socle'!S43</f>
        <v/>
      </c>
      <c r="Q43" s="58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4">
        <f>'02_Socle'!G44</f>
        <v/>
      </c>
      <c r="G44" s="54">
        <f>'02_Socle'!H44</f>
        <v/>
      </c>
      <c r="H44" s="54">
        <f>'02_Socle'!I44</f>
        <v/>
      </c>
      <c r="I44" s="54">
        <f>'02_Socle'!K44</f>
        <v/>
      </c>
      <c r="J44" s="54">
        <f>'02_Socle'!L44</f>
        <v/>
      </c>
      <c r="K44" s="54">
        <f>'02_Socle'!M44</f>
        <v/>
      </c>
      <c r="L44" s="54">
        <f>'02_Socle'!N44</f>
        <v/>
      </c>
      <c r="M44" s="55">
        <f>'02_Socle'!P44</f>
        <v/>
      </c>
      <c r="N44" s="58">
        <f>'02_Socle'!Q44</f>
        <v/>
      </c>
      <c r="O44" s="58">
        <f>'02_Socle'!R44</f>
        <v/>
      </c>
      <c r="P44" s="58">
        <f>'02_Socle'!S44</f>
        <v/>
      </c>
      <c r="Q44" s="58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4">
        <f>'02_Socle'!G45</f>
        <v/>
      </c>
      <c r="G45" s="54">
        <f>'02_Socle'!H45</f>
        <v/>
      </c>
      <c r="H45" s="54">
        <f>'02_Socle'!I45</f>
        <v/>
      </c>
      <c r="I45" s="54">
        <f>'02_Socle'!K45</f>
        <v/>
      </c>
      <c r="J45" s="54">
        <f>'02_Socle'!L45</f>
        <v/>
      </c>
      <c r="K45" s="54">
        <f>'02_Socle'!M45</f>
        <v/>
      </c>
      <c r="L45" s="54">
        <f>'02_Socle'!N45</f>
        <v/>
      </c>
      <c r="M45" s="55">
        <f>'02_Socle'!P45</f>
        <v/>
      </c>
      <c r="N45" s="58">
        <f>'02_Socle'!Q45</f>
        <v/>
      </c>
      <c r="O45" s="58">
        <f>'02_Socle'!R45</f>
        <v/>
      </c>
      <c r="P45" s="58">
        <f>'02_Socle'!S45</f>
        <v/>
      </c>
      <c r="Q45" s="58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4">
        <f>'02_Socle'!G46</f>
        <v/>
      </c>
      <c r="G46" s="54">
        <f>'02_Socle'!H46</f>
        <v/>
      </c>
      <c r="H46" s="54">
        <f>'02_Socle'!I46</f>
        <v/>
      </c>
      <c r="I46" s="54">
        <f>'02_Socle'!K46</f>
        <v/>
      </c>
      <c r="J46" s="54">
        <f>'02_Socle'!L46</f>
        <v/>
      </c>
      <c r="K46" s="54">
        <f>'02_Socle'!M46</f>
        <v/>
      </c>
      <c r="L46" s="54">
        <f>'02_Socle'!N46</f>
        <v/>
      </c>
      <c r="M46" s="55">
        <f>'02_Socle'!P46</f>
        <v/>
      </c>
      <c r="N46" s="58">
        <f>'02_Socle'!Q46</f>
        <v/>
      </c>
      <c r="O46" s="58">
        <f>'02_Socle'!R46</f>
        <v/>
      </c>
      <c r="P46" s="58">
        <f>'02_Socle'!S46</f>
        <v/>
      </c>
      <c r="Q46" s="58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4">
        <f>'02_Socle'!G47</f>
        <v/>
      </c>
      <c r="G47" s="54">
        <f>'02_Socle'!H47</f>
        <v/>
      </c>
      <c r="H47" s="54">
        <f>'02_Socle'!I47</f>
        <v/>
      </c>
      <c r="I47" s="54">
        <f>'02_Socle'!K47</f>
        <v/>
      </c>
      <c r="J47" s="54">
        <f>'02_Socle'!L47</f>
        <v/>
      </c>
      <c r="K47" s="54">
        <f>'02_Socle'!M47</f>
        <v/>
      </c>
      <c r="L47" s="54">
        <f>'02_Socle'!N47</f>
        <v/>
      </c>
      <c r="M47" s="55">
        <f>'02_Socle'!P47</f>
        <v/>
      </c>
      <c r="N47" s="58">
        <f>'02_Socle'!Q47</f>
        <v/>
      </c>
      <c r="O47" s="58">
        <f>'02_Socle'!R47</f>
        <v/>
      </c>
      <c r="P47" s="58">
        <f>'02_Socle'!S47</f>
        <v/>
      </c>
      <c r="Q47" s="58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4">
        <f>'02_Socle'!G48</f>
        <v/>
      </c>
      <c r="G48" s="54">
        <f>'02_Socle'!H48</f>
        <v/>
      </c>
      <c r="H48" s="54">
        <f>'02_Socle'!I48</f>
        <v/>
      </c>
      <c r="I48" s="54">
        <f>'02_Socle'!K48</f>
        <v/>
      </c>
      <c r="J48" s="54">
        <f>'02_Socle'!L48</f>
        <v/>
      </c>
      <c r="K48" s="54">
        <f>'02_Socle'!M48</f>
        <v/>
      </c>
      <c r="L48" s="54">
        <f>'02_Socle'!N48</f>
        <v/>
      </c>
      <c r="M48" s="55">
        <f>'02_Socle'!P48</f>
        <v/>
      </c>
      <c r="N48" s="58">
        <f>'02_Socle'!Q48</f>
        <v/>
      </c>
      <c r="O48" s="58">
        <f>'02_Socle'!R48</f>
        <v/>
      </c>
      <c r="P48" s="58">
        <f>'02_Socle'!S48</f>
        <v/>
      </c>
      <c r="Q48" s="58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4">
        <f>'02_Socle'!G49</f>
        <v/>
      </c>
      <c r="G49" s="54">
        <f>'02_Socle'!H49</f>
        <v/>
      </c>
      <c r="H49" s="54">
        <f>'02_Socle'!I49</f>
        <v/>
      </c>
      <c r="I49" s="54">
        <f>'02_Socle'!K49</f>
        <v/>
      </c>
      <c r="J49" s="54">
        <f>'02_Socle'!L49</f>
        <v/>
      </c>
      <c r="K49" s="54">
        <f>'02_Socle'!M49</f>
        <v/>
      </c>
      <c r="L49" s="54">
        <f>'02_Socle'!N49</f>
        <v/>
      </c>
      <c r="M49" s="55">
        <f>'02_Socle'!P49</f>
        <v/>
      </c>
      <c r="N49" s="58">
        <f>'02_Socle'!Q49</f>
        <v/>
      </c>
      <c r="O49" s="58">
        <f>'02_Socle'!R49</f>
        <v/>
      </c>
      <c r="P49" s="58">
        <f>'02_Socle'!S49</f>
        <v/>
      </c>
      <c r="Q49" s="58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4">
        <f>'02_Socle'!G50</f>
        <v/>
      </c>
      <c r="G50" s="54">
        <f>'02_Socle'!H50</f>
        <v/>
      </c>
      <c r="H50" s="54">
        <f>'02_Socle'!I50</f>
        <v/>
      </c>
      <c r="I50" s="54">
        <f>'02_Socle'!K50</f>
        <v/>
      </c>
      <c r="J50" s="54">
        <f>'02_Socle'!L50</f>
        <v/>
      </c>
      <c r="K50" s="54">
        <f>'02_Socle'!M50</f>
        <v/>
      </c>
      <c r="L50" s="54">
        <f>'02_Socle'!N50</f>
        <v/>
      </c>
      <c r="M50" s="55">
        <f>'02_Socle'!P50</f>
        <v/>
      </c>
      <c r="N50" s="58">
        <f>'02_Socle'!Q50</f>
        <v/>
      </c>
      <c r="O50" s="58">
        <f>'02_Socle'!R50</f>
        <v/>
      </c>
      <c r="P50" s="58">
        <f>'02_Socle'!S50</f>
        <v/>
      </c>
      <c r="Q50" s="58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4">
        <f>'02_Socle'!G51</f>
        <v/>
      </c>
      <c r="G51" s="54">
        <f>'02_Socle'!H51</f>
        <v/>
      </c>
      <c r="H51" s="54">
        <f>'02_Socle'!I51</f>
        <v/>
      </c>
      <c r="I51" s="54">
        <f>'02_Socle'!K51</f>
        <v/>
      </c>
      <c r="J51" s="54">
        <f>'02_Socle'!L51</f>
        <v/>
      </c>
      <c r="K51" s="54">
        <f>'02_Socle'!M51</f>
        <v/>
      </c>
      <c r="L51" s="54">
        <f>'02_Socle'!N51</f>
        <v/>
      </c>
      <c r="M51" s="55">
        <f>'02_Socle'!P51</f>
        <v/>
      </c>
      <c r="N51" s="58">
        <f>'02_Socle'!Q51</f>
        <v/>
      </c>
      <c r="O51" s="58">
        <f>'02_Socle'!R51</f>
        <v/>
      </c>
      <c r="P51" s="58">
        <f>'02_Socle'!S51</f>
        <v/>
      </c>
      <c r="Q51" s="58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4">
        <f>'02_Socle'!G52</f>
        <v/>
      </c>
      <c r="G52" s="54">
        <f>'02_Socle'!H52</f>
        <v/>
      </c>
      <c r="H52" s="54">
        <f>'02_Socle'!I52</f>
        <v/>
      </c>
      <c r="I52" s="54">
        <f>'02_Socle'!K52</f>
        <v/>
      </c>
      <c r="J52" s="54">
        <f>'02_Socle'!L52</f>
        <v/>
      </c>
      <c r="K52" s="54">
        <f>'02_Socle'!M52</f>
        <v/>
      </c>
      <c r="L52" s="54">
        <f>'02_Socle'!N52</f>
        <v/>
      </c>
      <c r="M52" s="55">
        <f>'02_Socle'!P52</f>
        <v/>
      </c>
      <c r="N52" s="58">
        <f>'02_Socle'!Q52</f>
        <v/>
      </c>
      <c r="O52" s="58">
        <f>'02_Socle'!R52</f>
        <v/>
      </c>
      <c r="P52" s="58">
        <f>'02_Socle'!S52</f>
        <v/>
      </c>
      <c r="Q52" s="58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4">
        <f>'02_Socle'!G53</f>
        <v/>
      </c>
      <c r="G53" s="54">
        <f>'02_Socle'!H53</f>
        <v/>
      </c>
      <c r="H53" s="54">
        <f>'02_Socle'!I53</f>
        <v/>
      </c>
      <c r="I53" s="54">
        <f>'02_Socle'!K53</f>
        <v/>
      </c>
      <c r="J53" s="54">
        <f>'02_Socle'!L53</f>
        <v/>
      </c>
      <c r="K53" s="54">
        <f>'02_Socle'!M53</f>
        <v/>
      </c>
      <c r="L53" s="54">
        <f>'02_Socle'!N53</f>
        <v/>
      </c>
      <c r="M53" s="55">
        <f>'02_Socle'!P53</f>
        <v/>
      </c>
      <c r="N53" s="58">
        <f>'02_Socle'!Q53</f>
        <v/>
      </c>
      <c r="O53" s="58">
        <f>'02_Socle'!R53</f>
        <v/>
      </c>
      <c r="P53" s="58">
        <f>'02_Socle'!S53</f>
        <v/>
      </c>
      <c r="Q53" s="58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4">
        <f>'02_Socle'!G54</f>
        <v/>
      </c>
      <c r="G54" s="54">
        <f>'02_Socle'!H54</f>
        <v/>
      </c>
      <c r="H54" s="54">
        <f>'02_Socle'!I54</f>
        <v/>
      </c>
      <c r="I54" s="54">
        <f>'02_Socle'!K54</f>
        <v/>
      </c>
      <c r="J54" s="54">
        <f>'02_Socle'!L54</f>
        <v/>
      </c>
      <c r="K54" s="54">
        <f>'02_Socle'!M54</f>
        <v/>
      </c>
      <c r="L54" s="54">
        <f>'02_Socle'!N54</f>
        <v/>
      </c>
      <c r="M54" s="55">
        <f>'02_Socle'!P54</f>
        <v/>
      </c>
      <c r="N54" s="58">
        <f>'02_Socle'!Q54</f>
        <v/>
      </c>
      <c r="O54" s="58">
        <f>'02_Socle'!R54</f>
        <v/>
      </c>
      <c r="P54" s="58">
        <f>'02_Socle'!S54</f>
        <v/>
      </c>
      <c r="Q54" s="58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4">
        <f>'02_Socle'!G55</f>
        <v/>
      </c>
      <c r="G55" s="54">
        <f>'02_Socle'!H55</f>
        <v/>
      </c>
      <c r="H55" s="54">
        <f>'02_Socle'!I55</f>
        <v/>
      </c>
      <c r="I55" s="54">
        <f>'02_Socle'!K55</f>
        <v/>
      </c>
      <c r="J55" s="54">
        <f>'02_Socle'!L55</f>
        <v/>
      </c>
      <c r="K55" s="54">
        <f>'02_Socle'!M55</f>
        <v/>
      </c>
      <c r="L55" s="54">
        <f>'02_Socle'!N55</f>
        <v/>
      </c>
      <c r="M55" s="55">
        <f>'02_Socle'!P55</f>
        <v/>
      </c>
      <c r="N55" s="58">
        <f>'02_Socle'!Q55</f>
        <v/>
      </c>
      <c r="O55" s="58">
        <f>'02_Socle'!R55</f>
        <v/>
      </c>
      <c r="P55" s="58">
        <f>'02_Socle'!S55</f>
        <v/>
      </c>
      <c r="Q55" s="58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4">
        <f>'02_Socle'!G56</f>
        <v/>
      </c>
      <c r="G56" s="54">
        <f>'02_Socle'!H56</f>
        <v/>
      </c>
      <c r="H56" s="54">
        <f>'02_Socle'!I56</f>
        <v/>
      </c>
      <c r="I56" s="54">
        <f>'02_Socle'!K56</f>
        <v/>
      </c>
      <c r="J56" s="54">
        <f>'02_Socle'!L56</f>
        <v/>
      </c>
      <c r="K56" s="54">
        <f>'02_Socle'!M56</f>
        <v/>
      </c>
      <c r="L56" s="54">
        <f>'02_Socle'!N56</f>
        <v/>
      </c>
      <c r="M56" s="55">
        <f>'02_Socle'!P56</f>
        <v/>
      </c>
      <c r="N56" s="58">
        <f>'02_Socle'!Q56</f>
        <v/>
      </c>
      <c r="O56" s="58">
        <f>'02_Socle'!R56</f>
        <v/>
      </c>
      <c r="P56" s="58">
        <f>'02_Socle'!S56</f>
        <v/>
      </c>
      <c r="Q56" s="58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4">
        <f>'02_Socle'!G57</f>
        <v/>
      </c>
      <c r="G57" s="54">
        <f>'02_Socle'!H57</f>
        <v/>
      </c>
      <c r="H57" s="54">
        <f>'02_Socle'!I57</f>
        <v/>
      </c>
      <c r="I57" s="54">
        <f>'02_Socle'!K57</f>
        <v/>
      </c>
      <c r="J57" s="54">
        <f>'02_Socle'!L57</f>
        <v/>
      </c>
      <c r="K57" s="54">
        <f>'02_Socle'!M57</f>
        <v/>
      </c>
      <c r="L57" s="54">
        <f>'02_Socle'!N57</f>
        <v/>
      </c>
      <c r="M57" s="55">
        <f>'02_Socle'!P57</f>
        <v/>
      </c>
      <c r="N57" s="58">
        <f>'02_Socle'!Q57</f>
        <v/>
      </c>
      <c r="O57" s="58">
        <f>'02_Socle'!R57</f>
        <v/>
      </c>
      <c r="P57" s="58">
        <f>'02_Socle'!S57</f>
        <v/>
      </c>
      <c r="Q57" s="58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4">
        <f>'02_Socle'!G58</f>
        <v/>
      </c>
      <c r="G58" s="54">
        <f>'02_Socle'!H58</f>
        <v/>
      </c>
      <c r="H58" s="54">
        <f>'02_Socle'!I58</f>
        <v/>
      </c>
      <c r="I58" s="54">
        <f>'02_Socle'!K58</f>
        <v/>
      </c>
      <c r="J58" s="54">
        <f>'02_Socle'!L58</f>
        <v/>
      </c>
      <c r="K58" s="54">
        <f>'02_Socle'!M58</f>
        <v/>
      </c>
      <c r="L58" s="54">
        <f>'02_Socle'!N58</f>
        <v/>
      </c>
      <c r="M58" s="55">
        <f>'02_Socle'!P58</f>
        <v/>
      </c>
      <c r="N58" s="58">
        <f>'02_Socle'!Q58</f>
        <v/>
      </c>
      <c r="O58" s="58">
        <f>'02_Socle'!R58</f>
        <v/>
      </c>
      <c r="P58" s="58">
        <f>'02_Socle'!S58</f>
        <v/>
      </c>
      <c r="Q58" s="58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4">
        <f>'02_Socle'!G59</f>
        <v/>
      </c>
      <c r="G59" s="54">
        <f>'02_Socle'!H59</f>
        <v/>
      </c>
      <c r="H59" s="54">
        <f>'02_Socle'!I59</f>
        <v/>
      </c>
      <c r="I59" s="54">
        <f>'02_Socle'!K59</f>
        <v/>
      </c>
      <c r="J59" s="54">
        <f>'02_Socle'!L59</f>
        <v/>
      </c>
      <c r="K59" s="54">
        <f>'02_Socle'!M59</f>
        <v/>
      </c>
      <c r="L59" s="54">
        <f>'02_Socle'!N59</f>
        <v/>
      </c>
      <c r="M59" s="55">
        <f>'02_Socle'!P59</f>
        <v/>
      </c>
      <c r="N59" s="58">
        <f>'02_Socle'!Q59</f>
        <v/>
      </c>
      <c r="O59" s="58">
        <f>'02_Socle'!R59</f>
        <v/>
      </c>
      <c r="P59" s="58">
        <f>'02_Socle'!S59</f>
        <v/>
      </c>
      <c r="Q59" s="58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4">
        <f>'02_Socle'!G60</f>
        <v/>
      </c>
      <c r="G60" s="54">
        <f>'02_Socle'!H60</f>
        <v/>
      </c>
      <c r="H60" s="54">
        <f>'02_Socle'!I60</f>
        <v/>
      </c>
      <c r="I60" s="54">
        <f>'02_Socle'!K60</f>
        <v/>
      </c>
      <c r="J60" s="54">
        <f>'02_Socle'!L60</f>
        <v/>
      </c>
      <c r="K60" s="54">
        <f>'02_Socle'!M60</f>
        <v/>
      </c>
      <c r="L60" s="54">
        <f>'02_Socle'!N60</f>
        <v/>
      </c>
      <c r="M60" s="55">
        <f>'02_Socle'!P60</f>
        <v/>
      </c>
      <c r="N60" s="58">
        <f>'02_Socle'!Q60</f>
        <v/>
      </c>
      <c r="O60" s="58">
        <f>'02_Socle'!R60</f>
        <v/>
      </c>
      <c r="P60" s="58">
        <f>'02_Socle'!S60</f>
        <v/>
      </c>
      <c r="Q60" s="58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4">
        <f>'02_Socle'!G61</f>
        <v/>
      </c>
      <c r="G61" s="54">
        <f>'02_Socle'!H61</f>
        <v/>
      </c>
      <c r="H61" s="54">
        <f>'02_Socle'!I61</f>
        <v/>
      </c>
      <c r="I61" s="54">
        <f>'02_Socle'!K61</f>
        <v/>
      </c>
      <c r="J61" s="54">
        <f>'02_Socle'!L61</f>
        <v/>
      </c>
      <c r="K61" s="54">
        <f>'02_Socle'!M61</f>
        <v/>
      </c>
      <c r="L61" s="54">
        <f>'02_Socle'!N61</f>
        <v/>
      </c>
      <c r="M61" s="55">
        <f>'02_Socle'!P61</f>
        <v/>
      </c>
      <c r="N61" s="58">
        <f>'02_Socle'!Q61</f>
        <v/>
      </c>
      <c r="O61" s="58">
        <f>'02_Socle'!R61</f>
        <v/>
      </c>
      <c r="P61" s="58">
        <f>'02_Socle'!S61</f>
        <v/>
      </c>
      <c r="Q61" s="58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9" t="inlineStr">
        <is>
          <t>TOTAL</t>
        </is>
      </c>
      <c r="B62" s="50" t="inlineStr">
        <is>
          <t> </t>
        </is>
      </c>
      <c r="C62" s="50" t="inlineStr">
        <is>
          <t> </t>
        </is>
      </c>
      <c r="D62" s="50" t="inlineStr">
        <is>
          <t> </t>
        </is>
      </c>
      <c r="E62" s="50" t="inlineStr">
        <is>
          <t> </t>
        </is>
      </c>
      <c r="F62" s="52">
        <f>SUM(F4:F61)</f>
        <v/>
      </c>
      <c r="G62" s="52">
        <f>SUM(G4:G61)</f>
        <v/>
      </c>
      <c r="H62" s="52">
        <f>SUM(H4:H61)</f>
        <v/>
      </c>
      <c r="I62" s="52">
        <f>SUM(I4:I61)</f>
        <v/>
      </c>
      <c r="T62" s="52">
        <f>SUM(T4:T61)</f>
        <v/>
      </c>
      <c r="U62" s="52">
        <f>SUM(U4:U61)</f>
        <v/>
      </c>
      <c r="V62" s="52">
        <f>SUM(V4:V61)</f>
        <v/>
      </c>
      <c r="W62" s="52">
        <f>SUM(W4:W61)</f>
        <v/>
      </c>
      <c r="X62" s="52">
        <f>SUM(X4:X61)</f>
        <v/>
      </c>
      <c r="Y62" s="52">
        <f>SUM(Y4:Y61)</f>
        <v/>
      </c>
      <c r="AA62" s="51">
        <f>SUM(AA4:AA61)</f>
        <v/>
      </c>
      <c r="AD62" s="52">
        <f>SUM(AD4:AD61)</f>
        <v/>
      </c>
      <c r="AE62" s="51">
        <f>SUM(AE4:AE61)</f>
        <v/>
      </c>
      <c r="AJ62" s="51">
        <f>SUM(AJ4:AJ61)</f>
        <v/>
      </c>
      <c r="AK62" s="52">
        <f>SUM(AK4:AK61)</f>
        <v/>
      </c>
      <c r="AL62" s="51">
        <f>SUM(AL4:AL61)</f>
        <v/>
      </c>
      <c r="AM62" s="5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9" t="inlineStr">
        <is>
          <t>A–Q</t>
        </is>
      </c>
      <c r="B65" s="6" t="inlineStr">
        <is>
          <t>Identité + reprise base + taux mesurés (funnel, passage)</t>
        </is>
      </c>
    </row>
    <row r="66">
      <c r="A66" s="59" t="inlineStr">
        <is>
          <t>R–V</t>
        </is>
      </c>
      <c r="B66" s="6" t="inlineStr">
        <is>
          <t>Acquisition : leads cellule → candidatures → admis</t>
        </is>
      </c>
    </row>
    <row r="67">
      <c r="A67" s="5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9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9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9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0" t="inlineStr">
        <is>
          <t>7062</t>
        </is>
      </c>
      <c r="B4" s="25" t="inlineStr">
        <is>
          <t>Prestations de formation — alternance (OPCO)</t>
        </is>
      </c>
      <c r="C4" s="61" t="inlineStr">
        <is>
          <t>7 — Produits d'exploitation</t>
        </is>
      </c>
      <c r="D4" s="61" t="inlineStr">
        <is>
          <t>70 — Prestations de services</t>
        </is>
      </c>
      <c r="E4" s="61" t="inlineStr">
        <is>
          <t>Produits</t>
        </is>
      </c>
      <c r="F4" s="61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0" t="inlineStr">
        <is>
          <t>706</t>
        </is>
      </c>
      <c r="B5" s="25" t="inlineStr">
        <is>
          <t>Prestations de formation — scolarité (initial)</t>
        </is>
      </c>
      <c r="C5" s="61" t="inlineStr">
        <is>
          <t>7 — Produits d'exploitation</t>
        </is>
      </c>
      <c r="D5" s="61" t="inlineStr">
        <is>
          <t>70 — Prestations de services</t>
        </is>
      </c>
      <c r="E5" s="61" t="inlineStr">
        <is>
          <t>Produits</t>
        </is>
      </c>
      <c r="F5" s="61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0" t="inlineStr">
        <is>
          <t>708</t>
        </is>
      </c>
      <c r="B6" s="25" t="inlineStr">
        <is>
          <t>Frais de dossier &amp; droits d'inscription</t>
        </is>
      </c>
      <c r="C6" s="61" t="inlineStr">
        <is>
          <t>7 — Produits d'exploitation</t>
        </is>
      </c>
      <c r="D6" s="61" t="inlineStr">
        <is>
          <t>70 — Prestations de services</t>
        </is>
      </c>
      <c r="E6" s="61" t="inlineStr">
        <is>
          <t>Produits</t>
        </is>
      </c>
      <c r="F6" s="61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1" t="inlineStr">
        <is>
          <t>6 — Charges d'exploitation</t>
        </is>
      </c>
      <c r="D7" s="61" t="inlineStr">
        <is>
          <t>62 — Autres services extérieurs</t>
        </is>
      </c>
      <c r="E7" s="61" t="inlineStr">
        <is>
          <t>Coûts directs</t>
        </is>
      </c>
      <c r="F7" s="61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1" t="inlineStr">
        <is>
          <t>6 — Charges d'exploitation</t>
        </is>
      </c>
      <c r="D8" s="61" t="inlineStr">
        <is>
          <t>60 — Achats</t>
        </is>
      </c>
      <c r="E8" s="61" t="inlineStr">
        <is>
          <t>Coûts directs</t>
        </is>
      </c>
      <c r="F8" s="61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1" t="inlineStr">
        <is>
          <t>6 — Charges d'exploitation</t>
        </is>
      </c>
      <c r="D9" s="61" t="inlineStr">
        <is>
          <t>60 — Achats</t>
        </is>
      </c>
      <c r="E9" s="61" t="inlineStr">
        <is>
          <t>Coûts directs</t>
        </is>
      </c>
      <c r="F9" s="61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1" t="inlineStr">
        <is>
          <t>6 — Charges d'exploitation</t>
        </is>
      </c>
      <c r="D10" s="61" t="inlineStr">
        <is>
          <t>62 — Autres services extérieurs</t>
        </is>
      </c>
      <c r="E10" s="61" t="inlineStr">
        <is>
          <t>Coûts directs</t>
        </is>
      </c>
      <c r="F10" s="61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1" t="inlineStr">
        <is>
          <t>6 — Charges d'exploitation</t>
        </is>
      </c>
      <c r="D11" s="61" t="inlineStr">
        <is>
          <t>64 — Charges de personnel</t>
        </is>
      </c>
      <c r="E11" s="61" t="inlineStr">
        <is>
          <t>Personnel</t>
        </is>
      </c>
      <c r="F11" s="61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1" t="inlineStr">
        <is>
          <t>6 — Charges d'exploitation</t>
        </is>
      </c>
      <c r="D12" s="61" t="inlineStr">
        <is>
          <t>64 — Charges de personnel</t>
        </is>
      </c>
      <c r="E12" s="61" t="inlineStr">
        <is>
          <t>Personnel</t>
        </is>
      </c>
      <c r="F12" s="61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1" t="inlineStr">
        <is>
          <t>6 — Charges d'exploitation</t>
        </is>
      </c>
      <c r="D13" s="61" t="inlineStr">
        <is>
          <t>64 — Charges de personnel</t>
        </is>
      </c>
      <c r="E13" s="61" t="inlineStr">
        <is>
          <t>Personnel</t>
        </is>
      </c>
      <c r="F13" s="61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1" t="inlineStr">
        <is>
          <t>6 — Charges d'exploitation</t>
        </is>
      </c>
      <c r="D14" s="61" t="inlineStr">
        <is>
          <t>64 — Charges de personnel</t>
        </is>
      </c>
      <c r="E14" s="61" t="inlineStr">
        <is>
          <t>Personnel</t>
        </is>
      </c>
      <c r="F14" s="61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1" t="inlineStr">
        <is>
          <t>6 — Charges d'exploitation</t>
        </is>
      </c>
      <c r="D15" s="61" t="inlineStr">
        <is>
          <t>61 — Services extérieurs</t>
        </is>
      </c>
      <c r="E15" s="61" t="inlineStr">
        <is>
          <t>Structure</t>
        </is>
      </c>
      <c r="F15" s="61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1" t="inlineStr">
        <is>
          <t>6 — Charges d'exploitation</t>
        </is>
      </c>
      <c r="D16" s="61" t="inlineStr">
        <is>
          <t>61 — Services extérieurs</t>
        </is>
      </c>
      <c r="E16" s="61" t="inlineStr">
        <is>
          <t>Structure</t>
        </is>
      </c>
      <c r="F16" s="61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1" t="inlineStr">
        <is>
          <t>6 — Charges d'exploitation</t>
        </is>
      </c>
      <c r="D17" s="61" t="inlineStr">
        <is>
          <t>61 — Services extérieurs</t>
        </is>
      </c>
      <c r="E17" s="61" t="inlineStr">
        <is>
          <t>Structure</t>
        </is>
      </c>
      <c r="F17" s="61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1" t="inlineStr">
        <is>
          <t>6 — Charges d'exploitation</t>
        </is>
      </c>
      <c r="D18" s="61" t="inlineStr">
        <is>
          <t>62 — Autres services extérieurs</t>
        </is>
      </c>
      <c r="E18" s="61" t="inlineStr">
        <is>
          <t>Structure</t>
        </is>
      </c>
      <c r="F18" s="61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1" t="inlineStr">
        <is>
          <t>6 — Charges d'exploitation</t>
        </is>
      </c>
      <c r="D19" s="61" t="inlineStr">
        <is>
          <t>62 — Autres services extérieurs</t>
        </is>
      </c>
      <c r="E19" s="61" t="inlineStr">
        <is>
          <t>Structure</t>
        </is>
      </c>
      <c r="F19" s="61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1" t="inlineStr">
        <is>
          <t>6 — Charges d'exploitation</t>
        </is>
      </c>
      <c r="D20" s="61" t="inlineStr">
        <is>
          <t>62 — Autres services extérieurs</t>
        </is>
      </c>
      <c r="E20" s="61" t="inlineStr">
        <is>
          <t>Structure</t>
        </is>
      </c>
      <c r="F20" s="61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1" t="inlineStr">
        <is>
          <t>6 — Charges d'exploitation</t>
        </is>
      </c>
      <c r="D21" s="61" t="inlineStr">
        <is>
          <t>62 — Autres services extérieurs</t>
        </is>
      </c>
      <c r="E21" s="61" t="inlineStr">
        <is>
          <t>Structure</t>
        </is>
      </c>
      <c r="F21" s="61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1" t="inlineStr">
        <is>
          <t>6 — Charges d'exploitation</t>
        </is>
      </c>
      <c r="D22" s="61" t="inlineStr">
        <is>
          <t>62 — Autres services extérieurs</t>
        </is>
      </c>
      <c r="E22" s="61" t="inlineStr">
        <is>
          <t>Structure</t>
        </is>
      </c>
      <c r="F22" s="61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1" t="inlineStr">
        <is>
          <t>6 — Charges d'exploitation</t>
        </is>
      </c>
      <c r="D23" s="61" t="inlineStr">
        <is>
          <t>63 — Impôts &amp; taxes</t>
        </is>
      </c>
      <c r="E23" s="61" t="inlineStr">
        <is>
          <t>Impôts &amp; taxes</t>
        </is>
      </c>
      <c r="F23" s="61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1" t="inlineStr">
        <is>
          <t>6 — Charges d'exploitation</t>
        </is>
      </c>
      <c r="D24" s="61" t="inlineStr">
        <is>
          <t>63 — Impôts &amp; taxes</t>
        </is>
      </c>
      <c r="E24" s="61" t="inlineStr">
        <is>
          <t>Impôts &amp; taxes</t>
        </is>
      </c>
      <c r="F24" s="61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1" t="inlineStr">
        <is>
          <t>6 — Charges d'exploitation</t>
        </is>
      </c>
      <c r="D25" s="61" t="inlineStr">
        <is>
          <t>63 — Impôts &amp; taxes</t>
        </is>
      </c>
      <c r="E25" s="61" t="inlineStr">
        <is>
          <t>Impôts &amp; taxes</t>
        </is>
      </c>
      <c r="F25" s="61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1" t="inlineStr">
        <is>
          <t>6 — Charges d'exploitation</t>
        </is>
      </c>
      <c r="D26" s="61" t="inlineStr">
        <is>
          <t>68 — Dotations &amp; amort.</t>
        </is>
      </c>
      <c r="E26" s="61" t="inlineStr">
        <is>
          <t>Dotations</t>
        </is>
      </c>
      <c r="F26" s="61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2" t="inlineStr">
        <is>
          <t>RESULTAT_EXPL</t>
        </is>
      </c>
      <c r="B31" s="12" t="inlineStr">
        <is>
          <t>Résultat d'exploitation (EBIT)</t>
        </is>
      </c>
      <c r="C31" s="61" t="inlineStr">
        <is>
          <t>(racine)</t>
        </is>
      </c>
      <c r="D31" s="63" t="inlineStr">
        <is>
          <t>Agrégat</t>
        </is>
      </c>
    </row>
    <row r="32">
      <c r="A32" s="62" t="inlineStr">
        <is>
          <t>EBITDA</t>
        </is>
      </c>
      <c r="B32" s="12" t="inlineStr">
        <is>
          <t>EBITDA</t>
        </is>
      </c>
      <c r="C32" s="61" t="inlineStr">
        <is>
          <t>RESULTAT_EXPL</t>
        </is>
      </c>
      <c r="D32" s="63" t="inlineStr">
        <is>
          <t>Agrégat</t>
        </is>
      </c>
    </row>
    <row r="33">
      <c r="A33" s="62" t="inlineStr">
        <is>
          <t>MARGE_CONTRIB</t>
        </is>
      </c>
      <c r="B33" s="12" t="inlineStr">
        <is>
          <t>Marge de contribution</t>
        </is>
      </c>
      <c r="C33" s="61" t="inlineStr">
        <is>
          <t>EBITDA</t>
        </is>
      </c>
      <c r="D33" s="63" t="inlineStr">
        <is>
          <t>Agrégat</t>
        </is>
      </c>
    </row>
    <row r="34">
      <c r="A34" s="62" t="inlineStr">
        <is>
          <t>SIG_PROD</t>
        </is>
      </c>
      <c r="B34" s="12" t="inlineStr">
        <is>
          <t>Produits d'exploitation</t>
        </is>
      </c>
      <c r="C34" s="61" t="inlineStr">
        <is>
          <t>MARGE_CONTRIB</t>
        </is>
      </c>
      <c r="D34" s="63" t="inlineStr">
        <is>
          <t>Regroupement</t>
        </is>
      </c>
    </row>
    <row r="35">
      <c r="A35" s="62" t="inlineStr">
        <is>
          <t>SIG_DIR</t>
        </is>
      </c>
      <c r="B35" s="12" t="inlineStr">
        <is>
          <t>Coûts directs</t>
        </is>
      </c>
      <c r="C35" s="61" t="inlineStr">
        <is>
          <t>MARGE_CONTRIB</t>
        </is>
      </c>
      <c r="D35" s="63" t="inlineStr">
        <is>
          <t>Regroupement</t>
        </is>
      </c>
    </row>
    <row r="36">
      <c r="A36" s="62" t="inlineStr">
        <is>
          <t>SIG_PERS</t>
        </is>
      </c>
      <c r="B36" s="12" t="inlineStr">
        <is>
          <t>Charges de personnel</t>
        </is>
      </c>
      <c r="C36" s="61" t="inlineStr">
        <is>
          <t>EBITDA</t>
        </is>
      </c>
      <c r="D36" s="63" t="inlineStr">
        <is>
          <t>Regroupement</t>
        </is>
      </c>
    </row>
    <row r="37">
      <c r="A37" s="62" t="inlineStr">
        <is>
          <t>SIG_STRUCT</t>
        </is>
      </c>
      <c r="B37" s="12" t="inlineStr">
        <is>
          <t>Charges de structure</t>
        </is>
      </c>
      <c r="C37" s="61" t="inlineStr">
        <is>
          <t>EBITDA</t>
        </is>
      </c>
      <c r="D37" s="63" t="inlineStr">
        <is>
          <t>Regroupement</t>
        </is>
      </c>
    </row>
    <row r="38">
      <c r="A38" s="62" t="inlineStr">
        <is>
          <t>SIG_IMP</t>
        </is>
      </c>
      <c r="B38" s="12" t="inlineStr">
        <is>
          <t>Impôts &amp; taxes</t>
        </is>
      </c>
      <c r="C38" s="61" t="inlineStr">
        <is>
          <t>EBITDA</t>
        </is>
      </c>
      <c r="D38" s="63" t="inlineStr">
        <is>
          <t>Regroupement</t>
        </is>
      </c>
    </row>
    <row r="39">
      <c r="A39" s="62" t="inlineStr">
        <is>
          <t>SIG_DOT</t>
        </is>
      </c>
      <c r="B39" s="12" t="inlineStr">
        <is>
          <t>Dotations aux amortissements</t>
        </is>
      </c>
      <c r="C39" s="61" t="inlineStr">
        <is>
          <t>RESULTAT_EXPL</t>
        </is>
      </c>
      <c r="D39" s="63" t="inlineStr">
        <is>
          <t>Regroupement</t>
        </is>
      </c>
    </row>
    <row r="40">
      <c r="A40" s="61" t="inlineStr">
        <is>
          <t>7062</t>
        </is>
      </c>
      <c r="B40" s="25" t="inlineStr">
        <is>
          <t>Prestations de formation — alternance (OPCO)</t>
        </is>
      </c>
      <c r="C40" s="61" t="inlineStr">
        <is>
          <t>SIG_PROD</t>
        </is>
      </c>
      <c r="D40" s="63" t="inlineStr">
        <is>
          <t>Compte (détail)</t>
        </is>
      </c>
    </row>
    <row r="41">
      <c r="A41" s="61" t="inlineStr">
        <is>
          <t>706</t>
        </is>
      </c>
      <c r="B41" s="25" t="inlineStr">
        <is>
          <t>Prestations de formation — scolarité (initial)</t>
        </is>
      </c>
      <c r="C41" s="61" t="inlineStr">
        <is>
          <t>SIG_PROD</t>
        </is>
      </c>
      <c r="D41" s="63" t="inlineStr">
        <is>
          <t>Compte (détail)</t>
        </is>
      </c>
    </row>
    <row r="42">
      <c r="A42" s="61" t="inlineStr">
        <is>
          <t>708</t>
        </is>
      </c>
      <c r="B42" s="25" t="inlineStr">
        <is>
          <t>Frais de dossier &amp; droits d'inscription</t>
        </is>
      </c>
      <c r="C42" s="61" t="inlineStr">
        <is>
          <t>SIG_PROD</t>
        </is>
      </c>
      <c r="D42" s="63" t="inlineStr">
        <is>
          <t>Compte (détail)</t>
        </is>
      </c>
    </row>
    <row r="43">
      <c r="A43" s="61" t="inlineStr">
        <is>
          <t>621</t>
        </is>
      </c>
      <c r="B43" s="25" t="inlineStr">
        <is>
          <t>Personnel extérieur — vacataires &amp; intervenants</t>
        </is>
      </c>
      <c r="C43" s="61" t="inlineStr">
        <is>
          <t>SIG_DIR</t>
        </is>
      </c>
      <c r="D43" s="63" t="inlineStr">
        <is>
          <t>Compte (détail)</t>
        </is>
      </c>
    </row>
    <row r="44">
      <c r="A44" s="61" t="inlineStr">
        <is>
          <t>604</t>
        </is>
      </c>
      <c r="B44" s="25" t="inlineStr">
        <is>
          <t>Sous-traitance pédagogique</t>
        </is>
      </c>
      <c r="C44" s="61" t="inlineStr">
        <is>
          <t>SIG_DIR</t>
        </is>
      </c>
      <c r="D44" s="63" t="inlineStr">
        <is>
          <t>Compte (détail)</t>
        </is>
      </c>
    </row>
    <row r="45">
      <c r="A45" s="61" t="inlineStr">
        <is>
          <t>6063</t>
        </is>
      </c>
      <c r="B45" s="25" t="inlineStr">
        <is>
          <t>Fournitures pédagogiques &amp; petit équipement</t>
        </is>
      </c>
      <c r="C45" s="61" t="inlineStr">
        <is>
          <t>SIG_DIR</t>
        </is>
      </c>
      <c r="D45" s="63" t="inlineStr">
        <is>
          <t>Compte (détail)</t>
        </is>
      </c>
    </row>
    <row r="46">
      <c r="A46" s="61" t="inlineStr">
        <is>
          <t>6231</t>
        </is>
      </c>
      <c r="B46" s="25" t="inlineStr">
        <is>
          <t>Publicité &amp; marketing d'acquisition (leads)</t>
        </is>
      </c>
      <c r="C46" s="61" t="inlineStr">
        <is>
          <t>SIG_DIR</t>
        </is>
      </c>
      <c r="D46" s="63" t="inlineStr">
        <is>
          <t>Compte (détail)</t>
        </is>
      </c>
    </row>
    <row r="47">
      <c r="A47" s="61" t="inlineStr">
        <is>
          <t>6411</t>
        </is>
      </c>
      <c r="B47" s="25" t="inlineStr">
        <is>
          <t>Rémunération enseignants permanents</t>
        </is>
      </c>
      <c r="C47" s="61" t="inlineStr">
        <is>
          <t>SIG_PERS</t>
        </is>
      </c>
      <c r="D47" s="63" t="inlineStr">
        <is>
          <t>Compte (détail)</t>
        </is>
      </c>
    </row>
    <row r="48">
      <c r="A48" s="61" t="inlineStr">
        <is>
          <t>6413</t>
        </is>
      </c>
      <c r="B48" s="25" t="inlineStr">
        <is>
          <t>Rémunération personnel administratif &amp; pédagogique</t>
        </is>
      </c>
      <c r="C48" s="61" t="inlineStr">
        <is>
          <t>SIG_PERS</t>
        </is>
      </c>
      <c r="D48" s="63" t="inlineStr">
        <is>
          <t>Compte (détail)</t>
        </is>
      </c>
    </row>
    <row r="49">
      <c r="A49" s="61" t="inlineStr">
        <is>
          <t>6414</t>
        </is>
      </c>
      <c r="B49" s="25" t="inlineStr">
        <is>
          <t>Rémunération direction &amp; fonctions support (siège)</t>
        </is>
      </c>
      <c r="C49" s="61" t="inlineStr">
        <is>
          <t>SIG_PERS</t>
        </is>
      </c>
      <c r="D49" s="63" t="inlineStr">
        <is>
          <t>Compte (détail)</t>
        </is>
      </c>
    </row>
    <row r="50">
      <c r="A50" s="61" t="inlineStr">
        <is>
          <t>645</t>
        </is>
      </c>
      <c r="B50" s="25" t="inlineStr">
        <is>
          <t>Charges sociales &amp; de prévoyance</t>
        </is>
      </c>
      <c r="C50" s="61" t="inlineStr">
        <is>
          <t>SIG_PERS</t>
        </is>
      </c>
      <c r="D50" s="63" t="inlineStr">
        <is>
          <t>Compte (détail)</t>
        </is>
      </c>
    </row>
    <row r="51">
      <c r="A51" s="61" t="inlineStr">
        <is>
          <t>613</t>
        </is>
      </c>
      <c r="B51" s="25" t="inlineStr">
        <is>
          <t>Loyers &amp; charges locatives (campus)</t>
        </is>
      </c>
      <c r="C51" s="61" t="inlineStr">
        <is>
          <t>SIG_STRUCT</t>
        </is>
      </c>
      <c r="D51" s="63" t="inlineStr">
        <is>
          <t>Compte (détail)</t>
        </is>
      </c>
    </row>
    <row r="52">
      <c r="A52" s="61" t="inlineStr">
        <is>
          <t>615</t>
        </is>
      </c>
      <c r="B52" s="25" t="inlineStr">
        <is>
          <t>Entretien &amp; maintenance</t>
        </is>
      </c>
      <c r="C52" s="61" t="inlineStr">
        <is>
          <t>SIG_STRUCT</t>
        </is>
      </c>
      <c r="D52" s="63" t="inlineStr">
        <is>
          <t>Compte (détail)</t>
        </is>
      </c>
    </row>
    <row r="53">
      <c r="A53" s="61" t="inlineStr">
        <is>
          <t>616</t>
        </is>
      </c>
      <c r="B53" s="25" t="inlineStr">
        <is>
          <t>Primes d'assurance</t>
        </is>
      </c>
      <c r="C53" s="61" t="inlineStr">
        <is>
          <t>SIG_STRUCT</t>
        </is>
      </c>
      <c r="D53" s="63" t="inlineStr">
        <is>
          <t>Compte (détail)</t>
        </is>
      </c>
    </row>
    <row r="54">
      <c r="A54" s="61" t="inlineStr">
        <is>
          <t>6226</t>
        </is>
      </c>
      <c r="B54" s="25" t="inlineStr">
        <is>
          <t>Honoraires (audit, conseil, juridique)</t>
        </is>
      </c>
      <c r="C54" s="61" t="inlineStr">
        <is>
          <t>SIG_STRUCT</t>
        </is>
      </c>
      <c r="D54" s="63" t="inlineStr">
        <is>
          <t>Compte (détail)</t>
        </is>
      </c>
    </row>
    <row r="55">
      <c r="A55" s="61" t="inlineStr">
        <is>
          <t>6236</t>
        </is>
      </c>
      <c r="B55" s="25" t="inlineStr">
        <is>
          <t>Marketing de marque, salons &amp; JPO</t>
        </is>
      </c>
      <c r="C55" s="61" t="inlineStr">
        <is>
          <t>SIG_STRUCT</t>
        </is>
      </c>
      <c r="D55" s="63" t="inlineStr">
        <is>
          <t>Compte (détail)</t>
        </is>
      </c>
    </row>
    <row r="56">
      <c r="A56" s="61" t="inlineStr">
        <is>
          <t>625</t>
        </is>
      </c>
      <c r="B56" s="25" t="inlineStr">
        <is>
          <t>Déplacements, missions &amp; réceptions</t>
        </is>
      </c>
      <c r="C56" s="61" t="inlineStr">
        <is>
          <t>SIG_STRUCT</t>
        </is>
      </c>
      <c r="D56" s="63" t="inlineStr">
        <is>
          <t>Compte (détail)</t>
        </is>
      </c>
    </row>
    <row r="57">
      <c r="A57" s="61" t="inlineStr">
        <is>
          <t>626</t>
        </is>
      </c>
      <c r="B57" s="25" t="inlineStr">
        <is>
          <t>Télécom, systèmes d'information &amp; affranchissement</t>
        </is>
      </c>
      <c r="C57" s="61" t="inlineStr">
        <is>
          <t>SIG_STRUCT</t>
        </is>
      </c>
      <c r="D57" s="63" t="inlineStr">
        <is>
          <t>Compte (détail)</t>
        </is>
      </c>
    </row>
    <row r="58">
      <c r="A58" s="61" t="inlineStr">
        <is>
          <t>6281</t>
        </is>
      </c>
      <c r="B58" s="25" t="inlineStr">
        <is>
          <t>Cotisations, documentation &amp; abonnements</t>
        </is>
      </c>
      <c r="C58" s="61" t="inlineStr">
        <is>
          <t>SIG_STRUCT</t>
        </is>
      </c>
      <c r="D58" s="63" t="inlineStr">
        <is>
          <t>Compte (détail)</t>
        </is>
      </c>
    </row>
    <row r="59">
      <c r="A59" s="61" t="inlineStr">
        <is>
          <t>6331</t>
        </is>
      </c>
      <c r="B59" s="25" t="inlineStr">
        <is>
          <t>Taxe sur les salaires</t>
        </is>
      </c>
      <c r="C59" s="61" t="inlineStr">
        <is>
          <t>SIG_IMP</t>
        </is>
      </c>
      <c r="D59" s="63" t="inlineStr">
        <is>
          <t>Compte (détail)</t>
        </is>
      </c>
    </row>
    <row r="60">
      <c r="A60" s="61" t="inlineStr">
        <is>
          <t>63511</t>
        </is>
      </c>
      <c r="B60" s="25" t="inlineStr">
        <is>
          <t>Cotisation foncière &amp; CVAE</t>
        </is>
      </c>
      <c r="C60" s="61" t="inlineStr">
        <is>
          <t>SIG_IMP</t>
        </is>
      </c>
      <c r="D60" s="63" t="inlineStr">
        <is>
          <t>Compte (détail)</t>
        </is>
      </c>
    </row>
    <row r="61">
      <c r="A61" s="61" t="inlineStr">
        <is>
          <t>6333</t>
        </is>
      </c>
      <c r="B61" s="25" t="inlineStr">
        <is>
          <t>Participation formation professionnelle</t>
        </is>
      </c>
      <c r="C61" s="61" t="inlineStr">
        <is>
          <t>SIG_IMP</t>
        </is>
      </c>
      <c r="D61" s="63" t="inlineStr">
        <is>
          <t>Compte (détail)</t>
        </is>
      </c>
    </row>
    <row r="62">
      <c r="A62" s="61" t="inlineStr">
        <is>
          <t>6811</t>
        </is>
      </c>
      <c r="B62" s="25" t="inlineStr">
        <is>
          <t>Dotations aux amortissements (D&amp;A)</t>
        </is>
      </c>
      <c r="C62" s="61" t="inlineStr">
        <is>
          <t>SIG_DOT</t>
        </is>
      </c>
      <c r="D62" s="6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2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2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2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4" t="inlineStr">
        <is>
          <t>PRODUITS</t>
        </is>
      </c>
      <c r="C4" s="65" t="n"/>
      <c r="D4" s="65" t="n"/>
      <c r="E4" s="65" t="n"/>
      <c r="F4" s="65" t="n"/>
      <c r="G4" s="65" t="n"/>
      <c r="H4" s="65" t="n"/>
    </row>
    <row r="5">
      <c r="B5" s="46" t="inlineStr">
        <is>
          <t>7062</t>
        </is>
      </c>
      <c r="C5" s="6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6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6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6">
        <f>F7*('04_Moteur'!$AA$62/22544725)</f>
        <v/>
      </c>
      <c r="H7" s="16">
        <f>IFERROR(G7/F7-1,0)</f>
        <v/>
      </c>
    </row>
    <row r="8">
      <c r="B8" s="67" t="inlineStr">
        <is>
          <t> </t>
        </is>
      </c>
      <c r="C8" s="49" t="inlineStr">
        <is>
          <t>CHIFFRE D'AFFAIRES</t>
        </is>
      </c>
      <c r="D8" s="51">
        <f>SUMIFS('06_Compta'!$L$4:$L$675,'06_Compta'!$H$4:$H$675,"Produit",'06_Compta'!$J$4:$J$675,"2024ACT_VDEF")</f>
        <v/>
      </c>
      <c r="E8" s="51">
        <f>SUMIFS('06_Compta'!$L$4:$L$675,'06_Compta'!$H$4:$H$675,"Produit",'06_Compta'!$J$4:$J$675,"2025ACT_VDEF")</f>
        <v/>
      </c>
      <c r="F8" s="51">
        <f>SUMIFS('06_Compta'!$L$4:$L$675,'06_Compta'!$H$4:$H$675,"Produit",'06_Compta'!$J$4:$J$675,"2026ATT_VDEF")</f>
        <v/>
      </c>
      <c r="G8" s="68">
        <f>G5+G6+G7</f>
        <v/>
      </c>
      <c r="H8" s="69">
        <f>IFERROR(G8/F8-1,0)</f>
        <v/>
      </c>
    </row>
    <row r="9" ht="20" customHeight="1">
      <c r="B9" s="64" t="inlineStr">
        <is>
          <t>COÛTS DIRECTS</t>
        </is>
      </c>
      <c r="C9" s="65" t="n"/>
      <c r="D9" s="65" t="n"/>
      <c r="E9" s="65" t="n"/>
      <c r="F9" s="65" t="n"/>
      <c r="G9" s="65" t="n"/>
      <c r="H9" s="65" t="n"/>
    </row>
    <row r="10">
      <c r="B10" s="46" t="inlineStr">
        <is>
          <t>621</t>
        </is>
      </c>
      <c r="C10" s="6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6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6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6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6">
        <f>F13*(1+'01_Cadrage'!$H$16)</f>
        <v/>
      </c>
      <c r="H13" s="16">
        <f>IFERROR(G13/F13-1,0)</f>
        <v/>
      </c>
    </row>
    <row r="14">
      <c r="B14" s="67" t="inlineStr">
        <is>
          <t> </t>
        </is>
      </c>
      <c r="C14" s="49" t="inlineStr">
        <is>
          <t>MARGE DE CONTRIBUTION</t>
        </is>
      </c>
      <c r="D14" s="51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1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1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8">
        <f>G5+G6+G7+G10+G11+G12+G13</f>
        <v/>
      </c>
      <c r="H14" s="69">
        <f>IFERROR(G14/F14-1,0)</f>
        <v/>
      </c>
    </row>
    <row r="15" ht="20" customHeight="1">
      <c r="B15" s="64" t="inlineStr">
        <is>
          <t>PERSONNEL</t>
        </is>
      </c>
      <c r="C15" s="65" t="n"/>
      <c r="D15" s="65" t="n"/>
      <c r="E15" s="65" t="n"/>
      <c r="F15" s="65" t="n"/>
      <c r="G15" s="65" t="n"/>
      <c r="H15" s="65" t="n"/>
    </row>
    <row r="16">
      <c r="B16" s="46" t="inlineStr">
        <is>
          <t>6411</t>
        </is>
      </c>
      <c r="C16" s="6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6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6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6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6">
        <f>F19*((1+'01_Cadrage'!$H$23)*(1+'01_Cadrage'!$H$24))</f>
        <v/>
      </c>
      <c r="H19" s="16">
        <f>IFERROR(G19/F19-1,0)</f>
        <v/>
      </c>
    </row>
    <row r="20" ht="20" customHeight="1">
      <c r="B20" s="64" t="inlineStr">
        <is>
          <t>STRUCTURE</t>
        </is>
      </c>
      <c r="C20" s="65" t="n"/>
      <c r="D20" s="65" t="n"/>
      <c r="E20" s="65" t="n"/>
      <c r="F20" s="65" t="n"/>
      <c r="G20" s="65" t="n"/>
      <c r="H20" s="65" t="n"/>
    </row>
    <row r="21">
      <c r="B21" s="46" t="inlineStr">
        <is>
          <t>613</t>
        </is>
      </c>
      <c r="C21" s="6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6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6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6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6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6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6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6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6">
        <f>F28*((1+'01_Cadrage'!$H$22)*(1-'01_Cadrage'!$H$25)*(1+'01_Cadrage'!$H$26))</f>
        <v/>
      </c>
      <c r="H28" s="16">
        <f>IFERROR(G28/F28-1,0)</f>
        <v/>
      </c>
    </row>
    <row r="29" ht="20" customHeight="1">
      <c r="B29" s="64" t="inlineStr">
        <is>
          <t>IMPÔTS &amp; TAXES</t>
        </is>
      </c>
      <c r="C29" s="65" t="n"/>
      <c r="D29" s="65" t="n"/>
      <c r="E29" s="65" t="n"/>
      <c r="F29" s="65" t="n"/>
      <c r="G29" s="65" t="n"/>
      <c r="H29" s="65" t="n"/>
    </row>
    <row r="30">
      <c r="B30" s="46" t="inlineStr">
        <is>
          <t>6331</t>
        </is>
      </c>
      <c r="C30" s="6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6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6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6">
        <f>F32*((1+'01_Cadrage'!$H$22)*(1-'01_Cadrage'!$H$25))</f>
        <v/>
      </c>
      <c r="H32" s="16">
        <f>IFERROR(G32/F32-1,0)</f>
        <v/>
      </c>
    </row>
    <row r="33">
      <c r="B33" s="67" t="inlineStr">
        <is>
          <t> </t>
        </is>
      </c>
      <c r="C33" s="49" t="inlineStr">
        <is>
          <t>EBITDA</t>
        </is>
      </c>
      <c r="D33" s="51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1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1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8">
        <f>G5+G6+G7+G10+G11+G12+G13+G16+G17+G18+G19+G21+G22+G23+G24+G25+G26+G27+G28+G30+G31+G32</f>
        <v/>
      </c>
      <c r="H33" s="69">
        <f>IFERROR(G33/F33-1,0)</f>
        <v/>
      </c>
    </row>
    <row r="34" ht="20" customHeight="1">
      <c r="B34" s="64" t="inlineStr">
        <is>
          <t>DOTATIONS</t>
        </is>
      </c>
      <c r="C34" s="65" t="n"/>
      <c r="D34" s="65" t="n"/>
      <c r="E34" s="65" t="n"/>
      <c r="F34" s="65" t="n"/>
      <c r="G34" s="65" t="n"/>
      <c r="H34" s="65" t="n"/>
    </row>
    <row r="35">
      <c r="B35" s="46" t="inlineStr">
        <is>
          <t>6811</t>
        </is>
      </c>
      <c r="C35" s="6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6">
        <f>F35*(1+'01_Cadrage'!$H$22)</f>
        <v/>
      </c>
      <c r="H35" s="16">
        <f>IFERROR(G35/F35-1,0)</f>
        <v/>
      </c>
    </row>
    <row r="36">
      <c r="B36" s="67" t="inlineStr">
        <is>
          <t> </t>
        </is>
      </c>
      <c r="C36" s="49" t="inlineStr">
        <is>
          <t>EBIT / RÉSULTAT D'EXPLOITATION</t>
        </is>
      </c>
      <c r="D36" s="51">
        <f>SUMIFS('06_Compta'!$L$4:$L$675,'06_Compta'!$H$4:$H$675,"Produit",'06_Compta'!$J$4:$J$675,"2024ACT_VDEF")-SUMIFS('06_Compta'!$L$4:$L$675,'06_Compta'!$H$4:$H$675,"Charge",'06_Compta'!$J$4:$J$675,"2024ACT_VDEF")</f>
        <v/>
      </c>
      <c r="E36" s="51">
        <f>SUMIFS('06_Compta'!$L$4:$L$675,'06_Compta'!$H$4:$H$675,"Produit",'06_Compta'!$J$4:$J$675,"2025ACT_VDEF")-SUMIFS('06_Compta'!$L$4:$L$675,'06_Compta'!$H$4:$H$675,"Charge",'06_Compta'!$J$4:$J$675,"2025ACT_VDEF")</f>
        <v/>
      </c>
      <c r="F36" s="51">
        <f>SUMIFS('06_Compta'!$L$4:$L$675,'06_Compta'!$H$4:$H$675,"Produit",'06_Compta'!$J$4:$J$675,"2026ATT_VDEF")-SUMIFS('06_Compta'!$L$4:$L$675,'06_Compta'!$H$4:$H$675,"Charge",'06_Compta'!$J$4:$J$675,"2026ATT_VDEF")</f>
        <v/>
      </c>
      <c r="G36" s="68">
        <f>G5+G6+G7+G10+G11+G12+G13+G16+G17+G18+G19+G21+G22+G23+G24+G25+G26+G27+G28+G30+G31+G32+G35</f>
        <v/>
      </c>
      <c r="H36" s="69">
        <f>IFERROR(G36/F36-1,0)</f>
        <v/>
      </c>
    </row>
    <row r="37">
      <c r="C37" s="31" t="inlineStr">
        <is>
          <t>Marge EBITDA %</t>
        </is>
      </c>
      <c r="D37" s="70">
        <f>IFERROR(D33/D8,0)</f>
        <v/>
      </c>
      <c r="E37" s="70">
        <f>IFERROR(E33/E8,0)</f>
        <v/>
      </c>
      <c r="F37" s="70">
        <f>IFERROR(F33/F8,0)</f>
        <v/>
      </c>
      <c r="G37" s="70">
        <f>IFERROR(G33/G8,0)</f>
        <v/>
      </c>
    </row>
    <row r="38">
      <c r="C38" s="31" t="inlineStr">
        <is>
          <t>Marge EBIT %</t>
        </is>
      </c>
      <c r="D38" s="70">
        <f>IFERROR(D36/D8,0)</f>
        <v/>
      </c>
      <c r="E38" s="70">
        <f>IFERROR(E36/E8,0)</f>
        <v/>
      </c>
      <c r="F38" s="70">
        <f>IFERROR(F36/F8,0)</f>
        <v/>
      </c>
      <c r="G38" s="7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1">
        <f>N12</f>
        <v/>
      </c>
      <c r="E4" s="8" t="inlineStr">
        <is>
          <t>Construit (ajusté) :</t>
        </is>
      </c>
      <c r="G4" s="71">
        <f>M12</f>
        <v/>
      </c>
      <c r="I4" s="8" t="inlineStr">
        <is>
          <t>Reste à trouver :</t>
        </is>
      </c>
      <c r="K4" s="7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9" t="inlineStr">
        <is>
          <t>TOTAL CAMPUS</t>
        </is>
      </c>
      <c r="B12" s="50" t="inlineStr">
        <is>
          <t> </t>
        </is>
      </c>
      <c r="C12" s="50" t="inlineStr">
        <is>
          <t> </t>
        </is>
      </c>
      <c r="D12" s="52">
        <f>SUM(D7:D11)</f>
        <v/>
      </c>
      <c r="E12" s="50" t="inlineStr">
        <is>
          <t> </t>
        </is>
      </c>
      <c r="F12" s="50" t="inlineStr">
        <is>
          <t> </t>
        </is>
      </c>
      <c r="G12" s="50" t="inlineStr">
        <is>
          <t> </t>
        </is>
      </c>
      <c r="H12" s="52">
        <f>SUM(H7:H11)</f>
        <v/>
      </c>
      <c r="I12" s="50" t="inlineStr">
        <is>
          <t> </t>
        </is>
      </c>
      <c r="J12" s="50" t="inlineStr">
        <is>
          <t> </t>
        </is>
      </c>
      <c r="K12" s="50" t="inlineStr">
        <is>
          <t> </t>
        </is>
      </c>
      <c r="L12" s="52">
        <f>SUM(L7:L11)</f>
        <v/>
      </c>
      <c r="M12" s="51">
        <f>SUM(M7:M11)</f>
        <v/>
      </c>
      <c r="N12" s="51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3">
        <f>'04_Moteur'!$AA$62</f>
        <v/>
      </c>
      <c r="C3" s="36" t="n"/>
      <c r="D3" s="37" t="n"/>
      <c r="E3" s="73">
        <f>'07_PnL'!$G$33</f>
        <v/>
      </c>
      <c r="F3" s="36" t="n"/>
      <c r="G3" s="37" t="n"/>
      <c r="H3" s="74">
        <f>IFERROR('07_PnL'!$G$33/'04_Moteur'!$AA$62,0)</f>
        <v/>
      </c>
      <c r="I3" s="36" t="n"/>
      <c r="J3" s="37" t="n"/>
      <c r="K3" s="75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3">
        <f>'01_Cadrage'!F7</f>
        <v/>
      </c>
      <c r="C6" s="36" t="n"/>
      <c r="D6" s="37" t="n"/>
      <c r="E6" s="76">
        <f>'01_Cadrage'!D12</f>
        <v/>
      </c>
      <c r="F6" s="36" t="n"/>
      <c r="G6" s="37" t="n"/>
      <c r="H6" s="73">
        <f>IFERROR(SUM('03_Campagnes'!$K$4:$K$17)/SUM('03_Campagnes'!$L$4:$L$17),0)</f>
        <v/>
      </c>
      <c r="I6" s="36" t="n"/>
      <c r="J6" s="37" t="n"/>
      <c r="K6" s="73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7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1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1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9" t="inlineStr">
        <is>
          <t>→ CA Budget construit</t>
        </is>
      </c>
      <c r="D14" s="51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1" t="inlineStr">
        <is>
          <t>+ Effet CA (à marge réf.)</t>
        </is>
      </c>
      <c r="D18" s="15">
        <f>('04_Moteur'!$AA$62-22544725)*IFERROR('07_PnL'!$F$33/22544725,0)</f>
        <v/>
      </c>
    </row>
    <row r="19">
      <c r="B19" s="61" t="inlineStr">
        <is>
          <t>+ Effet coûts &amp; levier op.</t>
        </is>
      </c>
      <c r="D19" s="15">
        <f>'07_PnL'!$G$33-'07_PnL'!$F$33-D18</f>
        <v/>
      </c>
    </row>
    <row r="20">
      <c r="B20" s="49" t="inlineStr">
        <is>
          <t>→ EBITDA Budget construit</t>
        </is>
      </c>
      <c r="D20" s="51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8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8">
        <f>'01b_Pilotage'!$D$8</f>
        <v/>
      </c>
    </row>
    <row r="5">
      <c r="B5" s="8" t="inlineStr">
        <is>
          <t>Niveau 3 — Campus → Classe, clé (CFO) :</t>
        </is>
      </c>
      <c r="E5" s="78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F8*0.12+0.021*SUMIFS('02_Socle'!$U$4:$U$61,'02_Socle'!$A$4:$A$61,A8,'02_Socle'!$B$4:$B$61,B8)*IFERROR('02_Socle'!K4/SUMIFS('02_Socle'!$K$4:$K$61,'02_Socle'!$A$4:$A$61,A8,'02_Socle'!$B$4:$B$61,B8),0)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9" t="n">
        <v>0</v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F9*0.12+0.021*SUMIFS('02_Socle'!$U$4:$U$61,'02_Socle'!$A$4:$A$61,A9,'02_Socle'!$B$4:$B$61,B9)*IFERROR('02_Socle'!K5/SUMIFS('02_Socle'!$K$4:$K$61,'02_Socle'!$A$4:$A$61,A9,'02_Socle'!$B$4:$B$61,B9),0)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9" t="n">
        <v>0</v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F10*0.12+0.021*SUMIFS('02_Socle'!$U$4:$U$61,'02_Socle'!$A$4:$A$61,A10,'02_Socle'!$B$4:$B$61,B10)*IFERROR('02_Socle'!K6/SUMIFS('02_Socle'!$K$4:$K$61,'02_Socle'!$A$4:$A$61,A10,'02_Socle'!$B$4:$B$61,B10),0)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9" t="n">
        <v>0</v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F11*0.12+0.021*SUMIFS('02_Socle'!$U$4:$U$61,'02_Socle'!$A$4:$A$61,A11,'02_Socle'!$B$4:$B$61,B11)*IFERROR('02_Socle'!K7/SUMIFS('02_Socle'!$K$4:$K$61,'02_Socle'!$A$4:$A$61,A11,'02_Socle'!$B$4:$B$61,B11),0)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9" t="n">
        <v>0</v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F12*0.12+0.021*SUMIFS('02_Socle'!$U$4:$U$61,'02_Socle'!$A$4:$A$61,A12,'02_Socle'!$B$4:$B$61,B12)*IFERROR('02_Socle'!K8/SUMIFS('02_Socle'!$K$4:$K$61,'02_Socle'!$A$4:$A$61,A12,'02_Socle'!$B$4:$B$61,B12),0)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9" t="n">
        <v>0</v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F13*0.12+0.021*SUMIFS('02_Socle'!$U$4:$U$61,'02_Socle'!$A$4:$A$61,A13,'02_Socle'!$B$4:$B$61,B13)*IFERROR('02_Socle'!K9/SUMIFS('02_Socle'!$K$4:$K$61,'02_Socle'!$A$4:$A$61,A13,'02_Socle'!$B$4:$B$61,B13),0)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9" t="n">
        <v>0</v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F14*0.12+0.021*SUMIFS('02_Socle'!$U$4:$U$61,'02_Socle'!$A$4:$A$61,A14,'02_Socle'!$B$4:$B$61,B14)*IFERROR('02_Socle'!K10/SUMIFS('02_Socle'!$K$4:$K$61,'02_Socle'!$A$4:$A$61,A14,'02_Socle'!$B$4:$B$61,B14),0)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9" t="n">
        <v>0</v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F15*0.12+0.021*SUMIFS('02_Socle'!$U$4:$U$61,'02_Socle'!$A$4:$A$61,A15,'02_Socle'!$B$4:$B$61,B15)*IFERROR('02_Socle'!K11/SUMIFS('02_Socle'!$K$4:$K$61,'02_Socle'!$A$4:$A$61,A15,'02_Socle'!$B$4:$B$61,B15),0)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9" t="n">
        <v>0</v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F16*0.12+0.021*SUMIFS('02_Socle'!$U$4:$U$61,'02_Socle'!$A$4:$A$61,A16,'02_Socle'!$B$4:$B$61,B16)*IFERROR('02_Socle'!K12/SUMIFS('02_Socle'!$K$4:$K$61,'02_Socle'!$A$4:$A$61,A16,'02_Socle'!$B$4:$B$61,B16),0)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9" t="n">
        <v>0</v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F17*0.12+0.021*SUMIFS('02_Socle'!$U$4:$U$61,'02_Socle'!$A$4:$A$61,A17,'02_Socle'!$B$4:$B$61,B17)*IFERROR('02_Socle'!K13/SUMIFS('02_Socle'!$K$4:$K$61,'02_Socle'!$A$4:$A$61,A17,'02_Socle'!$B$4:$B$61,B17),0)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9" t="n">
        <v>0</v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F18*0.12+0.021*SUMIFS('02_Socle'!$U$4:$U$61,'02_Socle'!$A$4:$A$61,A18,'02_Socle'!$B$4:$B$61,B18)*IFERROR('02_Socle'!K14/SUMIFS('02_Socle'!$K$4:$K$61,'02_Socle'!$A$4:$A$61,A18,'02_Socle'!$B$4:$B$61,B18),0)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9" t="n">
        <v>0</v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F19*0.12+0.021*SUMIFS('02_Socle'!$U$4:$U$61,'02_Socle'!$A$4:$A$61,A19,'02_Socle'!$B$4:$B$61,B19)*IFERROR('02_Socle'!K15/SUMIFS('02_Socle'!$K$4:$K$61,'02_Socle'!$A$4:$A$61,A19,'02_Socle'!$B$4:$B$61,B19),0)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9" t="n">
        <v>0</v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F20*0.12+0.021*SUMIFS('02_Socle'!$U$4:$U$61,'02_Socle'!$A$4:$A$61,A20,'02_Socle'!$B$4:$B$61,B20)*IFERROR('02_Socle'!K16/SUMIFS('02_Socle'!$K$4:$K$61,'02_Socle'!$A$4:$A$61,A20,'02_Socle'!$B$4:$B$61,B20),0)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9" t="n">
        <v>0</v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F21*0.12+0.021*SUMIFS('02_Socle'!$U$4:$U$61,'02_Socle'!$A$4:$A$61,A21,'02_Socle'!$B$4:$B$61,B21)*IFERROR('02_Socle'!K17/SUMIFS('02_Socle'!$K$4:$K$61,'02_Socle'!$A$4:$A$61,A21,'02_Socle'!$B$4:$B$61,B21),0)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9" t="n">
        <v>0</v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F22*0.12+0.021*SUMIFS('02_Socle'!$U$4:$U$61,'02_Socle'!$A$4:$A$61,A22,'02_Socle'!$B$4:$B$61,B22)*IFERROR('02_Socle'!K18/SUMIFS('02_Socle'!$K$4:$K$61,'02_Socle'!$A$4:$A$61,A22,'02_Socle'!$B$4:$B$61,B22),0)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9" t="n">
        <v>0</v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F23*0.12+0.021*SUMIFS('02_Socle'!$U$4:$U$61,'02_Socle'!$A$4:$A$61,A23,'02_Socle'!$B$4:$B$61,B23)*IFERROR('02_Socle'!K19/SUMIFS('02_Socle'!$K$4:$K$61,'02_Socle'!$A$4:$A$61,A23,'02_Socle'!$B$4:$B$61,B23),0)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9" t="n">
        <v>0</v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F24*0.12+0.021*SUMIFS('02_Socle'!$U$4:$U$61,'02_Socle'!$A$4:$A$61,A24,'02_Socle'!$B$4:$B$61,B24)*IFERROR('02_Socle'!K20/SUMIFS('02_Socle'!$K$4:$K$61,'02_Socle'!$A$4:$A$61,A24,'02_Socle'!$B$4:$B$61,B24),0)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9" t="n">
        <v>0</v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F25*0.12+0.021*SUMIFS('02_Socle'!$U$4:$U$61,'02_Socle'!$A$4:$A$61,A25,'02_Socle'!$B$4:$B$61,B25)*IFERROR('02_Socle'!K21/SUMIFS('02_Socle'!$K$4:$K$61,'02_Socle'!$A$4:$A$61,A25,'02_Socle'!$B$4:$B$61,B25),0)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9" t="n">
        <v>0</v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F26*0.12+0.021*SUMIFS('02_Socle'!$U$4:$U$61,'02_Socle'!$A$4:$A$61,A26,'02_Socle'!$B$4:$B$61,B26)*IFERROR('02_Socle'!K22/SUMIFS('02_Socle'!$K$4:$K$61,'02_Socle'!$A$4:$A$61,A26,'02_Socle'!$B$4:$B$61,B26),0)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9" t="n">
        <v>0</v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F27*0.12+0.021*SUMIFS('02_Socle'!$U$4:$U$61,'02_Socle'!$A$4:$A$61,A27,'02_Socle'!$B$4:$B$61,B27)*IFERROR('02_Socle'!K23/SUMIFS('02_Socle'!$K$4:$K$61,'02_Socle'!$A$4:$A$61,A27,'02_Socle'!$B$4:$B$61,B27),0)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9" t="n">
        <v>0</v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F28*0.12+0.021*SUMIFS('02_Socle'!$U$4:$U$61,'02_Socle'!$A$4:$A$61,A28,'02_Socle'!$B$4:$B$61,B28)*IFERROR('02_Socle'!K24/SUMIFS('02_Socle'!$K$4:$K$61,'02_Socle'!$A$4:$A$61,A28,'02_Socle'!$B$4:$B$61,B28),0)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9" t="n">
        <v>0</v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F29*0.12+0.021*SUMIFS('02_Socle'!$U$4:$U$61,'02_Socle'!$A$4:$A$61,A29,'02_Socle'!$B$4:$B$61,B29)*IFERROR('02_Socle'!K25/SUMIFS('02_Socle'!$K$4:$K$61,'02_Socle'!$A$4:$A$61,A29,'02_Socle'!$B$4:$B$61,B29),0)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9" t="n">
        <v>0</v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F30*0.12+0.021*SUMIFS('02_Socle'!$U$4:$U$61,'02_Socle'!$A$4:$A$61,A30,'02_Socle'!$B$4:$B$61,B30)*IFERROR('02_Socle'!K26/SUMIFS('02_Socle'!$K$4:$K$61,'02_Socle'!$A$4:$A$61,A30,'02_Socle'!$B$4:$B$61,B30),0)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9" t="n">
        <v>0</v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F31*0.12+0.021*SUMIFS('02_Socle'!$U$4:$U$61,'02_Socle'!$A$4:$A$61,A31,'02_Socle'!$B$4:$B$61,B31)*IFERROR('02_Socle'!K27/SUMIFS('02_Socle'!$K$4:$K$61,'02_Socle'!$A$4:$A$61,A31,'02_Socle'!$B$4:$B$61,B31),0)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9" t="n">
        <v>0</v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F32*0.12+0.021*SUMIFS('02_Socle'!$U$4:$U$61,'02_Socle'!$A$4:$A$61,A32,'02_Socle'!$B$4:$B$61,B32)*IFERROR('02_Socle'!K28/SUMIFS('02_Socle'!$K$4:$K$61,'02_Socle'!$A$4:$A$61,A32,'02_Socle'!$B$4:$B$61,B32),0)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9" t="n">
        <v>0</v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F33*0.12+0.021*SUMIFS('02_Socle'!$U$4:$U$61,'02_Socle'!$A$4:$A$61,A33,'02_Socle'!$B$4:$B$61,B33)*IFERROR('02_Socle'!K29/SUMIFS('02_Socle'!$K$4:$K$61,'02_Socle'!$A$4:$A$61,A33,'02_Socle'!$B$4:$B$61,B33),0)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9" t="n">
        <v>0</v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F34*0.12+0.021*SUMIFS('02_Socle'!$U$4:$U$61,'02_Socle'!$A$4:$A$61,A34,'02_Socle'!$B$4:$B$61,B34)*IFERROR('02_Socle'!K30/SUMIFS('02_Socle'!$K$4:$K$61,'02_Socle'!$A$4:$A$61,A34,'02_Socle'!$B$4:$B$61,B34),0)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9" t="n">
        <v>0</v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F35*0.12+0.021*SUMIFS('02_Socle'!$U$4:$U$61,'02_Socle'!$A$4:$A$61,A35,'02_Socle'!$B$4:$B$61,B35)*IFERROR('02_Socle'!K31/SUMIFS('02_Socle'!$K$4:$K$61,'02_Socle'!$A$4:$A$61,A35,'02_Socle'!$B$4:$B$61,B35),0)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9" t="n">
        <v>0</v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F36*0.12+0.021*SUMIFS('02_Socle'!$U$4:$U$61,'02_Socle'!$A$4:$A$61,A36,'02_Socle'!$B$4:$B$61,B36)*IFERROR('02_Socle'!K32/SUMIFS('02_Socle'!$K$4:$K$61,'02_Socle'!$A$4:$A$61,A36,'02_Socle'!$B$4:$B$61,B36),0)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9" t="n">
        <v>0</v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F37*0.12+0.021*SUMIFS('02_Socle'!$U$4:$U$61,'02_Socle'!$A$4:$A$61,A37,'02_Socle'!$B$4:$B$61,B37)*IFERROR('02_Socle'!K33/SUMIFS('02_Socle'!$K$4:$K$61,'02_Socle'!$A$4:$A$61,A37,'02_Socle'!$B$4:$B$61,B37),0)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9" t="n">
        <v>0</v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F38*0.12+0.021*SUMIFS('02_Socle'!$U$4:$U$61,'02_Socle'!$A$4:$A$61,A38,'02_Socle'!$B$4:$B$61,B38)*IFERROR('02_Socle'!K34/SUMIFS('02_Socle'!$K$4:$K$61,'02_Socle'!$A$4:$A$61,A38,'02_Socle'!$B$4:$B$61,B38),0)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9" t="n">
        <v>0</v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F39*0.12+0.021*SUMIFS('02_Socle'!$U$4:$U$61,'02_Socle'!$A$4:$A$61,A39,'02_Socle'!$B$4:$B$61,B39)*IFERROR('02_Socle'!K35/SUMIFS('02_Socle'!$K$4:$K$61,'02_Socle'!$A$4:$A$61,A39,'02_Socle'!$B$4:$B$61,B39),0)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9" t="n">
        <v>0</v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F40*0.12+0.021*SUMIFS('02_Socle'!$U$4:$U$61,'02_Socle'!$A$4:$A$61,A40,'02_Socle'!$B$4:$B$61,B40)*IFERROR('02_Socle'!K36/SUMIFS('02_Socle'!$K$4:$K$61,'02_Socle'!$A$4:$A$61,A40,'02_Socle'!$B$4:$B$61,B40),0)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9" t="n">
        <v>0</v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F41*0.12+0.021*SUMIFS('02_Socle'!$U$4:$U$61,'02_Socle'!$A$4:$A$61,A41,'02_Socle'!$B$4:$B$61,B41)*IFERROR('02_Socle'!K37/SUMIFS('02_Socle'!$K$4:$K$61,'02_Socle'!$A$4:$A$61,A41,'02_Socle'!$B$4:$B$61,B41),0)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9" t="n">
        <v>0</v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F42*0.12+0.021*SUMIFS('02_Socle'!$U$4:$U$61,'02_Socle'!$A$4:$A$61,A42,'02_Socle'!$B$4:$B$61,B42)*IFERROR('02_Socle'!K38/SUMIFS('02_Socle'!$K$4:$K$61,'02_Socle'!$A$4:$A$61,A42,'02_Socle'!$B$4:$B$61,B42),0)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9" t="n">
        <v>0</v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F43*0.12+0.021*SUMIFS('02_Socle'!$U$4:$U$61,'02_Socle'!$A$4:$A$61,A43,'02_Socle'!$B$4:$B$61,B43)*IFERROR('02_Socle'!K39/SUMIFS('02_Socle'!$K$4:$K$61,'02_Socle'!$A$4:$A$61,A43,'02_Socle'!$B$4:$B$61,B43),0)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9" t="n">
        <v>0</v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F44*0.12+0.021*SUMIFS('02_Socle'!$U$4:$U$61,'02_Socle'!$A$4:$A$61,A44,'02_Socle'!$B$4:$B$61,B44)*IFERROR('02_Socle'!K40/SUMIFS('02_Socle'!$K$4:$K$61,'02_Socle'!$A$4:$A$61,A44,'02_Socle'!$B$4:$B$61,B44),0)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9" t="n">
        <v>0</v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F45*0.12+0.021*SUMIFS('02_Socle'!$U$4:$U$61,'02_Socle'!$A$4:$A$61,A45,'02_Socle'!$B$4:$B$61,B45)*IFERROR('02_Socle'!K41/SUMIFS('02_Socle'!$K$4:$K$61,'02_Socle'!$A$4:$A$61,A45,'02_Socle'!$B$4:$B$61,B45),0)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9" t="n">
        <v>0</v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F46*0.12+0.021*SUMIFS('02_Socle'!$U$4:$U$61,'02_Socle'!$A$4:$A$61,A46,'02_Socle'!$B$4:$B$61,B46)*IFERROR('02_Socle'!K42/SUMIFS('02_Socle'!$K$4:$K$61,'02_Socle'!$A$4:$A$61,A46,'02_Socle'!$B$4:$B$61,B46),0)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9" t="n">
        <v>0</v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F47*0.12+0.021*SUMIFS('02_Socle'!$U$4:$U$61,'02_Socle'!$A$4:$A$61,A47,'02_Socle'!$B$4:$B$61,B47)*IFERROR('02_Socle'!K43/SUMIFS('02_Socle'!$K$4:$K$61,'02_Socle'!$A$4:$A$61,A47,'02_Socle'!$B$4:$B$61,B47),0)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9" t="n">
        <v>0</v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F48*0.12+0.021*SUMIFS('02_Socle'!$U$4:$U$61,'02_Socle'!$A$4:$A$61,A48,'02_Socle'!$B$4:$B$61,B48)*IFERROR('02_Socle'!K44/SUMIFS('02_Socle'!$K$4:$K$61,'02_Socle'!$A$4:$A$61,A48,'02_Socle'!$B$4:$B$61,B48),0)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9" t="n">
        <v>0</v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F49*0.12+0.021*SUMIFS('02_Socle'!$U$4:$U$61,'02_Socle'!$A$4:$A$61,A49,'02_Socle'!$B$4:$B$61,B49)*IFERROR('02_Socle'!K45/SUMIFS('02_Socle'!$K$4:$K$61,'02_Socle'!$A$4:$A$61,A49,'02_Socle'!$B$4:$B$61,B49),0)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9" t="n">
        <v>0</v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F50*0.12+0.021*SUMIFS('02_Socle'!$U$4:$U$61,'02_Socle'!$A$4:$A$61,A50,'02_Socle'!$B$4:$B$61,B50)*IFERROR('02_Socle'!K46/SUMIFS('02_Socle'!$K$4:$K$61,'02_Socle'!$A$4:$A$61,A50,'02_Socle'!$B$4:$B$61,B50),0)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9" t="n">
        <v>0</v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F51*0.12+0.021*SUMIFS('02_Socle'!$U$4:$U$61,'02_Socle'!$A$4:$A$61,A51,'02_Socle'!$B$4:$B$61,B51)*IFERROR('02_Socle'!K47/SUMIFS('02_Socle'!$K$4:$K$61,'02_Socle'!$A$4:$A$61,A51,'02_Socle'!$B$4:$B$61,B51),0)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9" t="n">
        <v>0</v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F52*0.12+0.021*SUMIFS('02_Socle'!$U$4:$U$61,'02_Socle'!$A$4:$A$61,A52,'02_Socle'!$B$4:$B$61,B52)*IFERROR('02_Socle'!K48/SUMIFS('02_Socle'!$K$4:$K$61,'02_Socle'!$A$4:$A$61,A52,'02_Socle'!$B$4:$B$61,B52),0)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9" t="n">
        <v>0</v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F53*0.12+0.021*SUMIFS('02_Socle'!$U$4:$U$61,'02_Socle'!$A$4:$A$61,A53,'02_Socle'!$B$4:$B$61,B53)*IFERROR('02_Socle'!K49/SUMIFS('02_Socle'!$K$4:$K$61,'02_Socle'!$A$4:$A$61,A53,'02_Socle'!$B$4:$B$61,B53),0)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9" t="n">
        <v>0</v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F54*0.12+0.021*SUMIFS('02_Socle'!$U$4:$U$61,'02_Socle'!$A$4:$A$61,A54,'02_Socle'!$B$4:$B$61,B54)*IFERROR('02_Socle'!K50/SUMIFS('02_Socle'!$K$4:$K$61,'02_Socle'!$A$4:$A$61,A54,'02_Socle'!$B$4:$B$61,B54),0)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9" t="n">
        <v>0</v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F55*0.12+0.021*SUMIFS('02_Socle'!$U$4:$U$61,'02_Socle'!$A$4:$A$61,A55,'02_Socle'!$B$4:$B$61,B55)*IFERROR('02_Socle'!K51/SUMIFS('02_Socle'!$K$4:$K$61,'02_Socle'!$A$4:$A$61,A55,'02_Socle'!$B$4:$B$61,B55),0)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9" t="n">
        <v>0</v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F56*0.12+0.021*SUMIFS('02_Socle'!$U$4:$U$61,'02_Socle'!$A$4:$A$61,A56,'02_Socle'!$B$4:$B$61,B56)*IFERROR('02_Socle'!K52/SUMIFS('02_Socle'!$K$4:$K$61,'02_Socle'!$A$4:$A$61,A56,'02_Socle'!$B$4:$B$61,B56),0)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9" t="n">
        <v>0</v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F57*0.12+0.021*SUMIFS('02_Socle'!$U$4:$U$61,'02_Socle'!$A$4:$A$61,A57,'02_Socle'!$B$4:$B$61,B57)*IFERROR('02_Socle'!K53/SUMIFS('02_Socle'!$K$4:$K$61,'02_Socle'!$A$4:$A$61,A57,'02_Socle'!$B$4:$B$61,B57),0)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9" t="n">
        <v>0</v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F58*0.12+0.021*SUMIFS('02_Socle'!$U$4:$U$61,'02_Socle'!$A$4:$A$61,A58,'02_Socle'!$B$4:$B$61,B58)*IFERROR('02_Socle'!K54/SUMIFS('02_Socle'!$K$4:$K$61,'02_Socle'!$A$4:$A$61,A58,'02_Socle'!$B$4:$B$61,B58),0)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9" t="n">
        <v>0</v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F59*0.12+0.021*SUMIFS('02_Socle'!$U$4:$U$61,'02_Socle'!$A$4:$A$61,A59,'02_Socle'!$B$4:$B$61,B59)*IFERROR('02_Socle'!K55/SUMIFS('02_Socle'!$K$4:$K$61,'02_Socle'!$A$4:$A$61,A59,'02_Socle'!$B$4:$B$61,B59),0)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9" t="n">
        <v>0</v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F60*0.12+0.021*SUMIFS('02_Socle'!$U$4:$U$61,'02_Socle'!$A$4:$A$61,A60,'02_Socle'!$B$4:$B$61,B60)*IFERROR('02_Socle'!K56/SUMIFS('02_Socle'!$K$4:$K$61,'02_Socle'!$A$4:$A$61,A60,'02_Socle'!$B$4:$B$61,B60),0)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9" t="n">
        <v>0</v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F61*0.12+0.021*SUMIFS('02_Socle'!$U$4:$U$61,'02_Socle'!$A$4:$A$61,A61,'02_Socle'!$B$4:$B$61,B61)*IFERROR('02_Socle'!K57/SUMIFS('02_Socle'!$K$4:$K$61,'02_Socle'!$A$4:$A$61,A61,'02_Socle'!$B$4:$B$61,B61),0)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9" t="n">
        <v>0</v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F62*0.12+0.021*SUMIFS('02_Socle'!$U$4:$U$61,'02_Socle'!$A$4:$A$61,A62,'02_Socle'!$B$4:$B$61,B62)*IFERROR('02_Socle'!K58/SUMIFS('02_Socle'!$K$4:$K$61,'02_Socle'!$A$4:$A$61,A62,'02_Socle'!$B$4:$B$61,B62),0)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9" t="n">
        <v>0</v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F63*0.12+0.021*SUMIFS('02_Socle'!$U$4:$U$61,'02_Socle'!$A$4:$A$61,A63,'02_Socle'!$B$4:$B$61,B63)*IFERROR('02_Socle'!K59/SUMIFS('02_Socle'!$K$4:$K$61,'02_Socle'!$A$4:$A$61,A63,'02_Socle'!$B$4:$B$61,B63),0)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9" t="n">
        <v>0</v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F64*0.12+0.021*SUMIFS('02_Socle'!$U$4:$U$61,'02_Socle'!$A$4:$A$61,A64,'02_Socle'!$B$4:$B$61,B64)*IFERROR('02_Socle'!K60/SUMIFS('02_Socle'!$K$4:$K$61,'02_Socle'!$A$4:$A$61,A64,'02_Socle'!$B$4:$B$61,B64),0)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9" t="n">
        <v>0</v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F65*0.12+0.021*SUMIFS('02_Socle'!$U$4:$U$61,'02_Socle'!$A$4:$A$61,A65,'02_Socle'!$B$4:$B$61,B65)*IFERROR('02_Socle'!K61/SUMIFS('02_Socle'!$K$4:$K$61,'02_Socle'!$A$4:$A$61,A65,'02_Socle'!$B$4:$B$61,B65),0)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9" t="n">
        <v>0</v>
      </c>
    </row>
    <row r="66">
      <c r="A66" s="49" t="inlineStr">
        <is>
          <t>TOTAL</t>
        </is>
      </c>
      <c r="B66" s="50" t="inlineStr">
        <is>
          <t> </t>
        </is>
      </c>
      <c r="C66" s="50" t="inlineStr">
        <is>
          <t> </t>
        </is>
      </c>
      <c r="D66" s="50" t="inlineStr">
        <is>
          <t> </t>
        </is>
      </c>
      <c r="E66" s="50" t="inlineStr">
        <is>
          <t> </t>
        </is>
      </c>
      <c r="F66" s="51">
        <f>SUM(F8:F65)</f>
        <v/>
      </c>
      <c r="G66" s="52">
        <f>SUM(G8:G65)</f>
        <v/>
      </c>
      <c r="H66" s="52">
        <f>SUM(H8:H65)</f>
        <v/>
      </c>
      <c r="I66" s="51">
        <f>SUM(I8:I65)</f>
        <v/>
      </c>
      <c r="J66" s="51">
        <f>SUM(J8:J65)</f>
        <v/>
      </c>
      <c r="K66" s="51">
        <f>SUM(K8:K65)</f>
        <v/>
      </c>
      <c r="L66" s="51">
        <f>SUM(L8:L65)</f>
        <v/>
      </c>
      <c r="M66" s="51">
        <f>IFERROR(L66/G66,0)</f>
        <v/>
      </c>
      <c r="N66" s="51">
        <f>IFERROR(L66/H66,0)</f>
        <v/>
      </c>
      <c r="O66" s="51">
        <f>IFERROR(F66/G66-M66,0)</f>
        <v/>
      </c>
      <c r="P66" s="80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1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2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3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3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3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3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3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3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0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1" customWidth="1" min="13" max="13"/>
    <col width="12" customWidth="1" min="14" max="14"/>
    <col width="15" customWidth="1" min="15" max="15"/>
    <col width="12" customWidth="1" min="16" max="16"/>
    <col width="42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4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🔵 Décision</t>
        </is>
      </c>
      <c r="N5" s="11" t="inlineStr">
        <is>
          <t>Structure APRÈS</t>
        </is>
      </c>
      <c r="O5" s="11" t="inlineStr">
        <is>
          <t>Marge complète APRÈS</t>
        </is>
      </c>
      <c r="P5" s="11" t="inlineStr">
        <is>
          <t>Impact EBITDA</t>
        </is>
      </c>
      <c r="Q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R6+S6</f>
        <v/>
      </c>
      <c r="K6" s="15">
        <f>H6+J6</f>
        <v/>
      </c>
      <c r="L6" s="14">
        <f>G6-K6</f>
        <v/>
      </c>
      <c r="M6" s="9" t="inlineStr">
        <is>
          <t>Garder</t>
        </is>
      </c>
      <c r="N6" s="15">
        <f>IF(M6="Fermer","—",(R6+IFERROR(SUMIFS($R$6:$R$63,$A$6:$A$63,A6,$B$6:$B$63,B6,$M$6:$M$63,"Fermer")*T6/SUMIFS($T$6:$T$63,$A$6:$A$63,A6,$B$6:$B$63,B6,$M$6:$M$63,"&lt;&gt;Fermer"),0))+(S6+IFERROR(SUMIFS($S$6:$S$63,$M$6:$M$63,"Fermer")*T6/SUMIFS($T$6:$T$63,$M$6:$M$63,"&lt;&gt;Fermer"),0)))</f>
        <v/>
      </c>
      <c r="O6" s="14">
        <f>IF(M6="Fermer","—",G6-H6-N6)</f>
        <v/>
      </c>
      <c r="P6" s="15">
        <f>IF(M6="Fermer",-I6,0)</f>
        <v/>
      </c>
      <c r="Q6" s="61">
        <f>IF(M6="Fermer","✖ Fermer = −"&amp;TEXT(I6,"# ##0")&amp;" € d'EBITDA (le fixe reste)",IF(AND(L6&gt;=0,O6&lt;0),"⚠ BASCULE : saine → déficit à cause d'une fermeture voisine",IF(L6&lt;0,IF(I6&gt;0,"Déficit COMPLET mais contribution POSITIVE → NE PAS fermer (artefact d'allocation)","Contribution négative — vrai point dur"),"Rentable en coût complet")))</f>
        <v/>
      </c>
      <c r="R6" s="85">
        <f>'10_Allocation'!K8</f>
        <v/>
      </c>
      <c r="S6" s="85">
        <f>'10_Allocation'!J8</f>
        <v/>
      </c>
      <c r="T6" s="86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R7+S7</f>
        <v/>
      </c>
      <c r="K7" s="15">
        <f>H7+J7</f>
        <v/>
      </c>
      <c r="L7" s="14">
        <f>G7-K7</f>
        <v/>
      </c>
      <c r="M7" s="87" t="inlineStr">
        <is>
          <t>cohorte</t>
        </is>
      </c>
      <c r="N7" s="15">
        <f>IF(M7="Fermer","—",(R7+IFERROR(SUMIFS($R$6:$R$63,$A$6:$A$63,A7,$B$6:$B$63,B7,$M$6:$M$63,"Fermer")*T7/SUMIFS($T$6:$T$63,$A$6:$A$63,A7,$B$6:$B$63,B7,$M$6:$M$63,"&lt;&gt;Fermer"),0))+(S7+IFERROR(SUMIFS($S$6:$S$63,$M$6:$M$63,"Fermer")*T7/SUMIFS($T$6:$T$63,$M$6:$M$63,"&lt;&gt;Fermer"),0)))</f>
        <v/>
      </c>
      <c r="O7" s="14">
        <f>IF(M7="Fermer","—",G7-H7-N7)</f>
        <v/>
      </c>
      <c r="P7" s="15">
        <f>IF(M7="Fermer",-I7,0)</f>
        <v/>
      </c>
      <c r="Q7" s="61">
        <f>IF(M7="Fermer","✖ Fermer = −"&amp;TEXT(I7,"# ##0")&amp;" € d'EBITDA (le fixe reste)",IF(AND(L7&gt;=0,O7&lt;0),"⚠ BASCULE : saine → déficit à cause d'une fermeture voisine",IF(L7&lt;0,IF(I7&gt;0,"Déficit COMPLET mais contribution POSITIVE → NE PAS fermer (artefact d'allocation)","Contribution négative — vrai point dur"),"Rentable en coût complet")))</f>
        <v/>
      </c>
      <c r="R7" s="85">
        <f>'10_Allocation'!K9</f>
        <v/>
      </c>
      <c r="S7" s="85">
        <f>'10_Allocation'!J9</f>
        <v/>
      </c>
      <c r="T7" s="86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R8+S8</f>
        <v/>
      </c>
      <c r="K8" s="15">
        <f>H8+J8</f>
        <v/>
      </c>
      <c r="L8" s="14">
        <f>G8-K8</f>
        <v/>
      </c>
      <c r="M8" s="87" t="inlineStr">
        <is>
          <t>cohorte</t>
        </is>
      </c>
      <c r="N8" s="15">
        <f>IF(M8="Fermer","—",(R8+IFERROR(SUMIFS($R$6:$R$63,$A$6:$A$63,A8,$B$6:$B$63,B8,$M$6:$M$63,"Fermer")*T8/SUMIFS($T$6:$T$63,$A$6:$A$63,A8,$B$6:$B$63,B8,$M$6:$M$63,"&lt;&gt;Fermer"),0))+(S8+IFERROR(SUMIFS($S$6:$S$63,$M$6:$M$63,"Fermer")*T8/SUMIFS($T$6:$T$63,$M$6:$M$63,"&lt;&gt;Fermer"),0)))</f>
        <v/>
      </c>
      <c r="O8" s="14">
        <f>IF(M8="Fermer","—",G8-H8-N8)</f>
        <v/>
      </c>
      <c r="P8" s="15">
        <f>IF(M8="Fermer",-I8,0)</f>
        <v/>
      </c>
      <c r="Q8" s="61">
        <f>IF(M8="Fermer","✖ Fermer = −"&amp;TEXT(I8,"# ##0")&amp;" € d'EBITDA (le fixe reste)",IF(AND(L8&gt;=0,O8&lt;0),"⚠ BASCULE : saine → déficit à cause d'une fermeture voisine",IF(L8&lt;0,IF(I8&gt;0,"Déficit COMPLET mais contribution POSITIVE → NE PAS fermer (artefact d'allocation)","Contribution négative — vrai point dur"),"Rentable en coût complet")))</f>
        <v/>
      </c>
      <c r="R8" s="85">
        <f>'10_Allocation'!K10</f>
        <v/>
      </c>
      <c r="S8" s="85">
        <f>'10_Allocation'!J10</f>
        <v/>
      </c>
      <c r="T8" s="86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R9+S9</f>
        <v/>
      </c>
      <c r="K9" s="15">
        <f>H9+J9</f>
        <v/>
      </c>
      <c r="L9" s="14">
        <f>G9-K9</f>
        <v/>
      </c>
      <c r="M9" s="9" t="inlineStr">
        <is>
          <t>Garder</t>
        </is>
      </c>
      <c r="N9" s="15">
        <f>IF(M9="Fermer","—",(R9+IFERROR(SUMIFS($R$6:$R$63,$A$6:$A$63,A9,$B$6:$B$63,B9,$M$6:$M$63,"Fermer")*T9/SUMIFS($T$6:$T$63,$A$6:$A$63,A9,$B$6:$B$63,B9,$M$6:$M$63,"&lt;&gt;Fermer"),0))+(S9+IFERROR(SUMIFS($S$6:$S$63,$M$6:$M$63,"Fermer")*T9/SUMIFS($T$6:$T$63,$M$6:$M$63,"&lt;&gt;Fermer"),0)))</f>
        <v/>
      </c>
      <c r="O9" s="14">
        <f>IF(M9="Fermer","—",G9-H9-N9)</f>
        <v/>
      </c>
      <c r="P9" s="15">
        <f>IF(M9="Fermer",-I9,0)</f>
        <v/>
      </c>
      <c r="Q9" s="61">
        <f>IF(M9="Fermer","✖ Fermer = −"&amp;TEXT(I9,"# ##0")&amp;" € d'EBITDA (le fixe reste)",IF(AND(L9&gt;=0,O9&lt;0),"⚠ BASCULE : saine → déficit à cause d'une fermeture voisine",IF(L9&lt;0,IF(I9&gt;0,"Déficit COMPLET mais contribution POSITIVE → NE PAS fermer (artefact d'allocation)","Contribution négative — vrai point dur"),"Rentable en coût complet")))</f>
        <v/>
      </c>
      <c r="R9" s="85">
        <f>'10_Allocation'!K11</f>
        <v/>
      </c>
      <c r="S9" s="85">
        <f>'10_Allocation'!J11</f>
        <v/>
      </c>
      <c r="T9" s="86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R10+S10</f>
        <v/>
      </c>
      <c r="K10" s="15">
        <f>H10+J10</f>
        <v/>
      </c>
      <c r="L10" s="14">
        <f>G10-K10</f>
        <v/>
      </c>
      <c r="M10" s="87" t="inlineStr">
        <is>
          <t>cohorte</t>
        </is>
      </c>
      <c r="N10" s="15">
        <f>IF(M10="Fermer","—",(R10+IFERROR(SUMIFS($R$6:$R$63,$A$6:$A$63,A10,$B$6:$B$63,B10,$M$6:$M$63,"Fermer")*T10/SUMIFS($T$6:$T$63,$A$6:$A$63,A10,$B$6:$B$63,B10,$M$6:$M$63,"&lt;&gt;Fermer"),0))+(S10+IFERROR(SUMIFS($S$6:$S$63,$M$6:$M$63,"Fermer")*T10/SUMIFS($T$6:$T$63,$M$6:$M$63,"&lt;&gt;Fermer"),0)))</f>
        <v/>
      </c>
      <c r="O10" s="14">
        <f>IF(M10="Fermer","—",G10-H10-N10)</f>
        <v/>
      </c>
      <c r="P10" s="15">
        <f>IF(M10="Fermer",-I10,0)</f>
        <v/>
      </c>
      <c r="Q10" s="61">
        <f>IF(M10="Fermer","✖ Fermer = −"&amp;TEXT(I10,"# ##0")&amp;" € d'EBITDA (le fixe reste)",IF(AND(L10&gt;=0,O10&lt;0),"⚠ BASCULE : saine → déficit à cause d'une fermeture voisine",IF(L10&lt;0,IF(I10&gt;0,"Déficit COMPLET mais contribution POSITIVE → NE PAS fermer (artefact d'allocation)","Contribution négative — vrai point dur"),"Rentable en coût complet")))</f>
        <v/>
      </c>
      <c r="R10" s="85">
        <f>'10_Allocation'!K12</f>
        <v/>
      </c>
      <c r="S10" s="85">
        <f>'10_Allocation'!J12</f>
        <v/>
      </c>
      <c r="T10" s="86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R11+S11</f>
        <v/>
      </c>
      <c r="K11" s="15">
        <f>H11+J11</f>
        <v/>
      </c>
      <c r="L11" s="14">
        <f>G11-K11</f>
        <v/>
      </c>
      <c r="M11" s="9" t="inlineStr">
        <is>
          <t>Garder</t>
        </is>
      </c>
      <c r="N11" s="15">
        <f>IF(M11="Fermer","—",(R11+IFERROR(SUMIFS($R$6:$R$63,$A$6:$A$63,A11,$B$6:$B$63,B11,$M$6:$M$63,"Fermer")*T11/SUMIFS($T$6:$T$63,$A$6:$A$63,A11,$B$6:$B$63,B11,$M$6:$M$63,"&lt;&gt;Fermer"),0))+(S11+IFERROR(SUMIFS($S$6:$S$63,$M$6:$M$63,"Fermer")*T11/SUMIFS($T$6:$T$63,$M$6:$M$63,"&lt;&gt;Fermer"),0)))</f>
        <v/>
      </c>
      <c r="O11" s="14">
        <f>IF(M11="Fermer","—",G11-H11-N11)</f>
        <v/>
      </c>
      <c r="P11" s="15">
        <f>IF(M11="Fermer",-I11,0)</f>
        <v/>
      </c>
      <c r="Q11" s="61">
        <f>IF(M11="Fermer","✖ Fermer = −"&amp;TEXT(I11,"# ##0")&amp;" € d'EBITDA (le fixe reste)",IF(AND(L11&gt;=0,O11&lt;0),"⚠ BASCULE : saine → déficit à cause d'une fermeture voisine",IF(L11&lt;0,IF(I11&gt;0,"Déficit COMPLET mais contribution POSITIVE → NE PAS fermer (artefact d'allocation)","Contribution négative — vrai point dur"),"Rentable en coût complet")))</f>
        <v/>
      </c>
      <c r="R11" s="85">
        <f>'10_Allocation'!K13</f>
        <v/>
      </c>
      <c r="S11" s="85">
        <f>'10_Allocation'!J13</f>
        <v/>
      </c>
      <c r="T11" s="86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R12+S12</f>
        <v/>
      </c>
      <c r="K12" s="15">
        <f>H12+J12</f>
        <v/>
      </c>
      <c r="L12" s="14">
        <f>G12-K12</f>
        <v/>
      </c>
      <c r="M12" s="87" t="inlineStr">
        <is>
          <t>cohorte</t>
        </is>
      </c>
      <c r="N12" s="15">
        <f>IF(M12="Fermer","—",(R12+IFERROR(SUMIFS($R$6:$R$63,$A$6:$A$63,A12,$B$6:$B$63,B12,$M$6:$M$63,"Fermer")*T12/SUMIFS($T$6:$T$63,$A$6:$A$63,A12,$B$6:$B$63,B12,$M$6:$M$63,"&lt;&gt;Fermer"),0))+(S12+IFERROR(SUMIFS($S$6:$S$63,$M$6:$M$63,"Fermer")*T12/SUMIFS($T$6:$T$63,$M$6:$M$63,"&lt;&gt;Fermer"),0)))</f>
        <v/>
      </c>
      <c r="O12" s="14">
        <f>IF(M12="Fermer","—",G12-H12-N12)</f>
        <v/>
      </c>
      <c r="P12" s="15">
        <f>IF(M12="Fermer",-I12,0)</f>
        <v/>
      </c>
      <c r="Q12" s="61">
        <f>IF(M12="Fermer","✖ Fermer = −"&amp;TEXT(I12,"# ##0")&amp;" € d'EBITDA (le fixe reste)",IF(AND(L12&gt;=0,O12&lt;0),"⚠ BASCULE : saine → déficit à cause d'une fermeture voisine",IF(L12&lt;0,IF(I12&gt;0,"Déficit COMPLET mais contribution POSITIVE → NE PAS fermer (artefact d'allocation)","Contribution négative — vrai point dur"),"Rentable en coût complet")))</f>
        <v/>
      </c>
      <c r="R12" s="85">
        <f>'10_Allocation'!K14</f>
        <v/>
      </c>
      <c r="S12" s="85">
        <f>'10_Allocation'!J14</f>
        <v/>
      </c>
      <c r="T12" s="86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R13+S13</f>
        <v/>
      </c>
      <c r="K13" s="15">
        <f>H13+J13</f>
        <v/>
      </c>
      <c r="L13" s="14">
        <f>G13-K13</f>
        <v/>
      </c>
      <c r="M13" s="87" t="inlineStr">
        <is>
          <t>cohorte</t>
        </is>
      </c>
      <c r="N13" s="15">
        <f>IF(M13="Fermer","—",(R13+IFERROR(SUMIFS($R$6:$R$63,$A$6:$A$63,A13,$B$6:$B$63,B13,$M$6:$M$63,"Fermer")*T13/SUMIFS($T$6:$T$63,$A$6:$A$63,A13,$B$6:$B$63,B13,$M$6:$M$63,"&lt;&gt;Fermer"),0))+(S13+IFERROR(SUMIFS($S$6:$S$63,$M$6:$M$63,"Fermer")*T13/SUMIFS($T$6:$T$63,$M$6:$M$63,"&lt;&gt;Fermer"),0)))</f>
        <v/>
      </c>
      <c r="O13" s="14">
        <f>IF(M13="Fermer","—",G13-H13-N13)</f>
        <v/>
      </c>
      <c r="P13" s="15">
        <f>IF(M13="Fermer",-I13,0)</f>
        <v/>
      </c>
      <c r="Q13" s="61">
        <f>IF(M13="Fermer","✖ Fermer = −"&amp;TEXT(I13,"# ##0")&amp;" € d'EBITDA (le fixe reste)",IF(AND(L13&gt;=0,O13&lt;0),"⚠ BASCULE : saine → déficit à cause d'une fermeture voisine",IF(L13&lt;0,IF(I13&gt;0,"Déficit COMPLET mais contribution POSITIVE → NE PAS fermer (artefact d'allocation)","Contribution négative — vrai point dur"),"Rentable en coût complet")))</f>
        <v/>
      </c>
      <c r="R13" s="85">
        <f>'10_Allocation'!K15</f>
        <v/>
      </c>
      <c r="S13" s="85">
        <f>'10_Allocation'!J15</f>
        <v/>
      </c>
      <c r="T13" s="86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R14+S14</f>
        <v/>
      </c>
      <c r="K14" s="15">
        <f>H14+J14</f>
        <v/>
      </c>
      <c r="L14" s="14">
        <f>G14-K14</f>
        <v/>
      </c>
      <c r="M14" s="9" t="inlineStr">
        <is>
          <t>Garder</t>
        </is>
      </c>
      <c r="N14" s="15">
        <f>IF(M14="Fermer","—",(R14+IFERROR(SUMIFS($R$6:$R$63,$A$6:$A$63,A14,$B$6:$B$63,B14,$M$6:$M$63,"Fermer")*T14/SUMIFS($T$6:$T$63,$A$6:$A$63,A14,$B$6:$B$63,B14,$M$6:$M$63,"&lt;&gt;Fermer"),0))+(S14+IFERROR(SUMIFS($S$6:$S$63,$M$6:$M$63,"Fermer")*T14/SUMIFS($T$6:$T$63,$M$6:$M$63,"&lt;&gt;Fermer"),0)))</f>
        <v/>
      </c>
      <c r="O14" s="14">
        <f>IF(M14="Fermer","—",G14-H14-N14)</f>
        <v/>
      </c>
      <c r="P14" s="15">
        <f>IF(M14="Fermer",-I14,0)</f>
        <v/>
      </c>
      <c r="Q14" s="61">
        <f>IF(M14="Fermer","✖ Fermer = −"&amp;TEXT(I14,"# ##0")&amp;" € d'EBITDA (le fixe reste)",IF(AND(L14&gt;=0,O14&lt;0),"⚠ BASCULE : saine → déficit à cause d'une fermeture voisine",IF(L14&lt;0,IF(I14&gt;0,"Déficit COMPLET mais contribution POSITIVE → NE PAS fermer (artefact d'allocation)","Contribution négative — vrai point dur"),"Rentable en coût complet")))</f>
        <v/>
      </c>
      <c r="R14" s="85">
        <f>'10_Allocation'!K16</f>
        <v/>
      </c>
      <c r="S14" s="85">
        <f>'10_Allocation'!J16</f>
        <v/>
      </c>
      <c r="T14" s="86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R15+S15</f>
        <v/>
      </c>
      <c r="K15" s="15">
        <f>H15+J15</f>
        <v/>
      </c>
      <c r="L15" s="14">
        <f>G15-K15</f>
        <v/>
      </c>
      <c r="M15" s="87" t="inlineStr">
        <is>
          <t>cohorte</t>
        </is>
      </c>
      <c r="N15" s="15">
        <f>IF(M15="Fermer","—",(R15+IFERROR(SUMIFS($R$6:$R$63,$A$6:$A$63,A15,$B$6:$B$63,B15,$M$6:$M$63,"Fermer")*T15/SUMIFS($T$6:$T$63,$A$6:$A$63,A15,$B$6:$B$63,B15,$M$6:$M$63,"&lt;&gt;Fermer"),0))+(S15+IFERROR(SUMIFS($S$6:$S$63,$M$6:$M$63,"Fermer")*T15/SUMIFS($T$6:$T$63,$M$6:$M$63,"&lt;&gt;Fermer"),0)))</f>
        <v/>
      </c>
      <c r="O15" s="14">
        <f>IF(M15="Fermer","—",G15-H15-N15)</f>
        <v/>
      </c>
      <c r="P15" s="15">
        <f>IF(M15="Fermer",-I15,0)</f>
        <v/>
      </c>
      <c r="Q15" s="61">
        <f>IF(M15="Fermer","✖ Fermer = −"&amp;TEXT(I15,"# ##0")&amp;" € d'EBITDA (le fixe reste)",IF(AND(L15&gt;=0,O15&lt;0),"⚠ BASCULE : saine → déficit à cause d'une fermeture voisine",IF(L15&lt;0,IF(I15&gt;0,"Déficit COMPLET mais contribution POSITIVE → NE PAS fermer (artefact d'allocation)","Contribution négative — vrai point dur"),"Rentable en coût complet")))</f>
        <v/>
      </c>
      <c r="R15" s="85">
        <f>'10_Allocation'!K17</f>
        <v/>
      </c>
      <c r="S15" s="85">
        <f>'10_Allocation'!J17</f>
        <v/>
      </c>
      <c r="T15" s="86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R16+S16</f>
        <v/>
      </c>
      <c r="K16" s="15">
        <f>H16+J16</f>
        <v/>
      </c>
      <c r="L16" s="14">
        <f>G16-K16</f>
        <v/>
      </c>
      <c r="M16" s="9" t="inlineStr">
        <is>
          <t>Garder</t>
        </is>
      </c>
      <c r="N16" s="15">
        <f>IF(M16="Fermer","—",(R16+IFERROR(SUMIFS($R$6:$R$63,$A$6:$A$63,A16,$B$6:$B$63,B16,$M$6:$M$63,"Fermer")*T16/SUMIFS($T$6:$T$63,$A$6:$A$63,A16,$B$6:$B$63,B16,$M$6:$M$63,"&lt;&gt;Fermer"),0))+(S16+IFERROR(SUMIFS($S$6:$S$63,$M$6:$M$63,"Fermer")*T16/SUMIFS($T$6:$T$63,$M$6:$M$63,"&lt;&gt;Fermer"),0)))</f>
        <v/>
      </c>
      <c r="O16" s="14">
        <f>IF(M16="Fermer","—",G16-H16-N16)</f>
        <v/>
      </c>
      <c r="P16" s="15">
        <f>IF(M16="Fermer",-I16,0)</f>
        <v/>
      </c>
      <c r="Q16" s="61">
        <f>IF(M16="Fermer","✖ Fermer = −"&amp;TEXT(I16,"# ##0")&amp;" € d'EBITDA (le fixe reste)",IF(AND(L16&gt;=0,O16&lt;0),"⚠ BASCULE : saine → déficit à cause d'une fermeture voisine",IF(L16&lt;0,IF(I16&gt;0,"Déficit COMPLET mais contribution POSITIVE → NE PAS fermer (artefact d'allocation)","Contribution négative — vrai point dur"),"Rentable en coût complet")))</f>
        <v/>
      </c>
      <c r="R16" s="85">
        <f>'10_Allocation'!K18</f>
        <v/>
      </c>
      <c r="S16" s="85">
        <f>'10_Allocation'!J18</f>
        <v/>
      </c>
      <c r="T16" s="86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R17+S17</f>
        <v/>
      </c>
      <c r="K17" s="15">
        <f>H17+J17</f>
        <v/>
      </c>
      <c r="L17" s="14">
        <f>G17-K17</f>
        <v/>
      </c>
      <c r="M17" s="87" t="inlineStr">
        <is>
          <t>cohorte</t>
        </is>
      </c>
      <c r="N17" s="15">
        <f>IF(M17="Fermer","—",(R17+IFERROR(SUMIFS($R$6:$R$63,$A$6:$A$63,A17,$B$6:$B$63,B17,$M$6:$M$63,"Fermer")*T17/SUMIFS($T$6:$T$63,$A$6:$A$63,A17,$B$6:$B$63,B17,$M$6:$M$63,"&lt;&gt;Fermer"),0))+(S17+IFERROR(SUMIFS($S$6:$S$63,$M$6:$M$63,"Fermer")*T17/SUMIFS($T$6:$T$63,$M$6:$M$63,"&lt;&gt;Fermer"),0)))</f>
        <v/>
      </c>
      <c r="O17" s="14">
        <f>IF(M17="Fermer","—",G17-H17-N17)</f>
        <v/>
      </c>
      <c r="P17" s="15">
        <f>IF(M17="Fermer",-I17,0)</f>
        <v/>
      </c>
      <c r="Q17" s="61">
        <f>IF(M17="Fermer","✖ Fermer = −"&amp;TEXT(I17,"# ##0")&amp;" € d'EBITDA (le fixe reste)",IF(AND(L17&gt;=0,O17&lt;0),"⚠ BASCULE : saine → déficit à cause d'une fermeture voisine",IF(L17&lt;0,IF(I17&gt;0,"Déficit COMPLET mais contribution POSITIVE → NE PAS fermer (artefact d'allocation)","Contribution négative — vrai point dur"),"Rentable en coût complet")))</f>
        <v/>
      </c>
      <c r="R17" s="85">
        <f>'10_Allocation'!K19</f>
        <v/>
      </c>
      <c r="S17" s="85">
        <f>'10_Allocation'!J19</f>
        <v/>
      </c>
      <c r="T17" s="86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R18+S18</f>
        <v/>
      </c>
      <c r="K18" s="15">
        <f>H18+J18</f>
        <v/>
      </c>
      <c r="L18" s="14">
        <f>G18-K18</f>
        <v/>
      </c>
      <c r="M18" s="87" t="inlineStr">
        <is>
          <t>cohorte</t>
        </is>
      </c>
      <c r="N18" s="15">
        <f>IF(M18="Fermer","—",(R18+IFERROR(SUMIFS($R$6:$R$63,$A$6:$A$63,A18,$B$6:$B$63,B18,$M$6:$M$63,"Fermer")*T18/SUMIFS($T$6:$T$63,$A$6:$A$63,A18,$B$6:$B$63,B18,$M$6:$M$63,"&lt;&gt;Fermer"),0))+(S18+IFERROR(SUMIFS($S$6:$S$63,$M$6:$M$63,"Fermer")*T18/SUMIFS($T$6:$T$63,$M$6:$M$63,"&lt;&gt;Fermer"),0)))</f>
        <v/>
      </c>
      <c r="O18" s="14">
        <f>IF(M18="Fermer","—",G18-H18-N18)</f>
        <v/>
      </c>
      <c r="P18" s="15">
        <f>IF(M18="Fermer",-I18,0)</f>
        <v/>
      </c>
      <c r="Q18" s="61">
        <f>IF(M18="Fermer","✖ Fermer = −"&amp;TEXT(I18,"# ##0")&amp;" € d'EBITDA (le fixe reste)",IF(AND(L18&gt;=0,O18&lt;0),"⚠ BASCULE : saine → déficit à cause d'une fermeture voisine",IF(L18&lt;0,IF(I18&gt;0,"Déficit COMPLET mais contribution POSITIVE → NE PAS fermer (artefact d'allocation)","Contribution négative — vrai point dur"),"Rentable en coût complet")))</f>
        <v/>
      </c>
      <c r="R18" s="85">
        <f>'10_Allocation'!K20</f>
        <v/>
      </c>
      <c r="S18" s="85">
        <f>'10_Allocation'!J20</f>
        <v/>
      </c>
      <c r="T18" s="86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R19+S19</f>
        <v/>
      </c>
      <c r="K19" s="15">
        <f>H19+J19</f>
        <v/>
      </c>
      <c r="L19" s="14">
        <f>G19-K19</f>
        <v/>
      </c>
      <c r="M19" s="9" t="inlineStr">
        <is>
          <t>Garder</t>
        </is>
      </c>
      <c r="N19" s="15">
        <f>IF(M19="Fermer","—",(R19+IFERROR(SUMIFS($R$6:$R$63,$A$6:$A$63,A19,$B$6:$B$63,B19,$M$6:$M$63,"Fermer")*T19/SUMIFS($T$6:$T$63,$A$6:$A$63,A19,$B$6:$B$63,B19,$M$6:$M$63,"&lt;&gt;Fermer"),0))+(S19+IFERROR(SUMIFS($S$6:$S$63,$M$6:$M$63,"Fermer")*T19/SUMIFS($T$6:$T$63,$M$6:$M$63,"&lt;&gt;Fermer"),0)))</f>
        <v/>
      </c>
      <c r="O19" s="14">
        <f>IF(M19="Fermer","—",G19-H19-N19)</f>
        <v/>
      </c>
      <c r="P19" s="15">
        <f>IF(M19="Fermer",-I19,0)</f>
        <v/>
      </c>
      <c r="Q19" s="61">
        <f>IF(M19="Fermer","✖ Fermer = −"&amp;TEXT(I19,"# ##0")&amp;" € d'EBITDA (le fixe reste)",IF(AND(L19&gt;=0,O19&lt;0),"⚠ BASCULE : saine → déficit à cause d'une fermeture voisine",IF(L19&lt;0,IF(I19&gt;0,"Déficit COMPLET mais contribution POSITIVE → NE PAS fermer (artefact d'allocation)","Contribution négative — vrai point dur"),"Rentable en coût complet")))</f>
        <v/>
      </c>
      <c r="R19" s="85">
        <f>'10_Allocation'!K21</f>
        <v/>
      </c>
      <c r="S19" s="85">
        <f>'10_Allocation'!J21</f>
        <v/>
      </c>
      <c r="T19" s="86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R20+S20</f>
        <v/>
      </c>
      <c r="K20" s="15">
        <f>H20+J20</f>
        <v/>
      </c>
      <c r="L20" s="14">
        <f>G20-K20</f>
        <v/>
      </c>
      <c r="M20" s="87" t="inlineStr">
        <is>
          <t>cohorte</t>
        </is>
      </c>
      <c r="N20" s="15">
        <f>IF(M20="Fermer","—",(R20+IFERROR(SUMIFS($R$6:$R$63,$A$6:$A$63,A20,$B$6:$B$63,B20,$M$6:$M$63,"Fermer")*T20/SUMIFS($T$6:$T$63,$A$6:$A$63,A20,$B$6:$B$63,B20,$M$6:$M$63,"&lt;&gt;Fermer"),0))+(S20+IFERROR(SUMIFS($S$6:$S$63,$M$6:$M$63,"Fermer")*T20/SUMIFS($T$6:$T$63,$M$6:$M$63,"&lt;&gt;Fermer"),0)))</f>
        <v/>
      </c>
      <c r="O20" s="14">
        <f>IF(M20="Fermer","—",G20-H20-N20)</f>
        <v/>
      </c>
      <c r="P20" s="15">
        <f>IF(M20="Fermer",-I20,0)</f>
        <v/>
      </c>
      <c r="Q20" s="61">
        <f>IF(M20="Fermer","✖ Fermer = −"&amp;TEXT(I20,"# ##0")&amp;" € d'EBITDA (le fixe reste)",IF(AND(L20&gt;=0,O20&lt;0),"⚠ BASCULE : saine → déficit à cause d'une fermeture voisine",IF(L20&lt;0,IF(I20&gt;0,"Déficit COMPLET mais contribution POSITIVE → NE PAS fermer (artefact d'allocation)","Contribution négative — vrai point dur"),"Rentable en coût complet")))</f>
        <v/>
      </c>
      <c r="R20" s="85">
        <f>'10_Allocation'!K22</f>
        <v/>
      </c>
      <c r="S20" s="85">
        <f>'10_Allocation'!J22</f>
        <v/>
      </c>
      <c r="T20" s="86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R21+S21</f>
        <v/>
      </c>
      <c r="K21" s="15">
        <f>H21+J21</f>
        <v/>
      </c>
      <c r="L21" s="14">
        <f>G21-K21</f>
        <v/>
      </c>
      <c r="M21" s="9" t="inlineStr">
        <is>
          <t>Garder</t>
        </is>
      </c>
      <c r="N21" s="15">
        <f>IF(M21="Fermer","—",(R21+IFERROR(SUMIFS($R$6:$R$63,$A$6:$A$63,A21,$B$6:$B$63,B21,$M$6:$M$63,"Fermer")*T21/SUMIFS($T$6:$T$63,$A$6:$A$63,A21,$B$6:$B$63,B21,$M$6:$M$63,"&lt;&gt;Fermer"),0))+(S21+IFERROR(SUMIFS($S$6:$S$63,$M$6:$M$63,"Fermer")*T21/SUMIFS($T$6:$T$63,$M$6:$M$63,"&lt;&gt;Fermer"),0)))</f>
        <v/>
      </c>
      <c r="O21" s="14">
        <f>IF(M21="Fermer","—",G21-H21-N21)</f>
        <v/>
      </c>
      <c r="P21" s="15">
        <f>IF(M21="Fermer",-I21,0)</f>
        <v/>
      </c>
      <c r="Q21" s="61">
        <f>IF(M21="Fermer","✖ Fermer = −"&amp;TEXT(I21,"# ##0")&amp;" € d'EBITDA (le fixe reste)",IF(AND(L21&gt;=0,O21&lt;0),"⚠ BASCULE : saine → déficit à cause d'une fermeture voisine",IF(L21&lt;0,IF(I21&gt;0,"Déficit COMPLET mais contribution POSITIVE → NE PAS fermer (artefact d'allocation)","Contribution négative — vrai point dur"),"Rentable en coût complet")))</f>
        <v/>
      </c>
      <c r="R21" s="85">
        <f>'10_Allocation'!K23</f>
        <v/>
      </c>
      <c r="S21" s="85">
        <f>'10_Allocation'!J23</f>
        <v/>
      </c>
      <c r="T21" s="86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R22+S22</f>
        <v/>
      </c>
      <c r="K22" s="15">
        <f>H22+J22</f>
        <v/>
      </c>
      <c r="L22" s="14">
        <f>G22-K22</f>
        <v/>
      </c>
      <c r="M22" s="87" t="inlineStr">
        <is>
          <t>cohorte</t>
        </is>
      </c>
      <c r="N22" s="15">
        <f>IF(M22="Fermer","—",(R22+IFERROR(SUMIFS($R$6:$R$63,$A$6:$A$63,A22,$B$6:$B$63,B22,$M$6:$M$63,"Fermer")*T22/SUMIFS($T$6:$T$63,$A$6:$A$63,A22,$B$6:$B$63,B22,$M$6:$M$63,"&lt;&gt;Fermer"),0))+(S22+IFERROR(SUMIFS($S$6:$S$63,$M$6:$M$63,"Fermer")*T22/SUMIFS($T$6:$T$63,$M$6:$M$63,"&lt;&gt;Fermer"),0)))</f>
        <v/>
      </c>
      <c r="O22" s="14">
        <f>IF(M22="Fermer","—",G22-H22-N22)</f>
        <v/>
      </c>
      <c r="P22" s="15">
        <f>IF(M22="Fermer",-I22,0)</f>
        <v/>
      </c>
      <c r="Q22" s="61">
        <f>IF(M22="Fermer","✖ Fermer = −"&amp;TEXT(I22,"# ##0")&amp;" € d'EBITDA (le fixe reste)",IF(AND(L22&gt;=0,O22&lt;0),"⚠ BASCULE : saine → déficit à cause d'une fermeture voisine",IF(L22&lt;0,IF(I22&gt;0,"Déficit COMPLET mais contribution POSITIVE → NE PAS fermer (artefact d'allocation)","Contribution négative — vrai point dur"),"Rentable en coût complet")))</f>
        <v/>
      </c>
      <c r="R22" s="85">
        <f>'10_Allocation'!K24</f>
        <v/>
      </c>
      <c r="S22" s="85">
        <f>'10_Allocation'!J24</f>
        <v/>
      </c>
      <c r="T22" s="86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R23+S23</f>
        <v/>
      </c>
      <c r="K23" s="15">
        <f>H23+J23</f>
        <v/>
      </c>
      <c r="L23" s="14">
        <f>G23-K23</f>
        <v/>
      </c>
      <c r="M23" s="87" t="inlineStr">
        <is>
          <t>cohorte</t>
        </is>
      </c>
      <c r="N23" s="15">
        <f>IF(M23="Fermer","—",(R23+IFERROR(SUMIFS($R$6:$R$63,$A$6:$A$63,A23,$B$6:$B$63,B23,$M$6:$M$63,"Fermer")*T23/SUMIFS($T$6:$T$63,$A$6:$A$63,A23,$B$6:$B$63,B23,$M$6:$M$63,"&lt;&gt;Fermer"),0))+(S23+IFERROR(SUMIFS($S$6:$S$63,$M$6:$M$63,"Fermer")*T23/SUMIFS($T$6:$T$63,$M$6:$M$63,"&lt;&gt;Fermer"),0)))</f>
        <v/>
      </c>
      <c r="O23" s="14">
        <f>IF(M23="Fermer","—",G23-H23-N23)</f>
        <v/>
      </c>
      <c r="P23" s="15">
        <f>IF(M23="Fermer",-I23,0)</f>
        <v/>
      </c>
      <c r="Q23" s="61">
        <f>IF(M23="Fermer","✖ Fermer = −"&amp;TEXT(I23,"# ##0")&amp;" € d'EBITDA (le fixe reste)",IF(AND(L23&gt;=0,O23&lt;0),"⚠ BASCULE : saine → déficit à cause d'une fermeture voisine",IF(L23&lt;0,IF(I23&gt;0,"Déficit COMPLET mais contribution POSITIVE → NE PAS fermer (artefact d'allocation)","Contribution négative — vrai point dur"),"Rentable en coût complet")))</f>
        <v/>
      </c>
      <c r="R23" s="85">
        <f>'10_Allocation'!K25</f>
        <v/>
      </c>
      <c r="S23" s="85">
        <f>'10_Allocation'!J25</f>
        <v/>
      </c>
      <c r="T23" s="86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R24+S24</f>
        <v/>
      </c>
      <c r="K24" s="15">
        <f>H24+J24</f>
        <v/>
      </c>
      <c r="L24" s="14">
        <f>G24-K24</f>
        <v/>
      </c>
      <c r="M24" s="9" t="inlineStr">
        <is>
          <t>Garder</t>
        </is>
      </c>
      <c r="N24" s="15">
        <f>IF(M24="Fermer","—",(R24+IFERROR(SUMIFS($R$6:$R$63,$A$6:$A$63,A24,$B$6:$B$63,B24,$M$6:$M$63,"Fermer")*T24/SUMIFS($T$6:$T$63,$A$6:$A$63,A24,$B$6:$B$63,B24,$M$6:$M$63,"&lt;&gt;Fermer"),0))+(S24+IFERROR(SUMIFS($S$6:$S$63,$M$6:$M$63,"Fermer")*T24/SUMIFS($T$6:$T$63,$M$6:$M$63,"&lt;&gt;Fermer"),0)))</f>
        <v/>
      </c>
      <c r="O24" s="14">
        <f>IF(M24="Fermer","—",G24-H24-N24)</f>
        <v/>
      </c>
      <c r="P24" s="15">
        <f>IF(M24="Fermer",-I24,0)</f>
        <v/>
      </c>
      <c r="Q24" s="61">
        <f>IF(M24="Fermer","✖ Fermer = −"&amp;TEXT(I24,"# ##0")&amp;" € d'EBITDA (le fixe reste)",IF(AND(L24&gt;=0,O24&lt;0),"⚠ BASCULE : saine → déficit à cause d'une fermeture voisine",IF(L24&lt;0,IF(I24&gt;0,"Déficit COMPLET mais contribution POSITIVE → NE PAS fermer (artefact d'allocation)","Contribution négative — vrai point dur"),"Rentable en coût complet")))</f>
        <v/>
      </c>
      <c r="R24" s="85">
        <f>'10_Allocation'!K26</f>
        <v/>
      </c>
      <c r="S24" s="85">
        <f>'10_Allocation'!J26</f>
        <v/>
      </c>
      <c r="T24" s="86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R25+S25</f>
        <v/>
      </c>
      <c r="K25" s="15">
        <f>H25+J25</f>
        <v/>
      </c>
      <c r="L25" s="14">
        <f>G25-K25</f>
        <v/>
      </c>
      <c r="M25" s="87" t="inlineStr">
        <is>
          <t>cohorte</t>
        </is>
      </c>
      <c r="N25" s="15">
        <f>IF(M25="Fermer","—",(R25+IFERROR(SUMIFS($R$6:$R$63,$A$6:$A$63,A25,$B$6:$B$63,B25,$M$6:$M$63,"Fermer")*T25/SUMIFS($T$6:$T$63,$A$6:$A$63,A25,$B$6:$B$63,B25,$M$6:$M$63,"&lt;&gt;Fermer"),0))+(S25+IFERROR(SUMIFS($S$6:$S$63,$M$6:$M$63,"Fermer")*T25/SUMIFS($T$6:$T$63,$M$6:$M$63,"&lt;&gt;Fermer"),0)))</f>
        <v/>
      </c>
      <c r="O25" s="14">
        <f>IF(M25="Fermer","—",G25-H25-N25)</f>
        <v/>
      </c>
      <c r="P25" s="15">
        <f>IF(M25="Fermer",-I25,0)</f>
        <v/>
      </c>
      <c r="Q25" s="61">
        <f>IF(M25="Fermer","✖ Fermer = −"&amp;TEXT(I25,"# ##0")&amp;" € d'EBITDA (le fixe reste)",IF(AND(L25&gt;=0,O25&lt;0),"⚠ BASCULE : saine → déficit à cause d'une fermeture voisine",IF(L25&lt;0,IF(I25&gt;0,"Déficit COMPLET mais contribution POSITIVE → NE PAS fermer (artefact d'allocation)","Contribution négative — vrai point dur"),"Rentable en coût complet")))</f>
        <v/>
      </c>
      <c r="R25" s="85">
        <f>'10_Allocation'!K27</f>
        <v/>
      </c>
      <c r="S25" s="85">
        <f>'10_Allocation'!J27</f>
        <v/>
      </c>
      <c r="T25" s="86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R26+S26</f>
        <v/>
      </c>
      <c r="K26" s="15">
        <f>H26+J26</f>
        <v/>
      </c>
      <c r="L26" s="14">
        <f>G26-K26</f>
        <v/>
      </c>
      <c r="M26" s="9" t="inlineStr">
        <is>
          <t>Garder</t>
        </is>
      </c>
      <c r="N26" s="15">
        <f>IF(M26="Fermer","—",(R26+IFERROR(SUMIFS($R$6:$R$63,$A$6:$A$63,A26,$B$6:$B$63,B26,$M$6:$M$63,"Fermer")*T26/SUMIFS($T$6:$T$63,$A$6:$A$63,A26,$B$6:$B$63,B26,$M$6:$M$63,"&lt;&gt;Fermer"),0))+(S26+IFERROR(SUMIFS($S$6:$S$63,$M$6:$M$63,"Fermer")*T26/SUMIFS($T$6:$T$63,$M$6:$M$63,"&lt;&gt;Fermer"),0)))</f>
        <v/>
      </c>
      <c r="O26" s="14">
        <f>IF(M26="Fermer","—",G26-H26-N26)</f>
        <v/>
      </c>
      <c r="P26" s="15">
        <f>IF(M26="Fermer",-I26,0)</f>
        <v/>
      </c>
      <c r="Q26" s="61">
        <f>IF(M26="Fermer","✖ Fermer = −"&amp;TEXT(I26,"# ##0")&amp;" € d'EBITDA (le fixe reste)",IF(AND(L26&gt;=0,O26&lt;0),"⚠ BASCULE : saine → déficit à cause d'une fermeture voisine",IF(L26&lt;0,IF(I26&gt;0,"Déficit COMPLET mais contribution POSITIVE → NE PAS fermer (artefact d'allocation)","Contribution négative — vrai point dur"),"Rentable en coût complet")))</f>
        <v/>
      </c>
      <c r="R26" s="85">
        <f>'10_Allocation'!K28</f>
        <v/>
      </c>
      <c r="S26" s="85">
        <f>'10_Allocation'!J28</f>
        <v/>
      </c>
      <c r="T26" s="86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R27+S27</f>
        <v/>
      </c>
      <c r="K27" s="15">
        <f>H27+J27</f>
        <v/>
      </c>
      <c r="L27" s="14">
        <f>G27-K27</f>
        <v/>
      </c>
      <c r="M27" s="87" t="inlineStr">
        <is>
          <t>cohorte</t>
        </is>
      </c>
      <c r="N27" s="15">
        <f>IF(M27="Fermer","—",(R27+IFERROR(SUMIFS($R$6:$R$63,$A$6:$A$63,A27,$B$6:$B$63,B27,$M$6:$M$63,"Fermer")*T27/SUMIFS($T$6:$T$63,$A$6:$A$63,A27,$B$6:$B$63,B27,$M$6:$M$63,"&lt;&gt;Fermer"),0))+(S27+IFERROR(SUMIFS($S$6:$S$63,$M$6:$M$63,"Fermer")*T27/SUMIFS($T$6:$T$63,$M$6:$M$63,"&lt;&gt;Fermer"),0)))</f>
        <v/>
      </c>
      <c r="O27" s="14">
        <f>IF(M27="Fermer","—",G27-H27-N27)</f>
        <v/>
      </c>
      <c r="P27" s="15">
        <f>IF(M27="Fermer",-I27,0)</f>
        <v/>
      </c>
      <c r="Q27" s="61">
        <f>IF(M27="Fermer","✖ Fermer = −"&amp;TEXT(I27,"# ##0")&amp;" € d'EBITDA (le fixe reste)",IF(AND(L27&gt;=0,O27&lt;0),"⚠ BASCULE : saine → déficit à cause d'une fermeture voisine",IF(L27&lt;0,IF(I27&gt;0,"Déficit COMPLET mais contribution POSITIVE → NE PAS fermer (artefact d'allocation)","Contribution négative — vrai point dur"),"Rentable en coût complet")))</f>
        <v/>
      </c>
      <c r="R27" s="85">
        <f>'10_Allocation'!K29</f>
        <v/>
      </c>
      <c r="S27" s="85">
        <f>'10_Allocation'!J29</f>
        <v/>
      </c>
      <c r="T27" s="86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R28+S28</f>
        <v/>
      </c>
      <c r="K28" s="15">
        <f>H28+J28</f>
        <v/>
      </c>
      <c r="L28" s="14">
        <f>G28-K28</f>
        <v/>
      </c>
      <c r="M28" s="87" t="inlineStr">
        <is>
          <t>cohorte</t>
        </is>
      </c>
      <c r="N28" s="15">
        <f>IF(M28="Fermer","—",(R28+IFERROR(SUMIFS($R$6:$R$63,$A$6:$A$63,A28,$B$6:$B$63,B28,$M$6:$M$63,"Fermer")*T28/SUMIFS($T$6:$T$63,$A$6:$A$63,A28,$B$6:$B$63,B28,$M$6:$M$63,"&lt;&gt;Fermer"),0))+(S28+IFERROR(SUMIFS($S$6:$S$63,$M$6:$M$63,"Fermer")*T28/SUMIFS($T$6:$T$63,$M$6:$M$63,"&lt;&gt;Fermer"),0)))</f>
        <v/>
      </c>
      <c r="O28" s="14">
        <f>IF(M28="Fermer","—",G28-H28-N28)</f>
        <v/>
      </c>
      <c r="P28" s="15">
        <f>IF(M28="Fermer",-I28,0)</f>
        <v/>
      </c>
      <c r="Q28" s="61">
        <f>IF(M28="Fermer","✖ Fermer = −"&amp;TEXT(I28,"# ##0")&amp;" € d'EBITDA (le fixe reste)",IF(AND(L28&gt;=0,O28&lt;0),"⚠ BASCULE : saine → déficit à cause d'une fermeture voisine",IF(L28&lt;0,IF(I28&gt;0,"Déficit COMPLET mais contribution POSITIVE → NE PAS fermer (artefact d'allocation)","Contribution négative — vrai point dur"),"Rentable en coût complet")))</f>
        <v/>
      </c>
      <c r="R28" s="85">
        <f>'10_Allocation'!K30</f>
        <v/>
      </c>
      <c r="S28" s="85">
        <f>'10_Allocation'!J30</f>
        <v/>
      </c>
      <c r="T28" s="86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R29+S29</f>
        <v/>
      </c>
      <c r="K29" s="15">
        <f>H29+J29</f>
        <v/>
      </c>
      <c r="L29" s="14">
        <f>G29-K29</f>
        <v/>
      </c>
      <c r="M29" s="9" t="inlineStr">
        <is>
          <t>Garder</t>
        </is>
      </c>
      <c r="N29" s="15">
        <f>IF(M29="Fermer","—",(R29+IFERROR(SUMIFS($R$6:$R$63,$A$6:$A$63,A29,$B$6:$B$63,B29,$M$6:$M$63,"Fermer")*T29/SUMIFS($T$6:$T$63,$A$6:$A$63,A29,$B$6:$B$63,B29,$M$6:$M$63,"&lt;&gt;Fermer"),0))+(S29+IFERROR(SUMIFS($S$6:$S$63,$M$6:$M$63,"Fermer")*T29/SUMIFS($T$6:$T$63,$M$6:$M$63,"&lt;&gt;Fermer"),0)))</f>
        <v/>
      </c>
      <c r="O29" s="14">
        <f>IF(M29="Fermer","—",G29-H29-N29)</f>
        <v/>
      </c>
      <c r="P29" s="15">
        <f>IF(M29="Fermer",-I29,0)</f>
        <v/>
      </c>
      <c r="Q29" s="61">
        <f>IF(M29="Fermer","✖ Fermer = −"&amp;TEXT(I29,"# ##0")&amp;" € d'EBITDA (le fixe reste)",IF(AND(L29&gt;=0,O29&lt;0),"⚠ BASCULE : saine → déficit à cause d'une fermeture voisine",IF(L29&lt;0,IF(I29&gt;0,"Déficit COMPLET mais contribution POSITIVE → NE PAS fermer (artefact d'allocation)","Contribution négative — vrai point dur"),"Rentable en coût complet")))</f>
        <v/>
      </c>
      <c r="R29" s="85">
        <f>'10_Allocation'!K31</f>
        <v/>
      </c>
      <c r="S29" s="85">
        <f>'10_Allocation'!J31</f>
        <v/>
      </c>
      <c r="T29" s="86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R30+S30</f>
        <v/>
      </c>
      <c r="K30" s="15">
        <f>H30+J30</f>
        <v/>
      </c>
      <c r="L30" s="14">
        <f>G30-K30</f>
        <v/>
      </c>
      <c r="M30" s="87" t="inlineStr">
        <is>
          <t>cohorte</t>
        </is>
      </c>
      <c r="N30" s="15">
        <f>IF(M30="Fermer","—",(R30+IFERROR(SUMIFS($R$6:$R$63,$A$6:$A$63,A30,$B$6:$B$63,B30,$M$6:$M$63,"Fermer")*T30/SUMIFS($T$6:$T$63,$A$6:$A$63,A30,$B$6:$B$63,B30,$M$6:$M$63,"&lt;&gt;Fermer"),0))+(S30+IFERROR(SUMIFS($S$6:$S$63,$M$6:$M$63,"Fermer")*T30/SUMIFS($T$6:$T$63,$M$6:$M$63,"&lt;&gt;Fermer"),0)))</f>
        <v/>
      </c>
      <c r="O30" s="14">
        <f>IF(M30="Fermer","—",G30-H30-N30)</f>
        <v/>
      </c>
      <c r="P30" s="15">
        <f>IF(M30="Fermer",-I30,0)</f>
        <v/>
      </c>
      <c r="Q30" s="61">
        <f>IF(M30="Fermer","✖ Fermer = −"&amp;TEXT(I30,"# ##0")&amp;" € d'EBITDA (le fixe reste)",IF(AND(L30&gt;=0,O30&lt;0),"⚠ BASCULE : saine → déficit à cause d'une fermeture voisine",IF(L30&lt;0,IF(I30&gt;0,"Déficit COMPLET mais contribution POSITIVE → NE PAS fermer (artefact d'allocation)","Contribution négative — vrai point dur"),"Rentable en coût complet")))</f>
        <v/>
      </c>
      <c r="R30" s="85">
        <f>'10_Allocation'!K32</f>
        <v/>
      </c>
      <c r="S30" s="85">
        <f>'10_Allocation'!J32</f>
        <v/>
      </c>
      <c r="T30" s="86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R31+S31</f>
        <v/>
      </c>
      <c r="K31" s="15">
        <f>H31+J31</f>
        <v/>
      </c>
      <c r="L31" s="14">
        <f>G31-K31</f>
        <v/>
      </c>
      <c r="M31" s="9" t="inlineStr">
        <is>
          <t>Garder</t>
        </is>
      </c>
      <c r="N31" s="15">
        <f>IF(M31="Fermer","—",(R31+IFERROR(SUMIFS($R$6:$R$63,$A$6:$A$63,A31,$B$6:$B$63,B31,$M$6:$M$63,"Fermer")*T31/SUMIFS($T$6:$T$63,$A$6:$A$63,A31,$B$6:$B$63,B31,$M$6:$M$63,"&lt;&gt;Fermer"),0))+(S31+IFERROR(SUMIFS($S$6:$S$63,$M$6:$M$63,"Fermer")*T31/SUMIFS($T$6:$T$63,$M$6:$M$63,"&lt;&gt;Fermer"),0)))</f>
        <v/>
      </c>
      <c r="O31" s="14">
        <f>IF(M31="Fermer","—",G31-H31-N31)</f>
        <v/>
      </c>
      <c r="P31" s="15">
        <f>IF(M31="Fermer",-I31,0)</f>
        <v/>
      </c>
      <c r="Q31" s="61">
        <f>IF(M31="Fermer","✖ Fermer = −"&amp;TEXT(I31,"# ##0")&amp;" € d'EBITDA (le fixe reste)",IF(AND(L31&gt;=0,O31&lt;0),"⚠ BASCULE : saine → déficit à cause d'une fermeture voisine",IF(L31&lt;0,IF(I31&gt;0,"Déficit COMPLET mais contribution POSITIVE → NE PAS fermer (artefact d'allocation)","Contribution négative — vrai point dur"),"Rentable en coût complet")))</f>
        <v/>
      </c>
      <c r="R31" s="85">
        <f>'10_Allocation'!K33</f>
        <v/>
      </c>
      <c r="S31" s="85">
        <f>'10_Allocation'!J33</f>
        <v/>
      </c>
      <c r="T31" s="86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R32+S32</f>
        <v/>
      </c>
      <c r="K32" s="15">
        <f>H32+J32</f>
        <v/>
      </c>
      <c r="L32" s="14">
        <f>G32-K32</f>
        <v/>
      </c>
      <c r="M32" s="87" t="inlineStr">
        <is>
          <t>cohorte</t>
        </is>
      </c>
      <c r="N32" s="15">
        <f>IF(M32="Fermer","—",(R32+IFERROR(SUMIFS($R$6:$R$63,$A$6:$A$63,A32,$B$6:$B$63,B32,$M$6:$M$63,"Fermer")*T32/SUMIFS($T$6:$T$63,$A$6:$A$63,A32,$B$6:$B$63,B32,$M$6:$M$63,"&lt;&gt;Fermer"),0))+(S32+IFERROR(SUMIFS($S$6:$S$63,$M$6:$M$63,"Fermer")*T32/SUMIFS($T$6:$T$63,$M$6:$M$63,"&lt;&gt;Fermer"),0)))</f>
        <v/>
      </c>
      <c r="O32" s="14">
        <f>IF(M32="Fermer","—",G32-H32-N32)</f>
        <v/>
      </c>
      <c r="P32" s="15">
        <f>IF(M32="Fermer",-I32,0)</f>
        <v/>
      </c>
      <c r="Q32" s="61">
        <f>IF(M32="Fermer","✖ Fermer = −"&amp;TEXT(I32,"# ##0")&amp;" € d'EBITDA (le fixe reste)",IF(AND(L32&gt;=0,O32&lt;0),"⚠ BASCULE : saine → déficit à cause d'une fermeture voisine",IF(L32&lt;0,IF(I32&gt;0,"Déficit COMPLET mais contribution POSITIVE → NE PAS fermer (artefact d'allocation)","Contribution négative — vrai point dur"),"Rentable en coût complet")))</f>
        <v/>
      </c>
      <c r="R32" s="85">
        <f>'10_Allocation'!K34</f>
        <v/>
      </c>
      <c r="S32" s="85">
        <f>'10_Allocation'!J34</f>
        <v/>
      </c>
      <c r="T32" s="86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R33+S33</f>
        <v/>
      </c>
      <c r="K33" s="15">
        <f>H33+J33</f>
        <v/>
      </c>
      <c r="L33" s="14">
        <f>G33-K33</f>
        <v/>
      </c>
      <c r="M33" s="87" t="inlineStr">
        <is>
          <t>cohorte</t>
        </is>
      </c>
      <c r="N33" s="15">
        <f>IF(M33="Fermer","—",(R33+IFERROR(SUMIFS($R$6:$R$63,$A$6:$A$63,A33,$B$6:$B$63,B33,$M$6:$M$63,"Fermer")*T33/SUMIFS($T$6:$T$63,$A$6:$A$63,A33,$B$6:$B$63,B33,$M$6:$M$63,"&lt;&gt;Fermer"),0))+(S33+IFERROR(SUMIFS($S$6:$S$63,$M$6:$M$63,"Fermer")*T33/SUMIFS($T$6:$T$63,$M$6:$M$63,"&lt;&gt;Fermer"),0)))</f>
        <v/>
      </c>
      <c r="O33" s="14">
        <f>IF(M33="Fermer","—",G33-H33-N33)</f>
        <v/>
      </c>
      <c r="P33" s="15">
        <f>IF(M33="Fermer",-I33,0)</f>
        <v/>
      </c>
      <c r="Q33" s="61">
        <f>IF(M33="Fermer","✖ Fermer = −"&amp;TEXT(I33,"# ##0")&amp;" € d'EBITDA (le fixe reste)",IF(AND(L33&gt;=0,O33&lt;0),"⚠ BASCULE : saine → déficit à cause d'une fermeture voisine",IF(L33&lt;0,IF(I33&gt;0,"Déficit COMPLET mais contribution POSITIVE → NE PAS fermer (artefact d'allocation)","Contribution négative — vrai point dur"),"Rentable en coût complet")))</f>
        <v/>
      </c>
      <c r="R33" s="85">
        <f>'10_Allocation'!K35</f>
        <v/>
      </c>
      <c r="S33" s="85">
        <f>'10_Allocation'!J35</f>
        <v/>
      </c>
      <c r="T33" s="86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R34+S34</f>
        <v/>
      </c>
      <c r="K34" s="15">
        <f>H34+J34</f>
        <v/>
      </c>
      <c r="L34" s="14">
        <f>G34-K34</f>
        <v/>
      </c>
      <c r="M34" s="9" t="inlineStr">
        <is>
          <t>Garder</t>
        </is>
      </c>
      <c r="N34" s="15">
        <f>IF(M34="Fermer","—",(R34+IFERROR(SUMIFS($R$6:$R$63,$A$6:$A$63,A34,$B$6:$B$63,B34,$M$6:$M$63,"Fermer")*T34/SUMIFS($T$6:$T$63,$A$6:$A$63,A34,$B$6:$B$63,B34,$M$6:$M$63,"&lt;&gt;Fermer"),0))+(S34+IFERROR(SUMIFS($S$6:$S$63,$M$6:$M$63,"Fermer")*T34/SUMIFS($T$6:$T$63,$M$6:$M$63,"&lt;&gt;Fermer"),0)))</f>
        <v/>
      </c>
      <c r="O34" s="14">
        <f>IF(M34="Fermer","—",G34-H34-N34)</f>
        <v/>
      </c>
      <c r="P34" s="15">
        <f>IF(M34="Fermer",-I34,0)</f>
        <v/>
      </c>
      <c r="Q34" s="61">
        <f>IF(M34="Fermer","✖ Fermer = −"&amp;TEXT(I34,"# ##0")&amp;" € d'EBITDA (le fixe reste)",IF(AND(L34&gt;=0,O34&lt;0),"⚠ BASCULE : saine → déficit à cause d'une fermeture voisine",IF(L34&lt;0,IF(I34&gt;0,"Déficit COMPLET mais contribution POSITIVE → NE PAS fermer (artefact d'allocation)","Contribution négative — vrai point dur"),"Rentable en coût complet")))</f>
        <v/>
      </c>
      <c r="R34" s="85">
        <f>'10_Allocation'!K36</f>
        <v/>
      </c>
      <c r="S34" s="85">
        <f>'10_Allocation'!J36</f>
        <v/>
      </c>
      <c r="T34" s="86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R35+S35</f>
        <v/>
      </c>
      <c r="K35" s="15">
        <f>H35+J35</f>
        <v/>
      </c>
      <c r="L35" s="14">
        <f>G35-K35</f>
        <v/>
      </c>
      <c r="M35" s="87" t="inlineStr">
        <is>
          <t>cohorte</t>
        </is>
      </c>
      <c r="N35" s="15">
        <f>IF(M35="Fermer","—",(R35+IFERROR(SUMIFS($R$6:$R$63,$A$6:$A$63,A35,$B$6:$B$63,B35,$M$6:$M$63,"Fermer")*T35/SUMIFS($T$6:$T$63,$A$6:$A$63,A35,$B$6:$B$63,B35,$M$6:$M$63,"&lt;&gt;Fermer"),0))+(S35+IFERROR(SUMIFS($S$6:$S$63,$M$6:$M$63,"Fermer")*T35/SUMIFS($T$6:$T$63,$M$6:$M$63,"&lt;&gt;Fermer"),0)))</f>
        <v/>
      </c>
      <c r="O35" s="14">
        <f>IF(M35="Fermer","—",G35-H35-N35)</f>
        <v/>
      </c>
      <c r="P35" s="15">
        <f>IF(M35="Fermer",-I35,0)</f>
        <v/>
      </c>
      <c r="Q35" s="61">
        <f>IF(M35="Fermer","✖ Fermer = −"&amp;TEXT(I35,"# ##0")&amp;" € d'EBITDA (le fixe reste)",IF(AND(L35&gt;=0,O35&lt;0),"⚠ BASCULE : saine → déficit à cause d'une fermeture voisine",IF(L35&lt;0,IF(I35&gt;0,"Déficit COMPLET mais contribution POSITIVE → NE PAS fermer (artefact d'allocation)","Contribution négative — vrai point dur"),"Rentable en coût complet")))</f>
        <v/>
      </c>
      <c r="R35" s="85">
        <f>'10_Allocation'!K37</f>
        <v/>
      </c>
      <c r="S35" s="85">
        <f>'10_Allocation'!J37</f>
        <v/>
      </c>
      <c r="T35" s="86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R36+S36</f>
        <v/>
      </c>
      <c r="K36" s="15">
        <f>H36+J36</f>
        <v/>
      </c>
      <c r="L36" s="14">
        <f>G36-K36</f>
        <v/>
      </c>
      <c r="M36" s="9" t="inlineStr">
        <is>
          <t>Garder</t>
        </is>
      </c>
      <c r="N36" s="15">
        <f>IF(M36="Fermer","—",(R36+IFERROR(SUMIFS($R$6:$R$63,$A$6:$A$63,A36,$B$6:$B$63,B36,$M$6:$M$63,"Fermer")*T36/SUMIFS($T$6:$T$63,$A$6:$A$63,A36,$B$6:$B$63,B36,$M$6:$M$63,"&lt;&gt;Fermer"),0))+(S36+IFERROR(SUMIFS($S$6:$S$63,$M$6:$M$63,"Fermer")*T36/SUMIFS($T$6:$T$63,$M$6:$M$63,"&lt;&gt;Fermer"),0)))</f>
        <v/>
      </c>
      <c r="O36" s="14">
        <f>IF(M36="Fermer","—",G36-H36-N36)</f>
        <v/>
      </c>
      <c r="P36" s="15">
        <f>IF(M36="Fermer",-I36,0)</f>
        <v/>
      </c>
      <c r="Q36" s="61">
        <f>IF(M36="Fermer","✖ Fermer = −"&amp;TEXT(I36,"# ##0")&amp;" € d'EBITDA (le fixe reste)",IF(AND(L36&gt;=0,O36&lt;0),"⚠ BASCULE : saine → déficit à cause d'une fermeture voisine",IF(L36&lt;0,IF(I36&gt;0,"Déficit COMPLET mais contribution POSITIVE → NE PAS fermer (artefact d'allocation)","Contribution négative — vrai point dur"),"Rentable en coût complet")))</f>
        <v/>
      </c>
      <c r="R36" s="85">
        <f>'10_Allocation'!K38</f>
        <v/>
      </c>
      <c r="S36" s="85">
        <f>'10_Allocation'!J38</f>
        <v/>
      </c>
      <c r="T36" s="86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R37+S37</f>
        <v/>
      </c>
      <c r="K37" s="15">
        <f>H37+J37</f>
        <v/>
      </c>
      <c r="L37" s="14">
        <f>G37-K37</f>
        <v/>
      </c>
      <c r="M37" s="87" t="inlineStr">
        <is>
          <t>cohorte</t>
        </is>
      </c>
      <c r="N37" s="15">
        <f>IF(M37="Fermer","—",(R37+IFERROR(SUMIFS($R$6:$R$63,$A$6:$A$63,A37,$B$6:$B$63,B37,$M$6:$M$63,"Fermer")*T37/SUMIFS($T$6:$T$63,$A$6:$A$63,A37,$B$6:$B$63,B37,$M$6:$M$63,"&lt;&gt;Fermer"),0))+(S37+IFERROR(SUMIFS($S$6:$S$63,$M$6:$M$63,"Fermer")*T37/SUMIFS($T$6:$T$63,$M$6:$M$63,"&lt;&gt;Fermer"),0)))</f>
        <v/>
      </c>
      <c r="O37" s="14">
        <f>IF(M37="Fermer","—",G37-H37-N37)</f>
        <v/>
      </c>
      <c r="P37" s="15">
        <f>IF(M37="Fermer",-I37,0)</f>
        <v/>
      </c>
      <c r="Q37" s="61">
        <f>IF(M37="Fermer","✖ Fermer = −"&amp;TEXT(I37,"# ##0")&amp;" € d'EBITDA (le fixe reste)",IF(AND(L37&gt;=0,O37&lt;0),"⚠ BASCULE : saine → déficit à cause d'une fermeture voisine",IF(L37&lt;0,IF(I37&gt;0,"Déficit COMPLET mais contribution POSITIVE → NE PAS fermer (artefact d'allocation)","Contribution négative — vrai point dur"),"Rentable en coût complet")))</f>
        <v/>
      </c>
      <c r="R37" s="85">
        <f>'10_Allocation'!K39</f>
        <v/>
      </c>
      <c r="S37" s="85">
        <f>'10_Allocation'!J39</f>
        <v/>
      </c>
      <c r="T37" s="86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R38+S38</f>
        <v/>
      </c>
      <c r="K38" s="15">
        <f>H38+J38</f>
        <v/>
      </c>
      <c r="L38" s="14">
        <f>G38-K38</f>
        <v/>
      </c>
      <c r="M38" s="87" t="inlineStr">
        <is>
          <t>cohorte</t>
        </is>
      </c>
      <c r="N38" s="15">
        <f>IF(M38="Fermer","—",(R38+IFERROR(SUMIFS($R$6:$R$63,$A$6:$A$63,A38,$B$6:$B$63,B38,$M$6:$M$63,"Fermer")*T38/SUMIFS($T$6:$T$63,$A$6:$A$63,A38,$B$6:$B$63,B38,$M$6:$M$63,"&lt;&gt;Fermer"),0))+(S38+IFERROR(SUMIFS($S$6:$S$63,$M$6:$M$63,"Fermer")*T38/SUMIFS($T$6:$T$63,$M$6:$M$63,"&lt;&gt;Fermer"),0)))</f>
        <v/>
      </c>
      <c r="O38" s="14">
        <f>IF(M38="Fermer","—",G38-H38-N38)</f>
        <v/>
      </c>
      <c r="P38" s="15">
        <f>IF(M38="Fermer",-I38,0)</f>
        <v/>
      </c>
      <c r="Q38" s="61">
        <f>IF(M38="Fermer","✖ Fermer = −"&amp;TEXT(I38,"# ##0")&amp;" € d'EBITDA (le fixe reste)",IF(AND(L38&gt;=0,O38&lt;0),"⚠ BASCULE : saine → déficit à cause d'une fermeture voisine",IF(L38&lt;0,IF(I38&gt;0,"Déficit COMPLET mais contribution POSITIVE → NE PAS fermer (artefact d'allocation)","Contribution négative — vrai point dur"),"Rentable en coût complet")))</f>
        <v/>
      </c>
      <c r="R38" s="85">
        <f>'10_Allocation'!K40</f>
        <v/>
      </c>
      <c r="S38" s="85">
        <f>'10_Allocation'!J40</f>
        <v/>
      </c>
      <c r="T38" s="86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R39+S39</f>
        <v/>
      </c>
      <c r="K39" s="15">
        <f>H39+J39</f>
        <v/>
      </c>
      <c r="L39" s="14">
        <f>G39-K39</f>
        <v/>
      </c>
      <c r="M39" s="9" t="inlineStr">
        <is>
          <t>Garder</t>
        </is>
      </c>
      <c r="N39" s="15">
        <f>IF(M39="Fermer","—",(R39+IFERROR(SUMIFS($R$6:$R$63,$A$6:$A$63,A39,$B$6:$B$63,B39,$M$6:$M$63,"Fermer")*T39/SUMIFS($T$6:$T$63,$A$6:$A$63,A39,$B$6:$B$63,B39,$M$6:$M$63,"&lt;&gt;Fermer"),0))+(S39+IFERROR(SUMIFS($S$6:$S$63,$M$6:$M$63,"Fermer")*T39/SUMIFS($T$6:$T$63,$M$6:$M$63,"&lt;&gt;Fermer"),0)))</f>
        <v/>
      </c>
      <c r="O39" s="14">
        <f>IF(M39="Fermer","—",G39-H39-N39)</f>
        <v/>
      </c>
      <c r="P39" s="15">
        <f>IF(M39="Fermer",-I39,0)</f>
        <v/>
      </c>
      <c r="Q39" s="61">
        <f>IF(M39="Fermer","✖ Fermer = −"&amp;TEXT(I39,"# ##0")&amp;" € d'EBITDA (le fixe reste)",IF(AND(L39&gt;=0,O39&lt;0),"⚠ BASCULE : saine → déficit à cause d'une fermeture voisine",IF(L39&lt;0,IF(I39&gt;0,"Déficit COMPLET mais contribution POSITIVE → NE PAS fermer (artefact d'allocation)","Contribution négative — vrai point dur"),"Rentable en coût complet")))</f>
        <v/>
      </c>
      <c r="R39" s="85">
        <f>'10_Allocation'!K41</f>
        <v/>
      </c>
      <c r="S39" s="85">
        <f>'10_Allocation'!J41</f>
        <v/>
      </c>
      <c r="T39" s="86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R40+S40</f>
        <v/>
      </c>
      <c r="K40" s="15">
        <f>H40+J40</f>
        <v/>
      </c>
      <c r="L40" s="14">
        <f>G40-K40</f>
        <v/>
      </c>
      <c r="M40" s="87" t="inlineStr">
        <is>
          <t>cohorte</t>
        </is>
      </c>
      <c r="N40" s="15">
        <f>IF(M40="Fermer","—",(R40+IFERROR(SUMIFS($R$6:$R$63,$A$6:$A$63,A40,$B$6:$B$63,B40,$M$6:$M$63,"Fermer")*T40/SUMIFS($T$6:$T$63,$A$6:$A$63,A40,$B$6:$B$63,B40,$M$6:$M$63,"&lt;&gt;Fermer"),0))+(S40+IFERROR(SUMIFS($S$6:$S$63,$M$6:$M$63,"Fermer")*T40/SUMIFS($T$6:$T$63,$M$6:$M$63,"&lt;&gt;Fermer"),0)))</f>
        <v/>
      </c>
      <c r="O40" s="14">
        <f>IF(M40="Fermer","—",G40-H40-N40)</f>
        <v/>
      </c>
      <c r="P40" s="15">
        <f>IF(M40="Fermer",-I40,0)</f>
        <v/>
      </c>
      <c r="Q40" s="61">
        <f>IF(M40="Fermer","✖ Fermer = −"&amp;TEXT(I40,"# ##0")&amp;" € d'EBITDA (le fixe reste)",IF(AND(L40&gt;=0,O40&lt;0),"⚠ BASCULE : saine → déficit à cause d'une fermeture voisine",IF(L40&lt;0,IF(I40&gt;0,"Déficit COMPLET mais contribution POSITIVE → NE PAS fermer (artefact d'allocation)","Contribution négative — vrai point dur"),"Rentable en coût complet")))</f>
        <v/>
      </c>
      <c r="R40" s="85">
        <f>'10_Allocation'!K42</f>
        <v/>
      </c>
      <c r="S40" s="85">
        <f>'10_Allocation'!J42</f>
        <v/>
      </c>
      <c r="T40" s="86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R41+S41</f>
        <v/>
      </c>
      <c r="K41" s="15">
        <f>H41+J41</f>
        <v/>
      </c>
      <c r="L41" s="14">
        <f>G41-K41</f>
        <v/>
      </c>
      <c r="M41" s="9" t="inlineStr">
        <is>
          <t>Garder</t>
        </is>
      </c>
      <c r="N41" s="15">
        <f>IF(M41="Fermer","—",(R41+IFERROR(SUMIFS($R$6:$R$63,$A$6:$A$63,A41,$B$6:$B$63,B41,$M$6:$M$63,"Fermer")*T41/SUMIFS($T$6:$T$63,$A$6:$A$63,A41,$B$6:$B$63,B41,$M$6:$M$63,"&lt;&gt;Fermer"),0))+(S41+IFERROR(SUMIFS($S$6:$S$63,$M$6:$M$63,"Fermer")*T41/SUMIFS($T$6:$T$63,$M$6:$M$63,"&lt;&gt;Fermer"),0)))</f>
        <v/>
      </c>
      <c r="O41" s="14">
        <f>IF(M41="Fermer","—",G41-H41-N41)</f>
        <v/>
      </c>
      <c r="P41" s="15">
        <f>IF(M41="Fermer",-I41,0)</f>
        <v/>
      </c>
      <c r="Q41" s="61">
        <f>IF(M41="Fermer","✖ Fermer = −"&amp;TEXT(I41,"# ##0")&amp;" € d'EBITDA (le fixe reste)",IF(AND(L41&gt;=0,O41&lt;0),"⚠ BASCULE : saine → déficit à cause d'une fermeture voisine",IF(L41&lt;0,IF(I41&gt;0,"Déficit COMPLET mais contribution POSITIVE → NE PAS fermer (artefact d'allocation)","Contribution négative — vrai point dur"),"Rentable en coût complet")))</f>
        <v/>
      </c>
      <c r="R41" s="85">
        <f>'10_Allocation'!K43</f>
        <v/>
      </c>
      <c r="S41" s="85">
        <f>'10_Allocation'!J43</f>
        <v/>
      </c>
      <c r="T41" s="86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R42+S42</f>
        <v/>
      </c>
      <c r="K42" s="15">
        <f>H42+J42</f>
        <v/>
      </c>
      <c r="L42" s="14">
        <f>G42-K42</f>
        <v/>
      </c>
      <c r="M42" s="87" t="inlineStr">
        <is>
          <t>cohorte</t>
        </is>
      </c>
      <c r="N42" s="15">
        <f>IF(M42="Fermer","—",(R42+IFERROR(SUMIFS($R$6:$R$63,$A$6:$A$63,A42,$B$6:$B$63,B42,$M$6:$M$63,"Fermer")*T42/SUMIFS($T$6:$T$63,$A$6:$A$63,A42,$B$6:$B$63,B42,$M$6:$M$63,"&lt;&gt;Fermer"),0))+(S42+IFERROR(SUMIFS($S$6:$S$63,$M$6:$M$63,"Fermer")*T42/SUMIFS($T$6:$T$63,$M$6:$M$63,"&lt;&gt;Fermer"),0)))</f>
        <v/>
      </c>
      <c r="O42" s="14">
        <f>IF(M42="Fermer","—",G42-H42-N42)</f>
        <v/>
      </c>
      <c r="P42" s="15">
        <f>IF(M42="Fermer",-I42,0)</f>
        <v/>
      </c>
      <c r="Q42" s="61">
        <f>IF(M42="Fermer","✖ Fermer = −"&amp;TEXT(I42,"# ##0")&amp;" € d'EBITDA (le fixe reste)",IF(AND(L42&gt;=0,O42&lt;0),"⚠ BASCULE : saine → déficit à cause d'une fermeture voisine",IF(L42&lt;0,IF(I42&gt;0,"Déficit COMPLET mais contribution POSITIVE → NE PAS fermer (artefact d'allocation)","Contribution négative — vrai point dur"),"Rentable en coût complet")))</f>
        <v/>
      </c>
      <c r="R42" s="85">
        <f>'10_Allocation'!K44</f>
        <v/>
      </c>
      <c r="S42" s="85">
        <f>'10_Allocation'!J44</f>
        <v/>
      </c>
      <c r="T42" s="86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R43+S43</f>
        <v/>
      </c>
      <c r="K43" s="15">
        <f>H43+J43</f>
        <v/>
      </c>
      <c r="L43" s="14">
        <f>G43-K43</f>
        <v/>
      </c>
      <c r="M43" s="87" t="inlineStr">
        <is>
          <t>cohorte</t>
        </is>
      </c>
      <c r="N43" s="15">
        <f>IF(M43="Fermer","—",(R43+IFERROR(SUMIFS($R$6:$R$63,$A$6:$A$63,A43,$B$6:$B$63,B43,$M$6:$M$63,"Fermer")*T43/SUMIFS($T$6:$T$63,$A$6:$A$63,A43,$B$6:$B$63,B43,$M$6:$M$63,"&lt;&gt;Fermer"),0))+(S43+IFERROR(SUMIFS($S$6:$S$63,$M$6:$M$63,"Fermer")*T43/SUMIFS($T$6:$T$63,$M$6:$M$63,"&lt;&gt;Fermer"),0)))</f>
        <v/>
      </c>
      <c r="O43" s="14">
        <f>IF(M43="Fermer","—",G43-H43-N43)</f>
        <v/>
      </c>
      <c r="P43" s="15">
        <f>IF(M43="Fermer",-I43,0)</f>
        <v/>
      </c>
      <c r="Q43" s="61">
        <f>IF(M43="Fermer","✖ Fermer = −"&amp;TEXT(I43,"# ##0")&amp;" € d'EBITDA (le fixe reste)",IF(AND(L43&gt;=0,O43&lt;0),"⚠ BASCULE : saine → déficit à cause d'une fermeture voisine",IF(L43&lt;0,IF(I43&gt;0,"Déficit COMPLET mais contribution POSITIVE → NE PAS fermer (artefact d'allocation)","Contribution négative — vrai point dur"),"Rentable en coût complet")))</f>
        <v/>
      </c>
      <c r="R43" s="85">
        <f>'10_Allocation'!K45</f>
        <v/>
      </c>
      <c r="S43" s="85">
        <f>'10_Allocation'!J45</f>
        <v/>
      </c>
      <c r="T43" s="86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R44+S44</f>
        <v/>
      </c>
      <c r="K44" s="15">
        <f>H44+J44</f>
        <v/>
      </c>
      <c r="L44" s="14">
        <f>G44-K44</f>
        <v/>
      </c>
      <c r="M44" s="9" t="inlineStr">
        <is>
          <t>Garder</t>
        </is>
      </c>
      <c r="N44" s="15">
        <f>IF(M44="Fermer","—",(R44+IFERROR(SUMIFS($R$6:$R$63,$A$6:$A$63,A44,$B$6:$B$63,B44,$M$6:$M$63,"Fermer")*T44/SUMIFS($T$6:$T$63,$A$6:$A$63,A44,$B$6:$B$63,B44,$M$6:$M$63,"&lt;&gt;Fermer"),0))+(S44+IFERROR(SUMIFS($S$6:$S$63,$M$6:$M$63,"Fermer")*T44/SUMIFS($T$6:$T$63,$M$6:$M$63,"&lt;&gt;Fermer"),0)))</f>
        <v/>
      </c>
      <c r="O44" s="14">
        <f>IF(M44="Fermer","—",G44-H44-N44)</f>
        <v/>
      </c>
      <c r="P44" s="15">
        <f>IF(M44="Fermer",-I44,0)</f>
        <v/>
      </c>
      <c r="Q44" s="61">
        <f>IF(M44="Fermer","✖ Fermer = −"&amp;TEXT(I44,"# ##0")&amp;" € d'EBITDA (le fixe reste)",IF(AND(L44&gt;=0,O44&lt;0),"⚠ BASCULE : saine → déficit à cause d'une fermeture voisine",IF(L44&lt;0,IF(I44&gt;0,"Déficit COMPLET mais contribution POSITIVE → NE PAS fermer (artefact d'allocation)","Contribution négative — vrai point dur"),"Rentable en coût complet")))</f>
        <v/>
      </c>
      <c r="R44" s="85">
        <f>'10_Allocation'!K46</f>
        <v/>
      </c>
      <c r="S44" s="85">
        <f>'10_Allocation'!J46</f>
        <v/>
      </c>
      <c r="T44" s="86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R45+S45</f>
        <v/>
      </c>
      <c r="K45" s="15">
        <f>H45+J45</f>
        <v/>
      </c>
      <c r="L45" s="14">
        <f>G45-K45</f>
        <v/>
      </c>
      <c r="M45" s="87" t="inlineStr">
        <is>
          <t>cohorte</t>
        </is>
      </c>
      <c r="N45" s="15">
        <f>IF(M45="Fermer","—",(R45+IFERROR(SUMIFS($R$6:$R$63,$A$6:$A$63,A45,$B$6:$B$63,B45,$M$6:$M$63,"Fermer")*T45/SUMIFS($T$6:$T$63,$A$6:$A$63,A45,$B$6:$B$63,B45,$M$6:$M$63,"&lt;&gt;Fermer"),0))+(S45+IFERROR(SUMIFS($S$6:$S$63,$M$6:$M$63,"Fermer")*T45/SUMIFS($T$6:$T$63,$M$6:$M$63,"&lt;&gt;Fermer"),0)))</f>
        <v/>
      </c>
      <c r="O45" s="14">
        <f>IF(M45="Fermer","—",G45-H45-N45)</f>
        <v/>
      </c>
      <c r="P45" s="15">
        <f>IF(M45="Fermer",-I45,0)</f>
        <v/>
      </c>
      <c r="Q45" s="61">
        <f>IF(M45="Fermer","✖ Fermer = −"&amp;TEXT(I45,"# ##0")&amp;" € d'EBITDA (le fixe reste)",IF(AND(L45&gt;=0,O45&lt;0),"⚠ BASCULE : saine → déficit à cause d'une fermeture voisine",IF(L45&lt;0,IF(I45&gt;0,"Déficit COMPLET mais contribution POSITIVE → NE PAS fermer (artefact d'allocation)","Contribution négative — vrai point dur"),"Rentable en coût complet")))</f>
        <v/>
      </c>
      <c r="R45" s="85">
        <f>'10_Allocation'!K47</f>
        <v/>
      </c>
      <c r="S45" s="85">
        <f>'10_Allocation'!J47</f>
        <v/>
      </c>
      <c r="T45" s="86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R46+S46</f>
        <v/>
      </c>
      <c r="K46" s="15">
        <f>H46+J46</f>
        <v/>
      </c>
      <c r="L46" s="14">
        <f>G46-K46</f>
        <v/>
      </c>
      <c r="M46" s="87" t="inlineStr">
        <is>
          <t>cohorte</t>
        </is>
      </c>
      <c r="N46" s="15">
        <f>IF(M46="Fermer","—",(R46+IFERROR(SUMIFS($R$6:$R$63,$A$6:$A$63,A46,$B$6:$B$63,B46,$M$6:$M$63,"Fermer")*T46/SUMIFS($T$6:$T$63,$A$6:$A$63,A46,$B$6:$B$63,B46,$M$6:$M$63,"&lt;&gt;Fermer"),0))+(S46+IFERROR(SUMIFS($S$6:$S$63,$M$6:$M$63,"Fermer")*T46/SUMIFS($T$6:$T$63,$M$6:$M$63,"&lt;&gt;Fermer"),0)))</f>
        <v/>
      </c>
      <c r="O46" s="14">
        <f>IF(M46="Fermer","—",G46-H46-N46)</f>
        <v/>
      </c>
      <c r="P46" s="15">
        <f>IF(M46="Fermer",-I46,0)</f>
        <v/>
      </c>
      <c r="Q46" s="61">
        <f>IF(M46="Fermer","✖ Fermer = −"&amp;TEXT(I46,"# ##0")&amp;" € d'EBITDA (le fixe reste)",IF(AND(L46&gt;=0,O46&lt;0),"⚠ BASCULE : saine → déficit à cause d'une fermeture voisine",IF(L46&lt;0,IF(I46&gt;0,"Déficit COMPLET mais contribution POSITIVE → NE PAS fermer (artefact d'allocation)","Contribution négative — vrai point dur"),"Rentable en coût complet")))</f>
        <v/>
      </c>
      <c r="R46" s="85">
        <f>'10_Allocation'!K48</f>
        <v/>
      </c>
      <c r="S46" s="85">
        <f>'10_Allocation'!J48</f>
        <v/>
      </c>
      <c r="T46" s="86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R47+S47</f>
        <v/>
      </c>
      <c r="K47" s="15">
        <f>H47+J47</f>
        <v/>
      </c>
      <c r="L47" s="14">
        <f>G47-K47</f>
        <v/>
      </c>
      <c r="M47" s="9" t="inlineStr">
        <is>
          <t>Garder</t>
        </is>
      </c>
      <c r="N47" s="15">
        <f>IF(M47="Fermer","—",(R47+IFERROR(SUMIFS($R$6:$R$63,$A$6:$A$63,A47,$B$6:$B$63,B47,$M$6:$M$63,"Fermer")*T47/SUMIFS($T$6:$T$63,$A$6:$A$63,A47,$B$6:$B$63,B47,$M$6:$M$63,"&lt;&gt;Fermer"),0))+(S47+IFERROR(SUMIFS($S$6:$S$63,$M$6:$M$63,"Fermer")*T47/SUMIFS($T$6:$T$63,$M$6:$M$63,"&lt;&gt;Fermer"),0)))</f>
        <v/>
      </c>
      <c r="O47" s="14">
        <f>IF(M47="Fermer","—",G47-H47-N47)</f>
        <v/>
      </c>
      <c r="P47" s="15">
        <f>IF(M47="Fermer",-I47,0)</f>
        <v/>
      </c>
      <c r="Q47" s="61">
        <f>IF(M47="Fermer","✖ Fermer = −"&amp;TEXT(I47,"# ##0")&amp;" € d'EBITDA (le fixe reste)",IF(AND(L47&gt;=0,O47&lt;0),"⚠ BASCULE : saine → déficit à cause d'une fermeture voisine",IF(L47&lt;0,IF(I47&gt;0,"Déficit COMPLET mais contribution POSITIVE → NE PAS fermer (artefact d'allocation)","Contribution négative — vrai point dur"),"Rentable en coût complet")))</f>
        <v/>
      </c>
      <c r="R47" s="85">
        <f>'10_Allocation'!K49</f>
        <v/>
      </c>
      <c r="S47" s="85">
        <f>'10_Allocation'!J49</f>
        <v/>
      </c>
      <c r="T47" s="86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R48+S48</f>
        <v/>
      </c>
      <c r="K48" s="15">
        <f>H48+J48</f>
        <v/>
      </c>
      <c r="L48" s="14">
        <f>G48-K48</f>
        <v/>
      </c>
      <c r="M48" s="87" t="inlineStr">
        <is>
          <t>cohorte</t>
        </is>
      </c>
      <c r="N48" s="15">
        <f>IF(M48="Fermer","—",(R48+IFERROR(SUMIFS($R$6:$R$63,$A$6:$A$63,A48,$B$6:$B$63,B48,$M$6:$M$63,"Fermer")*T48/SUMIFS($T$6:$T$63,$A$6:$A$63,A48,$B$6:$B$63,B48,$M$6:$M$63,"&lt;&gt;Fermer"),0))+(S48+IFERROR(SUMIFS($S$6:$S$63,$M$6:$M$63,"Fermer")*T48/SUMIFS($T$6:$T$63,$M$6:$M$63,"&lt;&gt;Fermer"),0)))</f>
        <v/>
      </c>
      <c r="O48" s="14">
        <f>IF(M48="Fermer","—",G48-H48-N48)</f>
        <v/>
      </c>
      <c r="P48" s="15">
        <f>IF(M48="Fermer",-I48,0)</f>
        <v/>
      </c>
      <c r="Q48" s="61">
        <f>IF(M48="Fermer","✖ Fermer = −"&amp;TEXT(I48,"# ##0")&amp;" € d'EBITDA (le fixe reste)",IF(AND(L48&gt;=0,O48&lt;0),"⚠ BASCULE : saine → déficit à cause d'une fermeture voisine",IF(L48&lt;0,IF(I48&gt;0,"Déficit COMPLET mais contribution POSITIVE → NE PAS fermer (artefact d'allocation)","Contribution négative — vrai point dur"),"Rentable en coût complet")))</f>
        <v/>
      </c>
      <c r="R48" s="85">
        <f>'10_Allocation'!K50</f>
        <v/>
      </c>
      <c r="S48" s="85">
        <f>'10_Allocation'!J50</f>
        <v/>
      </c>
      <c r="T48" s="86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R49+S49</f>
        <v/>
      </c>
      <c r="K49" s="15">
        <f>H49+J49</f>
        <v/>
      </c>
      <c r="L49" s="14">
        <f>G49-K49</f>
        <v/>
      </c>
      <c r="M49" s="87" t="inlineStr">
        <is>
          <t>cohorte</t>
        </is>
      </c>
      <c r="N49" s="15">
        <f>IF(M49="Fermer","—",(R49+IFERROR(SUMIFS($R$6:$R$63,$A$6:$A$63,A49,$B$6:$B$63,B49,$M$6:$M$63,"Fermer")*T49/SUMIFS($T$6:$T$63,$A$6:$A$63,A49,$B$6:$B$63,B49,$M$6:$M$63,"&lt;&gt;Fermer"),0))+(S49+IFERROR(SUMIFS($S$6:$S$63,$M$6:$M$63,"Fermer")*T49/SUMIFS($T$6:$T$63,$M$6:$M$63,"&lt;&gt;Fermer"),0)))</f>
        <v/>
      </c>
      <c r="O49" s="14">
        <f>IF(M49="Fermer","—",G49-H49-N49)</f>
        <v/>
      </c>
      <c r="P49" s="15">
        <f>IF(M49="Fermer",-I49,0)</f>
        <v/>
      </c>
      <c r="Q49" s="61">
        <f>IF(M49="Fermer","✖ Fermer = −"&amp;TEXT(I49,"# ##0")&amp;" € d'EBITDA (le fixe reste)",IF(AND(L49&gt;=0,O49&lt;0),"⚠ BASCULE : saine → déficit à cause d'une fermeture voisine",IF(L49&lt;0,IF(I49&gt;0,"Déficit COMPLET mais contribution POSITIVE → NE PAS fermer (artefact d'allocation)","Contribution négative — vrai point dur"),"Rentable en coût complet")))</f>
        <v/>
      </c>
      <c r="R49" s="85">
        <f>'10_Allocation'!K51</f>
        <v/>
      </c>
      <c r="S49" s="85">
        <f>'10_Allocation'!J51</f>
        <v/>
      </c>
      <c r="T49" s="86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R50+S50</f>
        <v/>
      </c>
      <c r="K50" s="15">
        <f>H50+J50</f>
        <v/>
      </c>
      <c r="L50" s="14">
        <f>G50-K50</f>
        <v/>
      </c>
      <c r="M50" s="9" t="inlineStr">
        <is>
          <t>Garder</t>
        </is>
      </c>
      <c r="N50" s="15">
        <f>IF(M50="Fermer","—",(R50+IFERROR(SUMIFS($R$6:$R$63,$A$6:$A$63,A50,$B$6:$B$63,B50,$M$6:$M$63,"Fermer")*T50/SUMIFS($T$6:$T$63,$A$6:$A$63,A50,$B$6:$B$63,B50,$M$6:$M$63,"&lt;&gt;Fermer"),0))+(S50+IFERROR(SUMIFS($S$6:$S$63,$M$6:$M$63,"Fermer")*T50/SUMIFS($T$6:$T$63,$M$6:$M$63,"&lt;&gt;Fermer"),0)))</f>
        <v/>
      </c>
      <c r="O50" s="14">
        <f>IF(M50="Fermer","—",G50-H50-N50)</f>
        <v/>
      </c>
      <c r="P50" s="15">
        <f>IF(M50="Fermer",-I50,0)</f>
        <v/>
      </c>
      <c r="Q50" s="61">
        <f>IF(M50="Fermer","✖ Fermer = −"&amp;TEXT(I50,"# ##0")&amp;" € d'EBITDA (le fixe reste)",IF(AND(L50&gt;=0,O50&lt;0),"⚠ BASCULE : saine → déficit à cause d'une fermeture voisine",IF(L50&lt;0,IF(I50&gt;0,"Déficit COMPLET mais contribution POSITIVE → NE PAS fermer (artefact d'allocation)","Contribution négative — vrai point dur"),"Rentable en coût complet")))</f>
        <v/>
      </c>
      <c r="R50" s="85">
        <f>'10_Allocation'!K52</f>
        <v/>
      </c>
      <c r="S50" s="85">
        <f>'10_Allocation'!J52</f>
        <v/>
      </c>
      <c r="T50" s="86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R51+S51</f>
        <v/>
      </c>
      <c r="K51" s="15">
        <f>H51+J51</f>
        <v/>
      </c>
      <c r="L51" s="14">
        <f>G51-K51</f>
        <v/>
      </c>
      <c r="M51" s="87" t="inlineStr">
        <is>
          <t>cohorte</t>
        </is>
      </c>
      <c r="N51" s="15">
        <f>IF(M51="Fermer","—",(R51+IFERROR(SUMIFS($R$6:$R$63,$A$6:$A$63,A51,$B$6:$B$63,B51,$M$6:$M$63,"Fermer")*T51/SUMIFS($T$6:$T$63,$A$6:$A$63,A51,$B$6:$B$63,B51,$M$6:$M$63,"&lt;&gt;Fermer"),0))+(S51+IFERROR(SUMIFS($S$6:$S$63,$M$6:$M$63,"Fermer")*T51/SUMIFS($T$6:$T$63,$M$6:$M$63,"&lt;&gt;Fermer"),0)))</f>
        <v/>
      </c>
      <c r="O51" s="14">
        <f>IF(M51="Fermer","—",G51-H51-N51)</f>
        <v/>
      </c>
      <c r="P51" s="15">
        <f>IF(M51="Fermer",-I51,0)</f>
        <v/>
      </c>
      <c r="Q51" s="61">
        <f>IF(M51="Fermer","✖ Fermer = −"&amp;TEXT(I51,"# ##0")&amp;" € d'EBITDA (le fixe reste)",IF(AND(L51&gt;=0,O51&lt;0),"⚠ BASCULE : saine → déficit à cause d'une fermeture voisine",IF(L51&lt;0,IF(I51&gt;0,"Déficit COMPLET mais contribution POSITIVE → NE PAS fermer (artefact d'allocation)","Contribution négative — vrai point dur"),"Rentable en coût complet")))</f>
        <v/>
      </c>
      <c r="R51" s="85">
        <f>'10_Allocation'!K53</f>
        <v/>
      </c>
      <c r="S51" s="85">
        <f>'10_Allocation'!J53</f>
        <v/>
      </c>
      <c r="T51" s="86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R52+S52</f>
        <v/>
      </c>
      <c r="K52" s="15">
        <f>H52+J52</f>
        <v/>
      </c>
      <c r="L52" s="14">
        <f>G52-K52</f>
        <v/>
      </c>
      <c r="M52" s="9" t="inlineStr">
        <is>
          <t>Garder</t>
        </is>
      </c>
      <c r="N52" s="15">
        <f>IF(M52="Fermer","—",(R52+IFERROR(SUMIFS($R$6:$R$63,$A$6:$A$63,A52,$B$6:$B$63,B52,$M$6:$M$63,"Fermer")*T52/SUMIFS($T$6:$T$63,$A$6:$A$63,A52,$B$6:$B$63,B52,$M$6:$M$63,"&lt;&gt;Fermer"),0))+(S52+IFERROR(SUMIFS($S$6:$S$63,$M$6:$M$63,"Fermer")*T52/SUMIFS($T$6:$T$63,$M$6:$M$63,"&lt;&gt;Fermer"),0)))</f>
        <v/>
      </c>
      <c r="O52" s="14">
        <f>IF(M52="Fermer","—",G52-H52-N52)</f>
        <v/>
      </c>
      <c r="P52" s="15">
        <f>IF(M52="Fermer",-I52,0)</f>
        <v/>
      </c>
      <c r="Q52" s="61">
        <f>IF(M52="Fermer","✖ Fermer = −"&amp;TEXT(I52,"# ##0")&amp;" € d'EBITDA (le fixe reste)",IF(AND(L52&gt;=0,O52&lt;0),"⚠ BASCULE : saine → déficit à cause d'une fermeture voisine",IF(L52&lt;0,IF(I52&gt;0,"Déficit COMPLET mais contribution POSITIVE → NE PAS fermer (artefact d'allocation)","Contribution négative — vrai point dur"),"Rentable en coût complet")))</f>
        <v/>
      </c>
      <c r="R52" s="85">
        <f>'10_Allocation'!K54</f>
        <v/>
      </c>
      <c r="S52" s="85">
        <f>'10_Allocation'!J54</f>
        <v/>
      </c>
      <c r="T52" s="86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R53+S53</f>
        <v/>
      </c>
      <c r="K53" s="15">
        <f>H53+J53</f>
        <v/>
      </c>
      <c r="L53" s="14">
        <f>G53-K53</f>
        <v/>
      </c>
      <c r="M53" s="87" t="inlineStr">
        <is>
          <t>cohorte</t>
        </is>
      </c>
      <c r="N53" s="15">
        <f>IF(M53="Fermer","—",(R53+IFERROR(SUMIFS($R$6:$R$63,$A$6:$A$63,A53,$B$6:$B$63,B53,$M$6:$M$63,"Fermer")*T53/SUMIFS($T$6:$T$63,$A$6:$A$63,A53,$B$6:$B$63,B53,$M$6:$M$63,"&lt;&gt;Fermer"),0))+(S53+IFERROR(SUMIFS($S$6:$S$63,$M$6:$M$63,"Fermer")*T53/SUMIFS($T$6:$T$63,$M$6:$M$63,"&lt;&gt;Fermer"),0)))</f>
        <v/>
      </c>
      <c r="O53" s="14">
        <f>IF(M53="Fermer","—",G53-H53-N53)</f>
        <v/>
      </c>
      <c r="P53" s="15">
        <f>IF(M53="Fermer",-I53,0)</f>
        <v/>
      </c>
      <c r="Q53" s="61">
        <f>IF(M53="Fermer","✖ Fermer = −"&amp;TEXT(I53,"# ##0")&amp;" € d'EBITDA (le fixe reste)",IF(AND(L53&gt;=0,O53&lt;0),"⚠ BASCULE : saine → déficit à cause d'une fermeture voisine",IF(L53&lt;0,IF(I53&gt;0,"Déficit COMPLET mais contribution POSITIVE → NE PAS fermer (artefact d'allocation)","Contribution négative — vrai point dur"),"Rentable en coût complet")))</f>
        <v/>
      </c>
      <c r="R53" s="85">
        <f>'10_Allocation'!K55</f>
        <v/>
      </c>
      <c r="S53" s="85">
        <f>'10_Allocation'!J55</f>
        <v/>
      </c>
      <c r="T53" s="86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R54+S54</f>
        <v/>
      </c>
      <c r="K54" s="15">
        <f>H54+J54</f>
        <v/>
      </c>
      <c r="L54" s="14">
        <f>G54-K54</f>
        <v/>
      </c>
      <c r="M54" s="9" t="inlineStr">
        <is>
          <t>Garder</t>
        </is>
      </c>
      <c r="N54" s="15">
        <f>IF(M54="Fermer","—",(R54+IFERROR(SUMIFS($R$6:$R$63,$A$6:$A$63,A54,$B$6:$B$63,B54,$M$6:$M$63,"Fermer")*T54/SUMIFS($T$6:$T$63,$A$6:$A$63,A54,$B$6:$B$63,B54,$M$6:$M$63,"&lt;&gt;Fermer"),0))+(S54+IFERROR(SUMIFS($S$6:$S$63,$M$6:$M$63,"Fermer")*T54/SUMIFS($T$6:$T$63,$M$6:$M$63,"&lt;&gt;Fermer"),0)))</f>
        <v/>
      </c>
      <c r="O54" s="14">
        <f>IF(M54="Fermer","—",G54-H54-N54)</f>
        <v/>
      </c>
      <c r="P54" s="15">
        <f>IF(M54="Fermer",-I54,0)</f>
        <v/>
      </c>
      <c r="Q54" s="61">
        <f>IF(M54="Fermer","✖ Fermer = −"&amp;TEXT(I54,"# ##0")&amp;" € d'EBITDA (le fixe reste)",IF(AND(L54&gt;=0,O54&lt;0),"⚠ BASCULE : saine → déficit à cause d'une fermeture voisine",IF(L54&lt;0,IF(I54&gt;0,"Déficit COMPLET mais contribution POSITIVE → NE PAS fermer (artefact d'allocation)","Contribution négative — vrai point dur"),"Rentable en coût complet")))</f>
        <v/>
      </c>
      <c r="R54" s="85">
        <f>'10_Allocation'!K56</f>
        <v/>
      </c>
      <c r="S54" s="85">
        <f>'10_Allocation'!J56</f>
        <v/>
      </c>
      <c r="T54" s="86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R55+S55</f>
        <v/>
      </c>
      <c r="K55" s="15">
        <f>H55+J55</f>
        <v/>
      </c>
      <c r="L55" s="14">
        <f>G55-K55</f>
        <v/>
      </c>
      <c r="M55" s="87" t="inlineStr">
        <is>
          <t>cohorte</t>
        </is>
      </c>
      <c r="N55" s="15">
        <f>IF(M55="Fermer","—",(R55+IFERROR(SUMIFS($R$6:$R$63,$A$6:$A$63,A55,$B$6:$B$63,B55,$M$6:$M$63,"Fermer")*T55/SUMIFS($T$6:$T$63,$A$6:$A$63,A55,$B$6:$B$63,B55,$M$6:$M$63,"&lt;&gt;Fermer"),0))+(S55+IFERROR(SUMIFS($S$6:$S$63,$M$6:$M$63,"Fermer")*T55/SUMIFS($T$6:$T$63,$M$6:$M$63,"&lt;&gt;Fermer"),0)))</f>
        <v/>
      </c>
      <c r="O55" s="14">
        <f>IF(M55="Fermer","—",G55-H55-N55)</f>
        <v/>
      </c>
      <c r="P55" s="15">
        <f>IF(M55="Fermer",-I55,0)</f>
        <v/>
      </c>
      <c r="Q55" s="61">
        <f>IF(M55="Fermer","✖ Fermer = −"&amp;TEXT(I55,"# ##0")&amp;" € d'EBITDA (le fixe reste)",IF(AND(L55&gt;=0,O55&lt;0),"⚠ BASCULE : saine → déficit à cause d'une fermeture voisine",IF(L55&lt;0,IF(I55&gt;0,"Déficit COMPLET mais contribution POSITIVE → NE PAS fermer (artefact d'allocation)","Contribution négative — vrai point dur"),"Rentable en coût complet")))</f>
        <v/>
      </c>
      <c r="R55" s="85">
        <f>'10_Allocation'!K57</f>
        <v/>
      </c>
      <c r="S55" s="85">
        <f>'10_Allocation'!J57</f>
        <v/>
      </c>
      <c r="T55" s="86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R56+S56</f>
        <v/>
      </c>
      <c r="K56" s="15">
        <f>H56+J56</f>
        <v/>
      </c>
      <c r="L56" s="14">
        <f>G56-K56</f>
        <v/>
      </c>
      <c r="M56" s="9" t="inlineStr">
        <is>
          <t>Garder</t>
        </is>
      </c>
      <c r="N56" s="15">
        <f>IF(M56="Fermer","—",(R56+IFERROR(SUMIFS($R$6:$R$63,$A$6:$A$63,A56,$B$6:$B$63,B56,$M$6:$M$63,"Fermer")*T56/SUMIFS($T$6:$T$63,$A$6:$A$63,A56,$B$6:$B$63,B56,$M$6:$M$63,"&lt;&gt;Fermer"),0))+(S56+IFERROR(SUMIFS($S$6:$S$63,$M$6:$M$63,"Fermer")*T56/SUMIFS($T$6:$T$63,$M$6:$M$63,"&lt;&gt;Fermer"),0)))</f>
        <v/>
      </c>
      <c r="O56" s="14">
        <f>IF(M56="Fermer","—",G56-H56-N56)</f>
        <v/>
      </c>
      <c r="P56" s="15">
        <f>IF(M56="Fermer",-I56,0)</f>
        <v/>
      </c>
      <c r="Q56" s="61">
        <f>IF(M56="Fermer","✖ Fermer = −"&amp;TEXT(I56,"# ##0")&amp;" € d'EBITDA (le fixe reste)",IF(AND(L56&gt;=0,O56&lt;0),"⚠ BASCULE : saine → déficit à cause d'une fermeture voisine",IF(L56&lt;0,IF(I56&gt;0,"Déficit COMPLET mais contribution POSITIVE → NE PAS fermer (artefact d'allocation)","Contribution négative — vrai point dur"),"Rentable en coût complet")))</f>
        <v/>
      </c>
      <c r="R56" s="85">
        <f>'10_Allocation'!K58</f>
        <v/>
      </c>
      <c r="S56" s="85">
        <f>'10_Allocation'!J58</f>
        <v/>
      </c>
      <c r="T56" s="86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R57+S57</f>
        <v/>
      </c>
      <c r="K57" s="15">
        <f>H57+J57</f>
        <v/>
      </c>
      <c r="L57" s="14">
        <f>G57-K57</f>
        <v/>
      </c>
      <c r="M57" s="87" t="inlineStr">
        <is>
          <t>cohorte</t>
        </is>
      </c>
      <c r="N57" s="15">
        <f>IF(M57="Fermer","—",(R57+IFERROR(SUMIFS($R$6:$R$63,$A$6:$A$63,A57,$B$6:$B$63,B57,$M$6:$M$63,"Fermer")*T57/SUMIFS($T$6:$T$63,$A$6:$A$63,A57,$B$6:$B$63,B57,$M$6:$M$63,"&lt;&gt;Fermer"),0))+(S57+IFERROR(SUMIFS($S$6:$S$63,$M$6:$M$63,"Fermer")*T57/SUMIFS($T$6:$T$63,$M$6:$M$63,"&lt;&gt;Fermer"),0)))</f>
        <v/>
      </c>
      <c r="O57" s="14">
        <f>IF(M57="Fermer","—",G57-H57-N57)</f>
        <v/>
      </c>
      <c r="P57" s="15">
        <f>IF(M57="Fermer",-I57,0)</f>
        <v/>
      </c>
      <c r="Q57" s="61">
        <f>IF(M57="Fermer","✖ Fermer = −"&amp;TEXT(I57,"# ##0")&amp;" € d'EBITDA (le fixe reste)",IF(AND(L57&gt;=0,O57&lt;0),"⚠ BASCULE : saine → déficit à cause d'une fermeture voisine",IF(L57&lt;0,IF(I57&gt;0,"Déficit COMPLET mais contribution POSITIVE → NE PAS fermer (artefact d'allocation)","Contribution négative — vrai point dur"),"Rentable en coût complet")))</f>
        <v/>
      </c>
      <c r="R57" s="85">
        <f>'10_Allocation'!K59</f>
        <v/>
      </c>
      <c r="S57" s="85">
        <f>'10_Allocation'!J59</f>
        <v/>
      </c>
      <c r="T57" s="86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R58+S58</f>
        <v/>
      </c>
      <c r="K58" s="15">
        <f>H58+J58</f>
        <v/>
      </c>
      <c r="L58" s="14">
        <f>G58-K58</f>
        <v/>
      </c>
      <c r="M58" s="9" t="inlineStr">
        <is>
          <t>Garder</t>
        </is>
      </c>
      <c r="N58" s="15">
        <f>IF(M58="Fermer","—",(R58+IFERROR(SUMIFS($R$6:$R$63,$A$6:$A$63,A58,$B$6:$B$63,B58,$M$6:$M$63,"Fermer")*T58/SUMIFS($T$6:$T$63,$A$6:$A$63,A58,$B$6:$B$63,B58,$M$6:$M$63,"&lt;&gt;Fermer"),0))+(S58+IFERROR(SUMIFS($S$6:$S$63,$M$6:$M$63,"Fermer")*T58/SUMIFS($T$6:$T$63,$M$6:$M$63,"&lt;&gt;Fermer"),0)))</f>
        <v/>
      </c>
      <c r="O58" s="14">
        <f>IF(M58="Fermer","—",G58-H58-N58)</f>
        <v/>
      </c>
      <c r="P58" s="15">
        <f>IF(M58="Fermer",-I58,0)</f>
        <v/>
      </c>
      <c r="Q58" s="61">
        <f>IF(M58="Fermer","✖ Fermer = −"&amp;TEXT(I58,"# ##0")&amp;" € d'EBITDA (le fixe reste)",IF(AND(L58&gt;=0,O58&lt;0),"⚠ BASCULE : saine → déficit à cause d'une fermeture voisine",IF(L58&lt;0,IF(I58&gt;0,"Déficit COMPLET mais contribution POSITIVE → NE PAS fermer (artefact d'allocation)","Contribution négative — vrai point dur"),"Rentable en coût complet")))</f>
        <v/>
      </c>
      <c r="R58" s="85">
        <f>'10_Allocation'!K60</f>
        <v/>
      </c>
      <c r="S58" s="85">
        <f>'10_Allocation'!J60</f>
        <v/>
      </c>
      <c r="T58" s="86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R59+S59</f>
        <v/>
      </c>
      <c r="K59" s="15">
        <f>H59+J59</f>
        <v/>
      </c>
      <c r="L59" s="14">
        <f>G59-K59</f>
        <v/>
      </c>
      <c r="M59" s="87" t="inlineStr">
        <is>
          <t>cohorte</t>
        </is>
      </c>
      <c r="N59" s="15">
        <f>IF(M59="Fermer","—",(R59+IFERROR(SUMIFS($R$6:$R$63,$A$6:$A$63,A59,$B$6:$B$63,B59,$M$6:$M$63,"Fermer")*T59/SUMIFS($T$6:$T$63,$A$6:$A$63,A59,$B$6:$B$63,B59,$M$6:$M$63,"&lt;&gt;Fermer"),0))+(S59+IFERROR(SUMIFS($S$6:$S$63,$M$6:$M$63,"Fermer")*T59/SUMIFS($T$6:$T$63,$M$6:$M$63,"&lt;&gt;Fermer"),0)))</f>
        <v/>
      </c>
      <c r="O59" s="14">
        <f>IF(M59="Fermer","—",G59-H59-N59)</f>
        <v/>
      </c>
      <c r="P59" s="15">
        <f>IF(M59="Fermer",-I59,0)</f>
        <v/>
      </c>
      <c r="Q59" s="61">
        <f>IF(M59="Fermer","✖ Fermer = −"&amp;TEXT(I59,"# ##0")&amp;" € d'EBITDA (le fixe reste)",IF(AND(L59&gt;=0,O59&lt;0),"⚠ BASCULE : saine → déficit à cause d'une fermeture voisine",IF(L59&lt;0,IF(I59&gt;0,"Déficit COMPLET mais contribution POSITIVE → NE PAS fermer (artefact d'allocation)","Contribution négative — vrai point dur"),"Rentable en coût complet")))</f>
        <v/>
      </c>
      <c r="R59" s="85">
        <f>'10_Allocation'!K61</f>
        <v/>
      </c>
      <c r="S59" s="85">
        <f>'10_Allocation'!J61</f>
        <v/>
      </c>
      <c r="T59" s="86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R60+S60</f>
        <v/>
      </c>
      <c r="K60" s="15">
        <f>H60+J60</f>
        <v/>
      </c>
      <c r="L60" s="14">
        <f>G60-K60</f>
        <v/>
      </c>
      <c r="M60" s="87" t="inlineStr">
        <is>
          <t>cohorte</t>
        </is>
      </c>
      <c r="N60" s="15">
        <f>IF(M60="Fermer","—",(R60+IFERROR(SUMIFS($R$6:$R$63,$A$6:$A$63,A60,$B$6:$B$63,B60,$M$6:$M$63,"Fermer")*T60/SUMIFS($T$6:$T$63,$A$6:$A$63,A60,$B$6:$B$63,B60,$M$6:$M$63,"&lt;&gt;Fermer"),0))+(S60+IFERROR(SUMIFS($S$6:$S$63,$M$6:$M$63,"Fermer")*T60/SUMIFS($T$6:$T$63,$M$6:$M$63,"&lt;&gt;Fermer"),0)))</f>
        <v/>
      </c>
      <c r="O60" s="14">
        <f>IF(M60="Fermer","—",G60-H60-N60)</f>
        <v/>
      </c>
      <c r="P60" s="15">
        <f>IF(M60="Fermer",-I60,0)</f>
        <v/>
      </c>
      <c r="Q60" s="61">
        <f>IF(M60="Fermer","✖ Fermer = −"&amp;TEXT(I60,"# ##0")&amp;" € d'EBITDA (le fixe reste)",IF(AND(L60&gt;=0,O60&lt;0),"⚠ BASCULE : saine → déficit à cause d'une fermeture voisine",IF(L60&lt;0,IF(I60&gt;0,"Déficit COMPLET mais contribution POSITIVE → NE PAS fermer (artefact d'allocation)","Contribution négative — vrai point dur"),"Rentable en coût complet")))</f>
        <v/>
      </c>
      <c r="R60" s="85">
        <f>'10_Allocation'!K62</f>
        <v/>
      </c>
      <c r="S60" s="85">
        <f>'10_Allocation'!J62</f>
        <v/>
      </c>
      <c r="T60" s="86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R61+S61</f>
        <v/>
      </c>
      <c r="K61" s="15">
        <f>H61+J61</f>
        <v/>
      </c>
      <c r="L61" s="14">
        <f>G61-K61</f>
        <v/>
      </c>
      <c r="M61" s="9" t="inlineStr">
        <is>
          <t>Garder</t>
        </is>
      </c>
      <c r="N61" s="15">
        <f>IF(M61="Fermer","—",(R61+IFERROR(SUMIFS($R$6:$R$63,$A$6:$A$63,A61,$B$6:$B$63,B61,$M$6:$M$63,"Fermer")*T61/SUMIFS($T$6:$T$63,$A$6:$A$63,A61,$B$6:$B$63,B61,$M$6:$M$63,"&lt;&gt;Fermer"),0))+(S61+IFERROR(SUMIFS($S$6:$S$63,$M$6:$M$63,"Fermer")*T61/SUMIFS($T$6:$T$63,$M$6:$M$63,"&lt;&gt;Fermer"),0)))</f>
        <v/>
      </c>
      <c r="O61" s="14">
        <f>IF(M61="Fermer","—",G61-H61-N61)</f>
        <v/>
      </c>
      <c r="P61" s="15">
        <f>IF(M61="Fermer",-I61,0)</f>
        <v/>
      </c>
      <c r="Q61" s="61">
        <f>IF(M61="Fermer","✖ Fermer = −"&amp;TEXT(I61,"# ##0")&amp;" € d'EBITDA (le fixe reste)",IF(AND(L61&gt;=0,O61&lt;0),"⚠ BASCULE : saine → déficit à cause d'une fermeture voisine",IF(L61&lt;0,IF(I61&gt;0,"Déficit COMPLET mais contribution POSITIVE → NE PAS fermer (artefact d'allocation)","Contribution négative — vrai point dur"),"Rentable en coût complet")))</f>
        <v/>
      </c>
      <c r="R61" s="85">
        <f>'10_Allocation'!K63</f>
        <v/>
      </c>
      <c r="S61" s="85">
        <f>'10_Allocation'!J63</f>
        <v/>
      </c>
      <c r="T61" s="86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R62+S62</f>
        <v/>
      </c>
      <c r="K62" s="15">
        <f>H62+J62</f>
        <v/>
      </c>
      <c r="L62" s="14">
        <f>G62-K62</f>
        <v/>
      </c>
      <c r="M62" s="87" t="inlineStr">
        <is>
          <t>cohorte</t>
        </is>
      </c>
      <c r="N62" s="15">
        <f>IF(M62="Fermer","—",(R62+IFERROR(SUMIFS($R$6:$R$63,$A$6:$A$63,A62,$B$6:$B$63,B62,$M$6:$M$63,"Fermer")*T62/SUMIFS($T$6:$T$63,$A$6:$A$63,A62,$B$6:$B$63,B62,$M$6:$M$63,"&lt;&gt;Fermer"),0))+(S62+IFERROR(SUMIFS($S$6:$S$63,$M$6:$M$63,"Fermer")*T62/SUMIFS($T$6:$T$63,$M$6:$M$63,"&lt;&gt;Fermer"),0)))</f>
        <v/>
      </c>
      <c r="O62" s="14">
        <f>IF(M62="Fermer","—",G62-H62-N62)</f>
        <v/>
      </c>
      <c r="P62" s="15">
        <f>IF(M62="Fermer",-I62,0)</f>
        <v/>
      </c>
      <c r="Q62" s="61">
        <f>IF(M62="Fermer","✖ Fermer = −"&amp;TEXT(I62,"# ##0")&amp;" € d'EBITDA (le fixe reste)",IF(AND(L62&gt;=0,O62&lt;0),"⚠ BASCULE : saine → déficit à cause d'une fermeture voisine",IF(L62&lt;0,IF(I62&gt;0,"Déficit COMPLET mais contribution POSITIVE → NE PAS fermer (artefact d'allocation)","Contribution négative — vrai point dur"),"Rentable en coût complet")))</f>
        <v/>
      </c>
      <c r="R62" s="85">
        <f>'10_Allocation'!K64</f>
        <v/>
      </c>
      <c r="S62" s="85">
        <f>'10_Allocation'!J64</f>
        <v/>
      </c>
      <c r="T62" s="86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R63+S63</f>
        <v/>
      </c>
      <c r="K63" s="15">
        <f>H63+J63</f>
        <v/>
      </c>
      <c r="L63" s="14">
        <f>G63-K63</f>
        <v/>
      </c>
      <c r="M63" s="87" t="inlineStr">
        <is>
          <t>cohorte</t>
        </is>
      </c>
      <c r="N63" s="15">
        <f>IF(M63="Fermer","—",(R63+IFERROR(SUMIFS($R$6:$R$63,$A$6:$A$63,A63,$B$6:$B$63,B63,$M$6:$M$63,"Fermer")*T63/SUMIFS($T$6:$T$63,$A$6:$A$63,A63,$B$6:$B$63,B63,$M$6:$M$63,"&lt;&gt;Fermer"),0))+(S63+IFERROR(SUMIFS($S$6:$S$63,$M$6:$M$63,"Fermer")*T63/SUMIFS($T$6:$T$63,$M$6:$M$63,"&lt;&gt;Fermer"),0)))</f>
        <v/>
      </c>
      <c r="O63" s="14">
        <f>IF(M63="Fermer","—",G63-H63-N63)</f>
        <v/>
      </c>
      <c r="P63" s="15">
        <f>IF(M63="Fermer",-I63,0)</f>
        <v/>
      </c>
      <c r="Q63" s="61">
        <f>IF(M63="Fermer","✖ Fermer = −"&amp;TEXT(I63,"# ##0")&amp;" € d'EBITDA (le fixe reste)",IF(AND(L63&gt;=0,O63&lt;0),"⚠ BASCULE : saine → déficit à cause d'une fermeture voisine",IF(L63&lt;0,IF(I63&gt;0,"Déficit COMPLET mais contribution POSITIVE → NE PAS fermer (artefact d'allocation)","Contribution négative — vrai point dur"),"Rentable en coût complet")))</f>
        <v/>
      </c>
      <c r="R63" s="85">
        <f>'10_Allocation'!K65</f>
        <v/>
      </c>
      <c r="S63" s="85">
        <f>'10_Allocation'!J65</f>
        <v/>
      </c>
      <c r="T63" s="86">
        <f>IF('01b_Pilotage'!$D$9="Effectif",E63,IF('01b_Pilotage'!$D$9="Nombre de classes",F63,G63))</f>
        <v/>
      </c>
    </row>
    <row r="64">
      <c r="A64" s="49" t="inlineStr">
        <is>
          <t>TOTAL</t>
        </is>
      </c>
      <c r="B64" s="50" t="inlineStr">
        <is>
          <t> </t>
        </is>
      </c>
      <c r="C64" s="50" t="inlineStr">
        <is>
          <t> </t>
        </is>
      </c>
      <c r="D64" s="50" t="inlineStr">
        <is>
          <t> </t>
        </is>
      </c>
      <c r="E64" s="52">
        <f>SUM(E6:E63)</f>
        <v/>
      </c>
      <c r="F64" s="52">
        <f>SUM(F6:F63)</f>
        <v/>
      </c>
      <c r="G64" s="51">
        <f>SUM(G6:G63)</f>
        <v/>
      </c>
      <c r="H64" s="51">
        <f>SUM(H6:H63)</f>
        <v/>
      </c>
      <c r="I64" s="51">
        <f>SUM(I6:I63)</f>
        <v/>
      </c>
      <c r="J64" s="51">
        <f>SUM(J6:J63)</f>
        <v/>
      </c>
      <c r="K64" s="51">
        <f>SUM(K6:K63)</f>
        <v/>
      </c>
      <c r="L64" s="51">
        <f>SUM(L6:L63)</f>
        <v/>
      </c>
      <c r="P64" s="51">
        <f>SUM(P6:P63)</f>
        <v/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2">
        <f>COUNTIF($M$6:$M$63,"Fermer")</f>
        <v/>
      </c>
    </row>
    <row r="68">
      <c r="A68" s="8" t="inlineStr">
        <is>
          <t>Δ EBITDA (contributions perdues) :</t>
        </is>
      </c>
      <c r="D68" s="14">
        <f>P64</f>
        <v/>
      </c>
      <c r="E68" s="8" t="inlineStr">
        <is>
          <t>Déficits « coût complet » AVANT :</t>
        </is>
      </c>
      <c r="F68" s="88">
        <f>COUNTIF(L6:L63,"&lt;0")</f>
        <v/>
      </c>
    </row>
    <row r="69">
      <c r="A69" s="8" t="inlineStr">
        <is>
          <t>EBITDA après fermetures :</t>
        </is>
      </c>
      <c r="D69" s="68">
        <f>('10_Allocation'!F66-'10_Allocation'!L66)+P64</f>
        <v/>
      </c>
      <c r="E69" s="8" t="inlineStr">
        <is>
          <t>Classes basculées PAR les fermetures (domino) :</t>
        </is>
      </c>
      <c r="F69" s="82">
        <f>SUMPRODUCT(--(L6:L63&gt;=0),--(O6:O63&lt;0))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Pourquoi ces déficits ? Le coût de STRUCTURE par classe n'est pas le même partout</t>
        </is>
      </c>
      <c r="B74" s="4" t="n"/>
      <c r="C74" s="4" t="n"/>
      <c r="D74" s="4" t="n"/>
      <c r="E74" s="4" t="n"/>
      <c r="F74" s="4" t="n"/>
      <c r="G74" s="4" t="n"/>
      <c r="H74" s="4" t="n"/>
    </row>
    <row r="75" ht="30" customHeight="1">
      <c r="A75" s="11" t="inlineStr">
        <is>
          <t>Ville</t>
        </is>
      </c>
      <c r="B75" s="11" t="inlineStr">
        <is>
          <t>Indice coût (immo+salaires)</t>
        </is>
      </c>
      <c r="C75" s="11" t="inlineStr">
        <is>
          <t>Structure / classe (moyenne)</t>
        </is>
      </c>
      <c r="D75" s="11" t="inlineStr">
        <is>
          <t>CA / classe (moyenne)</t>
        </is>
      </c>
      <c r="E75" s="11" t="inlineStr">
        <is>
          <t>Lecture</t>
        </is>
      </c>
    </row>
    <row r="76">
      <c r="A76" s="17" t="inlineStr">
        <is>
          <t>Paris</t>
        </is>
      </c>
      <c r="B76" s="89" t="n">
        <v>1.62</v>
      </c>
      <c r="C76" s="15">
        <f>IFERROR((SUMIFS('10_Allocation'!$K$8:$K$65,'10_Allocation'!$B$8:$B$65,A76)+SUMIFS('10_Allocation'!$J$8:$J$65,'10_Allocation'!$B$8:$B$65,A76))/SUMIFS('10_Allocation'!$H$8:$H$65,'10_Allocation'!$B$8:$B$65,A76),0)</f>
        <v/>
      </c>
      <c r="D76" s="15">
        <f>IFERROR(SUMIFS('10_Allocation'!$F$8:$F$65,'10_Allocation'!$B$8:$B$65,A76)/SUMIFS('10_Allocation'!$H$8:$H$65,'10_Allocation'!$B$8:$B$65,A76),0)</f>
        <v/>
      </c>
      <c r="E76" s="61">
        <f>IF(B76&gt;1.2,"ville chère — loyer/salaires lourds → classes fragiles",IF(B76&lt;0.95,"ville éco — structure légère","dans la moyenne"))</f>
        <v/>
      </c>
    </row>
    <row r="77">
      <c r="A77" s="17" t="inlineStr">
        <is>
          <t>Lyon</t>
        </is>
      </c>
      <c r="B77" s="89" t="n">
        <v>1.12</v>
      </c>
      <c r="C77" s="15">
        <f>IFERROR((SUMIFS('10_Allocation'!$K$8:$K$65,'10_Allocation'!$B$8:$B$65,A77)+SUMIFS('10_Allocation'!$J$8:$J$65,'10_Allocation'!$B$8:$B$65,A77))/SUMIFS('10_Allocation'!$H$8:$H$65,'10_Allocation'!$B$8:$B$65,A77),0)</f>
        <v/>
      </c>
      <c r="D77" s="15">
        <f>IFERROR(SUMIFS('10_Allocation'!$F$8:$F$65,'10_Allocation'!$B$8:$B$65,A77)/SUMIFS('10_Allocation'!$H$8:$H$65,'10_Allocation'!$B$8:$B$65,A77),0)</f>
        <v/>
      </c>
      <c r="E77" s="61">
        <f>IF(B77&gt;1.2,"ville chère — loyer/salaires lourds → classes fragiles",IF(B77&lt;0.95,"ville éco — structure légère","dans la moyenne"))</f>
        <v/>
      </c>
    </row>
    <row r="78">
      <c r="A78" s="17" t="inlineStr">
        <is>
          <t>Bordeaux</t>
        </is>
      </c>
      <c r="B78" s="89" t="n">
        <v>1.05</v>
      </c>
      <c r="C78" s="15">
        <f>IFERROR((SUMIFS('10_Allocation'!$K$8:$K$65,'10_Allocation'!$B$8:$B$65,A78)+SUMIFS('10_Allocation'!$J$8:$J$65,'10_Allocation'!$B$8:$B$65,A78))/SUMIFS('10_Allocation'!$H$8:$H$65,'10_Allocation'!$B$8:$B$65,A78),0)</f>
        <v/>
      </c>
      <c r="D78" s="15">
        <f>IFERROR(SUMIFS('10_Allocation'!$F$8:$F$65,'10_Allocation'!$B$8:$B$65,A78)/SUMIFS('10_Allocation'!$H$8:$H$65,'10_Allocation'!$B$8:$B$65,A78),0)</f>
        <v/>
      </c>
      <c r="E78" s="61">
        <f>IF(B78&gt;1.2,"ville chère — loyer/salaires lourds → classes fragiles",IF(B78&lt;0.95,"ville éco — structure légère","dans la moyenne"))</f>
        <v/>
      </c>
    </row>
    <row r="79">
      <c r="A79" s="17" t="inlineStr">
        <is>
          <t>Nantes</t>
        </is>
      </c>
      <c r="B79" s="89" t="n">
        <v>1</v>
      </c>
      <c r="C79" s="15">
        <f>IFERROR((SUMIFS('10_Allocation'!$K$8:$K$65,'10_Allocation'!$B$8:$B$65,A79)+SUMIFS('10_Allocation'!$J$8:$J$65,'10_Allocation'!$B$8:$B$65,A79))/SUMIFS('10_Allocation'!$H$8:$H$65,'10_Allocation'!$B$8:$B$65,A79),0)</f>
        <v/>
      </c>
      <c r="D79" s="15">
        <f>IFERROR(SUMIFS('10_Allocation'!$F$8:$F$65,'10_Allocation'!$B$8:$B$65,A79)/SUMIFS('10_Allocation'!$H$8:$H$65,'10_Allocation'!$B$8:$B$65,A79),0)</f>
        <v/>
      </c>
      <c r="E79" s="61">
        <f>IF(B79&gt;1.2,"ville chère — loyer/salaires lourds → classes fragiles",IF(B79&lt;0.95,"ville éco — structure légère","dans la moyenne"))</f>
        <v/>
      </c>
    </row>
    <row r="80">
      <c r="A80" s="17" t="inlineStr">
        <is>
          <t>Lille</t>
        </is>
      </c>
      <c r="B80" s="89" t="n">
        <v>0.92</v>
      </c>
      <c r="C80" s="15">
        <f>IFERROR((SUMIFS('10_Allocation'!$K$8:$K$65,'10_Allocation'!$B$8:$B$65,A80)+SUMIFS('10_Allocation'!$J$8:$J$65,'10_Allocation'!$B$8:$B$65,A80))/SUMIFS('10_Allocation'!$H$8:$H$65,'10_Allocation'!$B$8:$B$65,A80),0)</f>
        <v/>
      </c>
      <c r="D80" s="15">
        <f>IFERROR(SUMIFS('10_Allocation'!$F$8:$F$65,'10_Allocation'!$B$8:$B$65,A80)/SUMIFS('10_Allocation'!$H$8:$H$65,'10_Allocation'!$B$8:$B$65,A80),0)</f>
        <v/>
      </c>
      <c r="E80" s="61">
        <f>IF(B80&gt;1.2,"ville chère — loyer/salaires lourds → classes fragiles",IF(B80&lt;0.95,"ville éco — structure légère","dans la moyenne"))</f>
        <v/>
      </c>
    </row>
    <row r="81">
      <c r="A81" s="17" t="inlineStr">
        <is>
          <t>Toulouse</t>
        </is>
      </c>
      <c r="B81" s="89" t="n">
        <v>0.9</v>
      </c>
      <c r="C81" s="15">
        <f>IFERROR((SUMIFS('10_Allocation'!$K$8:$K$65,'10_Allocation'!$B$8:$B$65,A81)+SUMIFS('10_Allocation'!$J$8:$J$65,'10_Allocation'!$B$8:$B$65,A81))/SUMIFS('10_Allocation'!$H$8:$H$65,'10_Allocation'!$B$8:$B$65,A81),0)</f>
        <v/>
      </c>
      <c r="D81" s="15">
        <f>IFERROR(SUMIFS('10_Allocation'!$F$8:$F$65,'10_Allocation'!$B$8:$B$65,A81)/SUMIFS('10_Allocation'!$H$8:$H$65,'10_Allocation'!$B$8:$B$65,A81),0)</f>
        <v/>
      </c>
      <c r="E81" s="61">
        <f>IF(B81&gt;1.2,"ville chère — loyer/salaires lourds → classes fragiles",IF(B81&lt;0.95,"ville éco — structure légère","dans la moyenne"))</f>
        <v/>
      </c>
    </row>
    <row r="82">
      <c r="A82" s="17" t="inlineStr">
        <is>
          <t>Rennes</t>
        </is>
      </c>
      <c r="B82" s="89" t="n">
        <v>0.88</v>
      </c>
      <c r="C82" s="15">
        <f>IFERROR((SUMIFS('10_Allocation'!$K$8:$K$65,'10_Allocation'!$B$8:$B$65,A82)+SUMIFS('10_Allocation'!$J$8:$J$65,'10_Allocation'!$B$8:$B$65,A82))/SUMIFS('10_Allocation'!$H$8:$H$65,'10_Allocation'!$B$8:$B$65,A82),0)</f>
        <v/>
      </c>
      <c r="D82" s="15">
        <f>IFERROR(SUMIFS('10_Allocation'!$F$8:$F$65,'10_Allocation'!$B$8:$B$65,A82)/SUMIFS('10_Allocation'!$H$8:$H$65,'10_Allocation'!$B$8:$B$65,A82),0)</f>
        <v/>
      </c>
      <c r="E82" s="61">
        <f>IF(B82&gt;1.2,"ville chère — loyer/salaires lourds → classes fragiles",IF(B82&lt;0.95,"ville éco — structure légère","dans la moyenne"))</f>
        <v/>
      </c>
    </row>
    <row r="83">
      <c r="A83" s="17" t="inlineStr">
        <is>
          <t>Montpellier</t>
        </is>
      </c>
      <c r="B83" s="89" t="n">
        <v>0.88</v>
      </c>
      <c r="C83" s="15">
        <f>IFERROR((SUMIFS('10_Allocation'!$K$8:$K$65,'10_Allocation'!$B$8:$B$65,A83)+SUMIFS('10_Allocation'!$J$8:$J$65,'10_Allocation'!$B$8:$B$65,A83))/SUMIFS('10_Allocation'!$H$8:$H$65,'10_Allocation'!$B$8:$B$65,A83),0)</f>
        <v/>
      </c>
      <c r="D83" s="15">
        <f>IFERROR(SUMIFS('10_Allocation'!$F$8:$F$65,'10_Allocation'!$B$8:$B$65,A83)/SUMIFS('10_Allocation'!$H$8:$H$65,'10_Allocation'!$B$8:$B$65,A83),0)</f>
        <v/>
      </c>
      <c r="E83" s="61">
        <f>IF(B83&gt;1.2,"ville chère — loyer/salaires lourds → classes fragiles",IF(B83&lt;0.95,"ville éco — structure légère","dans la moyenne"))</f>
        <v/>
      </c>
    </row>
    <row r="85" ht="40" customHeight="1">
      <c r="A85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86"/>
    <row r="88" ht="20" customHeight="1">
      <c r="A88" s="3" t="inlineStr">
        <is>
          <t>Rappel — on ferme le ROBINET (l'entrée), la cohorte suit</t>
        </is>
      </c>
      <c r="B88" s="4" t="n"/>
      <c r="C88" s="4" t="n"/>
      <c r="D88" s="4" t="n"/>
      <c r="E88" s="4" t="n"/>
      <c r="F88" s="4" t="n"/>
      <c r="G88" s="4" t="n"/>
      <c r="H88" s="4" t="n"/>
    </row>
    <row r="89" ht="34" customHeight="1">
      <c r="A89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90"/>
  </sheetData>
  <mergeCells count="14">
    <mergeCell ref="F3:G3"/>
    <mergeCell ref="A71:Q72"/>
    <mergeCell ref="A68:C68"/>
    <mergeCell ref="A2:Q2"/>
    <mergeCell ref="H3:Q3"/>
    <mergeCell ref="A67:C67"/>
    <mergeCell ref="A66:H66"/>
    <mergeCell ref="A89:Q90"/>
    <mergeCell ref="A69:C69"/>
    <mergeCell ref="A88:H88"/>
    <mergeCell ref="A85:Q86"/>
    <mergeCell ref="A1:Q1"/>
    <mergeCell ref="A74:H74"/>
    <mergeCell ref="A3:E3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O6:O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M6 M9 M11 M14 M16 M19 M21 M24 M26 M29 M31 M34 M36 M39 M41 M44 M47 M50 M52 M54 M56 M58 M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2026-08-19T07:13:13Z</dcterms:created>
  <dcterms:modified xsi:type="dcterms:W3CDTF">2026-08-19T07:13:14Z</dcterms:modified>
</cp:coreProperties>
</file>