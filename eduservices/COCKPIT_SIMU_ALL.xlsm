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'2'!$AC$7:$AC$11</f>
            </strRef>
          </cat>
          <val>
            <numRef>
              <f>'2'!$AD$7:$AD$11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'2'!$AE$7:$AE$11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'2'!$AF$7:$AF$11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'2'!$AG$7:$AG$11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'2'!$AJ$7:$AJ$11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'2'!$AK$7:$AK$11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'2'!$AL$7:$AL$11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'2'!$BA$7:$BA$9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'2'!$BB$7:$BB$9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EDUSERVICES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3467768</v>
      </c>
      <c r="AF7" s="1" t="n">
        <v>0</v>
      </c>
      <c r="AG7" s="1" t="n">
        <v>0</v>
      </c>
      <c r="AI7" s="1" t="inlineStr">
        <is>
          <t>Ipac Bachelor Factory</t>
        </is>
      </c>
      <c r="AJ7" s="1" t="n">
        <v>0.1193</v>
      </c>
      <c r="AK7" s="1" t="n">
        <v>0.13</v>
      </c>
      <c r="AL7" s="1" t="n">
        <v>0.1416</v>
      </c>
      <c r="AM7" s="1" t="n">
        <v>2.22</v>
      </c>
      <c r="AN7" s="1" t="inlineStr">
        <is>
          <t>MARQUE</t>
        </is>
      </c>
      <c r="AO7" s="1" t="inlineStr">
        <is>
          <t>IPAC</t>
        </is>
      </c>
      <c r="AP7" s="1" t="n">
        <v>2309940</v>
      </c>
      <c r="AQ7" s="1" t="n">
        <v>275689</v>
      </c>
      <c r="AR7" s="1" t="n">
        <v>2439370</v>
      </c>
      <c r="AS7" s="1" t="n">
        <v>317150</v>
      </c>
      <c r="AT7" t="n">
        <v>2582800</v>
      </c>
      <c r="AU7" s="2" t="n">
        <v>365676</v>
      </c>
      <c r="AZ7" s="1" t="inlineStr">
        <is>
          <t>2024</t>
        </is>
      </c>
      <c r="BA7" s="1" t="n">
        <v>100</v>
      </c>
      <c r="BB7" s="1" t="n">
        <v>100</v>
      </c>
      <c r="BC7" s="1" t="n">
        <v>329</v>
      </c>
      <c r="BD7" s="1" t="n">
        <v>0</v>
      </c>
      <c r="BE7" s="1" t="n">
        <v>358819</v>
      </c>
      <c r="BF7" s="1" t="n">
        <v>1092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3467768</v>
      </c>
      <c r="AE8" t="n">
        <v>0</v>
      </c>
      <c r="AF8" t="n">
        <v>1157203</v>
      </c>
      <c r="AG8" t="n">
        <v>0</v>
      </c>
      <c r="AI8" t="inlineStr">
        <is>
          <t>ISCOM</t>
        </is>
      </c>
      <c r="AJ8" t="n">
        <v>0.158</v>
      </c>
      <c r="AK8" t="n">
        <v>0.1643</v>
      </c>
      <c r="AL8" t="n">
        <v>0.1717</v>
      </c>
      <c r="AM8" t="n">
        <v>1.36</v>
      </c>
      <c r="AN8" t="inlineStr">
        <is>
          <t>MARQUE</t>
        </is>
      </c>
      <c r="AO8" t="inlineStr">
        <is>
          <t>ISCOM</t>
        </is>
      </c>
      <c r="AP8" t="n">
        <v>5593340</v>
      </c>
      <c r="AQ8" t="n">
        <v>883765</v>
      </c>
      <c r="AR8" t="n">
        <v>5914800</v>
      </c>
      <c r="AS8" t="n">
        <v>971580</v>
      </c>
      <c r="AT8" t="n">
        <v>6292550</v>
      </c>
      <c r="AU8" t="n">
        <v>1080131</v>
      </c>
      <c r="AZ8" t="inlineStr">
        <is>
          <t>2025</t>
        </is>
      </c>
      <c r="BA8" t="n">
        <v>110</v>
      </c>
      <c r="BB8" t="n">
        <v>106.1</v>
      </c>
      <c r="BC8" t="n">
        <v>341</v>
      </c>
      <c r="BD8" t="n">
        <v>3.9</v>
      </c>
      <c r="BE8" t="n">
        <v>394702</v>
      </c>
      <c r="BF8" t="n">
        <v>1159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4624364</v>
      </c>
      <c r="AE9" t="n">
        <v>0</v>
      </c>
      <c r="AF9" t="n">
        <v>0</v>
      </c>
      <c r="AG9" t="n">
        <v>607</v>
      </c>
      <c r="AI9" t="inlineStr">
        <is>
          <t>MBway</t>
        </is>
      </c>
      <c r="AJ9" t="n">
        <v>0.165</v>
      </c>
      <c r="AK9" t="n">
        <v>0.1731</v>
      </c>
      <c r="AL9" t="n">
        <v>0.1825</v>
      </c>
      <c r="AM9" t="n">
        <v>1.75</v>
      </c>
      <c r="AN9" t="inlineStr">
        <is>
          <t>MARQUE</t>
        </is>
      </c>
      <c r="AO9" t="inlineStr">
        <is>
          <t>MBWAY</t>
        </is>
      </c>
      <c r="AP9" t="n">
        <v>8517270</v>
      </c>
      <c r="AQ9" t="n">
        <v>1405098</v>
      </c>
      <c r="AR9" t="n">
        <v>9032400</v>
      </c>
      <c r="AS9" t="n">
        <v>1563650</v>
      </c>
      <c r="AT9" t="n">
        <v>9567455</v>
      </c>
      <c r="AU9" t="n">
        <v>1745998</v>
      </c>
      <c r="AZ9" t="inlineStr">
        <is>
          <t>2026</t>
        </is>
      </c>
      <c r="BA9" t="n">
        <v>121</v>
      </c>
      <c r="BB9" t="n">
        <v>112.5</v>
      </c>
      <c r="BC9" t="n">
        <v>353</v>
      </c>
      <c r="BD9" t="n">
        <v>8.5</v>
      </c>
      <c r="BE9" t="n">
        <v>434174</v>
      </c>
      <c r="BF9" t="n">
        <v>1229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3845790</v>
      </c>
      <c r="AE10" t="n">
        <v>0</v>
      </c>
      <c r="AF10" t="n">
        <v>0</v>
      </c>
      <c r="AG10" t="n">
        <v>778574</v>
      </c>
      <c r="AI10" t="inlineStr">
        <is>
          <t>Pigier</t>
        </is>
      </c>
      <c r="AJ10" t="n">
        <v>0.1984</v>
      </c>
      <c r="AK10" t="n">
        <v>0.2041</v>
      </c>
      <c r="AL10" t="n">
        <v>0.2114</v>
      </c>
      <c r="AM10" t="n">
        <v>1.3</v>
      </c>
      <c r="AN10" t="inlineStr">
        <is>
          <t>MARQUE</t>
        </is>
      </c>
      <c r="AO10" t="inlineStr">
        <is>
          <t>PIGIER</t>
        </is>
      </c>
      <c r="AP10" t="n">
        <v>2403570</v>
      </c>
      <c r="AQ10" t="n">
        <v>476927</v>
      </c>
      <c r="AR10" t="n">
        <v>2537610</v>
      </c>
      <c r="AS10" t="n">
        <v>518007</v>
      </c>
      <c r="AT10" t="n">
        <v>2706480</v>
      </c>
      <c r="AU10" t="n">
        <v>572259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3845790</v>
      </c>
      <c r="AF11" s="6" t="n">
        <v>0</v>
      </c>
      <c r="AG11" s="6" t="n">
        <v>0</v>
      </c>
      <c r="AH11" s="6" t="n"/>
      <c r="AI11" s="6" t="inlineStr">
        <is>
          <t>Tunon</t>
        </is>
      </c>
      <c r="AJ11" s="6" t="n">
        <v>0.0629</v>
      </c>
      <c r="AK11" t="n">
        <v>0.0531</v>
      </c>
      <c r="AL11" t="n">
        <v>0.0419</v>
      </c>
      <c r="AM11" t="n">
        <v>-2.09</v>
      </c>
      <c r="AN11" t="inlineStr">
        <is>
          <t>MARQUE</t>
        </is>
      </c>
      <c r="AO11" t="inlineStr">
        <is>
          <t>TUNON</t>
        </is>
      </c>
      <c r="AP11" t="n">
        <v>1743090</v>
      </c>
      <c r="AQ11" t="n">
        <v>109557</v>
      </c>
      <c r="AR11" t="n">
        <v>1834590</v>
      </c>
      <c r="AS11" t="n">
        <v>97381</v>
      </c>
      <c r="AT11" t="n">
        <v>1949700</v>
      </c>
      <c r="AU11" t="n">
        <v>81725</v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SUBTOTAL(9,D39:D57)</f>
        <v/>
      </c>
      <c r="E38" s="123">
        <f>IFERROR((D38-R38)/R38,"")</f>
        <v/>
      </c>
      <c r="F38" s="111">
        <f>SUBTOTAL(9,F39:F57)</f>
        <v/>
      </c>
      <c r="G38" s="123">
        <f>IFERROR((F38-Q38)/Q38,"")</f>
        <v/>
      </c>
      <c r="H38" s="113">
        <f>SUBTOTAL(9,H39:H57)</f>
        <v/>
      </c>
      <c r="I38" s="113">
        <f>IFERROR(F38/D38,"")</f>
        <v/>
      </c>
      <c r="J38" s="124">
        <f>IFERROR((I38-U38)*100,"")</f>
        <v/>
      </c>
      <c r="K38" s="111">
        <f>SUBTOTAL(9,K39:K57)</f>
        <v/>
      </c>
      <c r="L38" s="113">
        <f>IFERROR(N38/O38,"")</f>
        <v/>
      </c>
      <c r="M38" s="113">
        <f>IFERROR(P38/N38,"")</f>
        <v/>
      </c>
      <c r="N38" s="115">
        <f>SUBTOTAL(9,N39:N57)</f>
        <v/>
      </c>
      <c r="O38" s="115">
        <f>SUBTOTAL(9,O39:O57)</f>
        <v/>
      </c>
      <c r="P38" s="6">
        <f>SUBTOTAL(9,P39:P57)</f>
        <v/>
      </c>
      <c r="Q38" s="6">
        <f>SUBTOTAL(9,Q39:Q57)</f>
        <v/>
      </c>
      <c r="R38" s="6">
        <f>SUBTOTAL(9,R39:R57)</f>
        <v/>
      </c>
      <c r="S38" s="6">
        <f>SUBTOTAL(9,S39:S57)</f>
        <v/>
      </c>
      <c r="T38" s="6">
        <f>SUBTOTAL(9,T39:T57)</f>
        <v/>
      </c>
      <c r="U38" s="6">
        <f>IFERROR(Q38/R38,"")</f>
        <v/>
      </c>
      <c r="V38" s="6">
        <f>SUBTOTAL(9,V39:V57)</f>
        <v/>
      </c>
      <c r="W38" s="6">
        <f>SUBTOTAL(9,W39:W57)</f>
        <v/>
      </c>
      <c r="X38" s="6">
        <f>SUBTOTAL(9,X39:X57)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Ipac Bachelor Factory</t>
        </is>
      </c>
      <c r="D39" s="111">
        <f>SUBTOTAL(9,D40:D42)</f>
        <v/>
      </c>
      <c r="E39" s="123">
        <f>IFERROR((D39-R39)/R39,"")</f>
        <v/>
      </c>
      <c r="F39" s="111">
        <f>SUBTOTAL(9,F40:F42)</f>
        <v/>
      </c>
      <c r="G39" s="123">
        <f>IFERROR((F39-Q39)/Q39,"")</f>
        <v/>
      </c>
      <c r="H39" s="113">
        <f>SUBTOTAL(9,H40:H42)</f>
        <v/>
      </c>
      <c r="I39" s="113">
        <f>IFERROR(F39/D39,"")</f>
        <v/>
      </c>
      <c r="J39" s="124">
        <f>IFERROR((I39-U39)*100,"")</f>
        <v/>
      </c>
      <c r="K39" s="111">
        <f>SUBTOTAL(9,K40:K42)</f>
        <v/>
      </c>
      <c r="L39" s="113">
        <f>IFERROR(N39/O39,"")</f>
        <v/>
      </c>
      <c r="M39" s="113">
        <f>IFERROR(P39/N39,"")</f>
        <v/>
      </c>
      <c r="N39" s="111">
        <f>SUBTOTAL(9,N40:N42)</f>
        <v/>
      </c>
      <c r="O39" s="111">
        <f>SUBTOTAL(9,O40:O42)</f>
        <v/>
      </c>
      <c r="P39">
        <f>SUBTOTAL(9,P40:P42)</f>
        <v/>
      </c>
      <c r="Q39" s="6">
        <f>SUBTOTAL(9,Q40:Q42)</f>
        <v/>
      </c>
      <c r="R39" s="6">
        <f>SUBTOTAL(9,R40:R42)</f>
        <v/>
      </c>
      <c r="S39" s="6">
        <f>SUBTOTAL(9,S40:S42)</f>
        <v/>
      </c>
      <c r="T39" s="6">
        <f>SUBTOTAL(9,T40:T42)</f>
        <v/>
      </c>
      <c r="U39" s="6">
        <f>IFERROR(Q39/R39,"")</f>
        <v/>
      </c>
      <c r="V39" s="6">
        <f>SUBTOTAL(9,V40:V42)</f>
        <v/>
      </c>
      <c r="W39" s="6">
        <f>SUBTOTAL(9,W40:W42)</f>
        <v/>
      </c>
      <c r="X39" s="6">
        <f>SUBTOTAL(9,X40:X42)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Ipac Bachelor Factory Montpellier</t>
        </is>
      </c>
      <c r="D40" s="111" t="n">
        <v>781650</v>
      </c>
      <c r="E40" s="123">
        <f>IFERROR((D40-R40)/R40,"")</f>
        <v/>
      </c>
      <c r="F40" s="111" t="n">
        <v>107889.5143840583</v>
      </c>
      <c r="G40" s="123">
        <f>IFERROR((F40-Q40)/Q40,"")</f>
        <v/>
      </c>
      <c r="H40" s="113" t="n">
        <v>0.02805392756846294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93787.6752579684</v>
      </c>
      <c r="R40" s="6" t="n">
        <v>741570</v>
      </c>
      <c r="S40" s="6" t="n">
        <v>15178</v>
      </c>
      <c r="T40" s="6" t="n">
        <v>13798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Ipac Bachelor Factory Nantes</t>
        </is>
      </c>
      <c r="D41" s="111" t="n">
        <v>1019500</v>
      </c>
      <c r="E41" s="123">
        <f>IFERROR((D41-R41)/R41,"")</f>
        <v/>
      </c>
      <c r="F41" s="111" t="n">
        <v>149897.0666309475</v>
      </c>
      <c r="G41" s="123">
        <f>IFERROR((F41-Q41)/Q41,"")</f>
        <v/>
      </c>
      <c r="H41" s="113" t="n">
        <v>0.03897692443975834</v>
      </c>
      <c r="I41" s="113">
        <f>IFERROR(F41/D41,"")</f>
        <v/>
      </c>
      <c r="J41" s="124">
        <f>IFERROR((I41-U41)*100,"")</f>
        <v/>
      </c>
      <c r="K41" s="111" t="n">
        <v>50</v>
      </c>
      <c r="L41" s="113">
        <f>IFERROR(N41/O41,"")</f>
        <v/>
      </c>
      <c r="M41" s="113">
        <f>IFERROR(P41/N41,"")</f>
        <v/>
      </c>
      <c r="N41" s="111" t="n">
        <v>145</v>
      </c>
      <c r="O41" s="111" t="n">
        <v>192</v>
      </c>
      <c r="P41" t="n">
        <v>145</v>
      </c>
      <c r="Q41" s="6" t="n">
        <v>129574.6177060797</v>
      </c>
      <c r="R41" s="6" t="n">
        <v>956230</v>
      </c>
      <c r="S41" s="6" t="n">
        <v>21760</v>
      </c>
      <c r="T41" s="6" t="n">
        <v>19782</v>
      </c>
      <c r="U41" s="6">
        <f>IFERROR(Q41/R41,"")</f>
        <v/>
      </c>
      <c r="V41" s="6" t="n">
        <v>192</v>
      </c>
      <c r="W41" s="6" t="n">
        <v>47</v>
      </c>
      <c r="X41" s="6" t="n">
        <v>136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Ipac Bachelor Factory Rennes</t>
        </is>
      </c>
      <c r="D42" s="111" t="n">
        <v>781650</v>
      </c>
      <c r="E42" s="123">
        <f>IFERROR((D42-R42)/R42,"")</f>
        <v/>
      </c>
      <c r="F42" s="111" t="n">
        <v>107889.5143840584</v>
      </c>
      <c r="G42" s="123">
        <f>IFERROR((F42-Q42)/Q42,"")</f>
        <v/>
      </c>
      <c r="H42" s="113" t="n">
        <v>0.02805392756846295</v>
      </c>
      <c r="I42" s="113">
        <f>IFERROR(F42/D42,"")</f>
        <v/>
      </c>
      <c r="J42" s="124">
        <f>IFERROR((I42-U42)*100,"")</f>
        <v/>
      </c>
      <c r="K42" s="111" t="n">
        <v>40</v>
      </c>
      <c r="L42" s="113">
        <f>IFERROR(N42/O42,"")</f>
        <v/>
      </c>
      <c r="M42" s="113">
        <f>IFERROR(P42/N42,"")</f>
        <v/>
      </c>
      <c r="N42" s="111" t="n">
        <v>117</v>
      </c>
      <c r="O42" s="111" t="n">
        <v>192</v>
      </c>
      <c r="P42" t="n">
        <v>117</v>
      </c>
      <c r="Q42" s="6" t="n">
        <v>93787.65525796849</v>
      </c>
      <c r="R42" s="6" t="n">
        <v>741570</v>
      </c>
      <c r="S42" s="6" t="n">
        <v>14933</v>
      </c>
      <c r="T42" s="6" t="n">
        <v>13575</v>
      </c>
      <c r="U42" s="6">
        <f>IFERROR(Q42/R42,"")</f>
        <v/>
      </c>
      <c r="V42" s="6" t="n">
        <v>192</v>
      </c>
      <c r="W42" s="6" t="n">
        <v>38</v>
      </c>
      <c r="X42" s="6" t="n">
        <v>111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3</v>
      </c>
      <c r="C43" s="110" t="inlineStr">
        <is>
          <t>ISCOM</t>
        </is>
      </c>
      <c r="D43" s="111">
        <f>SUBTOTAL(9,D44:D46)</f>
        <v/>
      </c>
      <c r="E43" s="123">
        <f>IFERROR((D43-R43)/R43,"")</f>
        <v/>
      </c>
      <c r="F43" s="111">
        <f>SUBTOTAL(9,F44:F46)</f>
        <v/>
      </c>
      <c r="G43" s="123">
        <f>IFERROR((F43-Q43)/Q43,"")</f>
        <v/>
      </c>
      <c r="H43" s="113">
        <f>SUBTOTAL(9,H44:H46)</f>
        <v/>
      </c>
      <c r="I43" s="113">
        <f>IFERROR(F43/D43,"")</f>
        <v/>
      </c>
      <c r="J43" s="124">
        <f>IFERROR((I43-U43)*100,"")</f>
        <v/>
      </c>
      <c r="K43" s="111">
        <f>SUBTOTAL(9,K44:K46)</f>
        <v/>
      </c>
      <c r="L43" s="113">
        <f>IFERROR(N43/O43,"")</f>
        <v/>
      </c>
      <c r="M43" s="113">
        <f>IFERROR(P43/N43,"")</f>
        <v/>
      </c>
      <c r="N43" s="111">
        <f>SUBTOTAL(9,N44:N46)</f>
        <v/>
      </c>
      <c r="O43" s="111">
        <f>SUBTOTAL(9,O44:O46)</f>
        <v/>
      </c>
      <c r="P43">
        <f>SUBTOTAL(9,P44:P46)</f>
        <v/>
      </c>
      <c r="Q43" s="6">
        <f>SUBTOTAL(9,Q44:Q46)</f>
        <v/>
      </c>
      <c r="R43" s="6">
        <f>SUBTOTAL(9,R44:R46)</f>
        <v/>
      </c>
      <c r="S43" s="6">
        <f>SUBTOTAL(9,S44:S46)</f>
        <v/>
      </c>
      <c r="T43" s="6">
        <f>SUBTOTAL(9,T44:T46)</f>
        <v/>
      </c>
      <c r="U43" s="6">
        <f>IFERROR(Q43/R43,"")</f>
        <v/>
      </c>
      <c r="V43" s="6">
        <f>SUBTOTAL(9,V44:V46)</f>
        <v/>
      </c>
      <c r="W43" s="6">
        <f>SUBTOTAL(9,W44:W46)</f>
        <v/>
      </c>
      <c r="X43" s="6">
        <f>SUBTOTAL(9,X44:X46)</f>
        <v/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>
        <v>4</v>
      </c>
      <c r="C44" s="110" t="inlineStr">
        <is>
          <t>ISCOM Lille</t>
        </is>
      </c>
      <c r="D44" s="111" t="n">
        <v>1755850</v>
      </c>
      <c r="E44" s="123">
        <f>IFERROR((D44-R44)/R44,"")</f>
        <v/>
      </c>
      <c r="F44" s="111" t="n">
        <v>289769.8853997011</v>
      </c>
      <c r="G44" s="123">
        <f>IFERROR((F44-Q44)/Q44,"")</f>
        <v/>
      </c>
      <c r="H44" s="113" t="n">
        <v>0.07534729786239711</v>
      </c>
      <c r="I44" s="113">
        <f>IFERROR(F44/D44,"")</f>
        <v/>
      </c>
      <c r="J44" s="124">
        <f>IFERROR((I44-U44)*100,"")</f>
        <v/>
      </c>
      <c r="K44" s="111" t="n">
        <v>100</v>
      </c>
      <c r="L44" s="113">
        <f>IFERROR(N44/O44,"")</f>
        <v/>
      </c>
      <c r="M44" s="113">
        <f>IFERROR(P44/N44,"")</f>
        <v/>
      </c>
      <c r="N44" s="111" t="n">
        <v>244</v>
      </c>
      <c r="O44" s="111" t="n">
        <v>296</v>
      </c>
      <c r="P44" t="n">
        <v>194</v>
      </c>
      <c r="Q44" s="6" t="n">
        <v>259701.0360466878</v>
      </c>
      <c r="R44" s="6" t="n">
        <v>1648000</v>
      </c>
      <c r="S44" s="6" t="n">
        <v>25220</v>
      </c>
      <c r="T44" s="6" t="n">
        <v>22927</v>
      </c>
      <c r="U44" s="6">
        <f>IFERROR(Q44/R44,"")</f>
        <v/>
      </c>
      <c r="V44" s="6" t="n">
        <v>296</v>
      </c>
      <c r="W44" s="6" t="n">
        <v>94</v>
      </c>
      <c r="X44" s="6" t="n">
        <v>229</v>
      </c>
      <c r="Y44" s="6">
        <f>IFERROR((K44-W44)/W44,"")</f>
        <v/>
      </c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>
        <v>4</v>
      </c>
      <c r="C45" s="110" t="inlineStr">
        <is>
          <t>ISCOM Paris</t>
        </is>
      </c>
      <c r="D45" s="111" t="n">
        <v>2908720</v>
      </c>
      <c r="E45" s="123">
        <f>IFERROR((D45-R45)/R45,"")</f>
        <v/>
      </c>
      <c r="F45" s="111" t="n">
        <v>526578.7433247521</v>
      </c>
      <c r="G45" s="123">
        <f>IFERROR((F45-Q45)/Q45,"")</f>
        <v/>
      </c>
      <c r="H45" s="113" t="n">
        <v>0.1369234258645214</v>
      </c>
      <c r="I45" s="113">
        <f>IFERROR(F45/D45,"")</f>
        <v/>
      </c>
      <c r="J45" s="124">
        <f>IFERROR((I45-U45)*100,"")</f>
        <v/>
      </c>
      <c r="K45" s="111" t="n">
        <v>144</v>
      </c>
      <c r="L45" s="113">
        <f>IFERROR(N45/O45,"")</f>
        <v/>
      </c>
      <c r="M45" s="113">
        <f>IFERROR(P45/N45,"")</f>
        <v/>
      </c>
      <c r="N45" s="111" t="n">
        <v>354</v>
      </c>
      <c r="O45" s="111" t="n">
        <v>444</v>
      </c>
      <c r="P45" t="n">
        <v>282</v>
      </c>
      <c r="Q45" s="6" t="n">
        <v>476567.0659048968</v>
      </c>
      <c r="R45" s="6" t="n">
        <v>2744480</v>
      </c>
      <c r="S45" s="6" t="n">
        <v>60800</v>
      </c>
      <c r="T45" s="6" t="n">
        <v>55272</v>
      </c>
      <c r="U45" s="6">
        <f>IFERROR(Q45/R45,"")</f>
        <v/>
      </c>
      <c r="V45" s="6" t="n">
        <v>444</v>
      </c>
      <c r="W45" s="6" t="n">
        <v>136</v>
      </c>
      <c r="X45" s="6" t="n">
        <v>334</v>
      </c>
      <c r="Y45" s="6">
        <f>IFERROR((K45-W45)/W45,"")</f>
        <v/>
      </c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>
        <v>4</v>
      </c>
      <c r="C46" s="110" t="inlineStr">
        <is>
          <t>ISCOM Toulouse</t>
        </is>
      </c>
      <c r="D46" s="111" t="n">
        <v>1627980</v>
      </c>
      <c r="E46" s="123">
        <f>IFERROR((D46-R46)/R46,"")</f>
        <v/>
      </c>
      <c r="F46" s="111" t="n">
        <v>263782.8106467934</v>
      </c>
      <c r="G46" s="123">
        <f>IFERROR((F46-Q46)/Q46,"")</f>
        <v/>
      </c>
      <c r="H46" s="113" t="n">
        <v>0.0685900192056491</v>
      </c>
      <c r="I46" s="113">
        <f>IFERROR(F46/D46,"")</f>
        <v/>
      </c>
      <c r="J46" s="124">
        <f>IFERROR((I46-U46)*100,"")</f>
        <v/>
      </c>
      <c r="K46" s="111" t="n">
        <v>94</v>
      </c>
      <c r="L46" s="113">
        <f>IFERROR(N46/O46,"")</f>
        <v/>
      </c>
      <c r="M46" s="113">
        <f>IFERROR(P46/N46,"")</f>
        <v/>
      </c>
      <c r="N46" s="111" t="n">
        <v>231</v>
      </c>
      <c r="O46" s="111" t="n">
        <v>296</v>
      </c>
      <c r="P46" t="n">
        <v>184</v>
      </c>
      <c r="Q46" s="6" t="n">
        <v>235311.9739125325</v>
      </c>
      <c r="R46" s="6" t="n">
        <v>1522320</v>
      </c>
      <c r="S46" s="6" t="n">
        <v>22083</v>
      </c>
      <c r="T46" s="6" t="n">
        <v>20076</v>
      </c>
      <c r="U46" s="6">
        <f>IFERROR(Q46/R46,"")</f>
        <v/>
      </c>
      <c r="V46" s="6" t="n">
        <v>296</v>
      </c>
      <c r="W46" s="6" t="n">
        <v>88</v>
      </c>
      <c r="X46" s="6" t="n">
        <v>216</v>
      </c>
      <c r="Y46" s="6">
        <f>IFERROR((K46-W46)/W46,"")</f>
        <v/>
      </c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>
        <v>3</v>
      </c>
      <c r="C47" s="110" t="inlineStr">
        <is>
          <t>MBway</t>
        </is>
      </c>
      <c r="D47" s="111">
        <f>SUBTOTAL(9,D48:D51)</f>
        <v/>
      </c>
      <c r="E47" s="123">
        <f>IFERROR((D47-R47)/R47,"")</f>
        <v/>
      </c>
      <c r="F47" s="111">
        <f>SUBTOTAL(9,F48:F51)</f>
        <v/>
      </c>
      <c r="G47" s="123">
        <f>IFERROR((F47-Q47)/Q47,"")</f>
        <v/>
      </c>
      <c r="H47" s="113">
        <f>SUBTOTAL(9,H48:H51)</f>
        <v/>
      </c>
      <c r="I47" s="113">
        <f>IFERROR(F47/D47,"")</f>
        <v/>
      </c>
      <c r="J47" s="124">
        <f>IFERROR((I47-U47)*100,"")</f>
        <v/>
      </c>
      <c r="K47" s="111">
        <f>SUBTOTAL(9,K48:K51)</f>
        <v/>
      </c>
      <c r="L47" s="113">
        <f>IFERROR(N47/O47,"")</f>
        <v/>
      </c>
      <c r="M47" s="113">
        <f>IFERROR(P47/N47,"")</f>
        <v/>
      </c>
      <c r="N47" s="111">
        <f>SUBTOTAL(9,N48:N51)</f>
        <v/>
      </c>
      <c r="O47" s="111">
        <f>SUBTOTAL(9,O48:O51)</f>
        <v/>
      </c>
      <c r="P47">
        <f>SUBTOTAL(9,P48:P51)</f>
        <v/>
      </c>
      <c r="Q47" s="6">
        <f>SUBTOTAL(9,Q48:Q51)</f>
        <v/>
      </c>
      <c r="R47" s="6">
        <f>SUBTOTAL(9,R48:R51)</f>
        <v/>
      </c>
      <c r="S47" s="6">
        <f>SUBTOTAL(9,S48:S51)</f>
        <v/>
      </c>
      <c r="T47" s="6">
        <f>SUBTOTAL(9,T48:T51)</f>
        <v/>
      </c>
      <c r="U47" s="6">
        <f>IFERROR(Q47/R47,"")</f>
        <v/>
      </c>
      <c r="V47" s="6">
        <f>SUBTOTAL(9,V48:V51)</f>
        <v/>
      </c>
      <c r="W47" s="6">
        <f>SUBTOTAL(9,W48:W51)</f>
        <v/>
      </c>
      <c r="X47" s="6">
        <f>SUBTOTAL(9,X48:X51)</f>
        <v/>
      </c>
      <c r="Y47" s="6">
        <f>IFERROR((K47-W47)/W47,"")</f>
        <v/>
      </c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>
        <v>4</v>
      </c>
      <c r="C48" s="110" t="inlineStr">
        <is>
          <t>MBway Bordeaux</t>
        </is>
      </c>
      <c r="D48" s="111" t="n">
        <v>1773610</v>
      </c>
      <c r="E48" s="123">
        <f>IFERROR((D48-R48)/R48,"")</f>
        <v/>
      </c>
      <c r="F48" s="111" t="n">
        <v>305134.8680963339</v>
      </c>
      <c r="G48" s="123">
        <f>IFERROR((F48-Q48)/Q48,"")</f>
        <v/>
      </c>
      <c r="H48" s="113" t="n">
        <v>0.0793425713060017</v>
      </c>
      <c r="I48" s="113">
        <f>IFERROR(F48/D48,"")</f>
        <v/>
      </c>
      <c r="J48" s="124">
        <f>IFERROR((I48-U48)*100,"")</f>
        <v/>
      </c>
      <c r="K48" s="111" t="n">
        <v>102</v>
      </c>
      <c r="L48" s="113">
        <f>IFERROR(N48/O48,"")</f>
        <v/>
      </c>
      <c r="M48" s="113">
        <f>IFERROR(P48/N48,"")</f>
        <v/>
      </c>
      <c r="N48" s="111" t="n">
        <v>249</v>
      </c>
      <c r="O48" s="111" t="n">
        <v>296</v>
      </c>
      <c r="P48" t="n">
        <v>198</v>
      </c>
      <c r="Q48" s="6" t="n">
        <v>271052.9921819164</v>
      </c>
      <c r="R48" s="6" t="n">
        <v>1666855</v>
      </c>
      <c r="S48" s="6" t="n">
        <v>24923</v>
      </c>
      <c r="T48" s="6" t="n">
        <v>22657</v>
      </c>
      <c r="U48" s="6">
        <f>IFERROR(Q48/R48,"")</f>
        <v/>
      </c>
      <c r="V48" s="6" t="n">
        <v>296</v>
      </c>
      <c r="W48" s="6" t="n">
        <v>96</v>
      </c>
      <c r="X48" s="6" t="n">
        <v>234</v>
      </c>
      <c r="Y48" s="6">
        <f>IFERROR((K48-W48)/W48,"")</f>
        <v/>
      </c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>
        <v>4</v>
      </c>
      <c r="C49" s="110" t="inlineStr">
        <is>
          <t>MBway Lyon</t>
        </is>
      </c>
      <c r="D49" s="111" t="n">
        <v>2496705</v>
      </c>
      <c r="E49" s="123">
        <f>IFERROR((D49-R49)/R49,"")</f>
        <v/>
      </c>
      <c r="F49" s="111" t="n">
        <v>456973.1810179077</v>
      </c>
      <c r="G49" s="123">
        <f>IFERROR((F49-Q49)/Q49,"")</f>
        <v/>
      </c>
      <c r="H49" s="113" t="n">
        <v>0.1188242675314214</v>
      </c>
      <c r="I49" s="113">
        <f>IFERROR(F49/D49,"")</f>
        <v/>
      </c>
      <c r="J49" s="124">
        <f>IFERROR((I49-U49)*100,"")</f>
        <v/>
      </c>
      <c r="K49" s="111" t="n">
        <v>132</v>
      </c>
      <c r="L49" s="113">
        <f>IFERROR(N49/O49,"")</f>
        <v/>
      </c>
      <c r="M49" s="113">
        <f>IFERROR(P49/N49,"")</f>
        <v/>
      </c>
      <c r="N49" s="111" t="n">
        <v>324</v>
      </c>
      <c r="O49" s="111" t="n">
        <v>380</v>
      </c>
      <c r="P49" t="n">
        <v>258</v>
      </c>
      <c r="Q49" s="6" t="n">
        <v>406786.7749326563</v>
      </c>
      <c r="R49" s="6" t="n">
        <v>2342685</v>
      </c>
      <c r="S49" s="6" t="n">
        <v>41783</v>
      </c>
      <c r="T49" s="6" t="n">
        <v>37985</v>
      </c>
      <c r="U49" s="6">
        <f>IFERROR(Q49/R49,"")</f>
        <v/>
      </c>
      <c r="V49" s="6" t="n">
        <v>380</v>
      </c>
      <c r="W49" s="6" t="n">
        <v>124</v>
      </c>
      <c r="X49" s="6" t="n">
        <v>304</v>
      </c>
      <c r="Y49" s="6">
        <f>IFERROR((K49-W49)/W49,"")</f>
        <v/>
      </c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>
        <v>4</v>
      </c>
      <c r="C50" s="110" t="inlineStr">
        <is>
          <t>MBway Nantes</t>
        </is>
      </c>
      <c r="D50" s="111" t="n">
        <v>2158300</v>
      </c>
      <c r="E50" s="123">
        <f>IFERROR((D50-R50)/R50,"")</f>
        <v/>
      </c>
      <c r="F50" s="111" t="n">
        <v>384269.8718500021</v>
      </c>
      <c r="G50" s="123">
        <f>IFERROR((F50-Q50)/Q50,"")</f>
        <v/>
      </c>
      <c r="H50" s="113" t="n">
        <v>0.09991961881714967</v>
      </c>
      <c r="I50" s="113">
        <f>IFERROR(F50/D50,"")</f>
        <v/>
      </c>
      <c r="J50" s="124">
        <f>IFERROR((I50-U50)*100,"")</f>
        <v/>
      </c>
      <c r="K50" s="111" t="n">
        <v>120</v>
      </c>
      <c r="L50" s="113">
        <f>IFERROR(N50/O50,"")</f>
        <v/>
      </c>
      <c r="M50" s="113">
        <f>IFERROR(P50/N50,"")</f>
        <v/>
      </c>
      <c r="N50" s="111" t="n">
        <v>294</v>
      </c>
      <c r="O50" s="111" t="n">
        <v>348</v>
      </c>
      <c r="P50" t="n">
        <v>234</v>
      </c>
      <c r="Q50" s="6" t="n">
        <v>345409.9935984532</v>
      </c>
      <c r="R50" s="6" t="n">
        <v>2048260</v>
      </c>
      <c r="S50" s="6" t="n">
        <v>31533</v>
      </c>
      <c r="T50" s="6" t="n">
        <v>28666</v>
      </c>
      <c r="U50" s="6">
        <f>IFERROR(Q50/R50,"")</f>
        <v/>
      </c>
      <c r="V50" s="6" t="n">
        <v>348</v>
      </c>
      <c r="W50" s="6" t="n">
        <v>114</v>
      </c>
      <c r="X50" s="6" t="n">
        <v>279</v>
      </c>
      <c r="Y50" s="6">
        <f>IFERROR((K50-W50)/W50,"")</f>
        <v/>
      </c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>
        <v>4</v>
      </c>
      <c r="C51" s="110" t="inlineStr">
        <is>
          <t>MBway Paris</t>
        </is>
      </c>
      <c r="D51" s="111" t="n">
        <v>3138840</v>
      </c>
      <c r="E51" s="123">
        <f>IFERROR((D51-R51)/R51,"")</f>
        <v/>
      </c>
      <c r="F51" s="111" t="n">
        <v>599620.1394084045</v>
      </c>
      <c r="G51" s="123">
        <f>IFERROR((F51-Q51)/Q51,"")</f>
        <v/>
      </c>
      <c r="H51" s="113" t="n">
        <v>0.1559159854930313</v>
      </c>
      <c r="I51" s="113">
        <f>IFERROR(F51/D51,"")</f>
        <v/>
      </c>
      <c r="J51" s="124">
        <f>IFERROR((I51-U51)*100,"")</f>
        <v/>
      </c>
      <c r="K51" s="111" t="n">
        <v>156</v>
      </c>
      <c r="L51" s="113">
        <f>IFERROR(N51/O51,"")</f>
        <v/>
      </c>
      <c r="M51" s="113">
        <f>IFERROR(P51/N51,"")</f>
        <v/>
      </c>
      <c r="N51" s="111" t="n">
        <v>382</v>
      </c>
      <c r="O51" s="111" t="n">
        <v>444</v>
      </c>
      <c r="P51" t="n">
        <v>304</v>
      </c>
      <c r="Q51" s="6" t="n">
        <v>540400.0259642038</v>
      </c>
      <c r="R51" s="6" t="n">
        <v>2974600</v>
      </c>
      <c r="S51" s="6" t="n">
        <v>68291</v>
      </c>
      <c r="T51" s="6" t="n">
        <v>62082</v>
      </c>
      <c r="U51" s="6">
        <f>IFERROR(Q51/R51,"")</f>
        <v/>
      </c>
      <c r="V51" s="6" t="n">
        <v>444</v>
      </c>
      <c r="W51" s="6" t="n">
        <v>148</v>
      </c>
      <c r="X51" s="6" t="n">
        <v>362</v>
      </c>
      <c r="Y51" s="6">
        <f>IFERROR((K51-W51)/W51,"")</f>
        <v/>
      </c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>
        <v>3</v>
      </c>
      <c r="C52" s="110" t="inlineStr">
        <is>
          <t>Pigier</t>
        </is>
      </c>
      <c r="D52" s="111">
        <f>SUBTOTAL(9,D53:D54)</f>
        <v/>
      </c>
      <c r="E52" s="123">
        <f>IFERROR((D52-R52)/R52,"")</f>
        <v/>
      </c>
      <c r="F52" s="111">
        <f>SUBTOTAL(9,F53:F54)</f>
        <v/>
      </c>
      <c r="G52" s="123">
        <f>IFERROR((F52-Q52)/Q52,"")</f>
        <v/>
      </c>
      <c r="H52" s="113">
        <f>SUBTOTAL(9,H53:H54)</f>
        <v/>
      </c>
      <c r="I52" s="113">
        <f>IFERROR(F52/D52,"")</f>
        <v/>
      </c>
      <c r="J52" s="124">
        <f>IFERROR((I52-U52)*100,"")</f>
        <v/>
      </c>
      <c r="K52" s="111">
        <f>SUBTOTAL(9,K53:K54)</f>
        <v/>
      </c>
      <c r="L52" s="113">
        <f>IFERROR(N52/O52,"")</f>
        <v/>
      </c>
      <c r="M52" s="113">
        <f>IFERROR(P52/N52,"")</f>
        <v/>
      </c>
      <c r="N52" s="111">
        <f>SUBTOTAL(9,N53:N54)</f>
        <v/>
      </c>
      <c r="O52" s="111">
        <f>SUBTOTAL(9,O53:O54)</f>
        <v/>
      </c>
      <c r="P52">
        <f>SUBTOTAL(9,P53:P54)</f>
        <v/>
      </c>
      <c r="Q52" s="6">
        <f>SUBTOTAL(9,Q53:Q54)</f>
        <v/>
      </c>
      <c r="R52" s="6">
        <f>SUBTOTAL(9,R53:R54)</f>
        <v/>
      </c>
      <c r="S52" s="6">
        <f>SUBTOTAL(9,S53:S54)</f>
        <v/>
      </c>
      <c r="T52" s="6">
        <f>SUBTOTAL(9,T53:T54)</f>
        <v/>
      </c>
      <c r="U52" s="6">
        <f>IFERROR(Q52/R52,"")</f>
        <v/>
      </c>
      <c r="V52" s="6">
        <f>SUBTOTAL(9,V53:V54)</f>
        <v/>
      </c>
      <c r="W52" s="6">
        <f>SUBTOTAL(9,W53:W54)</f>
        <v/>
      </c>
      <c r="X52" s="6">
        <f>SUBTOTAL(9,X53:X54)</f>
        <v/>
      </c>
      <c r="Y52" s="6">
        <f>IFERROR((K52-W52)/W52,"")</f>
        <v/>
      </c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>
        <v>4</v>
      </c>
      <c r="C53" s="110" t="inlineStr">
        <is>
          <t>Pigier Bordeaux</t>
        </is>
      </c>
      <c r="D53" s="111" t="n">
        <v>1132650</v>
      </c>
      <c r="E53" s="123">
        <f>IFERROR((D53-R53)/R53,"")</f>
        <v/>
      </c>
      <c r="F53" s="111" t="n">
        <v>232241.7859651666</v>
      </c>
      <c r="G53" s="123">
        <f>IFERROR((F53-Q53)/Q53,"")</f>
        <v/>
      </c>
      <c r="H53" s="113" t="n">
        <v>0.06038857695331281</v>
      </c>
      <c r="I53" s="113">
        <f>IFERROR(F53/D53,"")</f>
        <v/>
      </c>
      <c r="J53" s="124">
        <f>IFERROR((I53-U53)*100,"")</f>
        <v/>
      </c>
      <c r="K53" s="111" t="n">
        <v>72</v>
      </c>
      <c r="L53" s="113">
        <f>IFERROR(N53/O53,"")</f>
        <v/>
      </c>
      <c r="M53" s="113">
        <f>IFERROR(P53/N53,"")</f>
        <v/>
      </c>
      <c r="N53" s="111" t="n">
        <v>176</v>
      </c>
      <c r="O53" s="111" t="n">
        <v>312</v>
      </c>
      <c r="P53" t="n">
        <v>176</v>
      </c>
      <c r="Q53" s="6" t="n">
        <v>211238.6140005465</v>
      </c>
      <c r="R53" s="6" t="n">
        <v>1068270</v>
      </c>
      <c r="S53" s="6" t="n">
        <v>21968</v>
      </c>
      <c r="T53" s="6" t="n">
        <v>19971</v>
      </c>
      <c r="U53" s="6">
        <f>IFERROR(Q53/R53,"")</f>
        <v/>
      </c>
      <c r="V53" s="6" t="n">
        <v>312</v>
      </c>
      <c r="W53" s="6" t="n">
        <v>68</v>
      </c>
      <c r="X53" s="6" t="n">
        <v>166</v>
      </c>
      <c r="Y53" s="6">
        <f>IFERROR((K53-W53)/W53,"")</f>
        <v/>
      </c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>
        <v>4</v>
      </c>
      <c r="C54" s="110" t="inlineStr">
        <is>
          <t>Pigier Lyon</t>
        </is>
      </c>
      <c r="D54" s="111" t="n">
        <v>1573830</v>
      </c>
      <c r="E54" s="123">
        <f>IFERROR((D54-R54)/R54,"")</f>
        <v/>
      </c>
      <c r="F54" s="111" t="n">
        <v>340017.5004984176</v>
      </c>
      <c r="G54" s="123">
        <f>IFERROR((F54-Q54)/Q54,"")</f>
        <v/>
      </c>
      <c r="H54" s="113" t="n">
        <v>0.08841291376135685</v>
      </c>
      <c r="I54" s="113">
        <f>IFERROR(F54/D54,"")</f>
        <v/>
      </c>
      <c r="J54" s="124">
        <f>IFERROR((I54-U54)*100,"")</f>
        <v/>
      </c>
      <c r="K54" s="111" t="n">
        <v>92</v>
      </c>
      <c r="L54" s="113">
        <f>IFERROR(N54/O54,"")</f>
        <v/>
      </c>
      <c r="M54" s="113">
        <f>IFERROR(P54/N54,"")</f>
        <v/>
      </c>
      <c r="N54" s="111" t="n">
        <v>226</v>
      </c>
      <c r="O54" s="111" t="n">
        <v>312</v>
      </c>
      <c r="P54" t="n">
        <v>226</v>
      </c>
      <c r="Q54" s="6" t="n">
        <v>306768.3514923886</v>
      </c>
      <c r="R54" s="6" t="n">
        <v>1469340</v>
      </c>
      <c r="S54" s="6" t="n">
        <v>36612</v>
      </c>
      <c r="T54" s="6" t="n">
        <v>33284</v>
      </c>
      <c r="U54" s="6">
        <f>IFERROR(Q54/R54,"")</f>
        <v/>
      </c>
      <c r="V54" s="6" t="n">
        <v>312</v>
      </c>
      <c r="W54" s="6" t="n">
        <v>86</v>
      </c>
      <c r="X54" s="6" t="n">
        <v>211</v>
      </c>
      <c r="Y54" s="6">
        <f>IFERROR((K54-W54)/W54,"")</f>
        <v/>
      </c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>
        <v>3</v>
      </c>
      <c r="C55" s="110" t="inlineStr">
        <is>
          <t>Tunon</t>
        </is>
      </c>
      <c r="D55" s="111">
        <f>SUBTOTAL(9,D56:D57)</f>
        <v/>
      </c>
      <c r="E55" s="123">
        <f>IFERROR((D55-R55)/R55,"")</f>
        <v/>
      </c>
      <c r="F55" s="111">
        <f>SUBTOTAL(9,F56:F57)</f>
        <v/>
      </c>
      <c r="G55" s="123">
        <f>IFERROR((F55-Q55)/Q55,"")</f>
        <v/>
      </c>
      <c r="H55" s="113">
        <f>SUBTOTAL(9,H56:H57)</f>
        <v/>
      </c>
      <c r="I55" s="113">
        <f>IFERROR(F55/D55,"")</f>
        <v/>
      </c>
      <c r="J55" s="124">
        <f>IFERROR((I55-U55)*100,"")</f>
        <v/>
      </c>
      <c r="K55" s="111">
        <f>SUBTOTAL(9,K56:K57)</f>
        <v/>
      </c>
      <c r="L55" s="113">
        <f>IFERROR(N55/O55,"")</f>
        <v/>
      </c>
      <c r="M55" s="113">
        <f>IFERROR(P55/N55,"")</f>
        <v/>
      </c>
      <c r="N55" s="111">
        <f>SUBTOTAL(9,N56:N57)</f>
        <v/>
      </c>
      <c r="O55" s="111">
        <f>SUBTOTAL(9,O56:O57)</f>
        <v/>
      </c>
      <c r="P55">
        <f>SUBTOTAL(9,P56:P57)</f>
        <v/>
      </c>
      <c r="Q55" s="6">
        <f>SUBTOTAL(9,Q56:Q57)</f>
        <v/>
      </c>
      <c r="R55" s="6">
        <f>SUBTOTAL(9,R56:R57)</f>
        <v/>
      </c>
      <c r="S55" s="6">
        <f>SUBTOTAL(9,S56:S57)</f>
        <v/>
      </c>
      <c r="T55" s="6">
        <f>SUBTOTAL(9,T56:T57)</f>
        <v/>
      </c>
      <c r="U55" s="6">
        <f>IFERROR(Q55/R55,"")</f>
        <v/>
      </c>
      <c r="V55" s="6">
        <f>SUBTOTAL(9,V56:V57)</f>
        <v/>
      </c>
      <c r="W55" s="6">
        <f>SUBTOTAL(9,W56:W57)</f>
        <v/>
      </c>
      <c r="X55" s="6">
        <f>SUBTOTAL(9,X56:X57)</f>
        <v/>
      </c>
      <c r="Y55" s="6">
        <f>IFERROR((K55-W55)/W55,"")</f>
        <v/>
      </c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>
        <v>4</v>
      </c>
      <c r="C56" s="110" t="inlineStr">
        <is>
          <t>Tunon Lyon</t>
        </is>
      </c>
      <c r="D56" s="111" t="n">
        <v>863550</v>
      </c>
      <c r="E56" s="123">
        <f>IFERROR((D56-R56)/R56,"")</f>
        <v/>
      </c>
      <c r="F56" s="111" t="n">
        <v>32829.34196884636</v>
      </c>
      <c r="G56" s="123">
        <f>IFERROR((F56-Q56)/Q56,"")</f>
        <v/>
      </c>
      <c r="H56" s="113" t="n">
        <v>0.008536436436592222</v>
      </c>
      <c r="I56" s="113">
        <f>IFERROR(F56/D56,"")</f>
        <v/>
      </c>
      <c r="J56" s="124">
        <f>IFERROR((I56-U56)*100,"")</f>
        <v/>
      </c>
      <c r="K56" s="111" t="n">
        <v>40</v>
      </c>
      <c r="L56" s="113">
        <f>IFERROR(N56/O56,"")</f>
        <v/>
      </c>
      <c r="M56" s="113">
        <f>IFERROR(P56/N56,"")</f>
        <v/>
      </c>
      <c r="N56" s="111" t="n">
        <v>117</v>
      </c>
      <c r="O56" s="111" t="n">
        <v>192</v>
      </c>
      <c r="P56" t="n">
        <v>117</v>
      </c>
      <c r="Q56" s="6" t="n">
        <v>40301.88030074014</v>
      </c>
      <c r="R56" s="6" t="n">
        <v>819270</v>
      </c>
      <c r="S56" s="6" t="n">
        <v>18850</v>
      </c>
      <c r="T56" s="6" t="n">
        <v>17136</v>
      </c>
      <c r="U56" s="6">
        <f>IFERROR(Q56/R56,"")</f>
        <v/>
      </c>
      <c r="V56" s="6" t="n">
        <v>192</v>
      </c>
      <c r="W56" s="6" t="n">
        <v>38</v>
      </c>
      <c r="X56" s="6" t="n">
        <v>111</v>
      </c>
      <c r="Y56" s="6">
        <f>IFERROR((K56-W56)/W56,"")</f>
        <v/>
      </c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>
        <v>4</v>
      </c>
      <c r="C57" s="110" t="inlineStr">
        <is>
          <t>Tunon Paris</t>
        </is>
      </c>
      <c r="D57" s="111" t="n">
        <v>1086150</v>
      </c>
      <c r="E57" s="123">
        <f>IFERROR((D57-R57)/R57,"")</f>
        <v/>
      </c>
      <c r="F57" s="111" t="n">
        <v>48895.78642460998</v>
      </c>
      <c r="G57" s="123">
        <f>IFERROR((F57-Q57)/Q57,"")</f>
        <v/>
      </c>
      <c r="H57" s="113" t="n">
        <v>0.01271410719188227</v>
      </c>
      <c r="I57" s="113">
        <f>IFERROR(F57/D57,"")</f>
        <v/>
      </c>
      <c r="J57" s="124">
        <f>IFERROR((I57-U57)*100,"")</f>
        <v/>
      </c>
      <c r="K57" s="111" t="n">
        <v>47</v>
      </c>
      <c r="L57" s="113">
        <f>IFERROR(N57/O57,"")</f>
        <v/>
      </c>
      <c r="M57" s="113">
        <f>IFERROR(P57/N57,"")</f>
        <v/>
      </c>
      <c r="N57" s="111" t="n">
        <v>138</v>
      </c>
      <c r="O57" s="111" t="n">
        <v>192</v>
      </c>
      <c r="P57" t="n">
        <v>138</v>
      </c>
      <c r="Q57" s="6" t="n">
        <v>57079.30344296087</v>
      </c>
      <c r="R57" s="6" t="n">
        <v>1015320</v>
      </c>
      <c r="S57" s="6" t="n">
        <v>30240</v>
      </c>
      <c r="T57" s="6" t="n">
        <v>27491</v>
      </c>
      <c r="U57" s="6">
        <f>IFERROR(Q57/R57,"")</f>
        <v/>
      </c>
      <c r="V57" s="6" t="n">
        <v>192</v>
      </c>
      <c r="W57" s="6" t="n">
        <v>44</v>
      </c>
      <c r="X57" s="6" t="n">
        <v>129</v>
      </c>
      <c r="Y57" s="6">
        <f>IFERROR((K57-W57)/W57,"")</f>
        <v/>
      </c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2026-09-06T19:03:07Z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