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'2'!$BH$7:$BH$11</f>
            </strRef>
          </cat>
          <val>
            <numRef>
              <f>'2'!$BI$7:$BI$11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'2'!$BJ$7:$BJ$11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'2'!$BK$7:$BK$11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'2'!$BL$7:$BL$11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'2'!$BO$7:$BO$11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'2'!$BP$7:$BP$11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'2'!$BQ$7:$BQ$11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'2'!$BT$7:$BT$10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'2'!$BU$7:$BU$10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U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3467768</v>
      </c>
      <c r="AF7" s="1" t="n">
        <v>0</v>
      </c>
      <c r="AG7" s="1" t="n">
        <v>0</v>
      </c>
      <c r="AI7" s="1" t="inlineStr">
        <is>
          <t>MARQUE</t>
        </is>
      </c>
      <c r="AJ7" s="1" t="inlineStr">
        <is>
          <t>IPAC</t>
        </is>
      </c>
      <c r="AK7" s="1" t="inlineStr">
        <is>
          <t>Ipac Bachelor Factory</t>
        </is>
      </c>
      <c r="AL7" s="1" t="n">
        <v>2309940</v>
      </c>
      <c r="AM7" s="1" t="n">
        <v>275689</v>
      </c>
      <c r="AN7" s="1" t="n">
        <v>0.1193</v>
      </c>
      <c r="AO7" s="1" t="n">
        <v>2439370</v>
      </c>
      <c r="AP7" s="1" t="n">
        <v>317150</v>
      </c>
      <c r="AQ7" s="1" t="n">
        <v>0.13</v>
      </c>
      <c r="AR7" s="1" t="n">
        <v>2582800</v>
      </c>
      <c r="AS7" s="1" t="n">
        <v>365676</v>
      </c>
      <c r="AT7" t="n">
        <v>0.1416</v>
      </c>
      <c r="AU7" s="2" t="n">
        <v>2.22</v>
      </c>
      <c r="AZ7" s="1" t="inlineStr">
        <is>
          <t>2024</t>
        </is>
      </c>
      <c r="BA7" s="1" t="n">
        <v>358819</v>
      </c>
      <c r="BB7" s="1" t="n">
        <v>1092</v>
      </c>
      <c r="BC7" s="1" t="n">
        <v>100</v>
      </c>
      <c r="BD7" s="1" t="n">
        <v>100</v>
      </c>
      <c r="BE7" s="1" t="n">
        <v>329</v>
      </c>
      <c r="BF7" s="1" t="n">
        <v>0</v>
      </c>
      <c r="BH7">
        <f>IF($AC7="","",$AC7)</f>
        <v/>
      </c>
      <c r="BI7">
        <f>IF($AC7="",NA(),$AD7)</f>
        <v/>
      </c>
      <c r="BJ7">
        <f>IF($AC7="",NA(),$AE7)</f>
        <v/>
      </c>
      <c r="BK7">
        <f>IF($AC7="",NA(),$AF7)</f>
        <v/>
      </c>
      <c r="BL7">
        <f>IF($AC7="",NA(),$AG7)</f>
        <v/>
      </c>
      <c r="BN7">
        <f>IF($AK7="","",$AK7)</f>
        <v/>
      </c>
      <c r="BO7">
        <f>IF($AK7="",NA(),$AN7)</f>
        <v/>
      </c>
      <c r="BP7">
        <f>IF($AK7="",NA(),$AQ7)</f>
        <v/>
      </c>
      <c r="BQ7">
        <f>IF($AK7="",NA(),$AT7)</f>
        <v/>
      </c>
      <c r="BS7">
        <f>IF($AZ7="","",$AZ7)</f>
        <v/>
      </c>
      <c r="BT7">
        <f>IF($AZ7="",NA(),$BC7)</f>
        <v/>
      </c>
      <c r="BU7">
        <f>IF($AZ7="",NA(),$BD7)</f>
        <v/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3467768</v>
      </c>
      <c r="AE8" t="n">
        <v>0</v>
      </c>
      <c r="AF8" t="n">
        <v>1157203</v>
      </c>
      <c r="AG8" t="n">
        <v>0</v>
      </c>
      <c r="AI8" t="inlineStr">
        <is>
          <t>MARQUE</t>
        </is>
      </c>
      <c r="AJ8" t="inlineStr">
        <is>
          <t>ISCOM</t>
        </is>
      </c>
      <c r="AK8" t="inlineStr">
        <is>
          <t>ISCOM</t>
        </is>
      </c>
      <c r="AL8" t="n">
        <v>5593340</v>
      </c>
      <c r="AM8" t="n">
        <v>883765</v>
      </c>
      <c r="AN8" t="n">
        <v>0.158</v>
      </c>
      <c r="AO8" t="n">
        <v>5914800</v>
      </c>
      <c r="AP8" t="n">
        <v>971580</v>
      </c>
      <c r="AQ8" t="n">
        <v>0.1643</v>
      </c>
      <c r="AR8" t="n">
        <v>6292550</v>
      </c>
      <c r="AS8" t="n">
        <v>1080131</v>
      </c>
      <c r="AT8" t="n">
        <v>0.1717</v>
      </c>
      <c r="AU8" t="n">
        <v>1.36</v>
      </c>
      <c r="AZ8" t="inlineStr">
        <is>
          <t>2025</t>
        </is>
      </c>
      <c r="BA8" t="n">
        <v>394702</v>
      </c>
      <c r="BB8" t="n">
        <v>1159</v>
      </c>
      <c r="BC8" t="n">
        <v>110</v>
      </c>
      <c r="BD8" t="n">
        <v>106.1</v>
      </c>
      <c r="BE8" t="n">
        <v>341</v>
      </c>
      <c r="BF8" t="n">
        <v>3.9</v>
      </c>
      <c r="BH8">
        <f>IF($AC8="","",$AC8)</f>
        <v/>
      </c>
      <c r="BI8">
        <f>IF($AC8="",NA(),$AD8)</f>
        <v/>
      </c>
      <c r="BJ8">
        <f>IF($AC8="",NA(),$AE8)</f>
        <v/>
      </c>
      <c r="BK8">
        <f>IF($AC8="",NA(),$AF8)</f>
        <v/>
      </c>
      <c r="BL8">
        <f>IF($AC8="",NA(),$AG8)</f>
        <v/>
      </c>
      <c r="BN8">
        <f>IF($AK8="","",$AK8)</f>
        <v/>
      </c>
      <c r="BO8">
        <f>IF($AK8="",NA(),$AN8)</f>
        <v/>
      </c>
      <c r="BP8">
        <f>IF($AK8="",NA(),$AQ8)</f>
        <v/>
      </c>
      <c r="BQ8">
        <f>IF($AK8="",NA(),$AT8)</f>
        <v/>
      </c>
      <c r="BS8">
        <f>IF($AZ8="","",$AZ8)</f>
        <v/>
      </c>
      <c r="BT8">
        <f>IF($AZ8="",NA(),$BC8)</f>
        <v/>
      </c>
      <c r="BU8">
        <f>IF($AZ8="",NA(),$BD8)</f>
        <v/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4624364</v>
      </c>
      <c r="AE9" t="n">
        <v>0</v>
      </c>
      <c r="AF9" t="n">
        <v>0</v>
      </c>
      <c r="AG9" t="n">
        <v>607</v>
      </c>
      <c r="AI9" t="inlineStr">
        <is>
          <t>MARQUE</t>
        </is>
      </c>
      <c r="AJ9" t="inlineStr">
        <is>
          <t>MBWAY</t>
        </is>
      </c>
      <c r="AK9" t="inlineStr">
        <is>
          <t>MBway</t>
        </is>
      </c>
      <c r="AL9" t="n">
        <v>8517270</v>
      </c>
      <c r="AM9" t="n">
        <v>1405098</v>
      </c>
      <c r="AN9" t="n">
        <v>0.165</v>
      </c>
      <c r="AO9" t="n">
        <v>9032400</v>
      </c>
      <c r="AP9" t="n">
        <v>1563650</v>
      </c>
      <c r="AQ9" t="n">
        <v>0.1731</v>
      </c>
      <c r="AR9" t="n">
        <v>9567455</v>
      </c>
      <c r="AS9" t="n">
        <v>1745998</v>
      </c>
      <c r="AT9" t="n">
        <v>0.1825</v>
      </c>
      <c r="AU9" t="n">
        <v>1.75</v>
      </c>
      <c r="AZ9" t="inlineStr">
        <is>
          <t>2026</t>
        </is>
      </c>
      <c r="BA9" t="n">
        <v>434174</v>
      </c>
      <c r="BB9" t="n">
        <v>1229</v>
      </c>
      <c r="BC9" t="n">
        <v>121</v>
      </c>
      <c r="BD9" t="n">
        <v>112.5</v>
      </c>
      <c r="BE9" t="n">
        <v>353</v>
      </c>
      <c r="BF9" t="n">
        <v>8.5</v>
      </c>
      <c r="BH9">
        <f>IF($AC9="","",$AC9)</f>
        <v/>
      </c>
      <c r="BI9">
        <f>IF($AC9="",NA(),$AD9)</f>
        <v/>
      </c>
      <c r="BJ9">
        <f>IF($AC9="",NA(),$AE9)</f>
        <v/>
      </c>
      <c r="BK9">
        <f>IF($AC9="",NA(),$AF9)</f>
        <v/>
      </c>
      <c r="BL9">
        <f>IF($AC9="",NA(),$AG9)</f>
        <v/>
      </c>
      <c r="BN9">
        <f>IF($AK9="","",$AK9)</f>
        <v/>
      </c>
      <c r="BO9">
        <f>IF($AK9="",NA(),$AN9)</f>
        <v/>
      </c>
      <c r="BP9">
        <f>IF($AK9="",NA(),$AQ9)</f>
        <v/>
      </c>
      <c r="BQ9">
        <f>IF($AK9="",NA(),$AT9)</f>
        <v/>
      </c>
      <c r="BS9">
        <f>IF($AZ9="","",$AZ9)</f>
        <v/>
      </c>
      <c r="BT9">
        <f>IF($AZ9="",NA(),$BC9)</f>
        <v/>
      </c>
      <c r="BU9">
        <f>IF($AZ9="",NA(),$BD9)</f>
        <v/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3845790</v>
      </c>
      <c r="AE10" t="n">
        <v>0</v>
      </c>
      <c r="AF10" t="n">
        <v>0</v>
      </c>
      <c r="AG10" t="n">
        <v>778574</v>
      </c>
      <c r="AI10" t="inlineStr">
        <is>
          <t>MARQUE</t>
        </is>
      </c>
      <c r="AJ10" t="inlineStr">
        <is>
          <t>PIGIER</t>
        </is>
      </c>
      <c r="AK10" t="inlineStr">
        <is>
          <t>Pigier</t>
        </is>
      </c>
      <c r="AL10" t="n">
        <v>2403570</v>
      </c>
      <c r="AM10" t="n">
        <v>476927</v>
      </c>
      <c r="AN10" t="n">
        <v>0.1984</v>
      </c>
      <c r="AO10" t="n">
        <v>2537610</v>
      </c>
      <c r="AP10" t="n">
        <v>518007</v>
      </c>
      <c r="AQ10" t="n">
        <v>0.2041</v>
      </c>
      <c r="AR10" t="n">
        <v>2706480</v>
      </c>
      <c r="AS10" t="n">
        <v>572259</v>
      </c>
      <c r="AT10" t="n">
        <v>0.2114</v>
      </c>
      <c r="AU10" t="n">
        <v>1.3</v>
      </c>
      <c r="BH10">
        <f>IF($AC10="","",$AC10)</f>
        <v/>
      </c>
      <c r="BI10">
        <f>IF($AC10="",NA(),$AD10)</f>
        <v/>
      </c>
      <c r="BJ10">
        <f>IF($AC10="",NA(),$AE10)</f>
        <v/>
      </c>
      <c r="BK10">
        <f>IF($AC10="",NA(),$AF10)</f>
        <v/>
      </c>
      <c r="BL10">
        <f>IF($AC10="",NA(),$AG10)</f>
        <v/>
      </c>
      <c r="BN10">
        <f>IF($AK10="","",$AK10)</f>
        <v/>
      </c>
      <c r="BO10">
        <f>IF($AK10="",NA(),$AN10)</f>
        <v/>
      </c>
      <c r="BP10">
        <f>IF($AK10="",NA(),$AQ10)</f>
        <v/>
      </c>
      <c r="BQ10">
        <f>IF($AK10="",NA(),$AT10)</f>
        <v/>
      </c>
      <c r="BS10">
        <f>IF($AZ10="","",$AZ10)</f>
        <v/>
      </c>
      <c r="BT10">
        <f>IF($AZ10="",NA(),$BC10)</f>
        <v/>
      </c>
      <c r="BU10">
        <f>IF($AZ10="",NA(),$BD10)</f>
        <v/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3845790</v>
      </c>
      <c r="AF11" s="6" t="n">
        <v>0</v>
      </c>
      <c r="AG11" s="6" t="n">
        <v>0</v>
      </c>
      <c r="AH11" s="6" t="n"/>
      <c r="AI11" s="6" t="inlineStr">
        <is>
          <t>MARQUE</t>
        </is>
      </c>
      <c r="AJ11" s="6" t="inlineStr">
        <is>
          <t>TUNON</t>
        </is>
      </c>
      <c r="AK11" t="inlineStr">
        <is>
          <t>Tunon</t>
        </is>
      </c>
      <c r="AL11" t="n">
        <v>1743090</v>
      </c>
      <c r="AM11" t="n">
        <v>109557</v>
      </c>
      <c r="AN11" t="n">
        <v>0.0629</v>
      </c>
      <c r="AO11" t="n">
        <v>1834590</v>
      </c>
      <c r="AP11" t="n">
        <v>97381</v>
      </c>
      <c r="AQ11" t="n">
        <v>0.0531</v>
      </c>
      <c r="AR11" t="n">
        <v>1949700</v>
      </c>
      <c r="AS11" t="n">
        <v>81725</v>
      </c>
      <c r="AT11" t="n">
        <v>0.0419</v>
      </c>
      <c r="AU11" t="n">
        <v>-2.09</v>
      </c>
      <c r="BH11">
        <f>IF($AC11="","",$AC11)</f>
        <v/>
      </c>
      <c r="BI11">
        <f>IF($AC11="",NA(),$AD11)</f>
        <v/>
      </c>
      <c r="BJ11">
        <f>IF($AC11="",NA(),$AE11)</f>
        <v/>
      </c>
      <c r="BK11">
        <f>IF($AC11="",NA(),$AF11)</f>
        <v/>
      </c>
      <c r="BL11">
        <f>IF($AC11="",NA(),$AG11)</f>
        <v/>
      </c>
      <c r="BN11">
        <f>IF($AK11="","",$AK11)</f>
        <v/>
      </c>
      <c r="BO11">
        <f>IF($AK11="",NA(),$AN11)</f>
        <v/>
      </c>
      <c r="BP11">
        <f>IF($AK11="",NA(),$AQ11)</f>
        <v/>
      </c>
      <c r="BQ11">
        <f>IF($AK11="",NA(),$AT11)</f>
        <v/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2026-09-06T18:53:11Z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