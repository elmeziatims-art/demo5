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8_{AA5A69D3-3EF6-4BF4-9364-A369EC660877}" xr6:coauthVersionLast="47" xr6:coauthVersionMax="47" xr10:uidLastSave="{00000000-0000-0000-0000-000000000000}"/>
  <bookViews>
    <workbookView xWindow="-120" yWindow="-120" windowWidth="29040" windowHeight="15720" xr2:uid="{BFD80C7C-8FCC-42DB-8334-50E9FAFEA52E}"/>
  </bookViews>
  <sheets>
    <sheet name="Cockpit" sheetId="4" r:id="rId1"/>
    <sheet name="Drill EBITDA 1" sheetId="7" r:id="rId2"/>
    <sheet name="Drill EBITDA 2" sheetId="8" r:id="rId3"/>
  </sheets>
  <definedNames>
    <definedName name="Query00" localSheetId="0">Cockpit!$AD$6:$AH$11</definedName>
    <definedName name="Query01" localSheetId="0">Cockpit!$AK$6:$AN$11</definedName>
    <definedName name="Query02" localSheetId="0">Cockpit!$BB$6:$BD$9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<sst xmlns="http://schemas.openxmlformats.org/spreadsheetml/2006/main" count="220" uniqueCount="153">
  <si>
    <t>Forecast 2026</t>
  </si>
  <si>
    <t>EDUSERVICES</t>
  </si>
  <si>
    <t>EBITDA</t>
  </si>
  <si>
    <t>CA</t>
  </si>
  <si>
    <t>EBITDA_N1</t>
  </si>
  <si>
    <t>CA_N1</t>
  </si>
  <si>
    <t>PLACES</t>
  </si>
  <si>
    <t>EFFECTIFS</t>
  </si>
  <si>
    <t>EFFECTIFS_ALT</t>
  </si>
  <si>
    <t>Δ CA</t>
  </si>
  <si>
    <t>SPEND_ACQ</t>
  </si>
  <si>
    <t>SPEND_ACQ_N1</t>
  </si>
  <si>
    <t>Δ EBITDA</t>
  </si>
  <si>
    <t>Part EBITDA</t>
  </si>
  <si>
    <t>Marge EBITDA</t>
  </si>
  <si>
    <t>Δ Marge</t>
  </si>
  <si>
    <t>Inscrits</t>
  </si>
  <si>
    <t>Rempl.</t>
  </si>
  <si>
    <t>Mix alt.</t>
  </si>
  <si>
    <t>Marge EBTIDA N-1</t>
  </si>
  <si>
    <t xml:space="preserve">  CHIFFRE D'AFFAIRES</t>
  </si>
  <si>
    <t xml:space="preserve">  EBITDA</t>
  </si>
  <si>
    <t xml:space="preserve">  MARGE EBITDA</t>
  </si>
  <si>
    <t xml:space="preserve">  INSCRITS (NOUVEAUX)</t>
  </si>
  <si>
    <t xml:space="preserve">  COÛT D'ACQUISITION</t>
  </si>
  <si>
    <t xml:space="preserve">  REMPLISSAGE MOYEN</t>
  </si>
  <si>
    <t>PLACES_N1</t>
  </si>
  <si>
    <t>INSCRITS_N1</t>
  </si>
  <si>
    <t>EFFECTIFS_N1</t>
  </si>
  <si>
    <t>% nouveaux inscrits</t>
  </si>
  <si>
    <t xml:space="preserve">  Scénario</t>
  </si>
  <si>
    <t>Version</t>
  </si>
  <si>
    <t>V_FINAL</t>
  </si>
  <si>
    <t>EXERCICE</t>
  </si>
  <si>
    <t>MARGE_2024</t>
  </si>
  <si>
    <t>MARGE_2025</t>
  </si>
  <si>
    <t>MARGE_2026</t>
  </si>
  <si>
    <t>IND_DEPENSES</t>
  </si>
  <si>
    <t>IND_INSCRITS</t>
  </si>
  <si>
    <t>LIBELLE</t>
  </si>
  <si>
    <t>COCKPIT EDUSERVICES — PILOTAGE DE LA MARGE</t>
  </si>
  <si>
    <t xml:space="preserve">Exercice 2026 · variation contre 2025 </t>
  </si>
  <si>
    <t>Entité</t>
  </si>
  <si>
    <t xml:space="preserve">  Pont d'EBITDA 2025 → 2026</t>
  </si>
  <si>
    <t xml:space="preserve">  Marge EBITDA par marque</t>
  </si>
  <si>
    <t>Pont</t>
  </si>
  <si>
    <t>ETAPE</t>
  </si>
  <si>
    <t>SOCLE</t>
  </si>
  <si>
    <t>ANCRE</t>
  </si>
  <si>
    <t>HAUSSE</t>
  </si>
  <si>
    <t>BAISSE</t>
  </si>
  <si>
    <t>Campus</t>
  </si>
  <si>
    <t>Effectifs 2025</t>
  </si>
  <si>
    <t>Effectifs 2026</t>
  </si>
  <si>
    <t>Élèves gagnés</t>
  </si>
  <si>
    <t>CA par élève 2025</t>
  </si>
  <si>
    <t>CA par élève 2026</t>
  </si>
  <si>
    <t>Coût var. par élève 2025</t>
  </si>
  <si>
    <t>Coût var. par élève 2026</t>
  </si>
  <si>
    <t>Marge sur coût var. par élève 2025</t>
  </si>
  <si>
    <t>Coûts directs 2025</t>
  </si>
  <si>
    <t>Coûts directs 2026</t>
  </si>
  <si>
    <t>Siège 2025</t>
  </si>
  <si>
    <t>Siège 2026</t>
  </si>
  <si>
    <t>EBITDA 2025</t>
  </si>
  <si>
    <t>EBITDA 2026</t>
  </si>
  <si>
    <t>Effet effectifs</t>
  </si>
  <si>
    <t>Effet prix et mix</t>
  </si>
  <si>
    <t>Effet coût var. unitaire</t>
  </si>
  <si>
    <t>Effet coûts directs</t>
  </si>
  <si>
    <t>Effet siège</t>
  </si>
  <si>
    <t>TOTAL du périmètre</t>
  </si>
  <si>
    <t>Effet</t>
  </si>
  <si>
    <t>Montant</t>
  </si>
  <si>
    <t>POURQUOI L'EBITDA A BOUGÉ</t>
  </si>
  <si>
    <t>le pont ci-dessous décompose cette variation en cinq causes, sans reste</t>
  </si>
  <si>
    <t>LE PONT, CHIFFRE PAR CHIFFRE</t>
  </si>
  <si>
    <t xml:space="preserve">la légende du graphe  </t>
  </si>
  <si>
    <t>Contrôle · les cinq effets moins la variation</t>
  </si>
  <si>
    <t>doit valoir 0,00 €</t>
  </si>
  <si>
    <t xml:space="preserve">une ligne par campus  </t>
  </si>
  <si>
    <t xml:space="preserve">une multiplication par effet  </t>
  </si>
  <si>
    <t>—</t>
  </si>
  <si>
    <t>Calcul des effets</t>
  </si>
  <si>
    <t xml:space="preserve">LE DÉTAIL PAR CAMPUS </t>
  </si>
  <si>
    <t>drill sur la cellule cliquée · 2026 contre 2025</t>
  </si>
  <si>
    <t>DE QUOI CET EBITDA EST-IL FAIT</t>
  </si>
  <si>
    <t>drill sur la cellule cliquée · 2026 contre 2025 · le tableau lit la restitution de Q_D2_SOCLE par RECHERCHEV sur le compte</t>
  </si>
  <si>
    <t>les charges sont signées en négatif : leur somme avec le CA donne l'EBITDA</t>
  </si>
  <si>
    <t>Compte</t>
  </si>
  <si>
    <t>Famille</t>
  </si>
  <si>
    <t>Poste</t>
  </si>
  <si>
    <t>Poste court</t>
  </si>
  <si>
    <t>Montant 2025</t>
  </si>
  <si>
    <t>Montant 2026</t>
  </si>
  <si>
    <t>621</t>
  </si>
  <si>
    <t>604</t>
  </si>
  <si>
    <t>6063</t>
  </si>
  <si>
    <t>6231</t>
  </si>
  <si>
    <t>6411</t>
  </si>
  <si>
    <t>6413</t>
  </si>
  <si>
    <t>645</t>
  </si>
  <si>
    <t>613</t>
  </si>
  <si>
    <t>615</t>
  </si>
  <si>
    <t>616</t>
  </si>
  <si>
    <t>625</t>
  </si>
  <si>
    <t>63511</t>
  </si>
  <si>
    <t>SIEGE</t>
  </si>
  <si>
    <t>LE COMPTE D'EXPLOITATION, POSTE PAR POSTE</t>
  </si>
  <si>
    <t>Variation</t>
  </si>
  <si>
    <t>Part des charges</t>
  </si>
  <si>
    <t>2025</t>
  </si>
  <si>
    <t>2026</t>
  </si>
  <si>
    <t>Contrôle</t>
  </si>
  <si>
    <t>Écart</t>
  </si>
  <si>
    <t>Part de sa masse</t>
  </si>
  <si>
    <t>Ce qui pousse  ·  ce qui freine</t>
  </si>
  <si>
    <t>706</t>
  </si>
  <si>
    <t>7062</t>
  </si>
  <si>
    <t>708</t>
  </si>
  <si>
    <t>la somme des seize lignes doit valoir l'EBITDA</t>
  </si>
  <si>
    <t>RAPPROCHEMENT DU CHIFFRE D'AFFAIRES  ·  comptes de produit contre socle CRM</t>
  </si>
  <si>
    <t>Comptes de produit  ·  706 + 7062 + 708, somme des trois lignes ci-dessus</t>
  </si>
  <si>
    <t>Socle CRM  ·  effectifs × droits de scolarité, restitution de Q_D3_CA_CRM</t>
  </si>
  <si>
    <t>COMPTE</t>
  </si>
  <si>
    <t>POSTE</t>
  </si>
  <si>
    <t>MONTANT 2025</t>
  </si>
  <si>
    <t>MONTANT 2026</t>
  </si>
  <si>
    <t>Modalité</t>
  </si>
  <si>
    <t>Programme</t>
  </si>
  <si>
    <t>ISCOM Toulouse</t>
  </si>
  <si>
    <t>MBway Lyon</t>
  </si>
  <si>
    <t>MBway Bordeaux</t>
  </si>
  <si>
    <t>MBway Paris</t>
  </si>
  <si>
    <t>Pigier</t>
  </si>
  <si>
    <t>Ipac Bachelor Factory Montpellier</t>
  </si>
  <si>
    <t>ISCOM</t>
  </si>
  <si>
    <t>Ipac Bachelor Factory Nantes</t>
  </si>
  <si>
    <t>Tunon Lyon</t>
  </si>
  <si>
    <t>Tunon Paris</t>
  </si>
  <si>
    <t>Tunon</t>
  </si>
  <si>
    <t>Ipac Bachelor Factory Rennes</t>
  </si>
  <si>
    <t>Pigier Lyon</t>
  </si>
  <si>
    <t>ISCOM Lille</t>
  </si>
  <si>
    <t>Pigier Bordeaux</t>
  </si>
  <si>
    <t>Ipac Bachelor Factory</t>
  </si>
  <si>
    <t>ISCOM Paris</t>
  </si>
  <si>
    <t>MBway Nantes</t>
  </si>
  <si>
    <t>MBway</t>
  </si>
  <si>
    <t>2024</t>
  </si>
  <si>
    <t>Activite</t>
  </si>
  <si>
    <t>Prix / mix</t>
  </si>
  <si>
    <t>Couts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</si>
</sst>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0.0%"/>
    <numFmt numFmtId="165" formatCode="#,##0.00,"/>
    <numFmt numFmtId="166" formatCode="#,##0,"/>
    <numFmt numFmtId="167" formatCode="mm/dd/yy;@"/>
    <numFmt numFmtId="168" formatCode="_(&quot;$&quot;* #,##0_);_(&quot;$&quot;* \(#,##0\);_(&quot;$&quot;* &quot;-&quot;_);_(@_)"/>
    <numFmt numFmtId="169" formatCode="&quot;$&quot;#,##0.00"/>
    <numFmt numFmtId="170" formatCode="#,##0&quot; €&quot;"/>
    <numFmt numFmtId="171" formatCode="#,##0&quot; places libres&quot;"/>
    <numFmt numFmtId="172" formatCode="0.0,,&quot; M€&quot;"/>
    <numFmt numFmtId="173" formatCode="&quot;+&quot;0.0%;&quot;-&quot;0.0%;&quot;—&quot;"/>
    <numFmt numFmtId="174" formatCode="&quot;+&quot;0.00&quot; pt&quot;;&quot;-&quot;0.00&quot; pt&quot;;&quot;—&quot;"/>
    <numFmt numFmtId="175" formatCode="&quot;▲ &quot;0.0%;&quot;▼ &quot;0.0%;&quot;—&quot;"/>
    <numFmt numFmtId="176" formatCode="&quot;▲ &quot;0.00&quot; pt&quot;;&quot;▼ &quot;0.00&quot; pt&quot;;&quot;—&quot;"/>
    <numFmt numFmtId="177" formatCode="#,##0&quot; places libres&quot;;\-#,##0&quot; places libres&quot;;&quot;—&quot;"/>
    <numFmt numFmtId="178" formatCode="&quot;▲ &quot;0.0%;&quot;▼ &quot;0.0%;&quot;&quot;"/>
    <numFmt numFmtId="179" formatCode="&quot;▲ &quot;0.00;&quot;▼ &quot;0.00;&quot;&quot;"/>
    <numFmt numFmtId="180" formatCode="0.00&quot; €&quot;"/>
    <numFmt numFmtId="181" formatCode="&quot;▲ &quot;#,##0;&quot;▼ &quot;#,##0;&quot;—&quot;"/>
    <numFmt numFmtId="182" formatCode="\+#,##0&quot; €&quot;;\-#,##0&quot; €&quot;;&quot;0 €&quot;"/>
    <numFmt numFmtId="183" formatCode="\+0.00%;\-0.00%;&quot;0,00 %&quot;"/>
    <numFmt numFmtId="184" formatCode="\+#,##0&quot; €&quot;"/>
    <numFmt numFmtId="185" formatCode="\-#,##0&quot; €&quot;"/>
    <numFmt numFmtId="186" formatCode="&quot;+&quot;0.0%;&quot;-&quot;0.0%;&quot;&quot;"/>
  </numFmts>
  <fonts count="5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3"/>
      <name val="Tahoma"/>
      <family val="2"/>
    </font>
    <font>
      <sz val="11"/>
      <color theme="3"/>
      <name val="Aptos Narrow"/>
      <family val="2"/>
      <scheme val="minor"/>
    </font>
    <font>
      <sz val="8"/>
      <color theme="0"/>
      <name val="Tahoma"/>
      <family val="2"/>
    </font>
    <font>
      <b/>
      <sz val="8"/>
      <color theme="3"/>
      <name val="Tahoma"/>
      <family val="2"/>
    </font>
    <font>
      <b/>
      <i/>
      <sz val="8"/>
      <color theme="3"/>
      <name val="Tahoma"/>
      <family val="2"/>
    </font>
    <font>
      <u/>
      <sz val="8"/>
      <color theme="3"/>
      <name val="Tahoma"/>
      <family val="2"/>
    </font>
    <font>
      <sz val="8"/>
      <name val="Tahoma"/>
      <family val="2"/>
    </font>
    <font>
      <sz val="11"/>
      <color rgb="FF9C6500"/>
      <name val="Aptos Narrow"/>
      <family val="2"/>
      <scheme val="minor"/>
    </font>
    <font>
      <sz val="11"/>
      <color theme="3"/>
      <name val="Tahoma"/>
      <family val="2"/>
    </font>
    <font>
      <sz val="10"/>
      <color theme="3"/>
      <name val="Webdings"/>
      <family val="1"/>
      <charset val="2"/>
    </font>
    <font>
      <b/>
      <sz val="18"/>
      <color theme="3"/>
      <name val="Aptos Display"/>
      <family val="2"/>
      <scheme val="major"/>
    </font>
    <font>
      <sz val="8"/>
      <color rgb="FFFF0000"/>
      <name val="Webdings"/>
      <family val="1"/>
      <charset val="2"/>
    </font>
    <font>
      <sz val="14"/>
      <color rgb="FFFF0000"/>
      <name val="Webdings"/>
      <family val="1"/>
      <charset val="2"/>
    </font>
    <font>
      <sz val="8"/>
      <color theme="1"/>
      <name val="Webdings"/>
      <family val="1"/>
      <charset val="2"/>
    </font>
    <font>
      <sz val="14"/>
      <color rgb="FF00B050"/>
      <name val="Webdings"/>
      <family val="1"/>
      <charset val="2"/>
    </font>
    <font>
      <b/>
      <sz val="11"/>
      <color theme="1"/>
      <name val="Aptos Narrow"/>
      <family val="2"/>
      <scheme val="minor"/>
    </font>
    <font>
      <sz val="9"/>
      <color rgb="FF7C8798"/>
      <name val="Segoe UI"/>
      <family val="2"/>
    </font>
    <font>
      <b/>
      <i/>
      <sz val="11"/>
      <color theme="1"/>
      <name val="Aptos Narrow"/>
      <family val="2"/>
      <scheme val="minor"/>
    </font>
    <font>
      <b/>
      <sz val="7.5"/>
      <color rgb="FF526071"/>
      <name val="Arial"/>
      <family val="2"/>
    </font>
    <font>
      <b/>
      <sz val="9"/>
      <color rgb="FF202733"/>
      <name val="Arial"/>
      <family val="2"/>
    </font>
    <font>
      <b/>
      <sz val="18"/>
      <color rgb="FF202733"/>
      <name val="Fira Sans Medium"/>
      <family val="2"/>
    </font>
    <font>
      <b/>
      <sz val="8.5"/>
      <color rgb="FF69778B"/>
      <name val="Arial"/>
      <family val="2"/>
    </font>
    <font>
      <b/>
      <sz val="9"/>
      <color rgb="FF202733"/>
      <name val="Fira Sans Medium"/>
      <family val="2"/>
    </font>
    <font>
      <i/>
      <sz val="7.5"/>
      <color rgb="FF69778B"/>
      <name val="Arial"/>
      <family val="2"/>
    </font>
    <font>
      <b/>
      <sz val="8"/>
      <color rgb="FFFFFFFF"/>
      <name val="Fira Sans Medium"/>
      <family val="2"/>
    </font>
    <font>
      <sz val="8.5"/>
      <color rgb="FF202733"/>
      <name val="Arial"/>
      <family val="2"/>
    </font>
    <font>
      <b/>
      <sz val="16"/>
      <color rgb="FF202733"/>
      <name val="Fira Sans Medium"/>
      <family val="2"/>
    </font>
    <font>
      <b/>
      <sz val="9"/>
      <color rgb="FF69778B"/>
      <name val="Arial"/>
      <family val="2"/>
    </font>
    <font>
      <sz val="11"/>
      <color rgb="FFF3F6FA"/>
      <name val="Aptos Narrow"/>
      <family val="2"/>
      <scheme val="minor"/>
    </font>
    <font>
      <b/>
      <sz val="8.5"/>
      <color rgb="FF202733"/>
      <name val="Arial"/>
      <family val="2"/>
    </font>
    <font>
      <b/>
      <sz val="10"/>
      <color rgb="FF202733"/>
      <name val="Fira Sans Medium"/>
      <family val="2"/>
    </font>
    <font>
      <sz val="8.5"/>
      <color rgb="FF69778B"/>
      <name val="Arial"/>
      <family val="2"/>
    </font>
    <font>
      <b/>
      <sz val="15"/>
      <color rgb="FFFFFFFF"/>
      <name val="Fira Sans Medium"/>
      <family val="2"/>
    </font>
    <font>
      <sz val="8"/>
      <color rgb="FFB8C6DA"/>
      <name val="Arial"/>
      <family val="2"/>
    </font>
    <font>
      <b/>
      <sz val="14"/>
      <color rgb="FF202733"/>
      <name val="Fira Sans Medium"/>
      <family val="2"/>
    </font>
    <font>
      <i/>
      <sz val="8.5"/>
      <color rgb="FF69778B"/>
      <name val="Arial"/>
      <family val="2"/>
    </font>
    <font>
      <sz val="9"/>
      <color rgb="FF202733"/>
      <name val="Arial"/>
      <family val="2"/>
    </font>
    <font>
      <b/>
      <sz val="11"/>
      <color rgb="FF1E9E89"/>
      <name val="Arial"/>
      <family val="2"/>
    </font>
    <font>
      <b/>
      <sz val="13"/>
      <color rgb="FF202733"/>
      <name val="Fira Sans Medium"/>
      <family val="2"/>
    </font>
    <font>
      <b/>
      <sz val="8"/>
      <color rgb="FF69778B"/>
      <name val="Arial"/>
      <family val="2"/>
    </font>
    <font>
      <b/>
      <sz val="11"/>
      <color rgb="FF2A78D6"/>
      <name val="Arial"/>
      <family val="2"/>
    </font>
    <font>
      <b/>
      <sz val="9"/>
      <color rgb="FF2A78D6"/>
      <name val="Arial"/>
      <family val="2"/>
    </font>
    <font>
      <b/>
      <sz val="9"/>
      <color rgb="FF1E9E89"/>
      <name val="Arial"/>
      <family val="2"/>
    </font>
    <font>
      <b/>
      <sz val="9"/>
      <color rgb="FFD64545"/>
      <name val="Arial"/>
      <family val="2"/>
    </font>
    <font>
      <sz val="8"/>
      <name val="Aptos Narrow"/>
      <family val="2"/>
      <scheme val="minor"/>
    </font>
    <font>
      <sz val="7.5"/>
      <color rgb="FF69778B"/>
      <name val="Arial"/>
      <family val="2"/>
    </font>
    <font>
      <sz val="8"/>
      <color rgb="FF69778B"/>
      <name val="Arial"/>
      <family val="2"/>
    </font>
    <font>
      <b/>
      <color rgb="FFFFFFFF"/>
      <sz val="8"/>
      <name val="Fira Sans Medium"/>
      <family val="2"/>
    </font>
    <font>
      <b/>
      <color rgb="FFFFFFFF"/>
      <sz val="16"/>
      <name val="Fira Sans Medium"/>
      <family val="2"/>
    </font>
    <font>
      <b/>
      <color rgb="FFFFFFFF"/>
      <sz val="9"/>
      <name val="Fira Sans Medium"/>
      <family val="2"/>
    </font>
    <font>
      <b/>
      <color rgb="FFFFFFFF"/>
      <sz val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8F8F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EAF2FC"/>
      </patternFill>
    </fill>
    <fill>
      <patternFill patternType="solid">
        <fgColor rgb="FF1F3B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B5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1E8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499984740745262"/>
      </bottom>
      <diagonal/>
    </border>
    <border>
      <left/>
      <right/>
      <top/>
      <bottom style="thin">
        <color theme="3" tint="0.79998168889431442"/>
      </bottom>
      <diagonal/>
    </border>
    <border>
      <left/>
      <right/>
      <top/>
      <bottom style="thick">
        <color theme="3" tint="0.3999450666829432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/>
      <right/>
      <top/>
      <bottom style="medium">
        <color theme="3"/>
      </bottom>
      <diagonal/>
    </border>
    <border>
      <left/>
      <right/>
      <top style="thin">
        <color rgb="FFB8CFEC"/>
      </top>
      <bottom style="thin">
        <color rgb="FFB8CFEC"/>
      </bottom>
      <diagonal/>
    </border>
    <border>
      <left style="thin">
        <color rgb="FFE9EDF3"/>
      </left>
      <right/>
      <top style="thin">
        <color rgb="FFE9EDF3"/>
      </top>
      <bottom/>
      <diagonal/>
    </border>
    <border>
      <left/>
      <right style="thin">
        <color rgb="FFE9EDF3"/>
      </right>
      <top style="thin">
        <color rgb="FFE9EDF3"/>
      </top>
      <bottom/>
      <diagonal/>
    </border>
    <border>
      <left style="thin">
        <color rgb="FFE9EDF3"/>
      </left>
      <right/>
      <top/>
      <bottom/>
      <diagonal/>
    </border>
    <border>
      <left/>
      <right style="thin">
        <color rgb="FFE9EDF3"/>
      </right>
      <top/>
      <bottom/>
      <diagonal/>
    </border>
    <border>
      <left style="thin">
        <color rgb="FFE9EDF3"/>
      </left>
      <right/>
      <top/>
      <bottom style="thin">
        <color rgb="FFE9EDF3"/>
      </bottom>
      <diagonal/>
    </border>
    <border>
      <left/>
      <right style="thin">
        <color rgb="FFE9EDF3"/>
      </right>
      <top/>
      <bottom style="thin">
        <color rgb="FFE9EDF3"/>
      </bottom>
      <diagonal/>
    </border>
    <border>
      <left/>
      <right/>
      <top style="thin">
        <color rgb="FFE9EDF3"/>
      </top>
      <bottom/>
      <diagonal/>
    </border>
    <border>
      <left/>
      <right/>
      <top/>
      <bottom style="thin">
        <color rgb="FFE9EDF3"/>
      </bottom>
      <diagonal/>
    </border>
    <border>
      <left style="thin">
        <color rgb="FF526071"/>
      </left>
      <right style="thin">
        <color rgb="FF526071"/>
      </right>
      <top style="thin">
        <color rgb="FF526071"/>
      </top>
      <bottom style="thin">
        <color rgb="FF526071"/>
      </bottom>
      <diagonal/>
    </border>
    <border>
      <left/>
      <right/>
      <top style="medium">
        <color rgb="FF526071"/>
      </top>
      <bottom style="medium">
        <color rgb="FF526071"/>
      </bottom>
      <diagonal/>
    </border>
    <border>
      <left/>
      <right/>
      <top style="medium">
        <color rgb="FF526071"/>
      </top>
      <bottom style="thin">
        <color rgb="FF526071"/>
      </bottom>
      <diagonal/>
    </border>
    <border>
      <left/>
      <right/>
      <top/>
      <bottom style="medium">
        <color rgb="FF526071"/>
      </bottom>
      <diagonal/>
    </border>
    <border>
      <left/>
      <right/>
      <top/>
      <bottom style="medium">
        <color indexed="64"/>
      </bottom>
      <diagonal/>
    </border>
  </borders>
  <cellStyleXfs count="57">
    <xf numFmtId="0" fontId="0" fillId="0" borderId="0"/>
    <xf numFmtId="0" fontId="13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>
      <alignment horizontal="center"/>
    </xf>
    <xf numFmtId="10" fontId="1" fillId="0" borderId="0" applyFont="0" applyFill="0" applyBorder="0" applyAlignment="0"/>
    <xf numFmtId="165" fontId="3" fillId="9" borderId="1" applyNumberFormat="0" applyProtection="0">
      <alignment horizontal="center" vertical="center" wrapText="1"/>
    </xf>
    <xf numFmtId="9" fontId="1" fillId="0" borderId="0" applyNumberFormat="0" applyFont="0" applyFill="0" applyBorder="0" applyProtection="0">
      <alignment horizontal="center" vertical="center"/>
    </xf>
    <xf numFmtId="9" fontId="1" fillId="0" borderId="0" applyNumberFormat="0" applyFont="0" applyFill="0" applyBorder="0" applyProtection="0">
      <alignment horizontal="left" vertical="center"/>
    </xf>
    <xf numFmtId="9" fontId="1" fillId="0" borderId="0" applyNumberFormat="0" applyFont="0" applyFill="0" applyBorder="0" applyProtection="0">
      <alignment horizontal="center" vertical="center"/>
    </xf>
    <xf numFmtId="9" fontId="1" fillId="0" borderId="0" applyNumberFormat="0" applyFont="0" applyFill="0" applyBorder="0" applyProtection="0">
      <alignment horizontal="left" vertical="center" wrapText="1"/>
    </xf>
    <xf numFmtId="2" fontId="4" fillId="0" borderId="0" applyFont="0" applyFill="0" applyBorder="0" applyAlignment="0" applyProtection="0">
      <alignment horizontal="left"/>
    </xf>
    <xf numFmtId="9" fontId="1" fillId="0" borderId="2" applyNumberFormat="0" applyFont="0" applyFill="0" applyAlignment="0"/>
    <xf numFmtId="166" fontId="1" fillId="0" borderId="0" applyFont="0" applyFill="0" applyBorder="0" applyAlignment="0"/>
    <xf numFmtId="165" fontId="3" fillId="0" borderId="3" applyNumberFormat="0" applyFill="0" applyProtection="0">
      <alignment horizontal="center" vertical="center" wrapText="1"/>
    </xf>
    <xf numFmtId="9" fontId="5" fillId="0" borderId="0" applyNumberFormat="0" applyFill="0" applyAlignment="0"/>
    <xf numFmtId="9" fontId="6" fillId="0" borderId="0" applyNumberFormat="0" applyFill="0" applyBorder="0" applyAlignment="0" applyProtection="0"/>
    <xf numFmtId="9" fontId="7" fillId="0" borderId="0" applyNumberFormat="0" applyFill="0" applyBorder="0" applyAlignment="0" applyProtection="0"/>
    <xf numFmtId="165" fontId="1" fillId="10" borderId="4" applyNumberFormat="0" applyFont="0" applyAlignment="0"/>
    <xf numFmtId="0" fontId="3" fillId="9" borderId="5">
      <alignment horizontal="center" vertical="center" wrapText="1"/>
    </xf>
    <xf numFmtId="167" fontId="1" fillId="0" borderId="0" applyFont="0" applyFill="0" applyBorder="0" applyAlignment="0"/>
    <xf numFmtId="9" fontId="1" fillId="11" borderId="0" applyNumberFormat="0" applyFont="0" applyBorder="0" applyAlignment="0" applyProtection="0"/>
    <xf numFmtId="165" fontId="6" fillId="0" borderId="0" applyNumberFormat="0" applyFill="0" applyBorder="0" applyProtection="0">
      <alignment horizontal="right"/>
    </xf>
    <xf numFmtId="0" fontId="3" fillId="0" borderId="2" applyNumberFormat="0" applyFill="0">
      <alignment horizontal="left" vertical="center"/>
    </xf>
    <xf numFmtId="9" fontId="8" fillId="0" borderId="0" applyNumberFormat="0" applyFill="0" applyBorder="0" applyAlignment="0"/>
    <xf numFmtId="9" fontId="8" fillId="0" borderId="0" applyNumberFormat="0" applyFill="0" applyBorder="0" applyAlignment="0"/>
    <xf numFmtId="0" fontId="1" fillId="0" borderId="0" applyNumberFormat="0" applyFont="0" applyFill="0" applyBorder="0">
      <alignment horizontal="center" vertical="center" wrapText="1"/>
    </xf>
    <xf numFmtId="168" fontId="3" fillId="0" borderId="0"/>
    <xf numFmtId="169" fontId="9" fillId="0" borderId="0" applyBorder="0">
      <alignment horizontal="center"/>
    </xf>
    <xf numFmtId="0" fontId="3" fillId="0" borderId="4" applyNumberFormat="0" applyFill="0" applyAlignment="0"/>
    <xf numFmtId="9" fontId="6" fillId="0" borderId="6" applyNumberFormat="0" applyFill="0"/>
    <xf numFmtId="9" fontId="2" fillId="9" borderId="7" applyNumberFormat="0" applyAlignment="0"/>
    <xf numFmtId="3" fontId="3" fillId="0" borderId="0" applyFill="0" applyBorder="0" applyProtection="0">
      <alignment horizontal="right" vertical="center"/>
    </xf>
    <xf numFmtId="37" fontId="11" fillId="0" borderId="0" applyFill="0" applyBorder="0" applyProtection="0">
      <alignment horizontal="right" vertical="center"/>
    </xf>
    <xf numFmtId="165" fontId="3" fillId="0" borderId="0" applyNumberFormat="0" applyFill="0" applyBorder="0" applyProtection="0">
      <alignment horizontal="left"/>
    </xf>
    <xf numFmtId="0" fontId="3" fillId="0" borderId="0" applyNumberFormat="0" applyFill="0" applyBorder="0" applyProtection="0">
      <alignment horizontal="right" vertical="center" wrapText="1"/>
    </xf>
    <xf numFmtId="9" fontId="1" fillId="12" borderId="0" applyNumberFormat="0" applyFont="0" applyAlignment="0" applyProtection="0"/>
    <xf numFmtId="9" fontId="12" fillId="0" borderId="0" applyNumberFormat="0" applyFill="0" applyBorder="0" applyAlignment="0"/>
    <xf numFmtId="9" fontId="1" fillId="0" borderId="0"/>
    <xf numFmtId="9" fontId="6" fillId="13" borderId="0" applyNumberFormat="0" applyBorder="0" applyProtection="0">
      <alignment horizontal="right" vertical="center"/>
    </xf>
    <xf numFmtId="9" fontId="6" fillId="13" borderId="0" applyNumberFormat="0" applyBorder="0" applyProtection="0">
      <alignment horizontal="left" vertical="center" wrapText="1"/>
    </xf>
    <xf numFmtId="165" fontId="6" fillId="13" borderId="8" applyNumberFormat="0" applyFill="0" applyBorder="0" applyAlignment="0"/>
    <xf numFmtId="0" fontId="4" fillId="0" borderId="0" applyNumberFormat="0" applyFill="0" applyBorder="0" applyProtection="0">
      <alignment horizontal="right"/>
    </xf>
    <xf numFmtId="9" fontId="14" fillId="0" borderId="0" applyFill="0" applyBorder="0" applyProtection="0">
      <alignment horizontal="center" vertical="center"/>
    </xf>
    <xf numFmtId="0" fontId="15" fillId="0" borderId="0">
      <alignment horizontal="center" vertical="center"/>
    </xf>
    <xf numFmtId="1" fontId="16" fillId="0" borderId="0" applyFill="0" applyBorder="0" applyProtection="0">
      <alignment horizontal="center" vertical="center"/>
    </xf>
    <xf numFmtId="0" fontId="15" fillId="0" borderId="9" applyFill="0" applyProtection="0">
      <alignment horizontal="center" vertical="center"/>
    </xf>
    <xf numFmtId="0" fontId="17" fillId="0" borderId="9" applyFill="0" applyProtection="0">
      <alignment horizontal="center"/>
    </xf>
    <xf numFmtId="9" fontId="6" fillId="0" borderId="10" applyNumberFormat="0" applyFill="0">
      <alignment horizontal="left"/>
    </xf>
    <xf numFmtId="0" fontId="3" fillId="0" borderId="2">
      <alignment horizontal="left" vertical="top" wrapText="1"/>
      <protection locked="0"/>
    </xf>
    <xf numFmtId="0" fontId="1" fillId="0" borderId="0"/>
  </cellStyleXfs>
  <cellXfs count="157">
    <xf numFmtId="0" fontId="0" fillId="0" borderId="0" xfId="0"/>
    <xf numFmtId="0" fontId="0" fillId="15" borderId="0" xfId="0" applyFill="1"/>
    <xf numFmtId="3" fontId="28" fillId="15" borderId="0" xfId="0" quotePrefix="1" applyNumberFormat="1" applyFont="1" applyFill="1" applyAlignment="1">
      <alignment horizontal="left" vertical="center"/>
    </xf>
    <xf numFmtId="3" fontId="28" fillId="15" borderId="0" xfId="0" applyNumberFormat="1" applyFont="1" applyFill="1" applyAlignment="1">
      <alignment horizontal="right" vertical="center"/>
    </xf>
    <xf numFmtId="178" fontId="28" fillId="15" borderId="0" xfId="0" applyNumberFormat="1" applyFont="1" applyFill="1" applyAlignment="1">
      <alignment horizontal="right" vertical="center"/>
    </xf>
    <xf numFmtId="164" fontId="28" fillId="15" borderId="0" xfId="0" applyNumberFormat="1" applyFont="1" applyFill="1" applyAlignment="1">
      <alignment horizontal="right" vertical="center"/>
    </xf>
    <xf numFmtId="179" fontId="28" fillId="15" borderId="0" xfId="0" applyNumberFormat="1" applyFont="1" applyFill="1" applyAlignment="1">
      <alignment horizontal="right" vertical="center"/>
    </xf>
    <xf numFmtId="0" fontId="0" fillId="18" borderId="0" xfId="0" applyFill="1"/>
    <xf numFmtId="0" fontId="25" fillId="18" borderId="12" xfId="0" applyFont="1" applyFill="1" applyBorder="1" applyAlignment="1">
      <alignment horizontal="left" vertical="center" indent="2"/>
    </xf>
    <xf numFmtId="0" fontId="29" fillId="18" borderId="0" xfId="0" applyFont="1" applyFill="1" applyAlignment="1">
      <alignment horizontal="left" vertical="center" indent="2"/>
    </xf>
    <xf numFmtId="0" fontId="25" fillId="18" borderId="0" xfId="0" applyFont="1" applyFill="1" applyAlignment="1">
      <alignment horizontal="left" vertical="center" indent="2"/>
    </xf>
    <xf numFmtId="0" fontId="21" fillId="18" borderId="11" xfId="0" applyFont="1" applyFill="1" applyBorder="1" applyAlignment="1">
      <alignment horizontal="center" vertical="center"/>
    </xf>
    <xf numFmtId="0" fontId="22" fillId="18" borderId="11" xfId="0" quotePrefix="1" applyFont="1" applyFill="1" applyBorder="1" applyAlignment="1">
      <alignment horizontal="left" vertical="center"/>
    </xf>
    <xf numFmtId="0" fontId="19" fillId="18" borderId="11" xfId="0" applyFont="1" applyFill="1" applyBorder="1" applyAlignment="1">
      <alignment horizontal="left" vertical="center"/>
    </xf>
    <xf numFmtId="0" fontId="21" fillId="18" borderId="11" xfId="0" applyFont="1" applyFill="1" applyBorder="1" applyAlignment="1">
      <alignment horizontal="left" vertical="center"/>
    </xf>
    <xf numFmtId="0" fontId="22" fillId="18" borderId="11" xfId="0" applyFont="1" applyFill="1" applyBorder="1" applyAlignment="1">
      <alignment horizontal="left" vertical="center" indent="1"/>
    </xf>
    <xf numFmtId="0" fontId="0" fillId="18" borderId="11" xfId="0" applyFill="1" applyBorder="1"/>
    <xf numFmtId="0" fontId="22" fillId="18" borderId="11" xfId="0" applyFont="1" applyFill="1" applyBorder="1" applyAlignment="1">
      <alignment horizontal="left" vertical="center"/>
    </xf>
    <xf numFmtId="0" fontId="20" fillId="18" borderId="0" xfId="0" quotePrefix="1" applyFont="1" applyFill="1"/>
    <xf numFmtId="0" fontId="18" fillId="18" borderId="0" xfId="0" quotePrefix="1" applyFont="1" applyFill="1"/>
    <xf numFmtId="0" fontId="21" fillId="18" borderId="12" xfId="56" applyFont="1" applyFill="1" applyBorder="1" applyAlignment="1">
      <alignment horizontal="left" vertical="center" indent="1"/>
    </xf>
    <xf numFmtId="0" fontId="21" fillId="18" borderId="13" xfId="56" applyFont="1" applyFill="1" applyBorder="1" applyAlignment="1">
      <alignment horizontal="left" vertical="center" indent="1"/>
    </xf>
    <xf numFmtId="0" fontId="21" fillId="18" borderId="12" xfId="0" applyFont="1" applyFill="1" applyBorder="1" applyAlignment="1">
      <alignment horizontal="left" vertical="center" indent="1"/>
    </xf>
    <xf numFmtId="0" fontId="21" fillId="18" borderId="13" xfId="0" applyFont="1" applyFill="1" applyBorder="1" applyAlignment="1">
      <alignment horizontal="left" vertical="center" indent="1"/>
    </xf>
    <xf numFmtId="0" fontId="0" fillId="18" borderId="13" xfId="0" applyFill="1" applyBorder="1"/>
    <xf numFmtId="172" fontId="23" fillId="18" borderId="14" xfId="56" applyNumberFormat="1" applyFont="1" applyFill="1" applyBorder="1" applyAlignment="1">
      <alignment horizontal="left" vertical="center" indent="1"/>
    </xf>
    <xf numFmtId="172" fontId="23" fillId="18" borderId="15" xfId="56" applyNumberFormat="1" applyFont="1" applyFill="1" applyBorder="1" applyAlignment="1">
      <alignment horizontal="left" vertical="center" indent="1"/>
    </xf>
    <xf numFmtId="164" fontId="23" fillId="18" borderId="14" xfId="56" applyNumberFormat="1" applyFont="1" applyFill="1" applyBorder="1" applyAlignment="1">
      <alignment horizontal="left" vertical="center" indent="1"/>
    </xf>
    <xf numFmtId="164" fontId="23" fillId="18" borderId="15" xfId="56" applyNumberFormat="1" applyFont="1" applyFill="1" applyBorder="1" applyAlignment="1">
      <alignment horizontal="left" vertical="center" indent="1"/>
    </xf>
    <xf numFmtId="3" fontId="23" fillId="18" borderId="14" xfId="56" applyNumberFormat="1" applyFont="1" applyFill="1" applyBorder="1" applyAlignment="1">
      <alignment horizontal="left" vertical="center" indent="1"/>
    </xf>
    <xf numFmtId="3" fontId="23" fillId="18" borderId="15" xfId="56" applyNumberFormat="1" applyFont="1" applyFill="1" applyBorder="1" applyAlignment="1">
      <alignment horizontal="left" vertical="center" indent="1"/>
    </xf>
    <xf numFmtId="170" fontId="23" fillId="18" borderId="14" xfId="56" applyNumberFormat="1" applyFont="1" applyFill="1" applyBorder="1" applyAlignment="1">
      <alignment horizontal="left" vertical="center" indent="1"/>
    </xf>
    <xf numFmtId="170" fontId="23" fillId="18" borderId="15" xfId="56" applyNumberFormat="1" applyFont="1" applyFill="1" applyBorder="1" applyAlignment="1">
      <alignment horizontal="left" vertical="center" indent="1"/>
    </xf>
    <xf numFmtId="164" fontId="23" fillId="18" borderId="14" xfId="0" applyNumberFormat="1" applyFont="1" applyFill="1" applyBorder="1" applyAlignment="1">
      <alignment horizontal="left" vertical="center" indent="1"/>
    </xf>
    <xf numFmtId="164" fontId="23" fillId="18" borderId="15" xfId="0" applyNumberFormat="1" applyFont="1" applyFill="1" applyBorder="1" applyAlignment="1">
      <alignment horizontal="left" vertical="center" indent="1"/>
    </xf>
    <xf numFmtId="0" fontId="0" fillId="18" borderId="15" xfId="0" applyFill="1" applyBorder="1"/>
    <xf numFmtId="175" fontId="30" fillId="18" borderId="16" xfId="56" applyNumberFormat="1" applyFont="1" applyFill="1" applyBorder="1" applyAlignment="1">
      <alignment horizontal="left" vertical="center" indent="1"/>
    </xf>
    <xf numFmtId="173" fontId="24" fillId="18" borderId="17" xfId="56" applyNumberFormat="1" applyFont="1" applyFill="1" applyBorder="1" applyAlignment="1">
      <alignment horizontal="left" vertical="center" indent="1"/>
    </xf>
    <xf numFmtId="176" fontId="30" fillId="18" borderId="16" xfId="56" applyNumberFormat="1" applyFont="1" applyFill="1" applyBorder="1" applyAlignment="1">
      <alignment horizontal="left" vertical="center" indent="1"/>
    </xf>
    <xf numFmtId="174" fontId="24" fillId="18" borderId="17" xfId="56" applyNumberFormat="1" applyFont="1" applyFill="1" applyBorder="1" applyAlignment="1">
      <alignment horizontal="left" vertical="center" indent="1"/>
    </xf>
    <xf numFmtId="177" fontId="30" fillId="18" borderId="16" xfId="0" applyNumberFormat="1" applyFont="1" applyFill="1" applyBorder="1" applyAlignment="1">
      <alignment horizontal="left" vertical="center" indent="1"/>
    </xf>
    <xf numFmtId="171" fontId="24" fillId="18" borderId="17" xfId="0" applyNumberFormat="1" applyFont="1" applyFill="1" applyBorder="1" applyAlignment="1">
      <alignment horizontal="left" vertical="center" indent="1"/>
    </xf>
    <xf numFmtId="171" fontId="24" fillId="18" borderId="16" xfId="0" applyNumberFormat="1" applyFont="1" applyFill="1" applyBorder="1" applyAlignment="1">
      <alignment horizontal="left" vertical="center" indent="1"/>
    </xf>
    <xf numFmtId="0" fontId="0" fillId="18" borderId="17" xfId="0" applyFill="1" applyBorder="1"/>
    <xf numFmtId="0" fontId="0" fillId="18" borderId="18" xfId="0" applyFill="1" applyBorder="1"/>
    <xf numFmtId="0" fontId="26" fillId="18" borderId="18" xfId="0" applyFont="1" applyFill="1" applyBorder="1" applyAlignment="1">
      <alignment horizontal="right" vertical="center"/>
    </xf>
    <xf numFmtId="0" fontId="0" fillId="18" borderId="14" xfId="0" applyFill="1" applyBorder="1"/>
    <xf numFmtId="0" fontId="0" fillId="18" borderId="16" xfId="0" applyFill="1" applyBorder="1"/>
    <xf numFmtId="0" fontId="0" fillId="18" borderId="19" xfId="0" applyFill="1" applyBorder="1"/>
    <xf numFmtId="0" fontId="31" fillId="18" borderId="0" xfId="0" applyFont="1" applyFill="1"/>
    <xf numFmtId="0" fontId="27" fillId="17" borderId="20" xfId="0" applyFont="1" applyFill="1" applyBorder="1" applyAlignment="1">
      <alignment horizontal="left" vertical="center" indent="1"/>
    </xf>
    <xf numFmtId="0" fontId="27" fillId="17" borderId="20" xfId="0" applyFont="1" applyFill="1" applyBorder="1" applyAlignment="1">
      <alignment horizontal="center" vertical="center" wrapText="1"/>
    </xf>
    <xf numFmtId="0" fontId="33" fillId="15" borderId="0" xfId="0" applyFont="1" applyFill="1" applyAlignment="1">
      <alignment horizontal="left" vertical="center"/>
    </xf>
    <xf numFmtId="0" fontId="26" fillId="15" borderId="0" xfId="0" applyFont="1" applyFill="1" applyAlignment="1">
      <alignment horizontal="right" vertical="center"/>
    </xf>
    <xf numFmtId="164" fontId="34" fillId="14" borderId="19" xfId="0" applyNumberFormat="1" applyFont="1" applyFill="1" applyBorder="1" applyAlignment="1">
      <alignment horizontal="right" vertical="center"/>
    </xf>
    <xf numFmtId="0" fontId="0" fillId="19" borderId="0" xfId="0" applyFill="1"/>
    <xf numFmtId="0" fontId="35" fillId="19" borderId="0" xfId="0" applyFont="1" applyFill="1" applyAlignment="1">
      <alignment horizontal="left" vertical="center"/>
    </xf>
    <xf numFmtId="0" fontId="36" fillId="19" borderId="0" xfId="0" applyFont="1" applyFill="1" applyAlignment="1">
      <alignment horizontal="left" vertical="center"/>
    </xf>
    <xf numFmtId="0" fontId="37" fillId="15" borderId="0" xfId="0" applyFont="1" applyFill="1" applyAlignment="1">
      <alignment horizontal="left" vertical="center"/>
    </xf>
    <xf numFmtId="0" fontId="38" fillId="15" borderId="0" xfId="0" applyFont="1" applyFill="1" applyAlignment="1">
      <alignment horizontal="left" vertical="center"/>
    </xf>
    <xf numFmtId="0" fontId="22" fillId="20" borderId="19" xfId="0" applyFont="1" applyFill="1" applyBorder="1" applyAlignment="1">
      <alignment horizontal="left" vertical="center" indent="1"/>
    </xf>
    <xf numFmtId="170" fontId="22" fillId="20" borderId="19" xfId="0" applyNumberFormat="1" applyFont="1" applyFill="1" applyBorder="1" applyAlignment="1">
      <alignment horizontal="right" vertical="center"/>
    </xf>
    <xf numFmtId="0" fontId="0" fillId="20" borderId="19" xfId="0" applyFill="1" applyBorder="1"/>
    <xf numFmtId="0" fontId="39" fillId="14" borderId="19" xfId="0" applyFont="1" applyFill="1" applyBorder="1" applyAlignment="1">
      <alignment horizontal="left" vertical="center" indent="1"/>
    </xf>
    <xf numFmtId="170" fontId="39" fillId="14" borderId="19" xfId="0" applyNumberFormat="1" applyFont="1" applyFill="1" applyBorder="1" applyAlignment="1">
      <alignment horizontal="right" vertical="center"/>
    </xf>
    <xf numFmtId="0" fontId="24" fillId="16" borderId="21" xfId="0" applyFont="1" applyFill="1" applyBorder="1" applyAlignment="1">
      <alignment horizontal="left" vertical="center" indent="1"/>
    </xf>
    <xf numFmtId="180" fontId="40" fillId="16" borderId="21" xfId="0" applyNumberFormat="1" applyFont="1" applyFill="1" applyBorder="1" applyAlignment="1">
      <alignment horizontal="right" vertical="center"/>
    </xf>
    <xf numFmtId="0" fontId="26" fillId="16" borderId="21" xfId="0" applyFont="1" applyFill="1" applyBorder="1" applyAlignment="1">
      <alignment horizontal="center" vertical="center"/>
    </xf>
    <xf numFmtId="0" fontId="32" fillId="20" borderId="22" xfId="0" applyFont="1" applyFill="1" applyBorder="1" applyAlignment="1">
      <alignment horizontal="left" vertical="center" indent="1"/>
    </xf>
    <xf numFmtId="3" fontId="32" fillId="20" borderId="22" xfId="0" applyNumberFormat="1" applyFont="1" applyFill="1" applyBorder="1" applyAlignment="1">
      <alignment horizontal="right" vertical="center"/>
    </xf>
    <xf numFmtId="4" fontId="34" fillId="20" borderId="22" xfId="0" applyNumberFormat="1" applyFont="1" applyFill="1" applyBorder="1" applyAlignment="1">
      <alignment horizontal="center" vertical="center"/>
    </xf>
    <xf numFmtId="4" fontId="32" fillId="20" borderId="22" xfId="0" applyNumberFormat="1" applyFont="1" applyFill="1" applyBorder="1" applyAlignment="1">
      <alignment horizontal="right" vertical="center"/>
    </xf>
    <xf numFmtId="0" fontId="28" fillId="15" borderId="0" xfId="0" applyFont="1" applyFill="1" applyAlignment="1">
      <alignment horizontal="left" vertical="center" indent="1"/>
    </xf>
    <xf numFmtId="4" fontId="28" fillId="15" borderId="0" xfId="0" applyNumberFormat="1" applyFont="1" applyFill="1" applyAlignment="1">
      <alignment horizontal="right" vertical="center"/>
    </xf>
    <xf numFmtId="0" fontId="41" fillId="15" borderId="0" xfId="0" applyFont="1" applyFill="1" applyAlignment="1">
      <alignment horizontal="left" vertical="center"/>
    </xf>
    <xf numFmtId="0" fontId="42" fillId="0" borderId="0" xfId="0" applyFont="1"/>
    <xf numFmtId="0" fontId="34" fillId="15" borderId="0" xfId="0" applyFont="1" applyFill="1" applyAlignment="1">
      <alignment horizontal="center" vertical="center"/>
    </xf>
    <xf numFmtId="0" fontId="34" fillId="15" borderId="0" xfId="0" applyFont="1" applyFill="1" applyAlignment="1">
      <alignment horizontal="left" vertical="center" indent="1"/>
    </xf>
    <xf numFmtId="170" fontId="28" fillId="15" borderId="0" xfId="0" applyNumberFormat="1" applyFont="1" applyFill="1" applyAlignment="1">
      <alignment horizontal="right" vertical="center"/>
    </xf>
    <xf numFmtId="181" fontId="28" fillId="15" borderId="0" xfId="0" applyNumberFormat="1" applyFont="1" applyFill="1" applyAlignment="1">
      <alignment horizontal="right" vertical="center"/>
    </xf>
    <xf numFmtId="0" fontId="0" fillId="16" borderId="21" xfId="0" applyFill="1" applyBorder="1"/>
    <xf numFmtId="170" fontId="43" fillId="16" borderId="21" xfId="0" applyNumberFormat="1" applyFont="1" applyFill="1" applyBorder="1" applyAlignment="1">
      <alignment horizontal="right" vertical="center"/>
    </xf>
    <xf numFmtId="0" fontId="28" fillId="14" borderId="19" xfId="0" applyFont="1" applyFill="1" applyBorder="1" applyAlignment="1">
      <alignment horizontal="left" vertical="center" indent="1"/>
    </xf>
    <xf numFmtId="0" fontId="0" fillId="14" borderId="19" xfId="0" applyFill="1" applyBorder="1"/>
    <xf numFmtId="170" fontId="28" fillId="14" borderId="19" xfId="0" applyNumberFormat="1" applyFont="1" applyFill="1" applyBorder="1" applyAlignment="1">
      <alignment horizontal="right" vertical="center"/>
    </xf>
    <xf numFmtId="0" fontId="32" fillId="16" borderId="23" xfId="0" applyFont="1" applyFill="1" applyBorder="1" applyAlignment="1">
      <alignment horizontal="left" vertical="center" indent="1"/>
    </xf>
    <xf numFmtId="0" fontId="0" fillId="16" borderId="23" xfId="0" applyFill="1" applyBorder="1"/>
    <xf numFmtId="182" fontId="44" fillId="16" borderId="23" xfId="0" applyNumberFormat="1" applyFont="1" applyFill="1" applyBorder="1" applyAlignment="1">
      <alignment horizontal="right" vertical="center"/>
    </xf>
    <xf numFmtId="183" fontId="34" fillId="16" borderId="23" xfId="0" applyNumberFormat="1" applyFont="1" applyFill="1" applyBorder="1" applyAlignment="1">
      <alignment horizontal="right" vertical="center"/>
    </xf>
    <xf numFmtId="0" fontId="24" fillId="21" borderId="19" xfId="0" applyFont="1" applyFill="1" applyBorder="1" applyAlignment="1">
      <alignment horizontal="left" vertical="center" indent="1"/>
    </xf>
    <xf numFmtId="184" fontId="45" fillId="21" borderId="19" xfId="0" applyNumberFormat="1" applyFont="1" applyFill="1" applyBorder="1" applyAlignment="1">
      <alignment horizontal="right" vertical="center"/>
    </xf>
    <xf numFmtId="185" fontId="46" fillId="21" borderId="19" xfId="0" applyNumberFormat="1" applyFont="1" applyFill="1" applyBorder="1" applyAlignment="1">
      <alignment horizontal="right" vertical="center"/>
    </xf>
    <xf numFmtId="0" fontId="36" fillId="19" borderId="24" xfId="0" applyFont="1" applyFill="1" applyBorder="1" applyAlignment="1">
      <alignment horizontal="left" vertical="center"/>
    </xf>
    <xf numFmtId="0" fontId="0" fillId="19" borderId="24" xfId="0" applyFill="1" applyBorder="1"/>
    <xf numFmtId="0" fontId="0" fillId="0" borderId="24" xfId="0" applyBorder="1"/>
    <xf numFmtId="0" fontId="35" fillId="19" borderId="0" xfId="0" applyFont="1" applyFill="1" applyAlignment="1">
      <alignment horizontal="left" vertical="center" indent="1"/>
    </xf>
    <xf numFmtId="0" fontId="36" fillId="19" borderId="24" xfId="0" applyFont="1" applyFill="1" applyBorder="1" applyAlignment="1">
      <alignment horizontal="left" vertical="center" indent="1"/>
    </xf>
    <xf numFmtId="0" fontId="18" fillId="0" borderId="0" xfId="0" quotePrefix="1" applyFont="1"/>
    <xf numFmtId="0" fontId="20" fillId="0" borderId="0" xfId="0" quotePrefix="1" applyFont="1"/>
    <xf numFmtId="0" fontId="21" fillId="18" borderId="18" xfId="56" applyFont="1" applyFill="1" applyBorder="1" applyAlignment="1">
      <alignment horizontal="left" vertical="center" indent="1"/>
    </xf>
    <xf numFmtId="172" fontId="23" fillId="18" borderId="0" xfId="56" applyNumberFormat="1" applyFont="1" applyFill="1" applyAlignment="1">
      <alignment horizontal="left" vertical="center" indent="1"/>
    </xf>
    <xf numFmtId="175" fontId="30" fillId="18" borderId="19" xfId="56" applyNumberFormat="1" applyFont="1" applyFill="1" applyBorder="1" applyAlignment="1">
      <alignment horizontal="left" vertical="center" indent="1"/>
    </xf>
    <xf numFmtId="0" fontId="25" fillId="18" borderId="18" xfId="0" applyFont="1" applyFill="1" applyBorder="1" applyAlignment="1">
      <alignment horizontal="left" vertical="center" indent="2"/>
    </xf>
    <xf numFmtId="0" fontId="3" fillId="9" borderId="5" xfId="25" quotePrefix="1">
      <alignment horizontal="center" vertical="center" wrapText="1"/>
    </xf>
    <xf numFmtId="0" fontId="3" fillId="9" borderId="5" xfId="25">
      <alignment horizontal="center" vertical="center" wrapText="1"/>
    </xf>
    <xf numFmtId="3" fontId="3" fillId="0" borderId="2" xfId="38" applyBorder="1">
      <alignment horizontal="right" vertical="center"/>
    </xf>
    <xf numFmtId="164" fontId="3" fillId="0" borderId="2" xfId="10" applyFont="1" applyBorder="1">
      <alignment horizontal="center"/>
    </xf>
    <xf numFmtId="0" fontId="27" fillId="17" borderId="20" xfId="25" quotePrefix="1" applyFont="1" applyFill="1" applyBorder="1" applyAlignment="1">
      <alignment horizontal="left" vertical="center" indent="1"/>
    </xf>
    <xf numFmtId="0" fontId="27" fillId="17" borderId="20" xfId="25" quotePrefix="1" applyFont="1" applyFill="1" applyBorder="1" applyAlignment="1">
      <alignment horizontal="center" vertical="center"/>
    </xf>
    <xf numFmtId="0" fontId="27" fillId="17" borderId="20" xfId="0" applyFont="1" applyFill="1" applyBorder="1" applyAlignment="1">
      <alignment horizontal="center" vertical="center"/>
    </xf>
    <xf numFmtId="0" fontId="48" fillId="15" borderId="0" xfId="56" quotePrefix="1" applyFont="1" applyFill="1" applyAlignment="1">
      <alignment horizontal="center" vertical="center"/>
    </xf>
    <xf numFmtId="164" fontId="28" fillId="15" borderId="0" xfId="38" applyNumberFormat="1" applyFont="1" applyFill="1" applyBorder="1">
      <alignment horizontal="right" vertical="center"/>
    </xf>
    <xf numFmtId="0" fontId="48" fillId="15" borderId="0" xfId="56" applyFont="1" applyFill="1" applyAlignment="1">
      <alignment horizontal="center" vertical="center"/>
    </xf>
    <xf numFmtId="0" fontId="48" fillId="15" borderId="0" xfId="0" applyFont="1" applyFill="1" applyAlignment="1">
      <alignment horizontal="center" vertical="center"/>
    </xf>
    <xf numFmtId="0" fontId="28" fillId="15" borderId="0" xfId="0" applyFont="1" applyFill="1" applyAlignment="1">
      <alignment horizontal="left" vertical="center"/>
    </xf>
    <xf numFmtId="0" fontId="49" fillId="15" borderId="0" xfId="0" applyFont="1" applyFill="1" applyAlignment="1">
      <alignment horizontal="left" vertical="center"/>
    </xf>
    <xf numFmtId="3" fontId="49" fillId="15" borderId="0" xfId="0" quotePrefix="1" applyNumberFormat="1" applyFont="1" applyFill="1" applyAlignment="1">
      <alignment horizontal="left" vertical="center"/>
    </xf>
    <xf numFmtId="186" fontId="49" fillId="15" borderId="0" xfId="0" quotePrefix="1" applyNumberFormat="1" applyFont="1" applyFill="1" applyAlignment="1">
      <alignment horizontal="left" vertical="center"/>
    </xf>
    <xf numFmtId="0" fontId="27" fillId="17" borderId="20" xfId="0" quotePrefix="1" applyFont="1" applyFill="1" applyBorder="1" applyAlignment="1">
      <alignment horizontal="center" vertical="center"/>
    </xf>
    <xf numFmtId="0" fontId="50" fillId="17" borderId="20" xfId="0" applyFont="1" applyFill="1" applyBorder="1" applyAlignment="1">
      <alignment horizontal="center" vertical="center"/>
    </xf>
    <xf numFmtId="0" fontId="50" fillId="17" borderId="20" xfId="25" quotePrefix="1" applyFont="1" applyFill="1" applyBorder="1" applyAlignment="1">
      <alignment horizontal="left" vertical="center" indent="1"/>
    </xf>
    <xf numFmtId="0" fontId="50" fillId="17" borderId="20" xfId="25" quotePrefix="1" applyFont="1" applyFill="1" applyBorder="1" applyAlignment="1">
      <alignment horizontal="center" vertical="center"/>
    </xf>
    <xf numFmtId="0" fontId="50" fillId="17" borderId="20" xfId="0" quotePrefix="1" applyFont="1" applyFill="1" applyBorder="1" applyAlignment="1">
      <alignment horizontal="center" vertical="center"/>
    </xf>
    <xf numFmtId="0" fontId="50" fillId="17" borderId="20" xfId="0" applyFont="1" applyFill="1" applyBorder="1" applyAlignment="1">
      <alignment horizontal="left" vertical="center" indent="1"/>
    </xf>
    <xf numFmtId="0" fontId="50" fillId="17" borderId="20" xfId="0" applyFont="1" applyFill="1" applyBorder="1" applyAlignment="1">
      <alignment horizontal="center" vertical="center" wrapText="1"/>
    </xf>
    <xf applyFill="1" numFmtId="0" fontId="0" fillId="17" borderId="0" xfId="0"/>
    <xf numFmtId="0" fontId="29" fillId="17" borderId="0" xfId="0" applyFont="1" applyFill="1" applyAlignment="1">
      <alignment horizontal="left" vertical="center" indent="2"/>
    </xf>
    <xf numFmtId="0" fontId="25" fillId="17" borderId="0" xfId="0" applyFont="1" applyFill="1" applyAlignment="1">
      <alignment horizontal="left" vertical="center" indent="2"/>
    </xf>
    <xf numFmtId="0" fontId="51" fillId="17" borderId="0" xfId="0" applyFont="1" applyFill="1" applyAlignment="1">
      <alignment horizontal="left" vertical="center" indent="2"/>
    </xf>
    <xf numFmtId="0" fontId="52" fillId="17" borderId="0" xfId="0" applyFont="1" applyFill="1" applyAlignment="1">
      <alignment horizontal="left" vertical="center" indent="2"/>
    </xf>
    <xf applyFont="1" applyFill="1" numFmtId="0" fontId="53" fillId="17" borderId="5" xfId="25" quotePrefix="1">
      <alignment horizontal="center" vertical="center" wrapText="1"/>
    </xf>
    <xf applyFont="1" applyFill="1" numFmtId="0" fontId="53" fillId="17" borderId="5" xfId="25">
      <alignment horizontal="center" vertical="center" wrapText="1"/>
    </xf>
    <xf numFmtId="0" fontId="22" fillId="22" borderId="11" xfId="0" quotePrefix="1" applyFont="1" applyFill="1" applyBorder="1" applyAlignment="1">
      <alignment horizontal="left" vertical="center"/>
    </xf>
    <xf numFmtId="0" fontId="22" fillId="22" borderId="11" xfId="0" applyFont="1" applyFill="1" applyBorder="1" applyAlignment="1">
      <alignment horizontal="left" vertical="center" indent="1"/>
    </xf>
    <xf numFmtId="0" fontId="48" fillId="20" borderId="0" xfId="56" quotePrefix="1" applyFont="1" applyFill="1" applyAlignment="1">
      <alignment horizontal="center" vertical="center"/>
    </xf>
    <xf numFmtId="3" fontId="28" fillId="20" borderId="0" xfId="0" quotePrefix="1" applyNumberFormat="1" applyFont="1" applyFill="1" applyAlignment="1">
      <alignment horizontal="left" vertical="center"/>
    </xf>
    <xf numFmtId="3" fontId="49" fillId="20" borderId="0" xfId="0" quotePrefix="1" applyNumberFormat="1" applyFont="1" applyFill="1" applyAlignment="1">
      <alignment horizontal="left" vertical="center"/>
    </xf>
    <xf numFmtId="186" fontId="49" fillId="20" borderId="0" xfId="0" quotePrefix="1" applyNumberFormat="1" applyFont="1" applyFill="1" applyAlignment="1">
      <alignment horizontal="left" vertical="center"/>
    </xf>
    <xf numFmtId="3" fontId="28" fillId="20" borderId="0" xfId="0" applyNumberFormat="1" applyFont="1" applyFill="1" applyAlignment="1">
      <alignment horizontal="right" vertical="center"/>
    </xf>
    <xf numFmtId="178" fontId="28" fillId="20" borderId="0" xfId="0" applyNumberFormat="1" applyFont="1" applyFill="1" applyAlignment="1">
      <alignment horizontal="right" vertical="center"/>
    </xf>
    <xf numFmtId="164" fontId="28" fillId="20" borderId="0" xfId="0" applyNumberFormat="1" applyFont="1" applyFill="1" applyAlignment="1">
      <alignment horizontal="right" vertical="center"/>
    </xf>
    <xf numFmtId="179" fontId="28" fillId="20" borderId="0" xfId="0" applyNumberFormat="1" applyFont="1" applyFill="1" applyAlignment="1">
      <alignment horizontal="right" vertical="center"/>
    </xf>
    <xf numFmtId="164" fontId="28" fillId="20" borderId="0" xfId="38" applyNumberFormat="1" applyFont="1" applyFill="1" applyBorder="1">
      <alignment horizontal="right" vertical="center"/>
    </xf>
    <xf applyFill="1" numFmtId="3" fontId="3" fillId="20" borderId="2" xfId="38" applyBorder="1">
      <alignment horizontal="right" vertical="center"/>
    </xf>
    <xf applyFill="1" numFmtId="164" fontId="3" fillId="20" borderId="2" xfId="10" applyFont="1" applyBorder="1">
      <alignment horizontal="center"/>
    </xf>
    <xf numFmtId="0" fontId="48" fillId="23" borderId="0" xfId="56" applyFont="1" applyFill="1" applyAlignment="1">
      <alignment horizontal="center" vertical="center"/>
    </xf>
    <xf numFmtId="3" fontId="28" fillId="23" borderId="0" xfId="0" quotePrefix="1" applyNumberFormat="1" applyFont="1" applyFill="1" applyAlignment="1">
      <alignment horizontal="left" vertical="center"/>
    </xf>
    <xf numFmtId="3" fontId="49" fillId="23" borderId="0" xfId="0" quotePrefix="1" applyNumberFormat="1" applyFont="1" applyFill="1" applyAlignment="1">
      <alignment horizontal="left" vertical="center"/>
    </xf>
    <xf numFmtId="186" fontId="49" fillId="23" borderId="0" xfId="0" quotePrefix="1" applyNumberFormat="1" applyFont="1" applyFill="1" applyAlignment="1">
      <alignment horizontal="left" vertical="center"/>
    </xf>
    <xf numFmtId="3" fontId="28" fillId="23" borderId="0" xfId="0" applyNumberFormat="1" applyFont="1" applyFill="1" applyAlignment="1">
      <alignment horizontal="right" vertical="center"/>
    </xf>
    <xf numFmtId="178" fontId="28" fillId="23" borderId="0" xfId="0" applyNumberFormat="1" applyFont="1" applyFill="1" applyAlignment="1">
      <alignment horizontal="right" vertical="center"/>
    </xf>
    <xf numFmtId="164" fontId="28" fillId="23" borderId="0" xfId="0" applyNumberFormat="1" applyFont="1" applyFill="1" applyAlignment="1">
      <alignment horizontal="right" vertical="center"/>
    </xf>
    <xf numFmtId="179" fontId="28" fillId="23" borderId="0" xfId="0" applyNumberFormat="1" applyFont="1" applyFill="1" applyAlignment="1">
      <alignment horizontal="right" vertical="center"/>
    </xf>
    <xf numFmtId="0" fontId="31" fillId="23" borderId="0" xfId="0" applyFont="1" applyFill="1"/>
    <xf applyNumberFormat="1" applyFill="1" numFmtId="164" fontId="3" fillId="20" borderId="2" xfId="38" applyBorder="1">
      <alignment horizontal="right" vertical="center"/>
    </xf>
    <xf applyNumberFormat="1" numFmtId="164" fontId="31" fillId="23" borderId="0" xfId="0" applyFont="1" applyFill="1"/>
    <xf applyNumberFormat="1" numFmtId="164" fontId="31" fillId="18" borderId="0" xfId="0" applyFont="1" applyFill="1"/>
  </cellXfs>
  <cellStyles count="57">
    <cellStyle name="%0." xfId="9" xr:uid="{0DAF4F15-CAF0-48EE-9554-4E789157264E}"/>
    <cellStyle name="%0.0" xfId="10" xr:uid="{567618BE-5A60-412A-B50D-1C48BEA1D00A}"/>
    <cellStyle name="%0.00" xfId="11" xr:uid="{0FA633ED-0AAF-4FB8-82AD-8DB81862C10B}"/>
    <cellStyle name="60 % - Accent1" xfId="3" builtinId="32" customBuiltin="1"/>
    <cellStyle name="60 % - Accent2" xfId="4" builtinId="36" customBuiltin="1"/>
    <cellStyle name="60 % - Accent3" xfId="5" builtinId="40" customBuiltin="1"/>
    <cellStyle name="60 % - Accent4" xfId="6" builtinId="44" customBuiltin="1"/>
    <cellStyle name="60 % - Accent5" xfId="7" builtinId="48" customBuiltin="1"/>
    <cellStyle name="60 % - Accent6" xfId="8" builtinId="52" customBuiltin="1"/>
    <cellStyle name="ACT" xfId="12" xr:uid="{929B25C5-DA52-44EB-80F0-6EA184B028EA}"/>
    <cellStyle name="Alighment Center" xfId="13" xr:uid="{A44B6316-3ECE-4513-9919-C351446E53B9}"/>
    <cellStyle name="Alighment Left" xfId="14" xr:uid="{11541B42-75B8-4C27-B044-82FDAD1241A0}"/>
    <cellStyle name="Alignment H&amp;V center" xfId="15" xr:uid="{69B8F8E8-8CBC-4D30-8F2F-4FAB8DCBF41C}"/>
    <cellStyle name="Amounts left nolocked" xfId="16" xr:uid="{28407FF5-F2B4-4873-8659-0922D641F793}"/>
    <cellStyle name="Amounts w/ 2 Decimals" xfId="17" xr:uid="{D7C5C079-15D8-4357-9328-390530FBE90C}"/>
    <cellStyle name="Amounts_Board" xfId="18" xr:uid="{54051937-040D-42F2-A365-91BFE0854521}"/>
    <cellStyle name="Amounts-1000" xfId="19" xr:uid="{F0C5AF86-7CB1-4BFF-9E17-6A6E3311646C}"/>
    <cellStyle name="BDG" xfId="20" xr:uid="{5E4C9425-32F2-4BBB-91F4-83693CD9D647}"/>
    <cellStyle name="Blank_Row" xfId="21" xr:uid="{3C35221B-EF3A-4FEE-9B9B-09B672D8BED7}"/>
    <cellStyle name="Bold" xfId="22" xr:uid="{8637E01A-9234-477F-B9AF-2B56A00F6645}"/>
    <cellStyle name="Bold+Italic" xfId="23" xr:uid="{827E84B8-BCB6-4AED-9293-1217CEB5BE24}"/>
    <cellStyle name="C_Amount_ACT" xfId="24" xr:uid="{4AABF9B3-7D01-4B04-A50E-BAB64660B6DF}"/>
    <cellStyle name="C_Head" xfId="25" xr:uid="{EA3128F7-F50B-4B13-BB8D-5FA820B00D9A}"/>
    <cellStyle name="Date" xfId="26" xr:uid="{A0736CF4-C723-4D68-8938-4B663A2477D0}"/>
    <cellStyle name="Fill light blue" xfId="27" xr:uid="{3F044181-E12A-4A79-9603-0DB135BDC80D}"/>
    <cellStyle name="Formula" xfId="28" xr:uid="{31469566-B57B-493C-84B0-6BF7342DF019}"/>
    <cellStyle name="Head_left" xfId="29" xr:uid="{9B7947C6-451C-4179-8556-C9F288CDA137}"/>
    <cellStyle name="Hyperlink for amounts" xfId="30" xr:uid="{0E69BFBE-EAA0-4F3F-9F50-8BE35850328A}"/>
    <cellStyle name="Hyperlnk row header underlined bold" xfId="31" xr:uid="{D5859D12-A632-4792-A5DF-43C7CEFF2E9E}"/>
    <cellStyle name="Middle Headers Centered" xfId="32" xr:uid="{0451219E-52F2-4193-A0A4-F5D087791A49}"/>
    <cellStyle name="NA Currency" xfId="33" xr:uid="{DDDF32B4-A667-42BA-84D6-31398D6F817C}"/>
    <cellStyle name="NA Currency 2 dec" xfId="34" xr:uid="{80B1EC4C-C47C-4B91-94FF-15FD41079E9E}"/>
    <cellStyle name="Neutre" xfId="2" builtinId="28" customBuiltin="1"/>
    <cellStyle name="Normal" xfId="0" builtinId="0"/>
    <cellStyle name="Normal 2" xfId="56" xr:uid="{6A6553C5-64D5-4BB0-BCD8-3D8D301A28D0}"/>
    <cellStyle name="Placeholder" xfId="35" xr:uid="{6EEDF83A-7011-426C-9064-8A6784CCE7FB}"/>
    <cellStyle name="Placeholder Header Underlined bold" xfId="36" xr:uid="{F174ACC8-AF21-4660-91FA-DE5B9ECAC60C}"/>
    <cellStyle name="Placeholder_column_blank" xfId="37" xr:uid="{DE73F4F1-A8C5-4C78-BD1E-1169E5883FDD}"/>
    <cellStyle name="R_Area_font" xfId="38" xr:uid="{75D5B786-5F6A-40B0-BF0B-85A4EABF0FE2}"/>
    <cellStyle name="R_AREA_FONT_UC" xfId="39" xr:uid="{9BC31809-2E3B-4691-A74C-472E7934EBAE}"/>
    <cellStyle name="R_formula" xfId="40" xr:uid="{33160225-5793-4F3C-A249-89D12A88F467}"/>
    <cellStyle name="R_head_font" xfId="41" xr:uid="{17243EFC-8132-4BE9-A50F-3E4821FB6561}"/>
    <cellStyle name="Row_Grey" xfId="42" xr:uid="{002132D2-8E24-450F-9DBE-9689D4581241}"/>
    <cellStyle name="Status Check" xfId="43" xr:uid="{B8A31753-417D-4AC1-A596-8CF713F29CEF}"/>
    <cellStyle name="Style0" xfId="44" xr:uid="{EB33866A-8C6D-4E8C-B7C4-2BD663704C10}"/>
    <cellStyle name="Subtotal Amounts row fill" xfId="45" xr:uid="{5450DC44-FCE2-438E-B041-DD5C1479303C}"/>
    <cellStyle name="Subtotal head row fill" xfId="46" xr:uid="{B537CA64-D400-4DE0-AD4A-5E8C0499C263}"/>
    <cellStyle name="Subtotal_amounts" xfId="47" xr:uid="{7FA7C401-EF17-41D9-A139-99C43B0A9717}"/>
    <cellStyle name="TGK_TOC_PAGE_COLUMN" xfId="48" xr:uid="{B30B40CB-4038-4B68-9674-01311B532102}"/>
    <cellStyle name="Titre" xfId="1" builtinId="15" customBuiltin="1"/>
    <cellStyle name="Visual Check" xfId="49" xr:uid="{5D5E7275-206D-4B4D-ACC5-849505CD9EB5}"/>
    <cellStyle name="Webdings" xfId="50" xr:uid="{A63BE114-D01F-4B79-98E1-C6834BCC4FBC}"/>
    <cellStyle name="Webdings1" xfId="51" xr:uid="{3F7B57CC-3956-4FDE-82DD-499227798559}"/>
    <cellStyle name="Webdings14" xfId="52" xr:uid="{A753DEA2-B3D0-45D5-8E12-0C285E855C98}"/>
    <cellStyle name="Webdings14Green" xfId="53" xr:uid="{AAAA521C-06E0-4FC0-8720-7CD8840F0ACF}"/>
    <cellStyle name="Work new book placeholder header underlined" xfId="54" xr:uid="{3AAB37B0-EDD0-4E9D-A04C-1C3887AFE695}"/>
    <cellStyle name="WrappedText" xfId="55" xr:uid="{5866BD7A-17D6-4DA3-A30E-3312C69A747C}"/>
  </cellStyles>
  <dxfs count="28">
    <dxf>
      <font>
        <sz val="8.5"/>
        <color rgb="FF00B050"/>
        <name val="Arial"/>
      </font>
    </dxf>
    <dxf>
      <font>
        <sz val="8.5"/>
        <color rgb="FF1E9E89"/>
        <name val="Arial"/>
      </font>
    </dxf>
    <dxf>
      <fill>
        <patternFill>
          <bgColor rgb="FFFFFFFF"/>
        </patternFill>
      </fill>
      <border>
        <bottom style="thin">
          <color rgb="FFE9EDF3"/>
        </bottom>
      </border>
    </dxf>
    <dxf>
      <font>
        <b/>
      </font>
      <fill>
        <patternFill>
          <bgColor rgb="FFEAF2FC"/>
        </patternFill>
      </fill>
      <border>
        <bottom style="thin">
          <color rgb="FFE9EDF3"/>
        </bottom>
      </border>
    </dxf>
    <dxf>
      <font>
        <b/>
      </font>
      <fill>
        <patternFill>
          <bgColor rgb="FFD9E2EF"/>
        </patternFill>
      </fill>
      <border>
        <bottom style="thin">
          <color rgb="FFE9EDF3"/>
        </bottom>
      </border>
    </dxf>
    <dxf>
      <fill>
        <patternFill>
          <bgColor rgb="FFFFF1E8"/>
        </patternFill>
      </fill>
      <border>
        <bottom style="thin">
          <color rgb="FFE9EDF3"/>
        </bottom>
      </border>
    </dxf>
    <dxf>
      <font>
        <sz val="9"/>
        <color rgb="FFD64545"/>
        <name val="Arial"/>
      </font>
    </dxf>
    <dxf>
      <font>
        <sz val="9"/>
        <color rgb="FF1E9E89"/>
        <name val="Arial"/>
      </font>
    </dxf>
    <dxf>
      <fill>
        <patternFill>
          <bgColor rgb="FFFFFFFF"/>
        </patternFill>
      </fill>
      <border>
        <bottom style="thin">
          <color rgb="FFE9EDF3"/>
        </bottom>
      </border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sz val="8.5"/>
        <color rgb="FFD64545"/>
        <name val="Arial"/>
      </font>
    </dxf>
    <dxf>
      <font>
        <sz val="8.5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sz val="8.5"/>
        <color rgb="FFD64545"/>
        <name val="Arial"/>
      </font>
    </dxf>
    <dxf>
      <font>
        <sz val="8.5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sz val="8.5"/>
        <color rgb="FFD64545"/>
        <name val="Arial"/>
      </font>
    </dxf>
    <dxf>
      <font>
        <sz val="8.5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b/>
        <color rgb="FF202733"/>
      </font>
      <fill>
        <patternFill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color rgb="FF202733"/>
      </font>
      <fill>
        <patternFill>
          <bgColor rgb="FFFFFFFF"/>
        </patternFill>
      </fill>
      <border>
        <bottom style="thin">
          <color rgb="FFE9EDF3"/>
        </bottom>
      </border>
    </dxf>
    <dxf>
      <font>
        <b/>
        <color rgb="FF202733"/>
      </font>
      <fill>
        <patternFill>
          <bgColor rgb="FFEAF2FC"/>
        </patternFill>
      </fill>
      <border>
        <bottom style="thin">
          <color rgb="FFE9EDF3"/>
        </bottom>
      </border>
    </dxf>
  </dxfs>
  <tableStyles count="0" defaultTableStyle="TableStyleMedium2" defaultPivotStyle="PivotStyleLight16"/>
  <colors>
    <mruColors>
      <color rgb="FFF3F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05936708143856E-2"/>
          <c:y val="4.0668570274869489E-2"/>
          <c:w val="0.87878275349124646"/>
          <c:h val="0.81369040408410487"/>
        </c:manualLayout>
      </c:layout>
      <c:barChart>
        <c:barDir val="col"/>
        <c:grouping val="clustered"/>
        <c:varyColors val="1"/>
        <c:ser>
          <c:idx val="0"/>
          <c:order val="0"/>
          <c:tx>
            <c:v>2024</c:v>
          </c:tx>
          <c:invertIfNegative val="0"/>
          <c:cat>
            <c:strRef>
              <c:f>Cockpit!$AK$7:$AK$11</c:f>
              <c:strCache>
                <c:ptCount val="5"/>
                <c:pt idx="0">
                  <c:v>Ipac Bachelor Factory</c:v>
                </c:pt>
                <c:pt idx="1">
                  <c:v>ISCOM</c:v>
                </c:pt>
                <c:pt idx="2">
                  <c:v>MBway</c:v>
                </c:pt>
                <c:pt idx="3">
                  <c:v>Pigier</c:v>
                </c:pt>
                <c:pt idx="4">
                  <c:v>Tunon</c:v>
                </c:pt>
              </c:strCache>
            </c:strRef>
          </c:cat>
          <c:val>
            <c:numRef>
              <c:f>Cockpit!$AL$7:$AL$11</c:f>
              <c:numCache>
                <c:formatCode>General</c:formatCode>
                <c:ptCount val="5"/>
                <c:pt idx="0">
                  <c:v>0.11890000000000001</c:v>
                </c:pt>
                <c:pt idx="1">
                  <c:v>0.15809999999999999</c:v>
                </c:pt>
                <c:pt idx="2">
                  <c:v>0.1651</c:v>
                </c:pt>
                <c:pt idx="3">
                  <c:v>0.19800000000000001</c:v>
                </c:pt>
                <c:pt idx="4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7-41DF-A3BF-1689ECE1102C}"/>
            </c:ext>
          </c:extLst>
        </c:ser>
        <c:ser>
          <c:idx val="1"/>
          <c:order val="1"/>
          <c:tx>
            <c:v>2025</c:v>
          </c:tx>
          <c:invertIfNegative val="0"/>
          <c:cat>
            <c:strRef>
              <c:f>Cockpit!$AK$7:$AK$11</c:f>
              <c:strCache>
                <c:ptCount val="5"/>
                <c:pt idx="0">
                  <c:v>Ipac Bachelor Factory</c:v>
                </c:pt>
                <c:pt idx="1">
                  <c:v>ISCOM</c:v>
                </c:pt>
                <c:pt idx="2">
                  <c:v>MBway</c:v>
                </c:pt>
                <c:pt idx="3">
                  <c:v>Pigier</c:v>
                </c:pt>
                <c:pt idx="4">
                  <c:v>Tunon</c:v>
                </c:pt>
              </c:strCache>
            </c:strRef>
          </c:cat>
          <c:val>
            <c:numRef>
              <c:f>Cockpit!$AM$7:$AM$11</c:f>
              <c:numCache>
                <c:formatCode>General</c:formatCode>
                <c:ptCount val="5"/>
                <c:pt idx="0">
                  <c:v>0.1298</c:v>
                </c:pt>
                <c:pt idx="1">
                  <c:v>0.1643</c:v>
                </c:pt>
                <c:pt idx="2">
                  <c:v>0.17319999999999999</c:v>
                </c:pt>
                <c:pt idx="3">
                  <c:v>0.2039</c:v>
                </c:pt>
                <c:pt idx="4">
                  <c:v>5.3199999999999997E-2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7-41DF-A3BF-1689ECE1102C}"/>
            </c:ext>
          </c:extLst>
        </c:ser>
        <c:ser>
          <c:idx val="2"/>
          <c:order val="2"/>
          <c:tx>
            <c:v>2026</c:v>
          </c:tx>
          <c:invertIfNegative val="0"/>
          <c:cat>
            <c:strRef>
              <c:f>Cockpit!$AK$7:$AK$11</c:f>
              <c:strCache>
                <c:ptCount val="5"/>
                <c:pt idx="0">
                  <c:v>Ipac Bachelor Factory</c:v>
                </c:pt>
                <c:pt idx="1">
                  <c:v>ISCOM</c:v>
                </c:pt>
                <c:pt idx="2">
                  <c:v>MBway</c:v>
                </c:pt>
                <c:pt idx="3">
                  <c:v>Pigier</c:v>
                </c:pt>
                <c:pt idx="4">
                  <c:v>Tunon</c:v>
                </c:pt>
              </c:strCache>
            </c:strRef>
          </c:cat>
          <c:val>
            <c:numRef>
              <c:f>Cockpit!$AN$7:$AN$11</c:f>
              <c:numCache>
                <c:formatCode>General</c:formatCode>
                <c:ptCount val="5"/>
                <c:pt idx="0">
                  <c:v>0.1416</c:v>
                </c:pt>
                <c:pt idx="1">
                  <c:v>0.17169999999999999</c:v>
                </c:pt>
                <c:pt idx="2">
                  <c:v>0.1825</c:v>
                </c:pt>
                <c:pt idx="3">
                  <c:v>0.2114</c:v>
                </c:pt>
                <c:pt idx="4">
                  <c:v>4.19E-2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7-41DF-A3BF-1689ECE11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0045951494916516"/>
          <c:y val="0.91178420005191663"/>
          <c:w val="0.69123924173676388"/>
          <c:h val="6.6237777970061432E-2"/>
        </c:manualLayout>
      </c:layout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36779585598484"/>
          <c:y val="4.1350166424727636E-2"/>
          <c:w val="0.86259616810797912"/>
          <c:h val="0.83291426560506754"/>
        </c:manualLayout>
      </c:layout>
      <c:lineChart>
        <c:grouping val="standard"/>
        <c:varyColors val="1"/>
        <c:ser>
          <c:idx val="0"/>
          <c:order val="0"/>
          <c:tx>
            <c:v>Dépenses</c:v>
          </c:tx>
          <c:marker>
            <c:symbol val="circle"/>
            <c:size val="6"/>
            <c:spPr>
              <a:solidFill>
                <a:srgbClr val="F07B32"/>
              </a:solidFill>
              <a:ln>
                <a:solidFill>
                  <a:srgbClr val="F07B32"/>
                </a:solidFill>
                <a:prstDash val="solid"/>
              </a:ln>
            </c:spPr>
          </c:marker>
          <c:cat>
            <c:strRef>
              <c:f>Cockpit!$BB$7:$BB$9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Cockpit!$BC$7:$BC$9</c:f>
              <c:numCache>
                <c:formatCode>General</c:formatCode>
                <c:ptCount val="3"/>
                <c:pt idx="0">
                  <c:v>100</c:v>
                </c:pt>
                <c:pt idx="1">
                  <c:v>110</c:v>
                </c:pt>
                <c:pt idx="2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6-47CE-B504-2EC983C346C0}"/>
            </c:ext>
          </c:extLst>
        </c:ser>
        <c:ser>
          <c:idx val="1"/>
          <c:order val="1"/>
          <c:tx>
            <c:v>Inscrits</c:v>
          </c:tx>
          <c:marker>
            <c:symbol val="circle"/>
            <c:size val="6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cat>
            <c:strRef>
              <c:f>Cockpit!$BB$7:$BB$9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Cockpit!$BD$7:$BD$9</c:f>
              <c:numCache>
                <c:formatCode>General</c:formatCode>
                <c:ptCount val="3"/>
                <c:pt idx="0">
                  <c:v>100</c:v>
                </c:pt>
                <c:pt idx="1">
                  <c:v>106.1</c:v>
                </c:pt>
                <c:pt idx="2">
                  <c:v>112.5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6-47CE-B504-2EC983C34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25"/>
          <c:min val="95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b"/>
      <c:layout>
        <c:manualLayout>
          <c:xMode val="edge"/>
          <c:yMode val="edge"/>
          <c:x val="9.9803052873918996E-2"/>
          <c:y val="0.91030572295781464"/>
          <c:w val="0.84298167888719056"/>
          <c:h val="6.7347908327101566E-2"/>
        </c:manualLayout>
      </c:layout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Cockpit!$AD$6</c:f>
              <c:strCache>
                <c:ptCount val="1"/>
                <c:pt idx="0">
                  <c:v>ETAPE</c:v>
                </c:pt>
              </c:strCache>
            </c:strRef>
          </c:tx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Cockpit!$AD$7:$AD$11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1-4F65-A31B-A75BE7E613ED}"/>
            </c:ext>
          </c:extLst>
        </c:ser>
        <c:ser>
          <c:idx val="1"/>
          <c:order val="1"/>
          <c:tx>
            <c:strRef>
              <c:f>Cockpit!$AE$6</c:f>
              <c:strCache>
                <c:ptCount val="1"/>
                <c:pt idx="0">
                  <c:v>SOCLE</c:v>
                </c:pt>
              </c:strCache>
            </c:strRef>
          </c:tx>
          <c:spPr>
            <a:noFill/>
            <a:ln>
              <a:prstDash val="solid"/>
            </a:ln>
          </c:spPr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Cockpit!$AE$7:$AE$11</c:f>
              <c:numCache>
                <c:formatCode>General</c:formatCode>
                <c:ptCount val="5"/>
                <c:pt idx="0">
                  <c:v>0</c:v>
                </c:pt>
                <c:pt idx="1">
                  <c:v>3467793</c:v>
                </c:pt>
                <c:pt idx="2">
                  <c:v>4624390</c:v>
                </c:pt>
                <c:pt idx="3">
                  <c:v>3845817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1-4F65-A31B-A75BE7E613ED}"/>
            </c:ext>
          </c:extLst>
        </c:ser>
        <c:ser>
          <c:idx val="2"/>
          <c:order val="2"/>
          <c:tx>
            <c:strRef>
              <c:f>Cockpit!$AF$6</c:f>
              <c:strCache>
                <c:ptCount val="1"/>
                <c:pt idx="0">
                  <c:v>ANCRE</c:v>
                </c:pt>
              </c:strCache>
            </c:strRef>
          </c:tx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Cockpit!$AF$7:$AF$11</c:f>
              <c:numCache>
                <c:formatCode>General</c:formatCode>
                <c:ptCount val="5"/>
                <c:pt idx="0">
                  <c:v>3467793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3845817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DB1-4F65-A31B-A75BE7E613ED}"/>
            </c:ext>
          </c:extLst>
        </c:ser>
        <c:ser>
          <c:idx val="3"/>
          <c:order val="3"/>
          <c:tx>
            <c:strRef>
              <c:f>Cockpit!$AG$6</c:f>
              <c:strCache>
                <c:ptCount val="1"/>
                <c:pt idx="0">
                  <c:v>HAUSSE</c:v>
                </c:pt>
              </c:strCache>
            </c:strRef>
          </c:tx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Cockpit!$AG$7:$AG$11</c:f>
              <c:numCache>
                <c:formatCode>General</c:formatCode>
                <c:ptCount val="5"/>
                <c:pt idx="0">
                  <c:v>0</c:v>
                </c:pt>
                <c:pt idx="1">
                  <c:v>1157203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DB1-4F65-A31B-A75BE7E613ED}"/>
            </c:ext>
          </c:extLst>
        </c:ser>
        <c:ser>
          <c:idx val="4"/>
          <c:order val="4"/>
          <c:tx>
            <c:strRef>
              <c:f>Cockpit!$AH$6</c:f>
              <c:strCache>
                <c:ptCount val="1"/>
                <c:pt idx="0">
                  <c:v>BAISSE</c:v>
                </c:pt>
              </c:strCache>
            </c:strRef>
          </c:tx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Cockpit!$AH$7:$AH$11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607</c:v>
                </c:pt>
                <c:pt idx="3">
                  <c:v>778573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B1-4F65-A31B-A75BE7E61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,,&quot; M€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noFill/>
            <a:ln>
              <a:prstDash val="solid"/>
            </a:ln>
          </c:spPr>
          <c:invertIfNegative val="1"/>
          <c:cat>
            <c:strRef>
              <c:f>'Drill EBITDA 1'!$Y$30:$Y$36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EBITDA 1'!$Z$30:$Z$36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B-4BBC-A287-6F0100FDF8F6}"/>
            </c:ext>
          </c:extLst>
        </c:ser>
        <c:ser>
          <c:idx val="1"/>
          <c:order val="1"/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EBITDA 1'!$AA$30:$AA$36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82B-4BBC-A287-6F0100FDF8F6}"/>
            </c:ext>
          </c:extLst>
        </c:ser>
        <c:ser>
          <c:idx val="2"/>
          <c:order val="2"/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EBITDA 1'!$AB$30:$AB$36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82B-4BBC-A287-6F0100FDF8F6}"/>
            </c:ext>
          </c:extLst>
        </c:ser>
        <c:ser>
          <c:idx val="3"/>
          <c:order val="3"/>
          <c:spPr>
            <a:solidFill>
              <a:srgbClr val="D64545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EBITDA 1'!$AC$30:$AC$36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82B-4BBC-A287-6F0100FD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1013952203343"/>
          <c:y val="3.8194444444444448E-2"/>
          <c:w val="0.80246884928857576"/>
          <c:h val="0.7858247080294323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'Drill EBITDA 2'!$K$33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B8CFEC"/>
            </a:solidFill>
            <a:ln>
              <a:noFill/>
              <a:prstDash val="solid"/>
            </a:ln>
          </c:spPr>
          <c:invertIfNegative val="1"/>
          <c:val>
            <c:numRef>
              <c:f>'Drill EBITDA 2'!$K$35:$K$47</c:f>
              <c:numCache>
                <c:formatCode>General</c:formatCode>
                <c:ptCount val="13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99-4A9D-8B1F-AAA645D3E7D2}"/>
            </c:ext>
          </c:extLst>
        </c:ser>
        <c:ser>
          <c:idx val="1"/>
          <c:order val="1"/>
          <c:tx>
            <c:strRef>
              <c:f>'Drill EBITDA 2'!$L$33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val>
            <c:numRef>
              <c:f>'Drill EBITDA 2'!$L$35:$L$47</c:f>
              <c:numCache>
                <c:formatCode>General</c:formatCode>
                <c:ptCount val="13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D99-4A9D-8B1F-AAA645D3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#,##0,&quot; k€&quot;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514349</xdr:colOff>
      <xdr:row>12</xdr:row>
      <xdr:rowOff>76200</xdr:rowOff>
    </xdr:from>
    <xdr:ext cx="5191126" cy="34671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0B832D-903A-4C90-8D6E-81BF79C34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285749</xdr:colOff>
      <xdr:row>11</xdr:row>
      <xdr:rowOff>180974</xdr:rowOff>
    </xdr:from>
    <xdr:ext cx="4629151" cy="35147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54F9B5-7CBF-4A3F-A10E-700265742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2</xdr:col>
      <xdr:colOff>400050</xdr:colOff>
      <xdr:row>1</xdr:row>
      <xdr:rowOff>28575</xdr:rowOff>
    </xdr:from>
    <xdr:to>
      <xdr:col>3</xdr:col>
      <xdr:colOff>858825</xdr:colOff>
      <xdr:row>2</xdr:row>
      <xdr:rowOff>240070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EA2C891-C011-4A41-B339-83D6A0B224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762000" y="133350"/>
          <a:ext cx="1573200" cy="54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180974</xdr:colOff>
      <xdr:row>13</xdr:row>
      <xdr:rowOff>0</xdr:rowOff>
    </xdr:from>
    <xdr:ext cx="4772025" cy="3314700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AE8CBC6B-9807-44AC-A297-6EBCA865D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819150</xdr:colOff>
      <xdr:row>8</xdr:row>
      <xdr:rowOff>161925</xdr:rowOff>
    </xdr:from>
    <xdr:ext cx="8229600" cy="34861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AB84007-E8DA-4636-9E26-740921907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1</xdr:col>
      <xdr:colOff>76200</xdr:colOff>
      <xdr:row>0</xdr:row>
      <xdr:rowOff>95250</xdr:rowOff>
    </xdr:from>
    <xdr:to>
      <xdr:col>1</xdr:col>
      <xdr:colOff>1649400</xdr:colOff>
      <xdr:row>3</xdr:row>
      <xdr:rowOff>97195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5AD20F-8932-4D4D-A132-0610A5DFAF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duotone>
            <a:srgbClr val="E8E8E8">
              <a:shade val="45000"/>
              <a:satMod val="135000"/>
            </a:srgb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66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257175" y="95250"/>
          <a:ext cx="1573200" cy="54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6</xdr:row>
      <xdr:rowOff>85724</xdr:rowOff>
    </xdr:from>
    <xdr:ext cx="7239000" cy="38766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47BE8-822B-4A40-8527-0FF23B0C6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0</xdr:col>
      <xdr:colOff>114300</xdr:colOff>
      <xdr:row>0</xdr:row>
      <xdr:rowOff>123825</xdr:rowOff>
    </xdr:from>
    <xdr:to>
      <xdr:col>2</xdr:col>
      <xdr:colOff>858825</xdr:colOff>
      <xdr:row>2</xdr:row>
      <xdr:rowOff>154345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ACDBD78-7A69-4F78-8B22-E1DC1CC7EC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duotone>
            <a:srgbClr val="E8E8E8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114300" y="123825"/>
          <a:ext cx="1573200" cy="54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6153DD-182D-49E6-8517-8AEDFF76EFCB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drawing" Target="../drawings/drawing1.xml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6" Type="http://schemas.openxmlformats.org/officeDocument/2006/relationships/drawing" Target="../drawings/drawing2.xml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6" Type="http://schemas.openxmlformats.org/officeDocument/2006/relationships/drawing" Target="../drawings/drawing3.xml"/><Relationship Id="rId5" Type="http://schemas.openxmlformats.org/officeDocument/2006/relationships/customProperty" Target="../customProperty15.bin"/><Relationship Id="rId4" Type="http://schemas.openxmlformats.org/officeDocument/2006/relationships/customProperty" Target="../customProperty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6A94-C0EE-44BE-A92F-202501E2FEF1}">
  <dimension ref="B1:BJ87"/>
  <sheetViews>
    <sheetView tabSelected="1" workbookViewId="0">
      <selection activeCell="C5" sqref="C5"/>
    </sheetView>
  </sheetViews>
  <sheetFormatPr baseColWidth="10" defaultRowHeight="14.25" x14ac:dyDescent="0.45"/>
  <cols>
    <col min="1" max="2" width="2.46484375" style="7" customWidth="1"/>
    <col min="3" max="10" width="15.59765625" style="7" customWidth="1"/>
    <col min="11" max="11" width="20.9296875" style="7" customWidth="1"/>
    <col min="12" max="17" width="15.59765625" style="7" customWidth="1"/>
    <col min="18" max="18" width="15.59765625" style="7" hidden="1" customWidth="1"/>
    <col min="19" max="19" width="11.1328125" style="7" hidden="1" customWidth="1"/>
    <col min="20" max="20" width="11.3984375" style="7" hidden="1" customWidth="1"/>
    <col min="21" max="21" width="11.53125" style="7" hidden="1" customWidth="1"/>
    <col min="22" max="22" width="9.265625" style="7" hidden="1" customWidth="1"/>
    <col min="23" max="23" width="12.59765625" style="7" hidden="1" customWidth="1"/>
    <col min="24" max="24" width="15.53125" style="7" hidden="1" customWidth="1"/>
    <col min="25" max="25" width="9.9296875" style="7" hidden="1" customWidth="1"/>
    <col min="26" max="26" width="11.265625" style="7" hidden="1" customWidth="1"/>
    <col min="27" max="27" width="13.9296875" style="7" hidden="1" customWidth="1"/>
    <col min="28" max="28" width="17.265625" style="7" hidden="1" customWidth="1"/>
    <col min="29" max="29" width="4.59765625" style="7" bestFit="1" customWidth="1"/>
    <col min="30" max="30" width="9.265625" style="7" hidden="1" customWidth="1"/>
    <col min="31" max="48" width="0" style="7" hidden="1" customWidth="1"/>
    <col min="49" max="53" width="10.6640625" style="7"/>
    <col min="54" max="54" width="9.53125" style="7" bestFit="1" customWidth="1"/>
    <col min="55" max="55" width="13.9296875" style="7" bestFit="1" customWidth="1"/>
    <col min="56" max="56" width="12.86328125" style="7" bestFit="1" customWidth="1"/>
    <col min="57" max="57" width="4.59765625" style="7" bestFit="1" customWidth="1"/>
    <col min="58" max="58" width="9.265625" style="7" bestFit="1" customWidth="1"/>
    <col min="59" max="59" width="9.9296875" style="7" bestFit="1" customWidth="1"/>
    <col min="60" max="60" width="8.86328125" style="7" bestFit="1" customWidth="1"/>
    <col min="61" max="16384" width="10.6640625" style="7"/>
  </cols>
  <sheetData>
    <row r="1" ht="8" customHeight="1" x14ac:dyDescent="0.45">
      <c r="A1" s="125"/>
      <c r="B1" s="125"/>
      <c r="C1" s="125"/>
      <c r="D1" s="125"/>
      <c r="E1" s="125"/>
      <c r="F1" s="125"/>
      <c r="G2" s="128" t="s">
        <v>40</v>
      </c>
      <c r="G1" s="125"/>
      <c r="H2" s="126"/>
      <c r="H1" s="125"/>
      <c r="I2" s="126"/>
      <c r="I1" s="125"/>
      <c r="J2" s="126"/>
      <c r="J1" s="125"/>
      <c r="K2" s="126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</row>
    <row r="2">
      <c r="A2" s="125"/>
      <c r="B2" s="125"/>
      <c r="C2" s="125"/>
      <c r="D2" s="125"/>
      <c r="E2" s="125"/>
      <c r="F2" s="125"/>
      <c r="G2"/>
      <c r="H2"/>
      <c r="I2"/>
      <c r="J2"/>
      <c r="K2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</row>
    <row r="3" ht="20.25" customHeight="1" x14ac:dyDescent="0.45">
      <c r="A3" s="125"/>
      <c r="B3" s="125"/>
      <c r="C3" s="125"/>
      <c r="D3" s="125"/>
      <c r="E3" s="125"/>
      <c r="F3" s="125"/>
      <c r="G3" s="129" t="s">
        <v>41</v>
      </c>
      <c r="H3" s="127"/>
      <c r="I3" s="127"/>
      <c r="J3" s="127"/>
      <c r="K3" s="127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</row>
    <row r="4" ht="10.5" customHeight="1" x14ac:dyDescent="0.45">
      <c r="A4" s="125"/>
      <c r="B4" s="125"/>
      <c r="C5" s="11" t="s">
        <v>30</v>
      </c>
      <c r="C4" s="125"/>
      <c r="D5" s="11"/>
      <c r="D4" s="125"/>
      <c r="E5" s="11"/>
      <c r="E4" s="125"/>
      <c r="F5" s="132" t="s">
        <v>0</v>
      </c>
      <c r="F4" s="125"/>
      <c r="G5" s="13"/>
      <c r="G4" s="125"/>
      <c r="H5" s="14"/>
      <c r="H4" s="125"/>
      <c r="I5" s="15"/>
      <c r="I4" s="125"/>
      <c r="J5" s="15" t="s">
        <v>31</v>
      </c>
      <c r="J4" s="125"/>
      <c r="K5" s="133" t="s">
        <v>32</v>
      </c>
      <c r="K4" s="125"/>
      <c r="L5" s="16"/>
      <c r="L4" s="125"/>
      <c r="M5" s="14" t="s">
        <v>42</v>
      </c>
      <c r="M4" s="125"/>
      <c r="N5" s="132" t="s">
        <v>1</v>
      </c>
      <c r="N4" s="125"/>
      <c r="O5" s="17"/>
      <c r="O4" s="125"/>
      <c r="P5" s="16"/>
      <c r="P4" s="125"/>
      <c r="Q5" s="16"/>
      <c r="Q4" s="125"/>
      <c r="R5" s="16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5" s="7" t="s">
        <v>45</v>
      </c>
      <c r="AD4" s="125"/>
      <c r="AE4" s="125"/>
      <c r="AF4" s="125"/>
      <c r="AG4" s="125"/>
      <c r="AH4" s="125"/>
      <c r="AI4" s="125"/>
      <c r="AJ4" s="125"/>
      <c r="AK4" s="125"/>
      <c r="AL4" s="125"/>
      <c r="AM4" s="125"/>
    </row>
    <row r="6" spans="3:62" ht="17.25" customHeight="1" x14ac:dyDescent="0.45">
      <c r="AD6" s="18" t="s">
        <v>46</v>
      </c>
      <c r="AE6" s="19" t="s">
        <v>47</v>
      </c>
      <c r="AF6" s="19" t="s">
        <v>48</v>
      </c>
      <c r="AG6" s="19" t="s">
        <v>49</v>
      </c>
      <c r="AH6" s="19" t="s">
        <v>50</v>
      </c>
      <c r="AI6" s="19"/>
      <c r="AK6" s="18" t="s">
        <v>39</v>
      </c>
      <c r="AL6" s="19" t="s">
        <v>34</v>
      </c>
      <c r="AM6" s="19" t="s">
        <v>35</v>
      </c>
      <c r="AN6" s="19" t="s">
        <v>36</v>
      </c>
      <c r="AO6" s="19"/>
      <c r="AP6" s="19"/>
      <c r="AQ6" s="19"/>
      <c r="AR6" s="19"/>
      <c r="AS6" s="19"/>
      <c r="AT6" s="19"/>
      <c r="AU6" s="19"/>
      <c r="AV6" s="19"/>
      <c r="AW6" s="19"/>
      <c r="BB6" s="19" t="s">
        <v>33</v>
      </c>
      <c r="BC6" s="19" t="s">
        <v>37</v>
      </c>
      <c r="BD6" s="19" t="s">
        <v>38</v>
      </c>
      <c r="BE6" s="19"/>
      <c r="BF6" s="19"/>
      <c r="BG6" s="19"/>
      <c r="BH6" s="19"/>
    </row>
    <row r="7" spans="3:62" ht="10.050000000000001" customHeight="1" x14ac:dyDescent="0.45">
      <c r="AD7" s="19" t="s">
        <v>64</v>
      </c>
      <c r="AE7" s="19">
        <v>0</v>
      </c>
      <c r="AF7" s="19">
        <v>3467793</v>
      </c>
      <c r="AG7" s="19">
        <v>0</v>
      </c>
      <c r="AH7" s="19">
        <v>0</v>
      </c>
      <c r="AI7" s="19"/>
      <c r="AK7" s="19" t="s">
        <v>145</v>
      </c>
      <c r="AL7" s="19">
        <v>0.11890000000000001</v>
      </c>
      <c r="AM7" s="19">
        <v>0.1298</v>
      </c>
      <c r="AN7" s="19">
        <v>0.1416</v>
      </c>
      <c r="AO7" s="19"/>
      <c r="AP7" s="19"/>
      <c r="AQ7" s="19"/>
      <c r="AR7" s="19"/>
      <c r="AS7" s="19"/>
      <c r="AT7" s="19"/>
      <c r="AU7" s="19"/>
      <c r="AW7" s="18"/>
      <c r="BB7" s="19" t="s">
        <v>149</v>
      </c>
      <c r="BC7" s="19">
        <v>100</v>
      </c>
      <c r="BD7" s="19">
        <v>100</v>
      </c>
      <c r="BE7" s="19"/>
      <c r="BF7" s="19"/>
      <c r="BG7" s="19"/>
      <c r="BH7" s="19"/>
      <c r="BJ7" s="7">
        <f>IF($AE7="","",$AE7)</f>
        <v>0</v>
      </c>
    </row>
    <row r="8" spans="3:62" ht="13.05" customHeight="1" x14ac:dyDescent="0.45">
      <c r="C8" s="20" t="s">
        <v>20</v>
      </c>
      <c r="D8" s="99"/>
      <c r="E8" s="99"/>
      <c r="F8" s="21"/>
      <c r="G8" s="20" t="s">
        <v>21</v>
      </c>
      <c r="H8" s="21"/>
      <c r="I8" s="20" t="s">
        <v>22</v>
      </c>
      <c r="J8" s="21"/>
      <c r="K8" s="20" t="s">
        <v>23</v>
      </c>
      <c r="L8" s="21"/>
      <c r="M8" s="20" t="s">
        <v>24</v>
      </c>
      <c r="N8" s="21"/>
      <c r="O8" s="22" t="s">
        <v>25</v>
      </c>
      <c r="P8" s="23"/>
      <c r="Q8" s="22"/>
      <c r="R8" s="24"/>
      <c r="AD8" s="7" t="s">
        <v>150</v>
      </c>
      <c r="AE8" s="7">
        <v>3467793</v>
      </c>
      <c r="AF8" s="7">
        <v>0</v>
      </c>
      <c r="AG8" s="7">
        <v>1157203</v>
      </c>
      <c r="AH8" s="7">
        <v>0</v>
      </c>
      <c r="AK8" s="7" t="s">
        <v>136</v>
      </c>
      <c r="AL8" s="7">
        <v>0.15809999999999999</v>
      </c>
      <c r="AM8" s="7">
        <v>0.1643</v>
      </c>
      <c r="AN8" s="7">
        <v>0.17169999999999999</v>
      </c>
      <c r="BB8" s="7" t="s">
        <v>111</v>
      </c>
      <c r="BC8" s="7">
        <v>110</v>
      </c>
      <c r="BD8" s="7">
        <v>106.1</v>
      </c>
      <c r="BJ8" s="7">
        <f>IF($AE8="","",$AE8)</f>
        <v>3467793</v>
      </c>
    </row>
    <row r="9" spans="3:62" ht="26" customHeight="1" x14ac:dyDescent="0.45">
      <c r="C9" s="25">
        <f>F38</f>
        <v>23098985</v>
      </c>
      <c r="D9" s="100"/>
      <c r="E9" s="100"/>
      <c r="F9" s="26"/>
      <c r="G9" s="25">
        <f>H38</f>
        <v>3845816.9077559998</v>
      </c>
      <c r="H9" s="26"/>
      <c r="I9" s="27">
        <f>K38</f>
        <v>0.16649289601928396</v>
      </c>
      <c r="J9" s="28"/>
      <c r="K9" s="29">
        <f>M38</f>
        <v>1229</v>
      </c>
      <c r="L9" s="30"/>
      <c r="M9" s="31">
        <f>U38/M38</f>
        <v>353.27420667209111</v>
      </c>
      <c r="N9" s="32"/>
      <c r="O9" s="33">
        <f>N38</f>
        <v>0.76174168297455969</v>
      </c>
      <c r="P9" s="34"/>
      <c r="Q9" s="33"/>
      <c r="R9" s="35"/>
      <c r="AD9" s="7" t="s">
        <v>151</v>
      </c>
      <c r="AE9" s="7">
        <v>4624390</v>
      </c>
      <c r="AF9" s="7">
        <v>0</v>
      </c>
      <c r="AG9" s="7">
        <v>0</v>
      </c>
      <c r="AH9" s="7">
        <v>607</v>
      </c>
      <c r="AK9" s="7" t="s">
        <v>148</v>
      </c>
      <c r="AL9" s="7">
        <v>0.1651</v>
      </c>
      <c r="AM9" s="7">
        <v>0.17319999999999999</v>
      </c>
      <c r="AN9" s="7">
        <v>0.1825</v>
      </c>
      <c r="BB9" s="7" t="s">
        <v>112</v>
      </c>
      <c r="BC9" s="7">
        <v>121</v>
      </c>
      <c r="BD9" s="7">
        <v>112.5</v>
      </c>
      <c r="BJ9" s="7">
        <f>IF($AE9="","",$AE9)</f>
        <v>4624390</v>
      </c>
    </row>
    <row r="10" spans="3:62" ht="14" customHeight="1" x14ac:dyDescent="0.45">
      <c r="C10" s="36">
        <f>G38</f>
        <v>6.1594244527608866E-2</v>
      </c>
      <c r="D10" s="101"/>
      <c r="E10" s="101"/>
      <c r="F10" s="37"/>
      <c r="G10" s="36">
        <f>I38</f>
        <v>0.10900984795396218</v>
      </c>
      <c r="H10" s="37"/>
      <c r="I10" s="38">
        <f>L38</f>
        <v>0.71183868615052881</v>
      </c>
      <c r="J10" s="39"/>
      <c r="K10" s="36">
        <f>AA38</f>
        <v>6.0396893874029335E-2</v>
      </c>
      <c r="L10" s="37"/>
      <c r="M10" s="36">
        <f>IFERROR(M9/(V38/Y38)-1,"")</f>
        <v>3.7351737596854173E-2</v>
      </c>
      <c r="N10" s="37"/>
      <c r="O10" s="40">
        <f>Q38-P38</f>
        <v>974</v>
      </c>
      <c r="P10" s="41"/>
      <c r="Q10" s="42"/>
      <c r="R10" s="43"/>
      <c r="AD10" s="7" t="s">
        <v>152</v>
      </c>
      <c r="AE10" s="7">
        <v>3845817</v>
      </c>
      <c r="AF10" s="7">
        <v>0</v>
      </c>
      <c r="AG10" s="7">
        <v>0</v>
      </c>
      <c r="AH10" s="7">
        <v>778573</v>
      </c>
      <c r="AK10" s="7" t="s">
        <v>134</v>
      </c>
      <c r="AL10" s="7">
        <v>0.19800000000000001</v>
      </c>
      <c r="AM10" s="7">
        <v>0.2039</v>
      </c>
      <c r="AN10" s="7">
        <v>0.2114</v>
      </c>
      <c r="BJ10" s="7">
        <f>IF($AE10="","",$AE10)</f>
        <v>3845817</v>
      </c>
    </row>
    <row r="11" spans="3:62" x14ac:dyDescent="0.45">
      <c r="AD11" s="7" t="s">
        <v>65</v>
      </c>
      <c r="AE11" s="7">
        <v>0</v>
      </c>
      <c r="AF11" s="7">
        <v>3845817</v>
      </c>
      <c r="AG11" s="7">
        <v>0</v>
      </c>
      <c r="AH11" s="7">
        <v>0</v>
      </c>
      <c r="AK11" s="7" t="s">
        <v>140</v>
      </c>
      <c r="AL11" s="7">
        <v>6.3E-2</v>
      </c>
      <c r="AM11" s="7">
        <v>5.3199999999999997E-2</v>
      </c>
      <c r="AN11" s="7">
        <v>4.19E-2</v>
      </c>
      <c r="BJ11" s="7">
        <f>IF($AE11="","",$AE11)</f>
        <v>0</v>
      </c>
    </row>
    <row r="12" spans="3:62" x14ac:dyDescent="0.45">
      <c r="C12" s="8" t="s">
        <v>43</v>
      </c>
      <c r="D12" s="102"/>
      <c r="E12" s="102"/>
      <c r="F12" s="44"/>
      <c r="G12" s="45"/>
      <c r="H12" s="45"/>
      <c r="I12" s="45"/>
      <c r="J12" s="45"/>
      <c r="K12" s="8" t="s">
        <v>44</v>
      </c>
      <c r="L12" s="45"/>
      <c r="M12" s="45"/>
      <c r="N12" s="45"/>
      <c r="O12" s="45"/>
      <c r="P12" s="45"/>
      <c r="Q12" s="45"/>
      <c r="R12" s="45"/>
    </row>
    <row r="13" spans="3:62" x14ac:dyDescent="0.45">
      <c r="C13" s="46"/>
    </row>
    <row r="14" spans="3:62" x14ac:dyDescent="0.45">
      <c r="C14" s="46"/>
    </row>
    <row r="15" spans="3:62" x14ac:dyDescent="0.45">
      <c r="C15" s="46"/>
    </row>
    <row r="16" spans="3:62" x14ac:dyDescent="0.45">
      <c r="C16" s="46"/>
    </row>
    <row r="17" spans="3:18" x14ac:dyDescent="0.45">
      <c r="C17" s="46"/>
    </row>
    <row r="18" spans="3:18" x14ac:dyDescent="0.45">
      <c r="C18" s="46"/>
    </row>
    <row r="19" spans="3:18" x14ac:dyDescent="0.45">
      <c r="C19" s="46"/>
    </row>
    <row r="20" spans="3:18" x14ac:dyDescent="0.45">
      <c r="C20" s="46"/>
    </row>
    <row r="21" spans="3:18" x14ac:dyDescent="0.45">
      <c r="C21" s="46"/>
    </row>
    <row r="22" spans="3:18" x14ac:dyDescent="0.45">
      <c r="C22" s="46"/>
    </row>
    <row r="23" spans="3:18" x14ac:dyDescent="0.45">
      <c r="C23" s="46"/>
    </row>
    <row r="24" spans="3:18" x14ac:dyDescent="0.45">
      <c r="C24" s="46"/>
    </row>
    <row r="25" spans="3:18" x14ac:dyDescent="0.45">
      <c r="C25" s="46"/>
    </row>
    <row r="26" spans="3:18" x14ac:dyDescent="0.45">
      <c r="C26" s="46"/>
    </row>
    <row r="27" spans="3:18" x14ac:dyDescent="0.45">
      <c r="C27" s="46"/>
    </row>
    <row r="28" spans="3:18" x14ac:dyDescent="0.45">
      <c r="C28" s="46"/>
    </row>
    <row r="29" spans="3:18" x14ac:dyDescent="0.45">
      <c r="C29" s="46"/>
    </row>
    <row r="30" spans="3:18" x14ac:dyDescent="0.45">
      <c r="C30" s="46"/>
    </row>
    <row r="31" spans="3:18" x14ac:dyDescent="0.45">
      <c r="C31" s="46"/>
    </row>
    <row r="32" spans="3:18" x14ac:dyDescent="0.45">
      <c r="C32" s="47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</row>
    <row r="36" spans="2:31" x14ac:dyDescent="0.45">
      <c r="B36" s="49"/>
      <c r="R36" s="49"/>
    </row>
    <row r="37" ht="19.899999999999999" thickBot="1" x14ac:dyDescent="0.5">
      <c r="B37" s="119"/>
      <c r="C37" s="120"/>
      <c r="D37" s="120"/>
      <c r="E37" s="120"/>
      <c r="F37" s="121" t="s">
        <v>3</v>
      </c>
      <c r="G37" s="121" t="s">
        <v>9</v>
      </c>
      <c r="H37" s="121" t="s">
        <v>2</v>
      </c>
      <c r="I37" s="121" t="s">
        <v>12</v>
      </c>
      <c r="J37" s="121" t="s">
        <v>13</v>
      </c>
      <c r="K37" s="121" t="s">
        <v>14</v>
      </c>
      <c r="L37" s="121" t="s">
        <v>15</v>
      </c>
      <c r="M37" s="121" t="s">
        <v>16</v>
      </c>
      <c r="N37" s="121" t="s">
        <v>17</v>
      </c>
      <c r="O37" s="121" t="s">
        <v>18</v>
      </c>
      <c r="P37" s="122" t="s">
        <v>7</v>
      </c>
      <c r="Q37" s="122" t="s">
        <v>6</v>
      </c>
      <c r="R37" s="122" t="s">
        <v>8</v>
      </c>
      <c r="S37" s="130" t="s">
        <v>4</v>
      </c>
      <c r="T37" s="130" t="s">
        <v>5</v>
      </c>
      <c r="U37" s="130" t="s">
        <v>10</v>
      </c>
      <c r="V37" s="130" t="s">
        <v>11</v>
      </c>
      <c r="W37" s="130" t="s">
        <v>19</v>
      </c>
      <c r="X37" s="130" t="s">
        <v>26</v>
      </c>
      <c r="Y37" s="130" t="s">
        <v>27</v>
      </c>
      <c r="Z37" s="130" t="s">
        <v>28</v>
      </c>
      <c r="AA37" s="130" t="s">
        <v>29</v>
      </c>
      <c r="AB37" s="131"/>
      <c r="AC37" s="49"/>
      <c r="AD37" s="49"/>
      <c r="AE37" s="49"/>
    </row>
    <row r="38" ht="14.65" thickTop="1" x14ac:dyDescent="0.45">
      <c r="B38" s="134">
        <v>2</v>
      </c>
      <c r="C38" s="135" t="s">
        <v>1</v>
      </c>
      <c r="D38" s="136" t="s">
        <v>129</v>
      </c>
      <c r="E38" s="137" t="s">
        <v>128</v>
      </c>
      <c r="F38" s="138">
        <v>23098985</v>
      </c>
      <c r="G38" s="139">
        <f t="shared" ref="G38:G57" si="0">IFERROR((F38-T38)/T38, "")</f>
        <v>6.1594244527608866E-2</v>
      </c>
      <c r="H38" s="138">
        <v>3845816.9077559998</v>
      </c>
      <c r="I38" s="139">
        <f t="shared" ref="I38:I57" si="1">IFERROR((H38-S38)/S38, "")</f>
        <v>0.10900984795396218</v>
      </c>
      <c r="J38" s="140">
        <v>0.99998399999999998</v>
      </c>
      <c r="K38" s="140">
        <f t="shared" ref="K38:K57" si="2">IFERROR(H38/F38, "")</f>
        <v>0.16649289601928396</v>
      </c>
      <c r="L38" s="141">
        <f t="shared" ref="L38:L57" si="3">IFERROR((K38-W38)*100, "")</f>
        <v>0.71183868615052881</v>
      </c>
      <c r="M38" s="138">
        <v>1229</v>
      </c>
      <c r="N38" s="142">
        <f t="shared" ref="N38:N57" si="4">IFERROR(P38/Q38, "")</f>
        <v>0.76174168297455969</v>
      </c>
      <c r="O38" s="142">
        <f t="shared" ref="O38:O57" si="5">IFERROR(R38/P38, "")</f>
        <v>0.86384071933204876</v>
      </c>
      <c r="P38" s="138">
        <v>3114</v>
      </c>
      <c r="Q38" s="138">
        <v>4088</v>
      </c>
      <c r="R38" s="138">
        <v>2690</v>
      </c>
      <c r="S38" s="143">
        <v>3467793.2886270001</v>
      </c>
      <c r="T38" s="143">
        <v>21758770</v>
      </c>
      <c r="U38" s="143">
        <v>434174</v>
      </c>
      <c r="V38" s="143">
        <v>394702</v>
      </c>
      <c r="W38" s="144">
        <f t="shared" ref="W38:W57" si="6">IFERROR(S38/T38, "")</f>
        <v>0.15937450915777868</v>
      </c>
      <c r="X38" s="143">
        <v>4088</v>
      </c>
      <c r="Y38" s="143">
        <v>1159</v>
      </c>
      <c r="Z38" s="143">
        <v>2933</v>
      </c>
      <c r="AA38" s="154">
        <f t="shared" ref="AA38:AA57" si="7">IFERROR((M38-Y38)/Y38, "")</f>
        <v>6.0396893874029335E-2</v>
      </c>
      <c r="AB38" s="143">
        <f t="shared" ref="AB38:AB57" si="8">IFERROR((U38-T38)/T38, "")</f>
        <v>-0.9800460228220621</v>
      </c>
      <c r="AC38" s="49"/>
      <c r="AD38" s="49"/>
      <c r="AE38" s="49"/>
    </row>
    <row r="39" x14ac:dyDescent="0.45">
      <c r="B39" s="145">
        <v>3</v>
      </c>
      <c r="C39" s="146" t="s">
        <v>145</v>
      </c>
      <c r="D39" s="147" t="s">
        <v>129</v>
      </c>
      <c r="E39" s="148" t="s">
        <v>128</v>
      </c>
      <c r="F39" s="149">
        <v>2582800</v>
      </c>
      <c r="G39" s="150">
        <f t="shared" si="0"/>
        <v>5.8797968327887938E-2</v>
      </c>
      <c r="H39" s="149">
        <v>365679.75182599999</v>
      </c>
      <c r="I39" s="150">
        <f t="shared" si="1"/>
        <v>0.15487155173153105</v>
      </c>
      <c r="J39" s="151">
        <v>9.5085000000000003E-2</v>
      </c>
      <c r="K39" s="151">
        <f t="shared" si="2"/>
        <v>0.14158268229286045</v>
      </c>
      <c r="L39" s="152">
        <f t="shared" si="3"/>
        <v>1.1778241151910118</v>
      </c>
      <c r="M39" s="149">
        <v>130</v>
      </c>
      <c r="N39" s="151">
        <f t="shared" si="4"/>
        <v>0.65798611111111116</v>
      </c>
      <c r="O39" s="151">
        <f t="shared" si="5"/>
        <v>1</v>
      </c>
      <c r="P39" s="149">
        <v>379</v>
      </c>
      <c r="Q39" s="149">
        <v>576</v>
      </c>
      <c r="R39" s="149">
        <v>379</v>
      </c>
      <c r="S39" s="153">
        <v>316641.05958599999</v>
      </c>
      <c r="T39" s="153">
        <v>2439370</v>
      </c>
      <c r="U39" s="153">
        <v>51871</v>
      </c>
      <c r="V39" s="153">
        <v>47155</v>
      </c>
      <c r="W39" s="153">
        <f t="shared" si="6"/>
        <v>0.12980444114095033</v>
      </c>
      <c r="X39" s="153">
        <v>576</v>
      </c>
      <c r="Y39" s="153">
        <v>123</v>
      </c>
      <c r="Z39" s="153">
        <v>358</v>
      </c>
      <c r="AA39" s="155">
        <f t="shared" si="7"/>
        <v>5.6910569105691054E-2</v>
      </c>
      <c r="AB39" s="153">
        <f t="shared" si="8"/>
        <v>-0.97873590312252756</v>
      </c>
      <c r="AC39" s="49"/>
      <c r="AD39" s="49"/>
      <c r="AE39" s="49"/>
    </row>
    <row r="40" spans="2:31" x14ac:dyDescent="0.45">
      <c r="B40" s="112">
        <v>4</v>
      </c>
      <c r="C40" s="2" t="s">
        <v>135</v>
      </c>
      <c r="D40" s="116" t="s">
        <v>129</v>
      </c>
      <c r="E40" s="117" t="s">
        <v>128</v>
      </c>
      <c r="F40" s="3">
        <v>781650</v>
      </c>
      <c r="G40" s="4">
        <f t="shared" si="0"/>
        <v>5.404749383065658E-2</v>
      </c>
      <c r="H40" s="3">
        <v>107890.617776</v>
      </c>
      <c r="I40" s="4">
        <f t="shared" si="1"/>
        <v>0.15230752462080818</v>
      </c>
      <c r="J40" s="5">
        <v>2.8053999999999999E-2</v>
      </c>
      <c r="K40" s="5">
        <f t="shared" si="2"/>
        <v>0.13802931974157231</v>
      </c>
      <c r="L40" s="6">
        <f t="shared" si="3"/>
        <v>1.1770091679487811</v>
      </c>
      <c r="M40" s="3">
        <v>40</v>
      </c>
      <c r="N40" s="5">
        <f t="shared" si="4"/>
        <v>0.609375</v>
      </c>
      <c r="O40" s="5">
        <f t="shared" si="5"/>
        <v>1</v>
      </c>
      <c r="P40" s="3">
        <v>117</v>
      </c>
      <c r="Q40" s="3">
        <v>192</v>
      </c>
      <c r="R40" s="3">
        <v>117</v>
      </c>
      <c r="S40" s="49">
        <v>93630.055754000001</v>
      </c>
      <c r="T40" s="49">
        <v>741570</v>
      </c>
      <c r="U40" s="49">
        <v>15178</v>
      </c>
      <c r="V40" s="49">
        <v>13798</v>
      </c>
      <c r="W40" s="49">
        <f t="shared" si="6"/>
        <v>0.12625922806208451</v>
      </c>
      <c r="X40" s="49">
        <v>192</v>
      </c>
      <c r="Y40" s="49">
        <v>38</v>
      </c>
      <c r="Z40" s="49">
        <v>111</v>
      </c>
      <c r="AA40" s="156">
        <f t="shared" si="7"/>
        <v>5.2631578947368418E-2</v>
      </c>
      <c r="AB40" s="49">
        <f t="shared" si="8"/>
        <v>-0.97953261323947838</v>
      </c>
      <c r="AC40" s="49"/>
      <c r="AD40" s="49"/>
      <c r="AE40" s="49"/>
    </row>
    <row r="41" spans="2:31" x14ac:dyDescent="0.45">
      <c r="B41" s="112">
        <v>4</v>
      </c>
      <c r="C41" s="2" t="s">
        <v>137</v>
      </c>
      <c r="D41" s="116" t="s">
        <v>129</v>
      </c>
      <c r="E41" s="117" t="s">
        <v>128</v>
      </c>
      <c r="F41" s="3">
        <v>1019500</v>
      </c>
      <c r="G41" s="4">
        <f t="shared" si="0"/>
        <v>6.6166089748282322E-2</v>
      </c>
      <c r="H41" s="3">
        <v>149898.51602899999</v>
      </c>
      <c r="I41" s="4">
        <f t="shared" si="1"/>
        <v>0.15858242921255322</v>
      </c>
      <c r="J41" s="5">
        <v>3.8976999999999998E-2</v>
      </c>
      <c r="K41" s="5">
        <f t="shared" si="2"/>
        <v>0.14703140365767534</v>
      </c>
      <c r="L41" s="6">
        <f t="shared" si="3"/>
        <v>1.172821524798312</v>
      </c>
      <c r="M41" s="3">
        <v>50</v>
      </c>
      <c r="N41" s="5">
        <f t="shared" si="4"/>
        <v>0.75520833333333337</v>
      </c>
      <c r="O41" s="5">
        <f t="shared" si="5"/>
        <v>1</v>
      </c>
      <c r="P41" s="3">
        <v>145</v>
      </c>
      <c r="Q41" s="3">
        <v>192</v>
      </c>
      <c r="R41" s="3">
        <v>145</v>
      </c>
      <c r="S41" s="49">
        <v>129380.96785299999</v>
      </c>
      <c r="T41" s="49">
        <v>956230</v>
      </c>
      <c r="U41" s="49">
        <v>21760</v>
      </c>
      <c r="V41" s="49">
        <v>19782</v>
      </c>
      <c r="W41" s="49">
        <f t="shared" si="6"/>
        <v>0.13530318840969222</v>
      </c>
      <c r="X41" s="49">
        <v>192</v>
      </c>
      <c r="Y41" s="49">
        <v>47</v>
      </c>
      <c r="Z41" s="49">
        <v>136</v>
      </c>
      <c r="AA41" s="156">
        <f t="shared" si="7"/>
        <v>6.3829787234042548E-2</v>
      </c>
      <c r="AB41" s="49">
        <f t="shared" si="8"/>
        <v>-0.97724396850130202</v>
      </c>
      <c r="AC41" s="49"/>
      <c r="AD41" s="49"/>
      <c r="AE41" s="49"/>
    </row>
    <row r="42" spans="2:31" x14ac:dyDescent="0.45">
      <c r="B42" s="112">
        <v>4</v>
      </c>
      <c r="C42" s="2" t="s">
        <v>141</v>
      </c>
      <c r="D42" s="116" t="s">
        <v>129</v>
      </c>
      <c r="E42" s="117" t="s">
        <v>128</v>
      </c>
      <c r="F42" s="3">
        <v>781650</v>
      </c>
      <c r="G42" s="4">
        <f t="shared" si="0"/>
        <v>5.404749383065658E-2</v>
      </c>
      <c r="H42" s="3">
        <v>107890.618021</v>
      </c>
      <c r="I42" s="4">
        <f t="shared" si="1"/>
        <v>0.15230777060897929</v>
      </c>
      <c r="J42" s="5">
        <v>2.8053999999999999E-2</v>
      </c>
      <c r="K42" s="5">
        <f t="shared" si="2"/>
        <v>0.13802932005501184</v>
      </c>
      <c r="L42" s="6">
        <f t="shared" si="3"/>
        <v>1.1770118659324313</v>
      </c>
      <c r="M42" s="3">
        <v>40</v>
      </c>
      <c r="N42" s="5">
        <f t="shared" si="4"/>
        <v>0.609375</v>
      </c>
      <c r="O42" s="5">
        <f t="shared" si="5"/>
        <v>1</v>
      </c>
      <c r="P42" s="3">
        <v>117</v>
      </c>
      <c r="Q42" s="3">
        <v>192</v>
      </c>
      <c r="R42" s="3">
        <v>117</v>
      </c>
      <c r="S42" s="49">
        <v>93630.035978999993</v>
      </c>
      <c r="T42" s="49">
        <v>741570</v>
      </c>
      <c r="U42" s="49">
        <v>14933</v>
      </c>
      <c r="V42" s="49">
        <v>13575</v>
      </c>
      <c r="W42" s="49">
        <f t="shared" si="6"/>
        <v>0.12625920139568753</v>
      </c>
      <c r="X42" s="49">
        <v>192</v>
      </c>
      <c r="Y42" s="49">
        <v>38</v>
      </c>
      <c r="Z42" s="49">
        <v>111</v>
      </c>
      <c r="AA42" s="156">
        <f t="shared" si="7"/>
        <v>5.2631578947368418E-2</v>
      </c>
      <c r="AB42" s="49">
        <f t="shared" si="8"/>
        <v>-0.97986299337891236</v>
      </c>
      <c r="AC42" s="49"/>
      <c r="AD42" s="49"/>
      <c r="AE42" s="49"/>
    </row>
    <row r="43" x14ac:dyDescent="0.45">
      <c r="B43" s="145">
        <v>3</v>
      </c>
      <c r="C43" s="146" t="s">
        <v>136</v>
      </c>
      <c r="D43" s="147" t="s">
        <v>129</v>
      </c>
      <c r="E43" s="148" t="s">
        <v>128</v>
      </c>
      <c r="F43" s="149">
        <v>6292550</v>
      </c>
      <c r="G43" s="150">
        <f t="shared" si="0"/>
        <v>6.3865219449516467E-2</v>
      </c>
      <c r="H43" s="149">
        <v>1080136.2555720001</v>
      </c>
      <c r="I43" s="150">
        <f t="shared" si="1"/>
        <v>0.11139199175897782</v>
      </c>
      <c r="J43" s="151">
        <v>0.28085500000000002</v>
      </c>
      <c r="K43" s="151">
        <f t="shared" si="2"/>
        <v>0.17165318600122367</v>
      </c>
      <c r="L43" s="152">
        <f t="shared" si="3"/>
        <v>0.73404540861969625</v>
      </c>
      <c r="M43" s="149">
        <v>338</v>
      </c>
      <c r="N43" s="151">
        <f t="shared" si="4"/>
        <v>0.8001930501930502</v>
      </c>
      <c r="O43" s="151">
        <f t="shared" si="5"/>
        <v>0.79613992762364294</v>
      </c>
      <c r="P43" s="149">
        <v>829</v>
      </c>
      <c r="Q43" s="149">
        <v>1036</v>
      </c>
      <c r="R43" s="149">
        <v>660</v>
      </c>
      <c r="S43" s="153">
        <v>971876.94673099997</v>
      </c>
      <c r="T43" s="153">
        <v>5914800</v>
      </c>
      <c r="U43" s="153">
        <v>108103</v>
      </c>
      <c r="V43" s="153">
        <v>98275</v>
      </c>
      <c r="W43" s="153">
        <f t="shared" si="6"/>
        <v>0.16431273191502671</v>
      </c>
      <c r="X43" s="153">
        <v>1036</v>
      </c>
      <c r="Y43" s="153">
        <v>318</v>
      </c>
      <c r="Z43" s="153">
        <v>779</v>
      </c>
      <c r="AA43" s="155">
        <f t="shared" si="7"/>
        <v>6.2893081761006289E-2</v>
      </c>
      <c r="AB43" s="153">
        <f t="shared" si="8"/>
        <v>-0.98172330425373644</v>
      </c>
      <c r="AC43" s="49"/>
      <c r="AD43" s="49"/>
      <c r="AE43" s="49"/>
    </row>
    <row r="44" spans="2:31" x14ac:dyDescent="0.45">
      <c r="B44" s="112">
        <v>4</v>
      </c>
      <c r="C44" s="2" t="s">
        <v>143</v>
      </c>
      <c r="D44" s="116" t="s">
        <v>129</v>
      </c>
      <c r="E44" s="117" t="s">
        <v>128</v>
      </c>
      <c r="F44" s="3">
        <v>1755850</v>
      </c>
      <c r="G44" s="4">
        <f t="shared" si="0"/>
        <v>6.5442961165048538E-2</v>
      </c>
      <c r="H44" s="3">
        <v>289771.28690200002</v>
      </c>
      <c r="I44" s="4">
        <f t="shared" si="1"/>
        <v>0.11541305256339748</v>
      </c>
      <c r="J44" s="5">
        <v>7.5344999999999995E-2</v>
      </c>
      <c r="K44" s="5">
        <f t="shared" si="2"/>
        <v>0.16503191440157189</v>
      </c>
      <c r="L44" s="6">
        <f t="shared" si="3"/>
        <v>0.73933686066689763</v>
      </c>
      <c r="M44" s="3">
        <v>100</v>
      </c>
      <c r="N44" s="5">
        <f t="shared" si="4"/>
        <v>0.82432432432432434</v>
      </c>
      <c r="O44" s="5">
        <f t="shared" si="5"/>
        <v>0.79508196721311475</v>
      </c>
      <c r="P44" s="3">
        <v>244</v>
      </c>
      <c r="Q44" s="3">
        <v>296</v>
      </c>
      <c r="R44" s="3">
        <v>194</v>
      </c>
      <c r="S44" s="49">
        <v>259788.32347</v>
      </c>
      <c r="T44" s="49">
        <v>1648000</v>
      </c>
      <c r="U44" s="49">
        <v>25220</v>
      </c>
      <c r="V44" s="49">
        <v>22927</v>
      </c>
      <c r="W44" s="49">
        <f t="shared" si="6"/>
        <v>0.15763854579490291</v>
      </c>
      <c r="X44" s="49">
        <v>296</v>
      </c>
      <c r="Y44" s="49">
        <v>94</v>
      </c>
      <c r="Z44" s="49">
        <v>229</v>
      </c>
      <c r="AA44" s="156">
        <f t="shared" si="7"/>
        <v>6.3829787234042548E-2</v>
      </c>
      <c r="AB44" s="49">
        <f t="shared" si="8"/>
        <v>-0.98469660194174757</v>
      </c>
      <c r="AC44" s="49"/>
      <c r="AD44" s="49"/>
      <c r="AE44" s="49"/>
    </row>
    <row r="45" spans="2:31" x14ac:dyDescent="0.45">
      <c r="B45" s="112">
        <v>4</v>
      </c>
      <c r="C45" s="2" t="s">
        <v>146</v>
      </c>
      <c r="D45" s="116" t="s">
        <v>129</v>
      </c>
      <c r="E45" s="117" t="s">
        <v>128</v>
      </c>
      <c r="F45" s="3">
        <v>2908720</v>
      </c>
      <c r="G45" s="4">
        <f t="shared" si="0"/>
        <v>5.9843759109193727E-2</v>
      </c>
      <c r="H45" s="3">
        <v>526580.91309599997</v>
      </c>
      <c r="I45" s="4">
        <f t="shared" si="1"/>
        <v>0.10465008608898496</v>
      </c>
      <c r="J45" s="5">
        <v>0.13692199999999999</v>
      </c>
      <c r="K45" s="5">
        <f t="shared" si="2"/>
        <v>0.1810352708737864</v>
      </c>
      <c r="L45" s="6">
        <f t="shared" si="3"/>
        <v>0.73430723844550849</v>
      </c>
      <c r="M45" s="3">
        <v>144</v>
      </c>
      <c r="N45" s="5">
        <f t="shared" si="4"/>
        <v>0.79729729729729726</v>
      </c>
      <c r="O45" s="5">
        <f t="shared" si="5"/>
        <v>0.79661016949152541</v>
      </c>
      <c r="P45" s="3">
        <v>354</v>
      </c>
      <c r="Q45" s="3">
        <v>444</v>
      </c>
      <c r="R45" s="3">
        <v>282</v>
      </c>
      <c r="S45" s="49">
        <v>476694.76491000003</v>
      </c>
      <c r="T45" s="49">
        <v>2744480</v>
      </c>
      <c r="U45" s="49">
        <v>60800</v>
      </c>
      <c r="V45" s="49">
        <v>55272</v>
      </c>
      <c r="W45" s="49">
        <f t="shared" si="6"/>
        <v>0.17369219848933132</v>
      </c>
      <c r="X45" s="49">
        <v>444</v>
      </c>
      <c r="Y45" s="49">
        <v>136</v>
      </c>
      <c r="Z45" s="49">
        <v>334</v>
      </c>
      <c r="AA45" s="156">
        <f t="shared" si="7"/>
        <v>5.8823529411764705E-2</v>
      </c>
      <c r="AB45" s="49">
        <f t="shared" si="8"/>
        <v>-0.97784644085582695</v>
      </c>
      <c r="AC45" s="49"/>
      <c r="AD45" s="49"/>
      <c r="AE45" s="49"/>
    </row>
    <row r="46" spans="2:31" x14ac:dyDescent="0.45">
      <c r="B46" s="112">
        <v>4</v>
      </c>
      <c r="C46" s="2" t="s">
        <v>130</v>
      </c>
      <c r="D46" s="116" t="s">
        <v>129</v>
      </c>
      <c r="E46" s="117" t="s">
        <v>128</v>
      </c>
      <c r="F46" s="3">
        <v>1627980</v>
      </c>
      <c r="G46" s="4">
        <f t="shared" si="0"/>
        <v>6.9407220558095534E-2</v>
      </c>
      <c r="H46" s="3">
        <v>263784.055574</v>
      </c>
      <c r="I46" s="4">
        <f t="shared" si="1"/>
        <v>0.12060721304235077</v>
      </c>
      <c r="J46" s="5">
        <v>6.8587999999999996E-2</v>
      </c>
      <c r="K46" s="5">
        <f t="shared" si="2"/>
        <v>0.16203150872492292</v>
      </c>
      <c r="L46" s="6">
        <f t="shared" si="3"/>
        <v>0.74031399516032437</v>
      </c>
      <c r="M46" s="3">
        <v>94</v>
      </c>
      <c r="N46" s="5">
        <f t="shared" si="4"/>
        <v>0.78040540540540537</v>
      </c>
      <c r="O46" s="5">
        <f t="shared" si="5"/>
        <v>0.79653679653679654</v>
      </c>
      <c r="P46" s="3">
        <v>231</v>
      </c>
      <c r="Q46" s="3">
        <v>296</v>
      </c>
      <c r="R46" s="3">
        <v>184</v>
      </c>
      <c r="S46" s="49">
        <v>235393.858351</v>
      </c>
      <c r="T46" s="49">
        <v>1522320</v>
      </c>
      <c r="U46" s="49">
        <v>22083</v>
      </c>
      <c r="V46" s="49">
        <v>20076</v>
      </c>
      <c r="W46" s="49">
        <f t="shared" si="6"/>
        <v>0.15462836877331967</v>
      </c>
      <c r="X46" s="49">
        <v>296</v>
      </c>
      <c r="Y46" s="49">
        <v>88</v>
      </c>
      <c r="Z46" s="49">
        <v>216</v>
      </c>
      <c r="AA46" s="156">
        <f t="shared" si="7"/>
        <v>6.8181818181818177E-2</v>
      </c>
      <c r="AB46" s="49">
        <f t="shared" si="8"/>
        <v>-0.98549385148983126</v>
      </c>
      <c r="AC46" s="49"/>
      <c r="AD46" s="49"/>
      <c r="AE46" s="49"/>
    </row>
    <row r="47" x14ac:dyDescent="0.45">
      <c r="B47" s="145">
        <v>3</v>
      </c>
      <c r="C47" s="146" t="s">
        <v>148</v>
      </c>
      <c r="D47" s="147" t="s">
        <v>129</v>
      </c>
      <c r="E47" s="148" t="s">
        <v>128</v>
      </c>
      <c r="F47" s="149">
        <v>9567455</v>
      </c>
      <c r="G47" s="150">
        <f t="shared" si="0"/>
        <v>5.9237301270980029E-2</v>
      </c>
      <c r="H47" s="149">
        <v>1746010.1279750001</v>
      </c>
      <c r="I47" s="150">
        <f t="shared" si="1"/>
        <v>0.11613046706748152</v>
      </c>
      <c r="J47" s="151">
        <v>0.45399499999999998</v>
      </c>
      <c r="K47" s="151">
        <f t="shared" si="2"/>
        <v>0.1824947311458481</v>
      </c>
      <c r="L47" s="152">
        <f t="shared" si="3"/>
        <v>0.93024098010228151</v>
      </c>
      <c r="M47" s="149">
        <v>510</v>
      </c>
      <c r="N47" s="151">
        <f t="shared" si="4"/>
        <v>0.85081743869209814</v>
      </c>
      <c r="O47" s="151">
        <f t="shared" si="5"/>
        <v>0.79583666933546837</v>
      </c>
      <c r="P47" s="149">
        <v>1249</v>
      </c>
      <c r="Q47" s="149">
        <v>1468</v>
      </c>
      <c r="R47" s="149">
        <v>994</v>
      </c>
      <c r="S47" s="153">
        <v>1564342.3233149999</v>
      </c>
      <c r="T47" s="153">
        <v>9032400</v>
      </c>
      <c r="U47" s="153">
        <v>166530</v>
      </c>
      <c r="V47" s="153">
        <v>151390</v>
      </c>
      <c r="W47" s="153">
        <f t="shared" si="6"/>
        <v>0.17319232134482529</v>
      </c>
      <c r="X47" s="153">
        <v>1468</v>
      </c>
      <c r="Y47" s="153">
        <v>482</v>
      </c>
      <c r="Z47" s="153">
        <v>1179</v>
      </c>
      <c r="AA47" s="155">
        <f t="shared" si="7"/>
        <v>5.8091286307053944E-2</v>
      </c>
      <c r="AB47" s="153">
        <f t="shared" si="8"/>
        <v>-0.98156303972366143</v>
      </c>
      <c r="AC47" s="49"/>
      <c r="AD47" s="49"/>
      <c r="AE47" s="49"/>
    </row>
    <row r="48" spans="2:31" x14ac:dyDescent="0.45">
      <c r="B48" s="112">
        <v>4</v>
      </c>
      <c r="C48" s="2" t="s">
        <v>132</v>
      </c>
      <c r="D48" s="116" t="s">
        <v>129</v>
      </c>
      <c r="E48" s="117" t="s">
        <v>128</v>
      </c>
      <c r="F48" s="3">
        <v>1773610</v>
      </c>
      <c r="G48" s="4">
        <f t="shared" si="0"/>
        <v>6.404576282880034E-2</v>
      </c>
      <c r="H48" s="3">
        <v>305136.21656199999</v>
      </c>
      <c r="I48" s="4">
        <f t="shared" si="1"/>
        <v>0.12517803700266905</v>
      </c>
      <c r="J48" s="5">
        <v>7.9339999999999994E-2</v>
      </c>
      <c r="K48" s="5">
        <f t="shared" si="2"/>
        <v>0.17204245384385519</v>
      </c>
      <c r="L48" s="6">
        <f t="shared" si="3"/>
        <v>0.93472731532732167</v>
      </c>
      <c r="M48" s="3">
        <v>102</v>
      </c>
      <c r="N48" s="5">
        <f t="shared" si="4"/>
        <v>0.84121621621621623</v>
      </c>
      <c r="O48" s="5">
        <f t="shared" si="5"/>
        <v>0.79518072289156627</v>
      </c>
      <c r="P48" s="3">
        <v>249</v>
      </c>
      <c r="Q48" s="3">
        <v>296</v>
      </c>
      <c r="R48" s="3">
        <v>198</v>
      </c>
      <c r="S48" s="49">
        <v>271189.27541</v>
      </c>
      <c r="T48" s="49">
        <v>1666855</v>
      </c>
      <c r="U48" s="49">
        <v>24923</v>
      </c>
      <c r="V48" s="49">
        <v>22657</v>
      </c>
      <c r="W48" s="49">
        <f t="shared" si="6"/>
        <v>0.16269518069058198</v>
      </c>
      <c r="X48" s="49">
        <v>296</v>
      </c>
      <c r="Y48" s="49">
        <v>96</v>
      </c>
      <c r="Z48" s="49">
        <v>234</v>
      </c>
      <c r="AA48" s="156">
        <f t="shared" si="7"/>
        <v>6.25E-2</v>
      </c>
      <c r="AB48" s="49">
        <f t="shared" si="8"/>
        <v>-0.98504788958847656</v>
      </c>
      <c r="AC48" s="49"/>
      <c r="AD48" s="49"/>
      <c r="AE48" s="49"/>
    </row>
    <row r="49" spans="2:31" x14ac:dyDescent="0.45">
      <c r="B49" s="112">
        <v>4</v>
      </c>
      <c r="C49" s="2" t="s">
        <v>131</v>
      </c>
      <c r="D49" s="116" t="s">
        <v>129</v>
      </c>
      <c r="E49" s="117" t="s">
        <v>128</v>
      </c>
      <c r="F49" s="3">
        <v>2496705</v>
      </c>
      <c r="G49" s="4">
        <f t="shared" si="0"/>
        <v>6.5745074561880917E-2</v>
      </c>
      <c r="H49" s="3">
        <v>456976.67065300001</v>
      </c>
      <c r="I49" s="4">
        <f t="shared" si="1"/>
        <v>0.12288696361440038</v>
      </c>
      <c r="J49" s="5">
        <v>0.118823</v>
      </c>
      <c r="K49" s="5">
        <f t="shared" si="2"/>
        <v>0.18303190431108202</v>
      </c>
      <c r="L49" s="6">
        <f t="shared" si="3"/>
        <v>0.93141955585181735</v>
      </c>
      <c r="M49" s="3">
        <v>132</v>
      </c>
      <c r="N49" s="5">
        <f t="shared" si="4"/>
        <v>0.85263157894736841</v>
      </c>
      <c r="O49" s="5">
        <f t="shared" si="5"/>
        <v>0.79629629629629628</v>
      </c>
      <c r="P49" s="3">
        <v>324</v>
      </c>
      <c r="Q49" s="3">
        <v>380</v>
      </c>
      <c r="R49" s="3">
        <v>258</v>
      </c>
      <c r="S49" s="49">
        <v>406965.87052900001</v>
      </c>
      <c r="T49" s="49">
        <v>2342685</v>
      </c>
      <c r="U49" s="49">
        <v>41783</v>
      </c>
      <c r="V49" s="49">
        <v>37985</v>
      </c>
      <c r="W49" s="49">
        <f t="shared" si="6"/>
        <v>0.17371770875256384</v>
      </c>
      <c r="X49" s="49">
        <v>380</v>
      </c>
      <c r="Y49" s="49">
        <v>124</v>
      </c>
      <c r="Z49" s="49">
        <v>304</v>
      </c>
      <c r="AA49" s="156">
        <f t="shared" si="7"/>
        <v>6.4516129032258063E-2</v>
      </c>
      <c r="AB49" s="49">
        <f t="shared" si="8"/>
        <v>-0.98216448220738173</v>
      </c>
      <c r="AC49" s="49"/>
      <c r="AD49" s="49"/>
      <c r="AE49" s="49"/>
    </row>
    <row r="50" spans="2:31" x14ac:dyDescent="0.45">
      <c r="B50" s="112">
        <v>4</v>
      </c>
      <c r="C50" s="2" t="s">
        <v>147</v>
      </c>
      <c r="D50" s="116" t="s">
        <v>129</v>
      </c>
      <c r="E50" s="117" t="s">
        <v>128</v>
      </c>
      <c r="F50" s="3">
        <v>2158300</v>
      </c>
      <c r="G50" s="4">
        <f t="shared" si="0"/>
        <v>5.372364836495367E-2</v>
      </c>
      <c r="H50" s="3">
        <v>384274.75400999998</v>
      </c>
      <c r="I50" s="4">
        <f t="shared" si="1"/>
        <v>0.1119844559392074</v>
      </c>
      <c r="J50" s="5">
        <v>9.9918000000000007E-2</v>
      </c>
      <c r="K50" s="5">
        <f t="shared" si="2"/>
        <v>0.17804510680164942</v>
      </c>
      <c r="L50" s="6">
        <f t="shared" si="3"/>
        <v>0.93284143060678171</v>
      </c>
      <c r="M50" s="3">
        <v>120</v>
      </c>
      <c r="N50" s="5">
        <f t="shared" si="4"/>
        <v>0.84482758620689657</v>
      </c>
      <c r="O50" s="5">
        <f t="shared" si="5"/>
        <v>0.79591836734693877</v>
      </c>
      <c r="P50" s="3">
        <v>294</v>
      </c>
      <c r="Q50" s="3">
        <v>348</v>
      </c>
      <c r="R50" s="3">
        <v>234</v>
      </c>
      <c r="S50" s="49">
        <v>345575.65257099998</v>
      </c>
      <c r="T50" s="49">
        <v>2048260</v>
      </c>
      <c r="U50" s="49">
        <v>31533</v>
      </c>
      <c r="V50" s="49">
        <v>28666</v>
      </c>
      <c r="W50" s="49">
        <f t="shared" si="6"/>
        <v>0.1687166924955816</v>
      </c>
      <c r="X50" s="49">
        <v>348</v>
      </c>
      <c r="Y50" s="49">
        <v>114</v>
      </c>
      <c r="Z50" s="49">
        <v>279</v>
      </c>
      <c r="AA50" s="156">
        <f t="shared" si="7"/>
        <v>5.2631578947368418E-2</v>
      </c>
      <c r="AB50" s="49">
        <f t="shared" si="8"/>
        <v>-0.98460498178942124</v>
      </c>
      <c r="AC50" s="49"/>
      <c r="AD50" s="49"/>
      <c r="AE50" s="49"/>
    </row>
    <row r="51" spans="2:31" x14ac:dyDescent="0.45">
      <c r="B51" s="112">
        <v>4</v>
      </c>
      <c r="C51" s="2" t="s">
        <v>133</v>
      </c>
      <c r="D51" s="116" t="s">
        <v>129</v>
      </c>
      <c r="E51" s="117" t="s">
        <v>128</v>
      </c>
      <c r="F51" s="3">
        <v>3138840</v>
      </c>
      <c r="G51" s="4">
        <f t="shared" si="0"/>
        <v>5.5214146439857462E-2</v>
      </c>
      <c r="H51" s="3">
        <v>599622.48675000004</v>
      </c>
      <c r="I51" s="4">
        <f t="shared" si="1"/>
        <v>0.10915594514246693</v>
      </c>
      <c r="J51" s="5">
        <v>0.155914</v>
      </c>
      <c r="K51" s="5">
        <f t="shared" si="2"/>
        <v>0.19103314815345798</v>
      </c>
      <c r="L51" s="6">
        <f t="shared" si="3"/>
        <v>0.92905525759013063</v>
      </c>
      <c r="M51" s="3">
        <v>156</v>
      </c>
      <c r="N51" s="5">
        <f t="shared" si="4"/>
        <v>0.86036036036036034</v>
      </c>
      <c r="O51" s="5">
        <f t="shared" si="5"/>
        <v>0.79581151832460728</v>
      </c>
      <c r="P51" s="3">
        <v>382</v>
      </c>
      <c r="Q51" s="3">
        <v>444</v>
      </c>
      <c r="R51" s="3">
        <v>304</v>
      </c>
      <c r="S51" s="49">
        <v>540611.52480500005</v>
      </c>
      <c r="T51" s="49">
        <v>2974600</v>
      </c>
      <c r="U51" s="49">
        <v>68291</v>
      </c>
      <c r="V51" s="49">
        <v>62082</v>
      </c>
      <c r="W51" s="49">
        <f t="shared" si="6"/>
        <v>0.18174259557755668</v>
      </c>
      <c r="X51" s="49">
        <v>444</v>
      </c>
      <c r="Y51" s="49">
        <v>148</v>
      </c>
      <c r="Z51" s="49">
        <v>362</v>
      </c>
      <c r="AA51" s="156">
        <f t="shared" si="7"/>
        <v>5.4054054054054057E-2</v>
      </c>
      <c r="AB51" s="49">
        <f t="shared" si="8"/>
        <v>-0.97704195522087001</v>
      </c>
      <c r="AC51" s="49"/>
      <c r="AD51" s="49"/>
      <c r="AE51" s="49"/>
    </row>
    <row r="52" x14ac:dyDescent="0.45">
      <c r="B52" s="145">
        <v>3</v>
      </c>
      <c r="C52" s="146" t="s">
        <v>134</v>
      </c>
      <c r="D52" s="147" t="s">
        <v>129</v>
      </c>
      <c r="E52" s="148" t="s">
        <v>128</v>
      </c>
      <c r="F52" s="149">
        <v>2706480</v>
      </c>
      <c r="G52" s="150">
        <f t="shared" si="0"/>
        <v>6.6546868904205136E-2</v>
      </c>
      <c r="H52" s="149">
        <v>572262.78380900004</v>
      </c>
      <c r="I52" s="150">
        <f t="shared" si="1"/>
        <v>0.10603486660722318</v>
      </c>
      <c r="J52" s="151">
        <v>0.14879899999999999</v>
      </c>
      <c r="K52" s="151">
        <f t="shared" si="2"/>
        <v>0.2114417190627679</v>
      </c>
      <c r="L52" s="152">
        <f t="shared" si="3"/>
        <v>0.75489574232724677</v>
      </c>
      <c r="M52" s="149">
        <v>164</v>
      </c>
      <c r="N52" s="151">
        <f t="shared" si="4"/>
        <v>0.64423076923076927</v>
      </c>
      <c r="O52" s="151">
        <f t="shared" si="5"/>
        <v>1</v>
      </c>
      <c r="P52" s="149">
        <v>402</v>
      </c>
      <c r="Q52" s="149">
        <v>624</v>
      </c>
      <c r="R52" s="149">
        <v>402</v>
      </c>
      <c r="S52" s="153">
        <v>517400.310864</v>
      </c>
      <c r="T52" s="153">
        <v>2537610</v>
      </c>
      <c r="U52" s="153">
        <v>58580</v>
      </c>
      <c r="V52" s="153">
        <v>53255</v>
      </c>
      <c r="W52" s="153">
        <f t="shared" si="6"/>
        <v>0.20389276163949543</v>
      </c>
      <c r="X52" s="153">
        <v>624</v>
      </c>
      <c r="Y52" s="153">
        <v>154</v>
      </c>
      <c r="Z52" s="153">
        <v>377</v>
      </c>
      <c r="AA52" s="155">
        <f t="shared" si="7"/>
        <v>6.4935064935064929E-2</v>
      </c>
      <c r="AB52" s="153">
        <f t="shared" si="8"/>
        <v>-0.97691528643093306</v>
      </c>
      <c r="AC52" s="49"/>
      <c r="AD52" s="49"/>
      <c r="AE52" s="49"/>
    </row>
    <row r="53" spans="2:31" x14ac:dyDescent="0.45">
      <c r="B53" s="112">
        <v>4</v>
      </c>
      <c r="C53" s="2" t="s">
        <v>144</v>
      </c>
      <c r="D53" s="116" t="s">
        <v>129</v>
      </c>
      <c r="E53" s="117" t="s">
        <v>128</v>
      </c>
      <c r="F53" s="3">
        <v>1132650</v>
      </c>
      <c r="G53" s="4">
        <f t="shared" si="0"/>
        <v>6.0265663175040021E-2</v>
      </c>
      <c r="H53" s="3">
        <v>232243.36315300001</v>
      </c>
      <c r="I53" s="4">
        <f t="shared" si="1"/>
        <v>0.10082966673293736</v>
      </c>
      <c r="J53" s="5">
        <v>6.0387000000000003E-2</v>
      </c>
      <c r="K53" s="5">
        <f t="shared" si="2"/>
        <v>0.20504424416456982</v>
      </c>
      <c r="L53" s="6">
        <f t="shared" si="3"/>
        <v>0.75555880270764819</v>
      </c>
      <c r="M53" s="3">
        <v>72</v>
      </c>
      <c r="N53" s="5">
        <f t="shared" si="4"/>
        <v>0.5641025641025641</v>
      </c>
      <c r="O53" s="5">
        <f t="shared" si="5"/>
        <v>1</v>
      </c>
      <c r="P53" s="3">
        <v>176</v>
      </c>
      <c r="Q53" s="3">
        <v>312</v>
      </c>
      <c r="R53" s="3">
        <v>176</v>
      </c>
      <c r="S53" s="49">
        <v>210971.20669200001</v>
      </c>
      <c r="T53" s="49">
        <v>1068270</v>
      </c>
      <c r="U53" s="49">
        <v>21968</v>
      </c>
      <c r="V53" s="49">
        <v>19971</v>
      </c>
      <c r="W53" s="49">
        <f t="shared" si="6"/>
        <v>0.19748865613749333</v>
      </c>
      <c r="X53" s="49">
        <v>312</v>
      </c>
      <c r="Y53" s="49">
        <v>68</v>
      </c>
      <c r="Z53" s="49">
        <v>166</v>
      </c>
      <c r="AA53" s="156">
        <f t="shared" si="7"/>
        <v>5.8823529411764705E-2</v>
      </c>
      <c r="AB53" s="49">
        <f t="shared" si="8"/>
        <v>-0.97943591039718425</v>
      </c>
      <c r="AC53" s="49"/>
      <c r="AD53" s="49"/>
      <c r="AE53" s="49"/>
    </row>
    <row r="54" spans="2:31" x14ac:dyDescent="0.45">
      <c r="B54" s="112">
        <v>4</v>
      </c>
      <c r="C54" s="2" t="s">
        <v>142</v>
      </c>
      <c r="D54" s="116" t="s">
        <v>129</v>
      </c>
      <c r="E54" s="117" t="s">
        <v>128</v>
      </c>
      <c r="F54" s="3">
        <v>1573830</v>
      </c>
      <c r="G54" s="4">
        <f t="shared" si="0"/>
        <v>7.1113561190738694E-2</v>
      </c>
      <c r="H54" s="3">
        <v>340019.42065599997</v>
      </c>
      <c r="I54" s="4">
        <f t="shared" si="1"/>
        <v>0.10961855785456187</v>
      </c>
      <c r="J54" s="5">
        <v>8.8412000000000004E-2</v>
      </c>
      <c r="K54" s="5">
        <f t="shared" si="2"/>
        <v>0.2160458376419308</v>
      </c>
      <c r="L54" s="6">
        <f t="shared" si="3"/>
        <v>0.74970305775345358</v>
      </c>
      <c r="M54" s="3">
        <v>92</v>
      </c>
      <c r="N54" s="5">
        <f t="shared" si="4"/>
        <v>0.72435897435897434</v>
      </c>
      <c r="O54" s="5">
        <f t="shared" si="5"/>
        <v>1</v>
      </c>
      <c r="P54" s="3">
        <v>226</v>
      </c>
      <c r="Q54" s="3">
        <v>312</v>
      </c>
      <c r="R54" s="3">
        <v>226</v>
      </c>
      <c r="S54" s="49">
        <v>306429.10417200002</v>
      </c>
      <c r="T54" s="49">
        <v>1469340</v>
      </c>
      <c r="U54" s="49">
        <v>36612</v>
      </c>
      <c r="V54" s="49">
        <v>33284</v>
      </c>
      <c r="W54" s="49">
        <f t="shared" si="6"/>
        <v>0.20854880706439627</v>
      </c>
      <c r="X54" s="49">
        <v>312</v>
      </c>
      <c r="Y54" s="49">
        <v>86</v>
      </c>
      <c r="Z54" s="49">
        <v>211</v>
      </c>
      <c r="AA54" s="156">
        <f t="shared" si="7"/>
        <v>6.9767441860465115E-2</v>
      </c>
      <c r="AB54" s="49">
        <f t="shared" si="8"/>
        <v>-0.9750826901874311</v>
      </c>
      <c r="AC54" s="49"/>
      <c r="AD54" s="49"/>
      <c r="AE54" s="49"/>
    </row>
    <row r="55" x14ac:dyDescent="0.45">
      <c r="B55" s="145">
        <v>3</v>
      </c>
      <c r="C55" s="146" t="s">
        <v>140</v>
      </c>
      <c r="D55" s="147" t="s">
        <v>129</v>
      </c>
      <c r="E55" s="148" t="s">
        <v>128</v>
      </c>
      <c r="F55" s="149">
        <v>1949700</v>
      </c>
      <c r="G55" s="150">
        <f t="shared" si="0"/>
        <v>6.2744264386048104E-2</v>
      </c>
      <c r="H55" s="149">
        <v>81727.988574000003</v>
      </c>
      <c r="I55" s="150">
        <f t="shared" si="1"/>
        <v>-0.16204481124896888</v>
      </c>
      <c r="J55" s="151">
        <v>2.1250000000000002E-2</v>
      </c>
      <c r="K55" s="151">
        <f t="shared" si="2"/>
        <v>4.1918237971995696E-2</v>
      </c>
      <c r="L55" s="152">
        <f t="shared" si="3"/>
        <v>-1.1244947334258015</v>
      </c>
      <c r="M55" s="149">
        <v>87</v>
      </c>
      <c r="N55" s="151">
        <f t="shared" si="4"/>
        <v>0.6640625</v>
      </c>
      <c r="O55" s="151">
        <f t="shared" si="5"/>
        <v>1</v>
      </c>
      <c r="P55" s="149">
        <v>255</v>
      </c>
      <c r="Q55" s="149">
        <v>384</v>
      </c>
      <c r="R55" s="149">
        <v>255</v>
      </c>
      <c r="S55" s="153">
        <v>97532.648130999994</v>
      </c>
      <c r="T55" s="153">
        <v>1834590</v>
      </c>
      <c r="U55" s="153">
        <v>49090</v>
      </c>
      <c r="V55" s="153">
        <v>44627</v>
      </c>
      <c r="W55" s="153">
        <f t="shared" si="6"/>
        <v>5.3163185306253712E-2</v>
      </c>
      <c r="X55" s="153">
        <v>384</v>
      </c>
      <c r="Y55" s="153">
        <v>82</v>
      </c>
      <c r="Z55" s="153">
        <v>240</v>
      </c>
      <c r="AA55" s="155">
        <f t="shared" si="7"/>
        <v>6.097560975609756E-2</v>
      </c>
      <c r="AB55" s="153">
        <f t="shared" si="8"/>
        <v>-0.97324197777160015</v>
      </c>
      <c r="AC55" s="49"/>
      <c r="AD55" s="49"/>
      <c r="AE55" s="49"/>
    </row>
    <row r="56" spans="2:31" x14ac:dyDescent="0.45">
      <c r="B56" s="112">
        <v>4</v>
      </c>
      <c r="C56" s="2" t="s">
        <v>138</v>
      </c>
      <c r="D56" s="116" t="s">
        <v>129</v>
      </c>
      <c r="E56" s="117" t="s">
        <v>128</v>
      </c>
      <c r="F56" s="3">
        <v>863550</v>
      </c>
      <c r="G56" s="4">
        <f t="shared" si="0"/>
        <v>5.4048116005712403E-2</v>
      </c>
      <c r="H56" s="3">
        <v>32830.609501999999</v>
      </c>
      <c r="I56" s="4">
        <f t="shared" si="1"/>
        <v>-0.18679540053536764</v>
      </c>
      <c r="J56" s="5">
        <v>8.5360000000000002E-3</v>
      </c>
      <c r="K56" s="5">
        <f t="shared" si="2"/>
        <v>3.8018191768861093E-2</v>
      </c>
      <c r="L56" s="6">
        <f t="shared" si="3"/>
        <v>-1.1259694059986538</v>
      </c>
      <c r="M56" s="3">
        <v>40</v>
      </c>
      <c r="N56" s="5">
        <f t="shared" si="4"/>
        <v>0.609375</v>
      </c>
      <c r="O56" s="5">
        <f t="shared" si="5"/>
        <v>1</v>
      </c>
      <c r="P56" s="3">
        <v>117</v>
      </c>
      <c r="Q56" s="3">
        <v>192</v>
      </c>
      <c r="R56" s="3">
        <v>117</v>
      </c>
      <c r="S56" s="49">
        <v>40371.893522999999</v>
      </c>
      <c r="T56" s="49">
        <v>819270</v>
      </c>
      <c r="U56" s="49">
        <v>18850</v>
      </c>
      <c r="V56" s="49">
        <v>17136</v>
      </c>
      <c r="W56" s="49">
        <f t="shared" si="6"/>
        <v>4.927788582884763E-2</v>
      </c>
      <c r="X56" s="49">
        <v>192</v>
      </c>
      <c r="Y56" s="49">
        <v>38</v>
      </c>
      <c r="Z56" s="49">
        <v>111</v>
      </c>
      <c r="AA56" s="156">
        <f t="shared" si="7"/>
        <v>5.2631578947368418E-2</v>
      </c>
      <c r="AB56" s="49">
        <f t="shared" si="8"/>
        <v>-0.97699171213397296</v>
      </c>
      <c r="AC56" s="49"/>
      <c r="AD56" s="49"/>
      <c r="AE56" s="49"/>
    </row>
    <row r="57" spans="2:31" x14ac:dyDescent="0.45">
      <c r="B57" s="112">
        <v>4</v>
      </c>
      <c r="C57" s="2" t="s">
        <v>139</v>
      </c>
      <c r="D57" s="116" t="s">
        <v>129</v>
      </c>
      <c r="E57" s="117" t="s">
        <v>128</v>
      </c>
      <c r="F57" s="3">
        <v>1086150</v>
      </c>
      <c r="G57" s="4">
        <f t="shared" si="0"/>
        <v>6.9761257534570381E-2</v>
      </c>
      <c r="H57" s="3">
        <v>48897.379072000003</v>
      </c>
      <c r="I57" s="4">
        <f t="shared" si="1"/>
        <v>-0.14456379368447822</v>
      </c>
      <c r="J57" s="5">
        <v>1.2714E-2</v>
      </c>
      <c r="K57" s="5">
        <f t="shared" si="2"/>
        <v>4.5018992838926485E-2</v>
      </c>
      <c r="L57" s="6">
        <f t="shared" si="3"/>
        <v>-1.1279272346433797</v>
      </c>
      <c r="M57" s="3">
        <v>47</v>
      </c>
      <c r="N57" s="5">
        <f t="shared" si="4"/>
        <v>0.71875</v>
      </c>
      <c r="O57" s="5">
        <f t="shared" si="5"/>
        <v>1</v>
      </c>
      <c r="P57" s="3">
        <v>138</v>
      </c>
      <c r="Q57" s="3">
        <v>192</v>
      </c>
      <c r="R57" s="3">
        <v>138</v>
      </c>
      <c r="S57" s="49">
        <v>57160.754608000003</v>
      </c>
      <c r="T57" s="49">
        <v>1015320</v>
      </c>
      <c r="U57" s="49">
        <v>30240</v>
      </c>
      <c r="V57" s="49">
        <v>27491</v>
      </c>
      <c r="W57" s="49">
        <f t="shared" si="6"/>
        <v>5.6298265185360283E-2</v>
      </c>
      <c r="X57" s="49">
        <v>192</v>
      </c>
      <c r="Y57" s="49">
        <v>44</v>
      </c>
      <c r="Z57" s="49">
        <v>129</v>
      </c>
      <c r="AA57" s="156">
        <f t="shared" si="7"/>
        <v>6.8181818181818177E-2</v>
      </c>
      <c r="AB57" s="49">
        <f t="shared" si="8"/>
        <v>-0.97021628649095848</v>
      </c>
      <c r="AC57" s="49"/>
      <c r="AD57" s="49"/>
      <c r="AE57" s="49"/>
    </row>
    <row r="58" spans="2:31" x14ac:dyDescent="0.45">
      <c r="B58" s="113"/>
      <c r="C58" s="114"/>
      <c r="D58" s="115"/>
      <c r="E58" s="115"/>
      <c r="F58" s="3"/>
      <c r="G58" s="4"/>
      <c r="H58" s="3"/>
      <c r="I58" s="4"/>
      <c r="J58" s="5"/>
      <c r="K58" s="5"/>
      <c r="L58" s="6"/>
      <c r="M58" s="3"/>
      <c r="N58" s="5"/>
      <c r="O58" s="5"/>
      <c r="P58" s="3"/>
      <c r="Q58" s="3"/>
      <c r="R58" s="3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</row>
    <row r="59" spans="2:31" x14ac:dyDescent="0.45">
      <c r="B59" s="113"/>
      <c r="C59" s="114"/>
      <c r="D59" s="115"/>
      <c r="E59" s="115"/>
      <c r="F59" s="3"/>
      <c r="G59" s="4"/>
      <c r="H59" s="3"/>
      <c r="I59" s="4"/>
      <c r="J59" s="5"/>
      <c r="K59" s="5"/>
      <c r="L59" s="6"/>
      <c r="M59" s="3"/>
      <c r="N59" s="5"/>
      <c r="O59" s="5"/>
      <c r="P59" s="3"/>
      <c r="Q59" s="3"/>
      <c r="R59" s="3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</row>
    <row r="60" spans="2:31" x14ac:dyDescent="0.45">
      <c r="B60" s="113"/>
      <c r="C60" s="114"/>
      <c r="D60" s="115"/>
      <c r="E60" s="115"/>
      <c r="F60" s="3"/>
      <c r="G60" s="4"/>
      <c r="H60" s="3"/>
      <c r="I60" s="4"/>
      <c r="J60" s="5"/>
      <c r="K60" s="5"/>
      <c r="L60" s="6"/>
      <c r="M60" s="3"/>
      <c r="N60" s="5"/>
      <c r="O60" s="5"/>
      <c r="P60" s="3"/>
      <c r="Q60" s="3"/>
      <c r="R60" s="3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</row>
    <row r="61" spans="2:31" x14ac:dyDescent="0.45">
      <c r="B61" s="113"/>
      <c r="C61" s="114"/>
      <c r="D61" s="115"/>
      <c r="E61" s="115"/>
      <c r="F61" s="3"/>
      <c r="G61" s="4"/>
      <c r="H61" s="3"/>
      <c r="I61" s="4"/>
      <c r="J61" s="5"/>
      <c r="K61" s="5"/>
      <c r="L61" s="6"/>
      <c r="M61" s="3"/>
      <c r="N61" s="5"/>
      <c r="O61" s="5"/>
      <c r="P61" s="3"/>
      <c r="Q61" s="3"/>
      <c r="R61" s="3"/>
    </row>
    <row r="62" spans="2:31" x14ac:dyDescent="0.45">
      <c r="B62" s="113"/>
      <c r="C62" s="114"/>
      <c r="D62" s="115"/>
      <c r="E62" s="115"/>
      <c r="F62" s="3"/>
      <c r="G62" s="4"/>
      <c r="H62" s="3"/>
      <c r="I62" s="4"/>
      <c r="J62" s="5"/>
      <c r="K62" s="5"/>
      <c r="L62" s="6"/>
      <c r="M62" s="3"/>
      <c r="N62" s="5"/>
      <c r="O62" s="5"/>
      <c r="P62" s="3"/>
      <c r="Q62" s="3"/>
      <c r="R62" s="3"/>
    </row>
    <row r="63" spans="2:31" x14ac:dyDescent="0.45">
      <c r="B63" s="113"/>
      <c r="C63" s="114"/>
      <c r="D63" s="115"/>
      <c r="E63" s="115"/>
      <c r="F63" s="3"/>
      <c r="G63" s="4"/>
      <c r="H63" s="3"/>
      <c r="I63" s="4"/>
      <c r="J63" s="5"/>
      <c r="K63" s="5"/>
      <c r="L63" s="6"/>
      <c r="M63" s="3"/>
      <c r="N63" s="5"/>
      <c r="O63" s="5"/>
      <c r="P63" s="3"/>
      <c r="Q63" s="3"/>
      <c r="R63" s="3"/>
    </row>
    <row r="64" spans="2:31" x14ac:dyDescent="0.45">
      <c r="B64" s="113"/>
      <c r="C64" s="114"/>
      <c r="D64" s="115"/>
      <c r="E64" s="115"/>
      <c r="F64" s="3"/>
      <c r="G64" s="4"/>
      <c r="H64" s="3"/>
      <c r="I64" s="4"/>
      <c r="J64" s="5"/>
      <c r="K64" s="5"/>
      <c r="L64" s="6"/>
      <c r="M64" s="3"/>
      <c r="N64" s="5"/>
      <c r="O64" s="5"/>
      <c r="P64" s="3"/>
      <c r="Q64" s="3"/>
      <c r="R64" s="3"/>
    </row>
    <row r="65" spans="2:18" x14ac:dyDescent="0.45">
      <c r="B65" s="113"/>
      <c r="C65" s="114"/>
      <c r="D65" s="115"/>
      <c r="E65" s="115"/>
      <c r="F65" s="3"/>
      <c r="G65" s="4"/>
      <c r="H65" s="3"/>
      <c r="I65" s="4"/>
      <c r="J65" s="5"/>
      <c r="K65" s="5"/>
      <c r="L65" s="6"/>
      <c r="M65" s="3"/>
      <c r="N65" s="5"/>
      <c r="O65" s="5"/>
      <c r="P65" s="3"/>
      <c r="Q65" s="3"/>
      <c r="R65" s="3"/>
    </row>
    <row r="66" spans="2:18" x14ac:dyDescent="0.45">
      <c r="B66" s="113"/>
      <c r="C66" s="114"/>
      <c r="D66" s="115"/>
      <c r="E66" s="115"/>
      <c r="F66" s="3"/>
      <c r="G66" s="4"/>
      <c r="H66" s="3"/>
      <c r="I66" s="4"/>
      <c r="J66" s="5"/>
      <c r="K66" s="5"/>
      <c r="L66" s="6"/>
      <c r="M66" s="3"/>
      <c r="N66" s="5"/>
      <c r="O66" s="5"/>
      <c r="P66" s="3"/>
      <c r="Q66" s="3"/>
      <c r="R66" s="3"/>
    </row>
    <row r="67" spans="2:18" x14ac:dyDescent="0.45">
      <c r="B67" s="113"/>
      <c r="C67" s="114"/>
      <c r="D67" s="115"/>
      <c r="E67" s="115"/>
      <c r="F67" s="3"/>
      <c r="G67" s="4"/>
      <c r="H67" s="3"/>
      <c r="I67" s="4"/>
      <c r="J67" s="5"/>
      <c r="K67" s="5"/>
      <c r="L67" s="6"/>
      <c r="M67" s="3"/>
      <c r="N67" s="5"/>
      <c r="O67" s="5"/>
      <c r="P67" s="3"/>
      <c r="Q67" s="3"/>
      <c r="R67" s="3"/>
    </row>
    <row r="68" spans="2:18" x14ac:dyDescent="0.45">
      <c r="B68" s="113"/>
      <c r="C68" s="114"/>
      <c r="D68" s="115"/>
      <c r="E68" s="115"/>
      <c r="F68" s="3"/>
      <c r="G68" s="4"/>
      <c r="H68" s="3"/>
      <c r="I68" s="4"/>
      <c r="J68" s="5"/>
      <c r="K68" s="5"/>
      <c r="L68" s="6"/>
      <c r="M68" s="3"/>
      <c r="N68" s="5"/>
      <c r="O68" s="5"/>
      <c r="P68" s="3"/>
      <c r="Q68" s="3"/>
      <c r="R68" s="3"/>
    </row>
    <row r="69" spans="2:18" x14ac:dyDescent="0.45">
      <c r="B69" s="113"/>
      <c r="C69" s="114"/>
      <c r="D69" s="115"/>
      <c r="E69" s="115"/>
      <c r="F69" s="3"/>
      <c r="G69" s="4"/>
      <c r="H69" s="3"/>
      <c r="I69" s="4"/>
      <c r="J69" s="5"/>
      <c r="K69" s="5"/>
      <c r="L69" s="6"/>
      <c r="M69" s="3"/>
      <c r="N69" s="5"/>
      <c r="O69" s="5"/>
      <c r="P69" s="3"/>
      <c r="Q69" s="3"/>
      <c r="R69" s="3"/>
    </row>
    <row r="70" spans="2:18" x14ac:dyDescent="0.45">
      <c r="B70" s="113"/>
      <c r="C70" s="114"/>
      <c r="D70" s="115"/>
      <c r="E70" s="115"/>
      <c r="F70" s="3"/>
      <c r="G70" s="4"/>
      <c r="H70" s="3"/>
      <c r="I70" s="4"/>
      <c r="J70" s="5"/>
      <c r="K70" s="5"/>
      <c r="L70" s="6"/>
      <c r="M70" s="3"/>
      <c r="N70" s="5"/>
      <c r="O70" s="5"/>
      <c r="P70" s="3"/>
      <c r="Q70" s="3"/>
      <c r="R70" s="3"/>
    </row>
    <row r="71" spans="2:18" x14ac:dyDescent="0.45">
      <c r="B71" s="113"/>
      <c r="C71" s="114"/>
      <c r="D71" s="115"/>
      <c r="E71" s="115"/>
      <c r="F71" s="3"/>
      <c r="G71" s="4"/>
      <c r="H71" s="3"/>
      <c r="I71" s="4"/>
      <c r="J71" s="5"/>
      <c r="K71" s="5"/>
      <c r="L71" s="6"/>
      <c r="M71" s="3"/>
      <c r="N71" s="5"/>
      <c r="O71" s="5"/>
      <c r="P71" s="3"/>
      <c r="Q71" s="3"/>
      <c r="R71" s="3"/>
    </row>
    <row r="72" spans="2:18" x14ac:dyDescent="0.45">
      <c r="B72" s="113"/>
      <c r="C72" s="114"/>
      <c r="D72" s="115"/>
      <c r="E72" s="115"/>
      <c r="F72" s="3"/>
      <c r="G72" s="4"/>
      <c r="H72" s="3"/>
      <c r="I72" s="4"/>
      <c r="J72" s="5"/>
      <c r="K72" s="5"/>
      <c r="L72" s="6"/>
      <c r="M72" s="3"/>
      <c r="N72" s="5"/>
      <c r="O72" s="5"/>
      <c r="P72" s="3"/>
      <c r="Q72" s="3"/>
      <c r="R72" s="3"/>
    </row>
    <row r="73" spans="2:18" x14ac:dyDescent="0.45">
      <c r="B73" s="113"/>
      <c r="C73" s="114"/>
      <c r="D73" s="115"/>
      <c r="E73" s="115"/>
      <c r="F73" s="3"/>
      <c r="G73" s="4"/>
      <c r="H73" s="3"/>
      <c r="I73" s="4"/>
      <c r="J73" s="5"/>
      <c r="K73" s="5"/>
      <c r="L73" s="6"/>
      <c r="M73" s="3"/>
      <c r="N73" s="5"/>
      <c r="O73" s="5"/>
      <c r="P73" s="3"/>
      <c r="Q73" s="3"/>
      <c r="R73" s="3"/>
    </row>
    <row r="74" spans="2:18" x14ac:dyDescent="0.45">
      <c r="B74" s="113"/>
      <c r="C74" s="114"/>
      <c r="D74" s="115"/>
      <c r="E74" s="115"/>
      <c r="F74" s="3"/>
      <c r="G74" s="4"/>
      <c r="H74" s="3"/>
      <c r="I74" s="4"/>
      <c r="J74" s="5"/>
      <c r="K74" s="5"/>
      <c r="L74" s="6"/>
      <c r="M74" s="3"/>
      <c r="N74" s="5"/>
      <c r="O74" s="5"/>
      <c r="P74" s="3"/>
      <c r="Q74" s="3"/>
      <c r="R74" s="3"/>
    </row>
    <row r="75" spans="2:18" x14ac:dyDescent="0.45">
      <c r="B75" s="113"/>
      <c r="C75" s="114"/>
      <c r="D75" s="115"/>
      <c r="E75" s="115"/>
      <c r="F75" s="3"/>
      <c r="G75" s="4"/>
      <c r="H75" s="3"/>
      <c r="I75" s="4"/>
      <c r="J75" s="5"/>
      <c r="K75" s="5"/>
      <c r="L75" s="6"/>
      <c r="M75" s="3"/>
      <c r="N75" s="5"/>
      <c r="O75" s="5"/>
      <c r="P75" s="3"/>
      <c r="Q75" s="3"/>
      <c r="R75" s="3"/>
    </row>
    <row r="76" spans="2:18" x14ac:dyDescent="0.45">
      <c r="B76" s="113"/>
      <c r="C76" s="114"/>
      <c r="D76" s="115"/>
      <c r="E76" s="115"/>
      <c r="F76" s="3"/>
      <c r="G76" s="4"/>
      <c r="H76" s="3"/>
      <c r="I76" s="4"/>
      <c r="J76" s="5"/>
      <c r="K76" s="5"/>
      <c r="L76" s="6"/>
      <c r="M76" s="3"/>
      <c r="N76" s="5"/>
      <c r="O76" s="5"/>
      <c r="P76" s="3"/>
      <c r="Q76" s="3"/>
      <c r="R76" s="3"/>
    </row>
    <row r="77" spans="2:18" x14ac:dyDescent="0.45">
      <c r="B77" s="113"/>
      <c r="C77" s="114"/>
      <c r="D77" s="115"/>
      <c r="E77" s="115"/>
      <c r="F77" s="3"/>
      <c r="G77" s="4"/>
      <c r="H77" s="3"/>
      <c r="I77" s="4"/>
      <c r="J77" s="5"/>
      <c r="K77" s="5"/>
      <c r="L77" s="6"/>
      <c r="M77" s="3"/>
      <c r="N77" s="5"/>
      <c r="O77" s="5"/>
      <c r="P77" s="3"/>
      <c r="Q77" s="3"/>
      <c r="R77" s="3"/>
    </row>
    <row r="78" spans="2:18" x14ac:dyDescent="0.45">
      <c r="B78" s="113"/>
      <c r="C78" s="114"/>
      <c r="D78" s="115"/>
      <c r="E78" s="115"/>
      <c r="F78" s="3"/>
      <c r="G78" s="4"/>
      <c r="H78" s="3"/>
      <c r="I78" s="4"/>
      <c r="J78" s="5"/>
      <c r="K78" s="5"/>
      <c r="L78" s="6"/>
      <c r="M78" s="3"/>
      <c r="N78" s="5"/>
      <c r="O78" s="5"/>
      <c r="P78" s="3"/>
      <c r="Q78" s="3"/>
      <c r="R78" s="3"/>
    </row>
    <row r="79" spans="2:18" x14ac:dyDescent="0.45">
      <c r="B79" s="113"/>
      <c r="C79" s="114"/>
      <c r="D79" s="115"/>
      <c r="E79" s="115"/>
      <c r="F79" s="3"/>
      <c r="G79" s="4"/>
      <c r="H79" s="3"/>
      <c r="I79" s="4"/>
      <c r="J79" s="5"/>
      <c r="K79" s="5"/>
      <c r="L79" s="6"/>
      <c r="M79" s="3"/>
      <c r="N79" s="5"/>
      <c r="O79" s="5"/>
      <c r="P79" s="3"/>
      <c r="Q79" s="3"/>
      <c r="R79" s="3"/>
    </row>
    <row r="80" spans="2:18" x14ac:dyDescent="0.45">
      <c r="B80" s="113"/>
      <c r="C80" s="114"/>
      <c r="D80" s="115"/>
      <c r="E80" s="115"/>
      <c r="F80" s="3"/>
      <c r="G80" s="4"/>
      <c r="H80" s="3"/>
      <c r="I80" s="4"/>
      <c r="J80" s="5"/>
      <c r="K80" s="5"/>
      <c r="L80" s="6"/>
      <c r="M80" s="3"/>
      <c r="N80" s="5"/>
      <c r="O80" s="5"/>
      <c r="P80" s="3"/>
      <c r="Q80" s="3"/>
      <c r="R80" s="3"/>
    </row>
    <row r="81" spans="2:18" x14ac:dyDescent="0.45">
      <c r="B81" s="113"/>
      <c r="C81" s="114"/>
      <c r="D81" s="115"/>
      <c r="E81" s="115"/>
      <c r="F81" s="3"/>
      <c r="G81" s="4"/>
      <c r="H81" s="3"/>
      <c r="I81" s="4"/>
      <c r="J81" s="5"/>
      <c r="K81" s="5"/>
      <c r="L81" s="6"/>
      <c r="M81" s="3"/>
      <c r="N81" s="5"/>
      <c r="O81" s="5"/>
      <c r="P81" s="3"/>
      <c r="Q81" s="3"/>
      <c r="R81" s="3"/>
    </row>
    <row r="82" spans="2:18" x14ac:dyDescent="0.45">
      <c r="B82" s="113"/>
      <c r="C82" s="114"/>
      <c r="D82" s="115"/>
      <c r="E82" s="115"/>
      <c r="F82" s="3"/>
      <c r="G82" s="4"/>
      <c r="H82" s="3"/>
      <c r="I82" s="4"/>
      <c r="J82" s="5"/>
      <c r="K82" s="5"/>
      <c r="L82" s="6"/>
      <c r="M82" s="3"/>
      <c r="N82" s="5"/>
      <c r="O82" s="5"/>
      <c r="P82" s="3"/>
      <c r="Q82" s="3"/>
      <c r="R82" s="3"/>
    </row>
    <row r="83" spans="2:18" x14ac:dyDescent="0.45">
      <c r="B83" s="113"/>
      <c r="C83" s="114"/>
      <c r="D83" s="115"/>
      <c r="E83" s="115"/>
      <c r="F83" s="3"/>
      <c r="G83" s="4"/>
      <c r="H83" s="3"/>
      <c r="I83" s="4"/>
      <c r="J83" s="5"/>
      <c r="K83" s="5"/>
      <c r="L83" s="6"/>
      <c r="M83" s="3"/>
      <c r="N83" s="5"/>
      <c r="O83" s="5"/>
      <c r="P83" s="3"/>
      <c r="Q83" s="3"/>
      <c r="R83" s="3"/>
    </row>
    <row r="84" spans="2:18" x14ac:dyDescent="0.45">
      <c r="B84" s="113"/>
      <c r="C84" s="114"/>
      <c r="D84" s="115"/>
      <c r="E84" s="115"/>
      <c r="F84" s="3"/>
      <c r="G84" s="4"/>
      <c r="H84" s="3"/>
      <c r="I84" s="4"/>
      <c r="J84" s="5"/>
      <c r="K84" s="5"/>
      <c r="L84" s="6"/>
      <c r="M84" s="3"/>
      <c r="N84" s="5"/>
      <c r="O84" s="5"/>
      <c r="P84" s="3"/>
      <c r="Q84" s="3"/>
      <c r="R84" s="3"/>
    </row>
    <row r="85" spans="2:18" x14ac:dyDescent="0.45">
      <c r="B85" s="113"/>
      <c r="C85" s="114"/>
      <c r="D85" s="115"/>
      <c r="E85" s="115"/>
      <c r="F85" s="3"/>
      <c r="G85" s="4"/>
      <c r="H85" s="3"/>
      <c r="I85" s="4"/>
      <c r="J85" s="5"/>
      <c r="K85" s="5"/>
      <c r="L85" s="6"/>
      <c r="M85" s="3"/>
      <c r="N85" s="5"/>
      <c r="O85" s="5"/>
      <c r="P85" s="3"/>
      <c r="Q85" s="3"/>
      <c r="R85" s="3"/>
    </row>
    <row r="86" spans="2:18" x14ac:dyDescent="0.45">
      <c r="B86" s="113"/>
      <c r="C86" s="114"/>
      <c r="D86" s="115"/>
      <c r="E86" s="115"/>
      <c r="F86" s="3"/>
      <c r="G86" s="4"/>
      <c r="H86" s="3"/>
      <c r="I86" s="4"/>
      <c r="J86" s="5"/>
      <c r="K86" s="5"/>
      <c r="L86" s="6"/>
      <c r="M86" s="3"/>
      <c r="N86" s="5"/>
      <c r="O86" s="5"/>
      <c r="P86" s="3"/>
      <c r="Q86" s="3"/>
      <c r="R86" s="3"/>
    </row>
    <row r="87" spans="2:18" x14ac:dyDescent="0.45">
      <c r="B87" s="113"/>
      <c r="C87" s="114"/>
      <c r="D87" s="115"/>
      <c r="E87" s="115"/>
      <c r="F87" s="3"/>
      <c r="G87" s="4"/>
      <c r="H87" s="3"/>
      <c r="I87" s="4"/>
      <c r="J87" s="5"/>
      <c r="K87" s="5"/>
      <c r="L87" s="6"/>
      <c r="M87" s="3"/>
      <c r="N87" s="5"/>
      <c r="O87" s="5"/>
      <c r="P87" s="3"/>
      <c r="Q87" s="3"/>
      <c r="R87" s="3"/>
    </row>
  </sheetData>
  <conditionalFormatting sqref="B38:O87">
    <cfRule type="expression" dxfId="27" priority="11">
      <formula>$B38=3</formula>
    </cfRule>
    <cfRule type="expression" dxfId="26" priority="12">
      <formula>$B38=4</formula>
    </cfRule>
  </conditionalFormatting>
  <conditionalFormatting sqref="B38:R87">
    <cfRule type="expression" dxfId="25" priority="10">
      <formula>$B38=2</formula>
    </cfRule>
  </conditionalFormatting>
  <conditionalFormatting sqref="C10:E10">
    <cfRule type="cellIs" dxfId="24" priority="79" operator="greaterThan">
      <formula>0</formula>
    </cfRule>
    <cfRule type="cellIs" dxfId="23" priority="80" operator="lessThan">
      <formula>0</formula>
    </cfRule>
  </conditionalFormatting>
  <conditionalFormatting sqref="G10">
    <cfRule type="cellIs" dxfId="22" priority="81" operator="greaterThan">
      <formula>0</formula>
    </cfRule>
    <cfRule type="cellIs" dxfId="21" priority="82" operator="lessThan">
      <formula>0</formula>
    </cfRule>
  </conditionalFormatting>
  <conditionalFormatting sqref="G38:G87">
    <cfRule type="cellIs" dxfId="20" priority="4" operator="greaterThan">
      <formula>0</formula>
    </cfRule>
    <cfRule type="cellIs" dxfId="19" priority="5" operator="lessThan">
      <formula>0</formula>
    </cfRule>
  </conditionalFormatting>
  <conditionalFormatting sqref="I10">
    <cfRule type="cellIs" dxfId="18" priority="83" operator="greaterThan">
      <formula>0</formula>
    </cfRule>
    <cfRule type="cellIs" dxfId="17" priority="84" operator="lessThan">
      <formula>0</formula>
    </cfRule>
  </conditionalFormatting>
  <conditionalFormatting sqref="I38:I87">
    <cfRule type="cellIs" dxfId="16" priority="6" operator="greaterThan">
      <formula>0</formula>
    </cfRule>
    <cfRule type="cellIs" dxfId="15" priority="7" operator="lessThan">
      <formula>0</formula>
    </cfRule>
  </conditionalFormatting>
  <conditionalFormatting sqref="J38:J87">
    <cfRule type="dataBar" priority="3">
      <dataBar>
        <cfvo type="num" val="0"/>
        <cfvo type="num" val="1"/>
        <color rgb="FFB8CFEC"/>
      </dataBar>
    </cfRule>
  </conditionalFormatting>
  <conditionalFormatting sqref="K10">
    <cfRule type="cellIs" dxfId="14" priority="85" operator="greaterThan">
      <formula>0</formula>
    </cfRule>
    <cfRule type="cellIs" dxfId="13" priority="86" operator="lessThan">
      <formula>0</formula>
    </cfRule>
  </conditionalFormatting>
  <conditionalFormatting sqref="K38:K87">
    <cfRule type="colorScale" priority="1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L38:L87">
    <cfRule type="cellIs" dxfId="12" priority="8" operator="greaterThan">
      <formula>0</formula>
    </cfRule>
    <cfRule type="cellIs" dxfId="11" priority="9" operator="lessThan">
      <formula>0</formula>
    </cfRule>
  </conditionalFormatting>
  <conditionalFormatting sqref="M10">
    <cfRule type="cellIs" dxfId="10" priority="87" operator="greaterThan">
      <formula>0</formula>
    </cfRule>
    <cfRule type="cellIs" dxfId="9" priority="88" operator="lessThan">
      <formula>0</formula>
    </cfRule>
  </conditionalFormatting>
  <conditionalFormatting sqref="N38:N87">
    <cfRule type="colorScale" priority="2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354C-EB32-4A06-B6D4-0252FB49EF82}">
  <dimension ref="A1:CD82"/>
  <sheetViews>
    <sheetView workbookViewId="0">
      <selection activeCell="B10" sqref="B10"/>
    </sheetView>
  </sheetViews>
  <sheetFormatPr baseColWidth="10" defaultColWidth="9.06640625" defaultRowHeight="14.25" x14ac:dyDescent="0.45"/>
  <cols>
    <col min="1" max="1" width="2.46484375" customWidth="1"/>
    <col min="2" max="2" width="26" customWidth="1"/>
    <col min="3" max="4" width="11" customWidth="1"/>
    <col min="5" max="5" width="12" customWidth="1"/>
    <col min="6" max="7" width="13" customWidth="1"/>
    <col min="8" max="9" width="15" customWidth="1"/>
    <col min="10" max="10" width="19" customWidth="1"/>
    <col min="11" max="12" width="14" customWidth="1"/>
    <col min="13" max="14" width="12" customWidth="1"/>
    <col min="15" max="16" width="13" customWidth="1"/>
    <col min="18" max="18" width="3" customWidth="1"/>
    <col min="19" max="23" width="15" customWidth="1"/>
  </cols>
  <sheetData>
    <row r="1" spans="1:82" ht="8" customHeight="1" x14ac:dyDescent="0.4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</row>
    <row r="2" spans="1:82" ht="8" customHeight="1" x14ac:dyDescent="0.4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</row>
    <row r="3" spans="1:82" ht="26" customHeight="1" x14ac:dyDescent="0.45">
      <c r="A3" s="95"/>
      <c r="B3" s="95"/>
      <c r="C3" s="95" t="s">
        <v>74</v>
      </c>
      <c r="D3" s="56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</row>
    <row r="4" spans="1:82" s="94" customFormat="1" ht="15" customHeight="1" thickBot="1" x14ac:dyDescent="0.5">
      <c r="A4" s="96"/>
      <c r="B4" s="96"/>
      <c r="C4" s="96" t="s">
        <v>85</v>
      </c>
      <c r="D4" s="9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</row>
    <row r="5" spans="1:82" ht="10.050000000000001" customHeight="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ht="24" customHeight="1" x14ac:dyDescent="0.45">
      <c r="A6" s="1"/>
      <c r="B6" s="58" t="e">
        <f>"L'EBITDA passe de "&amp;TEXT(C12,"#,##0 €")&amp;" à "&amp;TEXT(C18,"#,##0 €")&amp;", soit "&amp;TEXT(C18-C12,"+#,##0 €;-#,##0 €")&amp;"  ("&amp;TEXT(C18/C12-1,"+0.0%;-0.0%")&amp;")"</f>
        <v>#DIV/0!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ht="14" customHeight="1" x14ac:dyDescent="0.45">
      <c r="A7" s="1"/>
      <c r="B7" s="59" t="s">
        <v>75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82" ht="8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ht="15" customHeight="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spans="1:82" ht="15" customHeight="1" x14ac:dyDescent="0.45">
      <c r="A10" s="1"/>
      <c r="B10" s="52" t="s">
        <v>76</v>
      </c>
      <c r="C10" s="1"/>
      <c r="D10" s="53" t="s">
        <v>77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spans="1:82" ht="22.5" customHeight="1" x14ac:dyDescent="0.45">
      <c r="A11" s="1"/>
      <c r="B11" s="123" t="s">
        <v>72</v>
      </c>
      <c r="C11" s="124" t="s">
        <v>73</v>
      </c>
      <c r="D11" s="124" t="s">
        <v>115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spans="1:82" ht="15" customHeight="1" x14ac:dyDescent="0.45">
      <c r="A12" s="1"/>
      <c r="B12" s="60" t="s">
        <v>64</v>
      </c>
      <c r="C12" s="61">
        <f>O43</f>
        <v>0</v>
      </c>
      <c r="D12" s="6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spans="1:82" ht="15" customHeight="1" x14ac:dyDescent="0.45">
      <c r="A13" s="1"/>
      <c r="B13" s="63" t="s">
        <v>66</v>
      </c>
      <c r="C13" s="64">
        <f>S43</f>
        <v>0</v>
      </c>
      <c r="D13" s="54" t="str">
        <f>IFERROR(IF(C13&gt;0,C13/SUMIF(C13:C17,"&gt;0"),C13/SUMIF(C13:C17,"&lt;0")),"")</f>
        <v/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82" ht="15" customHeight="1" x14ac:dyDescent="0.45">
      <c r="A14" s="1"/>
      <c r="B14" s="63" t="s">
        <v>67</v>
      </c>
      <c r="C14" s="64">
        <f>T43</f>
        <v>0</v>
      </c>
      <c r="D14" s="54" t="str">
        <f>IFERROR(IF(C14&gt;0,C14/SUMIF(C13:C17,"&gt;0"),C14/SUMIF(C13:C17,"&lt;0")),"")</f>
        <v/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82" ht="15" customHeight="1" x14ac:dyDescent="0.45">
      <c r="A15" s="1"/>
      <c r="B15" s="63" t="s">
        <v>68</v>
      </c>
      <c r="C15" s="64">
        <f>U43</f>
        <v>0</v>
      </c>
      <c r="D15" s="54" t="str">
        <f>IFERROR(IF(C15&gt;0,C15/SUMIF(C13:C17,"&gt;0"),C15/SUMIF(C13:C17,"&lt;0")),"")</f>
        <v/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82" ht="15" customHeight="1" x14ac:dyDescent="0.45">
      <c r="A16" s="1"/>
      <c r="B16" s="63" t="s">
        <v>69</v>
      </c>
      <c r="C16" s="64">
        <f>V43</f>
        <v>0</v>
      </c>
      <c r="D16" s="54" t="str">
        <f>IFERROR(IF(C16&gt;0,C16/SUMIF(C13:C17,"&gt;0"),C16/SUMIF(C13:C17,"&lt;0")),"")</f>
        <v/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ht="15" customHeight="1" x14ac:dyDescent="0.45">
      <c r="A17" s="1"/>
      <c r="B17" s="63" t="s">
        <v>70</v>
      </c>
      <c r="C17" s="64">
        <f>W43</f>
        <v>0</v>
      </c>
      <c r="D17" s="54" t="str">
        <f>IFERROR(IF(C17&gt;0,C17/SUMIF(C13:C17,"&gt;0"),C17/SUMIF(C13:C17,"&lt;0")),"")</f>
        <v/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ht="15" customHeight="1" x14ac:dyDescent="0.45">
      <c r="A18" s="1"/>
      <c r="B18" s="60" t="s">
        <v>65</v>
      </c>
      <c r="C18" s="61">
        <f>P43</f>
        <v>0</v>
      </c>
      <c r="D18" s="6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ht="15" customHeight="1" x14ac:dyDescent="0.45">
      <c r="A19" s="1"/>
      <c r="B19" s="89" t="s">
        <v>116</v>
      </c>
      <c r="C19" s="90">
        <f>SUMIF($C$13:$C$17,"&gt;0")</f>
        <v>0</v>
      </c>
      <c r="D19" s="91">
        <f>SUMIF(C13:C17,"&lt;0")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ht="15" customHeight="1" thickBot="1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spans="1:82" ht="15" customHeight="1" thickBot="1" x14ac:dyDescent="0.5">
      <c r="A21" s="1"/>
      <c r="B21" s="65" t="s">
        <v>78</v>
      </c>
      <c r="C21" s="66">
        <f>SUM(C13:C17)-(C18-C12)</f>
        <v>0</v>
      </c>
      <c r="D21" s="67" t="s">
        <v>79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ht="1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spans="1:82" ht="1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ht="1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ht="1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ht="1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spans="1:82" ht="1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spans="1:82" ht="20" hidden="1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spans="1:82" hidden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 t="s">
        <v>64</v>
      </c>
      <c r="Z30" s="1">
        <v>0</v>
      </c>
      <c r="AA30" s="1">
        <f>C12</f>
        <v>0</v>
      </c>
      <c r="AB30" s="1">
        <v>0</v>
      </c>
      <c r="AC30" s="1"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spans="1:82" hidden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 t="s">
        <v>66</v>
      </c>
      <c r="Z31" s="1">
        <f>MIN(C12,C12+SUM(C13:C13))</f>
        <v>0</v>
      </c>
      <c r="AA31" s="1">
        <v>0</v>
      </c>
      <c r="AB31" s="1">
        <f>MAX(C13,0)</f>
        <v>0</v>
      </c>
      <c r="AC31" s="1">
        <f>MAX(-C13,0)</f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spans="1:82" hidden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 t="s">
        <v>67</v>
      </c>
      <c r="Z32" s="1">
        <f>MIN(C12+SUM(C13:C13),C12+SUM(C13:C14))</f>
        <v>0</v>
      </c>
      <c r="AA32" s="1">
        <v>0</v>
      </c>
      <c r="AB32" s="1">
        <f>MAX(C14,0)</f>
        <v>0</v>
      </c>
      <c r="AC32" s="1">
        <f>MAX(-C14,0)</f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1:82" hidden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s">
        <v>68</v>
      </c>
      <c r="Z33" s="1">
        <f>MIN(C12+SUM(C13:C14),C12+SUM(C13:C15))</f>
        <v>0</v>
      </c>
      <c r="AA33" s="1">
        <v>0</v>
      </c>
      <c r="AB33" s="1">
        <f>MAX(C15,0)</f>
        <v>0</v>
      </c>
      <c r="AC33" s="1">
        <f>MAX(-C15,0)</f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spans="1:82" hidden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 t="s">
        <v>69</v>
      </c>
      <c r="Z34" s="1">
        <f>MIN(C12+SUM(C13:C15),C12+SUM(C13:C16))</f>
        <v>0</v>
      </c>
      <c r="AA34" s="1">
        <v>0</v>
      </c>
      <c r="AB34" s="1">
        <f>MAX(C16,0)</f>
        <v>0</v>
      </c>
      <c r="AC34" s="1">
        <f>MAX(-C16,0)</f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spans="1:82" hidden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 t="s">
        <v>70</v>
      </c>
      <c r="Z35" s="1">
        <f>MIN(C12+SUM(C13:C16),C12+SUM(C13:C17))</f>
        <v>0</v>
      </c>
      <c r="AA35" s="1">
        <v>0</v>
      </c>
      <c r="AB35" s="1">
        <f>MAX(C17,0)</f>
        <v>0</v>
      </c>
      <c r="AC35" s="1">
        <f>MAX(-C17,0)</f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spans="1:82" hidden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 t="s">
        <v>65</v>
      </c>
      <c r="Z36" s="1">
        <v>0</v>
      </c>
      <c r="AA36" s="1">
        <f>C18</f>
        <v>0</v>
      </c>
      <c r="AB36" s="1">
        <v>0</v>
      </c>
      <c r="AC36" s="1"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82" hidden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spans="1:82" hidden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spans="1:82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spans="1:82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spans="1:82" x14ac:dyDescent="0.45">
      <c r="A41" s="1"/>
      <c r="B41" s="52" t="s">
        <v>84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53" t="s">
        <v>80</v>
      </c>
      <c r="Q41" s="1"/>
      <c r="R41" s="1"/>
      <c r="S41" s="52" t="s">
        <v>83</v>
      </c>
      <c r="T41" s="1"/>
      <c r="U41" s="1"/>
      <c r="V41" s="1"/>
      <c r="W41" s="53" t="s">
        <v>81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1:82" ht="20" customHeight="1" thickBot="1" x14ac:dyDescent="0.5">
      <c r="A42" s="1"/>
      <c r="B42" s="123" t="s">
        <v>51</v>
      </c>
      <c r="C42" s="124" t="s">
        <v>52</v>
      </c>
      <c r="D42" s="124" t="s">
        <v>53</v>
      </c>
      <c r="E42" s="124" t="s">
        <v>54</v>
      </c>
      <c r="F42" s="124" t="s">
        <v>55</v>
      </c>
      <c r="G42" s="124" t="s">
        <v>56</v>
      </c>
      <c r="H42" s="124" t="s">
        <v>57</v>
      </c>
      <c r="I42" s="124" t="s">
        <v>58</v>
      </c>
      <c r="J42" s="124" t="s">
        <v>59</v>
      </c>
      <c r="K42" s="124" t="s">
        <v>60</v>
      </c>
      <c r="L42" s="124" t="s">
        <v>61</v>
      </c>
      <c r="M42" s="124" t="s">
        <v>62</v>
      </c>
      <c r="N42" s="124" t="s">
        <v>63</v>
      </c>
      <c r="O42" s="124" t="s">
        <v>64</v>
      </c>
      <c r="P42" s="124" t="s">
        <v>65</v>
      </c>
      <c r="Q42" s="1"/>
      <c r="R42" s="1"/>
      <c r="S42" s="123" t="s">
        <v>66</v>
      </c>
      <c r="T42" s="124" t="s">
        <v>67</v>
      </c>
      <c r="U42" s="124" t="s">
        <v>68</v>
      </c>
      <c r="V42" s="124" t="s">
        <v>69</v>
      </c>
      <c r="W42" s="124" t="s">
        <v>70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spans="1:82" x14ac:dyDescent="0.45">
      <c r="A43" s="1"/>
      <c r="B43" s="68" t="s">
        <v>71</v>
      </c>
      <c r="C43" s="69">
        <f>SUM(C44:C73)</f>
        <v>0</v>
      </c>
      <c r="D43" s="69">
        <f>SUM(D44:D73)</f>
        <v>0</v>
      </c>
      <c r="E43" s="69">
        <f>SUM(E44:E73)</f>
        <v>0</v>
      </c>
      <c r="F43" s="70" t="s">
        <v>82</v>
      </c>
      <c r="G43" s="71"/>
      <c r="H43" s="71"/>
      <c r="I43" s="71"/>
      <c r="J43" s="71"/>
      <c r="K43" s="69">
        <f t="shared" ref="K43:P43" si="0">SUM(K44:K73)</f>
        <v>0</v>
      </c>
      <c r="L43" s="69">
        <f t="shared" si="0"/>
        <v>0</v>
      </c>
      <c r="M43" s="69">
        <f t="shared" si="0"/>
        <v>0</v>
      </c>
      <c r="N43" s="69">
        <f t="shared" si="0"/>
        <v>0</v>
      </c>
      <c r="O43" s="69">
        <f t="shared" si="0"/>
        <v>0</v>
      </c>
      <c r="P43" s="69">
        <f t="shared" si="0"/>
        <v>0</v>
      </c>
      <c r="Q43" s="1"/>
      <c r="R43" s="1"/>
      <c r="S43" s="69">
        <f>SUM(S44:S73)</f>
        <v>0</v>
      </c>
      <c r="T43" s="69">
        <f>SUM(T44:T73)</f>
        <v>0</v>
      </c>
      <c r="U43" s="69">
        <f>SUM(U44:U73)</f>
        <v>0</v>
      </c>
      <c r="V43" s="69">
        <f>SUM(V44:V73)</f>
        <v>0</v>
      </c>
      <c r="W43" s="69">
        <f>SUM(W44:W73)</f>
        <v>0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spans="1:82" ht="15.5" customHeight="1" x14ac:dyDescent="0.45">
      <c r="A44" s="1"/>
      <c r="B44" s="72"/>
      <c r="C44" s="3"/>
      <c r="D44" s="3"/>
      <c r="E44" s="3"/>
      <c r="F44" s="73"/>
      <c r="G44" s="73"/>
      <c r="H44" s="73"/>
      <c r="I44" s="73"/>
      <c r="J44" s="73"/>
      <c r="K44" s="3"/>
      <c r="L44" s="3"/>
      <c r="M44" s="3"/>
      <c r="N44" s="3"/>
      <c r="O44" s="3"/>
      <c r="P44" s="3"/>
      <c r="Q44" s="1"/>
      <c r="R44" s="1"/>
      <c r="S44" s="3" t="str">
        <f>IF(OR(E44="",J44=""),"",E44*J44)</f>
        <v/>
      </c>
      <c r="T44" s="3" t="str">
        <f>IF(OR(G44="",F44="",D44=""),"",(G44-F44)*D44)</f>
        <v/>
      </c>
      <c r="U44" s="3" t="str">
        <f>IF(OR(I44="",H44="",D44=""),"",-(I44-H44)*D44)</f>
        <v/>
      </c>
      <c r="V44" s="3" t="str">
        <f>IF(OR(L44="",K44=""),"",-(L44-K44))</f>
        <v/>
      </c>
      <c r="W44" s="3" t="str">
        <f>IF(OR(N44="",M44=""),"",-(N44-M44))</f>
        <v/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spans="1:82" ht="15.5" customHeight="1" x14ac:dyDescent="0.45">
      <c r="A45" s="1"/>
      <c r="B45" s="72"/>
      <c r="C45" s="3"/>
      <c r="D45" s="3"/>
      <c r="E45" s="3"/>
      <c r="F45" s="73"/>
      <c r="G45" s="73"/>
      <c r="H45" s="73"/>
      <c r="I45" s="73"/>
      <c r="J45" s="73"/>
      <c r="K45" s="3"/>
      <c r="L45" s="3"/>
      <c r="M45" s="3"/>
      <c r="N45" s="3"/>
      <c r="O45" s="3"/>
      <c r="P45" s="3"/>
      <c r="Q45" s="1"/>
      <c r="R45" s="1"/>
      <c r="S45" s="3" t="str">
        <f t="shared" ref="S45:S57" si="1">IF(OR(E45="",J45=""),"",E45*J45)</f>
        <v/>
      </c>
      <c r="T45" s="3" t="str">
        <f t="shared" ref="T45:T57" si="2">IF(OR(G45="",F45="",D45=""),"",(G45-F45)*D45)</f>
        <v/>
      </c>
      <c r="U45" s="3" t="str">
        <f t="shared" ref="U45:U57" si="3">IF(OR(I45="",H45="",D45=""),"",-(I45-H45)*D45)</f>
        <v/>
      </c>
      <c r="V45" s="3" t="str">
        <f t="shared" ref="V45:V57" si="4">IF(OR(L45="",K45=""),"",-(L45-K45))</f>
        <v/>
      </c>
      <c r="W45" s="3" t="str">
        <f t="shared" ref="W45:W57" si="5">IF(OR(N45="",M45=""),"",-(N45-M45))</f>
        <v/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spans="1:82" ht="15.5" customHeight="1" x14ac:dyDescent="0.45">
      <c r="A46" s="1"/>
      <c r="B46" s="72"/>
      <c r="C46" s="3"/>
      <c r="D46" s="3"/>
      <c r="E46" s="3"/>
      <c r="F46" s="73"/>
      <c r="G46" s="73"/>
      <c r="H46" s="73"/>
      <c r="I46" s="73"/>
      <c r="J46" s="73"/>
      <c r="K46" s="3"/>
      <c r="L46" s="3"/>
      <c r="M46" s="3"/>
      <c r="N46" s="3"/>
      <c r="O46" s="3"/>
      <c r="P46" s="3"/>
      <c r="Q46" s="1"/>
      <c r="R46" s="1"/>
      <c r="S46" s="3" t="str">
        <f t="shared" si="1"/>
        <v/>
      </c>
      <c r="T46" s="3" t="str">
        <f t="shared" si="2"/>
        <v/>
      </c>
      <c r="U46" s="3" t="str">
        <f t="shared" si="3"/>
        <v/>
      </c>
      <c r="V46" s="3" t="str">
        <f t="shared" si="4"/>
        <v/>
      </c>
      <c r="W46" s="3" t="str">
        <f t="shared" si="5"/>
        <v/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spans="1:82" ht="15.5" customHeight="1" x14ac:dyDescent="0.45">
      <c r="A47" s="1"/>
      <c r="B47" s="72"/>
      <c r="C47" s="3"/>
      <c r="D47" s="3"/>
      <c r="E47" s="3"/>
      <c r="F47" s="73"/>
      <c r="G47" s="73"/>
      <c r="H47" s="73"/>
      <c r="I47" s="73"/>
      <c r="J47" s="73"/>
      <c r="K47" s="3"/>
      <c r="L47" s="3"/>
      <c r="M47" s="3"/>
      <c r="N47" s="3"/>
      <c r="O47" s="3"/>
      <c r="P47" s="3"/>
      <c r="Q47" s="1"/>
      <c r="R47" s="1"/>
      <c r="S47" s="3" t="str">
        <f t="shared" si="1"/>
        <v/>
      </c>
      <c r="T47" s="3" t="str">
        <f t="shared" si="2"/>
        <v/>
      </c>
      <c r="U47" s="3" t="str">
        <f t="shared" si="3"/>
        <v/>
      </c>
      <c r="V47" s="3" t="str">
        <f t="shared" si="4"/>
        <v/>
      </c>
      <c r="W47" s="3" t="str">
        <f t="shared" si="5"/>
        <v/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spans="1:82" ht="15.5" customHeight="1" x14ac:dyDescent="0.45">
      <c r="A48" s="1"/>
      <c r="B48" s="72"/>
      <c r="C48" s="3"/>
      <c r="D48" s="3"/>
      <c r="E48" s="3"/>
      <c r="F48" s="73"/>
      <c r="G48" s="73"/>
      <c r="H48" s="73"/>
      <c r="I48" s="73"/>
      <c r="J48" s="73"/>
      <c r="K48" s="3"/>
      <c r="L48" s="3"/>
      <c r="M48" s="3"/>
      <c r="N48" s="3"/>
      <c r="O48" s="3"/>
      <c r="P48" s="3"/>
      <c r="Q48" s="1"/>
      <c r="R48" s="1"/>
      <c r="S48" s="3" t="str">
        <f t="shared" si="1"/>
        <v/>
      </c>
      <c r="T48" s="3" t="str">
        <f t="shared" si="2"/>
        <v/>
      </c>
      <c r="U48" s="3" t="str">
        <f t="shared" si="3"/>
        <v/>
      </c>
      <c r="V48" s="3" t="str">
        <f t="shared" si="4"/>
        <v/>
      </c>
      <c r="W48" s="3" t="str">
        <f t="shared" si="5"/>
        <v/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spans="1:82" ht="15.5" customHeight="1" x14ac:dyDescent="0.45">
      <c r="A49" s="1"/>
      <c r="B49" s="72"/>
      <c r="C49" s="3"/>
      <c r="D49" s="3"/>
      <c r="E49" s="3"/>
      <c r="F49" s="73"/>
      <c r="G49" s="73"/>
      <c r="H49" s="73"/>
      <c r="I49" s="73"/>
      <c r="J49" s="73"/>
      <c r="K49" s="3"/>
      <c r="L49" s="3"/>
      <c r="M49" s="3"/>
      <c r="N49" s="3"/>
      <c r="O49" s="3"/>
      <c r="P49" s="3"/>
      <c r="Q49" s="1"/>
      <c r="R49" s="1"/>
      <c r="S49" s="3" t="str">
        <f t="shared" si="1"/>
        <v/>
      </c>
      <c r="T49" s="3" t="str">
        <f t="shared" si="2"/>
        <v/>
      </c>
      <c r="U49" s="3" t="str">
        <f t="shared" si="3"/>
        <v/>
      </c>
      <c r="V49" s="3" t="str">
        <f t="shared" si="4"/>
        <v/>
      </c>
      <c r="W49" s="3" t="str">
        <f t="shared" si="5"/>
        <v/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spans="1:82" ht="15.5" customHeight="1" x14ac:dyDescent="0.45">
      <c r="A50" s="1"/>
      <c r="B50" s="72"/>
      <c r="C50" s="3"/>
      <c r="D50" s="3"/>
      <c r="E50" s="3"/>
      <c r="F50" s="73"/>
      <c r="G50" s="73"/>
      <c r="H50" s="73"/>
      <c r="I50" s="73"/>
      <c r="J50" s="73"/>
      <c r="K50" s="3"/>
      <c r="L50" s="3"/>
      <c r="M50" s="3"/>
      <c r="N50" s="3"/>
      <c r="O50" s="3"/>
      <c r="P50" s="3"/>
      <c r="Q50" s="1"/>
      <c r="R50" s="1"/>
      <c r="S50" s="3" t="str">
        <f t="shared" si="1"/>
        <v/>
      </c>
      <c r="T50" s="3" t="str">
        <f t="shared" si="2"/>
        <v/>
      </c>
      <c r="U50" s="3" t="str">
        <f t="shared" si="3"/>
        <v/>
      </c>
      <c r="V50" s="3" t="str">
        <f t="shared" si="4"/>
        <v/>
      </c>
      <c r="W50" s="3" t="str">
        <f t="shared" si="5"/>
        <v/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spans="1:82" ht="15.5" customHeight="1" x14ac:dyDescent="0.45">
      <c r="A51" s="1"/>
      <c r="B51" s="72"/>
      <c r="C51" s="3"/>
      <c r="D51" s="3"/>
      <c r="E51" s="3"/>
      <c r="F51" s="73"/>
      <c r="G51" s="73"/>
      <c r="H51" s="73"/>
      <c r="I51" s="73"/>
      <c r="J51" s="73"/>
      <c r="K51" s="3"/>
      <c r="L51" s="3"/>
      <c r="M51" s="3"/>
      <c r="N51" s="3"/>
      <c r="O51" s="3"/>
      <c r="P51" s="3"/>
      <c r="Q51" s="1"/>
      <c r="R51" s="1"/>
      <c r="S51" s="3" t="str">
        <f t="shared" si="1"/>
        <v/>
      </c>
      <c r="T51" s="3" t="str">
        <f t="shared" si="2"/>
        <v/>
      </c>
      <c r="U51" s="3" t="str">
        <f t="shared" si="3"/>
        <v/>
      </c>
      <c r="V51" s="3" t="str">
        <f t="shared" si="4"/>
        <v/>
      </c>
      <c r="W51" s="3" t="str">
        <f t="shared" si="5"/>
        <v/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spans="1:82" ht="15.5" customHeight="1" x14ac:dyDescent="0.45">
      <c r="A52" s="1"/>
      <c r="B52" s="72"/>
      <c r="C52" s="3"/>
      <c r="D52" s="3"/>
      <c r="E52" s="3"/>
      <c r="F52" s="73"/>
      <c r="G52" s="73"/>
      <c r="H52" s="73"/>
      <c r="I52" s="73"/>
      <c r="J52" s="73"/>
      <c r="K52" s="3"/>
      <c r="L52" s="3"/>
      <c r="M52" s="3"/>
      <c r="N52" s="3"/>
      <c r="O52" s="3"/>
      <c r="P52" s="3"/>
      <c r="Q52" s="1"/>
      <c r="R52" s="1"/>
      <c r="S52" s="3" t="str">
        <f t="shared" si="1"/>
        <v/>
      </c>
      <c r="T52" s="3" t="str">
        <f t="shared" si="2"/>
        <v/>
      </c>
      <c r="U52" s="3" t="str">
        <f t="shared" si="3"/>
        <v/>
      </c>
      <c r="V52" s="3" t="str">
        <f t="shared" si="4"/>
        <v/>
      </c>
      <c r="W52" s="3" t="str">
        <f t="shared" si="5"/>
        <v/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spans="1:82" ht="15.5" customHeight="1" x14ac:dyDescent="0.45">
      <c r="A53" s="1"/>
      <c r="B53" s="72"/>
      <c r="C53" s="3"/>
      <c r="D53" s="3"/>
      <c r="E53" s="3"/>
      <c r="F53" s="73"/>
      <c r="G53" s="73"/>
      <c r="H53" s="73"/>
      <c r="I53" s="73"/>
      <c r="J53" s="73"/>
      <c r="K53" s="3"/>
      <c r="L53" s="3"/>
      <c r="M53" s="3"/>
      <c r="N53" s="3"/>
      <c r="O53" s="3"/>
      <c r="P53" s="3"/>
      <c r="Q53" s="1"/>
      <c r="R53" s="1"/>
      <c r="S53" s="3" t="str">
        <f t="shared" si="1"/>
        <v/>
      </c>
      <c r="T53" s="3" t="str">
        <f t="shared" si="2"/>
        <v/>
      </c>
      <c r="U53" s="3" t="str">
        <f t="shared" si="3"/>
        <v/>
      </c>
      <c r="V53" s="3" t="str">
        <f t="shared" si="4"/>
        <v/>
      </c>
      <c r="W53" s="3" t="str">
        <f t="shared" si="5"/>
        <v/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spans="1:82" ht="15.5" customHeight="1" x14ac:dyDescent="0.45">
      <c r="A54" s="1"/>
      <c r="B54" s="72"/>
      <c r="C54" s="3"/>
      <c r="D54" s="3"/>
      <c r="E54" s="3"/>
      <c r="F54" s="73"/>
      <c r="G54" s="73"/>
      <c r="H54" s="73"/>
      <c r="I54" s="73"/>
      <c r="J54" s="73"/>
      <c r="K54" s="3"/>
      <c r="L54" s="3"/>
      <c r="M54" s="3"/>
      <c r="N54" s="3"/>
      <c r="O54" s="3"/>
      <c r="P54" s="3"/>
      <c r="Q54" s="1"/>
      <c r="R54" s="1"/>
      <c r="S54" s="3" t="str">
        <f t="shared" si="1"/>
        <v/>
      </c>
      <c r="T54" s="3" t="str">
        <f t="shared" si="2"/>
        <v/>
      </c>
      <c r="U54" s="3" t="str">
        <f t="shared" si="3"/>
        <v/>
      </c>
      <c r="V54" s="3" t="str">
        <f t="shared" si="4"/>
        <v/>
      </c>
      <c r="W54" s="3" t="str">
        <f t="shared" si="5"/>
        <v/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  <row r="55" spans="1:82" ht="15.5" customHeight="1" x14ac:dyDescent="0.45">
      <c r="A55" s="1"/>
      <c r="B55" s="72"/>
      <c r="C55" s="3"/>
      <c r="D55" s="3"/>
      <c r="E55" s="3"/>
      <c r="F55" s="73"/>
      <c r="G55" s="73"/>
      <c r="H55" s="73"/>
      <c r="I55" s="73"/>
      <c r="J55" s="73"/>
      <c r="K55" s="3"/>
      <c r="L55" s="3"/>
      <c r="M55" s="3"/>
      <c r="N55" s="3"/>
      <c r="O55" s="3"/>
      <c r="P55" s="3"/>
      <c r="Q55" s="1"/>
      <c r="R55" s="1"/>
      <c r="S55" s="3" t="str">
        <f t="shared" si="1"/>
        <v/>
      </c>
      <c r="T55" s="3" t="str">
        <f t="shared" si="2"/>
        <v/>
      </c>
      <c r="U55" s="3" t="str">
        <f t="shared" si="3"/>
        <v/>
      </c>
      <c r="V55" s="3" t="str">
        <f t="shared" si="4"/>
        <v/>
      </c>
      <c r="W55" s="3" t="str">
        <f t="shared" si="5"/>
        <v/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spans="1:82" ht="15.5" customHeight="1" x14ac:dyDescent="0.45">
      <c r="A56" s="1"/>
      <c r="B56" s="72"/>
      <c r="C56" s="3"/>
      <c r="D56" s="3"/>
      <c r="E56" s="3"/>
      <c r="F56" s="73"/>
      <c r="G56" s="73"/>
      <c r="H56" s="73"/>
      <c r="I56" s="73"/>
      <c r="J56" s="73"/>
      <c r="K56" s="3"/>
      <c r="L56" s="3"/>
      <c r="M56" s="3"/>
      <c r="N56" s="3"/>
      <c r="O56" s="3"/>
      <c r="P56" s="3"/>
      <c r="Q56" s="1"/>
      <c r="R56" s="1"/>
      <c r="S56" s="3" t="str">
        <f t="shared" si="1"/>
        <v/>
      </c>
      <c r="T56" s="3" t="str">
        <f t="shared" si="2"/>
        <v/>
      </c>
      <c r="U56" s="3" t="str">
        <f t="shared" si="3"/>
        <v/>
      </c>
      <c r="V56" s="3" t="str">
        <f t="shared" si="4"/>
        <v/>
      </c>
      <c r="W56" s="3" t="str">
        <f t="shared" si="5"/>
        <v/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</row>
    <row r="57" spans="1:82" ht="15.5" customHeight="1" x14ac:dyDescent="0.45">
      <c r="A57" s="1"/>
      <c r="B57" s="72"/>
      <c r="C57" s="3"/>
      <c r="D57" s="3"/>
      <c r="E57" s="3"/>
      <c r="F57" s="73"/>
      <c r="G57" s="73"/>
      <c r="H57" s="73"/>
      <c r="I57" s="73"/>
      <c r="J57" s="73"/>
      <c r="K57" s="3"/>
      <c r="L57" s="3"/>
      <c r="M57" s="3"/>
      <c r="N57" s="3"/>
      <c r="O57" s="3"/>
      <c r="P57" s="3"/>
      <c r="Q57" s="1"/>
      <c r="R57" s="1"/>
      <c r="S57" s="3" t="str">
        <f t="shared" si="1"/>
        <v/>
      </c>
      <c r="T57" s="3" t="str">
        <f t="shared" si="2"/>
        <v/>
      </c>
      <c r="U57" s="3" t="str">
        <f t="shared" si="3"/>
        <v/>
      </c>
      <c r="V57" s="3" t="str">
        <f t="shared" si="4"/>
        <v/>
      </c>
      <c r="W57" s="3" t="str">
        <f t="shared" si="5"/>
        <v/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</row>
    <row r="58" spans="1:82" ht="15.5" customHeight="1" x14ac:dyDescent="0.45">
      <c r="A58" s="1"/>
      <c r="B58" s="72"/>
      <c r="C58" s="3"/>
      <c r="D58" s="3"/>
      <c r="E58" s="3"/>
      <c r="F58" s="73"/>
      <c r="G58" s="73"/>
      <c r="H58" s="73"/>
      <c r="I58" s="73"/>
      <c r="J58" s="73"/>
      <c r="K58" s="3"/>
      <c r="L58" s="3"/>
      <c r="M58" s="3"/>
      <c r="N58" s="3"/>
      <c r="O58" s="3"/>
      <c r="P58" s="3"/>
      <c r="Q58" s="1"/>
      <c r="R58" s="1"/>
      <c r="S58" s="3"/>
      <c r="T58" s="3"/>
      <c r="U58" s="3"/>
      <c r="V58" s="3"/>
      <c r="W58" s="3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</row>
    <row r="59" spans="1:82" ht="15.5" customHeight="1" x14ac:dyDescent="0.45">
      <c r="A59" s="1"/>
      <c r="B59" s="72"/>
      <c r="C59" s="3"/>
      <c r="D59" s="3"/>
      <c r="E59" s="3"/>
      <c r="F59" s="73"/>
      <c r="G59" s="73"/>
      <c r="H59" s="73"/>
      <c r="I59" s="73"/>
      <c r="J59" s="73"/>
      <c r="K59" s="3"/>
      <c r="L59" s="3"/>
      <c r="M59" s="3"/>
      <c r="N59" s="3"/>
      <c r="O59" s="3"/>
      <c r="P59" s="3"/>
      <c r="Q59" s="1"/>
      <c r="R59" s="1"/>
      <c r="S59" s="3"/>
      <c r="T59" s="3"/>
      <c r="U59" s="3"/>
      <c r="V59" s="3"/>
      <c r="W59" s="3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</row>
    <row r="60" spans="1:82" ht="15.5" customHeight="1" x14ac:dyDescent="0.45">
      <c r="A60" s="1"/>
      <c r="B60" s="72"/>
      <c r="C60" s="3"/>
      <c r="D60" s="3"/>
      <c r="E60" s="3"/>
      <c r="F60" s="73"/>
      <c r="G60" s="73"/>
      <c r="H60" s="73"/>
      <c r="I60" s="73"/>
      <c r="J60" s="73"/>
      <c r="K60" s="3"/>
      <c r="L60" s="3"/>
      <c r="M60" s="3"/>
      <c r="N60" s="3"/>
      <c r="O60" s="3"/>
      <c r="P60" s="3"/>
      <c r="Q60" s="1"/>
      <c r="R60" s="1"/>
      <c r="S60" s="3"/>
      <c r="T60" s="3"/>
      <c r="U60" s="3"/>
      <c r="V60" s="3"/>
      <c r="W60" s="3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</row>
    <row r="61" spans="1:82" ht="15.5" customHeight="1" x14ac:dyDescent="0.45">
      <c r="A61" s="1"/>
      <c r="B61" s="72"/>
      <c r="C61" s="3"/>
      <c r="D61" s="3"/>
      <c r="E61" s="3"/>
      <c r="F61" s="73"/>
      <c r="G61" s="73"/>
      <c r="H61" s="73"/>
      <c r="I61" s="73"/>
      <c r="J61" s="73"/>
      <c r="K61" s="3"/>
      <c r="L61" s="3"/>
      <c r="M61" s="3"/>
      <c r="N61" s="3"/>
      <c r="O61" s="3"/>
      <c r="P61" s="3"/>
      <c r="Q61" s="1"/>
      <c r="R61" s="1"/>
      <c r="S61" s="3"/>
      <c r="T61" s="3"/>
      <c r="U61" s="3"/>
      <c r="V61" s="3"/>
      <c r="W61" s="3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</row>
    <row r="62" spans="1:82" ht="15.5" customHeight="1" x14ac:dyDescent="0.45">
      <c r="A62" s="1"/>
      <c r="B62" s="72"/>
      <c r="C62" s="3"/>
      <c r="D62" s="3"/>
      <c r="E62" s="3"/>
      <c r="F62" s="73"/>
      <c r="G62" s="73"/>
      <c r="H62" s="73"/>
      <c r="I62" s="73"/>
      <c r="J62" s="73"/>
      <c r="K62" s="3"/>
      <c r="L62" s="3"/>
      <c r="M62" s="3"/>
      <c r="N62" s="3"/>
      <c r="O62" s="3"/>
      <c r="P62" s="3"/>
      <c r="Q62" s="1"/>
      <c r="R62" s="1"/>
      <c r="S62" s="3"/>
      <c r="T62" s="3"/>
      <c r="U62" s="3"/>
      <c r="V62" s="3"/>
      <c r="W62" s="3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</row>
    <row r="63" spans="1:82" ht="15.5" customHeight="1" x14ac:dyDescent="0.45">
      <c r="A63" s="1"/>
      <c r="B63" s="72"/>
      <c r="C63" s="3"/>
      <c r="D63" s="3"/>
      <c r="E63" s="3"/>
      <c r="F63" s="73"/>
      <c r="G63" s="73"/>
      <c r="H63" s="73"/>
      <c r="I63" s="73"/>
      <c r="J63" s="73"/>
      <c r="K63" s="3"/>
      <c r="L63" s="3"/>
      <c r="M63" s="3"/>
      <c r="N63" s="3"/>
      <c r="O63" s="3"/>
      <c r="P63" s="3"/>
      <c r="Q63" s="1"/>
      <c r="R63" s="1"/>
      <c r="S63" s="3"/>
      <c r="T63" s="3"/>
      <c r="U63" s="3"/>
      <c r="V63" s="3"/>
      <c r="W63" s="3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</row>
    <row r="64" spans="1:82" ht="15.5" customHeight="1" x14ac:dyDescent="0.45">
      <c r="A64" s="1"/>
      <c r="B64" s="72"/>
      <c r="C64" s="3"/>
      <c r="D64" s="3"/>
      <c r="E64" s="3"/>
      <c r="F64" s="73"/>
      <c r="G64" s="73"/>
      <c r="H64" s="73"/>
      <c r="I64" s="73"/>
      <c r="J64" s="73"/>
      <c r="K64" s="3"/>
      <c r="L64" s="3"/>
      <c r="M64" s="3"/>
      <c r="N64" s="3"/>
      <c r="O64" s="3"/>
      <c r="P64" s="3"/>
      <c r="Q64" s="1"/>
      <c r="R64" s="1"/>
      <c r="S64" s="3"/>
      <c r="T64" s="3"/>
      <c r="U64" s="3"/>
      <c r="V64" s="3"/>
      <c r="W64" s="3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</row>
    <row r="65" spans="1:82" ht="15.5" customHeight="1" x14ac:dyDescent="0.45">
      <c r="A65" s="1"/>
      <c r="B65" s="72"/>
      <c r="C65" s="3"/>
      <c r="D65" s="3"/>
      <c r="E65" s="3"/>
      <c r="F65" s="73"/>
      <c r="G65" s="73"/>
      <c r="H65" s="73"/>
      <c r="I65" s="73"/>
      <c r="J65" s="73"/>
      <c r="K65" s="3"/>
      <c r="L65" s="3"/>
      <c r="M65" s="3"/>
      <c r="N65" s="3"/>
      <c r="O65" s="3"/>
      <c r="P65" s="3"/>
      <c r="Q65" s="1"/>
      <c r="R65" s="1"/>
      <c r="S65" s="3"/>
      <c r="T65" s="3"/>
      <c r="U65" s="3"/>
      <c r="V65" s="3"/>
      <c r="W65" s="3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</row>
    <row r="66" spans="1:82" ht="15.5" customHeight="1" x14ac:dyDescent="0.45">
      <c r="A66" s="1"/>
      <c r="B66" s="72"/>
      <c r="C66" s="3"/>
      <c r="D66" s="3"/>
      <c r="E66" s="3"/>
      <c r="F66" s="73"/>
      <c r="G66" s="73"/>
      <c r="H66" s="73"/>
      <c r="I66" s="73"/>
      <c r="J66" s="73"/>
      <c r="K66" s="3"/>
      <c r="L66" s="3"/>
      <c r="M66" s="3"/>
      <c r="N66" s="3"/>
      <c r="O66" s="3"/>
      <c r="P66" s="3"/>
      <c r="Q66" s="1"/>
      <c r="R66" s="1"/>
      <c r="S66" s="3"/>
      <c r="T66" s="3"/>
      <c r="U66" s="3"/>
      <c r="V66" s="3"/>
      <c r="W66" s="3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</row>
    <row r="67" spans="1:82" ht="15.5" customHeight="1" x14ac:dyDescent="0.45">
      <c r="A67" s="1"/>
      <c r="B67" s="72"/>
      <c r="C67" s="3"/>
      <c r="D67" s="3"/>
      <c r="E67" s="3"/>
      <c r="F67" s="73"/>
      <c r="G67" s="73"/>
      <c r="H67" s="73"/>
      <c r="I67" s="73"/>
      <c r="J67" s="73"/>
      <c r="K67" s="3"/>
      <c r="L67" s="3"/>
      <c r="M67" s="3"/>
      <c r="N67" s="3"/>
      <c r="O67" s="3"/>
      <c r="P67" s="3"/>
      <c r="Q67" s="1"/>
      <c r="R67" s="1"/>
      <c r="S67" s="3"/>
      <c r="T67" s="3"/>
      <c r="U67" s="3"/>
      <c r="V67" s="3"/>
      <c r="W67" s="3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</row>
    <row r="68" spans="1:82" ht="15.5" customHeight="1" x14ac:dyDescent="0.45">
      <c r="A68" s="1"/>
      <c r="B68" s="72"/>
      <c r="C68" s="3"/>
      <c r="D68" s="3"/>
      <c r="E68" s="3"/>
      <c r="F68" s="73"/>
      <c r="G68" s="73"/>
      <c r="H68" s="73"/>
      <c r="I68" s="73"/>
      <c r="J68" s="73"/>
      <c r="K68" s="3"/>
      <c r="L68" s="3"/>
      <c r="M68" s="3"/>
      <c r="N68" s="3"/>
      <c r="O68" s="3"/>
      <c r="P68" s="3"/>
      <c r="Q68" s="1"/>
      <c r="R68" s="1"/>
      <c r="S68" s="3"/>
      <c r="T68" s="3"/>
      <c r="U68" s="3"/>
      <c r="V68" s="3"/>
      <c r="W68" s="3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</row>
    <row r="69" spans="1:82" ht="15.5" customHeight="1" x14ac:dyDescent="0.45">
      <c r="A69" s="1"/>
      <c r="B69" s="72"/>
      <c r="C69" s="3"/>
      <c r="D69" s="3"/>
      <c r="E69" s="3"/>
      <c r="F69" s="73"/>
      <c r="G69" s="73"/>
      <c r="H69" s="73"/>
      <c r="I69" s="73"/>
      <c r="J69" s="73"/>
      <c r="K69" s="3"/>
      <c r="L69" s="3"/>
      <c r="M69" s="3"/>
      <c r="N69" s="3"/>
      <c r="O69" s="3"/>
      <c r="P69" s="3"/>
      <c r="Q69" s="1"/>
      <c r="R69" s="1"/>
      <c r="S69" s="3"/>
      <c r="T69" s="3"/>
      <c r="U69" s="3"/>
      <c r="V69" s="3"/>
      <c r="W69" s="3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</row>
    <row r="70" spans="1:82" ht="15.5" customHeight="1" x14ac:dyDescent="0.45">
      <c r="A70" s="1"/>
      <c r="B70" s="72"/>
      <c r="C70" s="3"/>
      <c r="D70" s="3"/>
      <c r="E70" s="3"/>
      <c r="F70" s="73"/>
      <c r="G70" s="73"/>
      <c r="H70" s="73"/>
      <c r="I70" s="73"/>
      <c r="J70" s="73"/>
      <c r="K70" s="3"/>
      <c r="L70" s="3"/>
      <c r="M70" s="3"/>
      <c r="N70" s="3"/>
      <c r="O70" s="3"/>
      <c r="P70" s="3"/>
      <c r="Q70" s="1"/>
      <c r="R70" s="1"/>
      <c r="S70" s="3"/>
      <c r="T70" s="3"/>
      <c r="U70" s="3"/>
      <c r="V70" s="3"/>
      <c r="W70" s="3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</row>
    <row r="71" spans="1:82" ht="15.5" customHeight="1" x14ac:dyDescent="0.45">
      <c r="A71" s="1"/>
      <c r="B71" s="72"/>
      <c r="C71" s="3"/>
      <c r="D71" s="3"/>
      <c r="E71" s="3"/>
      <c r="F71" s="73"/>
      <c r="G71" s="73"/>
      <c r="H71" s="73"/>
      <c r="I71" s="73"/>
      <c r="J71" s="73"/>
      <c r="K71" s="3"/>
      <c r="L71" s="3"/>
      <c r="M71" s="3"/>
      <c r="N71" s="3"/>
      <c r="O71" s="3"/>
      <c r="P71" s="3"/>
      <c r="Q71" s="1"/>
      <c r="R71" s="1"/>
      <c r="S71" s="3"/>
      <c r="T71" s="3"/>
      <c r="U71" s="3"/>
      <c r="V71" s="3"/>
      <c r="W71" s="3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</row>
    <row r="72" spans="1:82" ht="15.5" customHeight="1" x14ac:dyDescent="0.45">
      <c r="A72" s="1"/>
      <c r="B72" s="72"/>
      <c r="C72" s="3"/>
      <c r="D72" s="3"/>
      <c r="E72" s="3"/>
      <c r="F72" s="73"/>
      <c r="G72" s="73"/>
      <c r="H72" s="73"/>
      <c r="I72" s="73"/>
      <c r="J72" s="73"/>
      <c r="K72" s="3"/>
      <c r="L72" s="3"/>
      <c r="M72" s="3"/>
      <c r="N72" s="3"/>
      <c r="O72" s="3"/>
      <c r="P72" s="3"/>
      <c r="Q72" s="1"/>
      <c r="R72" s="1"/>
      <c r="S72" s="3"/>
      <c r="T72" s="3"/>
      <c r="U72" s="3"/>
      <c r="V72" s="3"/>
      <c r="W72" s="3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</row>
    <row r="73" spans="1:82" ht="15.5" customHeight="1" x14ac:dyDescent="0.45">
      <c r="A73" s="1"/>
      <c r="B73" s="72"/>
      <c r="C73" s="3"/>
      <c r="D73" s="3"/>
      <c r="E73" s="3"/>
      <c r="F73" s="73"/>
      <c r="G73" s="73"/>
      <c r="H73" s="73"/>
      <c r="I73" s="73"/>
      <c r="J73" s="73"/>
      <c r="K73" s="3"/>
      <c r="L73" s="3"/>
      <c r="M73" s="3"/>
      <c r="N73" s="3"/>
      <c r="O73" s="3"/>
      <c r="P73" s="3"/>
      <c r="Q73" s="1"/>
      <c r="R73" s="1"/>
      <c r="S73" s="3"/>
      <c r="T73" s="3"/>
      <c r="U73" s="3"/>
      <c r="V73" s="3"/>
      <c r="W73" s="3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</row>
    <row r="74" spans="1:82" x14ac:dyDescent="0.45">
      <c r="A74" s="1"/>
      <c r="B74" s="72"/>
      <c r="C74" s="3"/>
      <c r="D74" s="3"/>
      <c r="E74" s="3"/>
      <c r="F74" s="73"/>
      <c r="G74" s="73"/>
      <c r="H74" s="73"/>
      <c r="I74" s="73"/>
      <c r="J74" s="73"/>
      <c r="K74" s="3"/>
      <c r="L74" s="3"/>
      <c r="M74" s="3"/>
      <c r="N74" s="3"/>
      <c r="O74" s="3"/>
      <c r="P74" s="3"/>
      <c r="Q74" s="1"/>
      <c r="R74" s="1"/>
      <c r="S74" s="3"/>
      <c r="T74" s="3"/>
      <c r="U74" s="3"/>
      <c r="V74" s="3"/>
      <c r="W74" s="3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</row>
    <row r="75" spans="1:82" x14ac:dyDescent="0.45">
      <c r="A75" s="1"/>
      <c r="B75" s="72"/>
      <c r="C75" s="3"/>
      <c r="D75" s="3"/>
      <c r="E75" s="3"/>
      <c r="F75" s="73"/>
      <c r="G75" s="73"/>
      <c r="H75" s="73"/>
      <c r="I75" s="73"/>
      <c r="J75" s="73"/>
      <c r="K75" s="3"/>
      <c r="L75" s="3"/>
      <c r="M75" s="3"/>
      <c r="N75" s="3"/>
      <c r="O75" s="3"/>
      <c r="P75" s="3"/>
      <c r="Q75" s="1"/>
      <c r="R75" s="1"/>
      <c r="S75" s="3"/>
      <c r="T75" s="3"/>
      <c r="U75" s="3"/>
      <c r="V75" s="3"/>
      <c r="W75" s="3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</row>
    <row r="76" spans="1:82" x14ac:dyDescent="0.45">
      <c r="A76" s="1"/>
      <c r="B76" s="72"/>
      <c r="C76" s="3"/>
      <c r="D76" s="3"/>
      <c r="E76" s="3"/>
      <c r="F76" s="73"/>
      <c r="G76" s="73"/>
      <c r="H76" s="73"/>
      <c r="I76" s="73"/>
      <c r="J76" s="73"/>
      <c r="K76" s="3"/>
      <c r="L76" s="3"/>
      <c r="M76" s="3"/>
      <c r="N76" s="3"/>
      <c r="O76" s="3"/>
      <c r="P76" s="3"/>
      <c r="Q76" s="1"/>
      <c r="R76" s="1"/>
      <c r="S76" s="3"/>
      <c r="T76" s="3"/>
      <c r="U76" s="3"/>
      <c r="V76" s="3"/>
      <c r="W76" s="3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</row>
    <row r="77" spans="1:82" x14ac:dyDescent="0.45">
      <c r="S77" s="3"/>
      <c r="T77" s="3"/>
      <c r="U77" s="3"/>
      <c r="V77" s="3"/>
      <c r="W77" s="3"/>
    </row>
    <row r="78" spans="1:82" x14ac:dyDescent="0.45">
      <c r="S78" s="3"/>
      <c r="T78" s="3"/>
      <c r="U78" s="3"/>
      <c r="V78" s="3"/>
      <c r="W78" s="3"/>
    </row>
    <row r="79" spans="1:82" x14ac:dyDescent="0.45">
      <c r="S79" s="3"/>
      <c r="T79" s="3"/>
      <c r="U79" s="3"/>
      <c r="V79" s="3"/>
      <c r="W79" s="3"/>
    </row>
    <row r="80" spans="1:82" x14ac:dyDescent="0.45">
      <c r="S80" s="3"/>
      <c r="T80" s="3"/>
      <c r="U80" s="3"/>
      <c r="V80" s="3"/>
      <c r="W80" s="3"/>
    </row>
    <row r="81" spans="19:23" x14ac:dyDescent="0.45">
      <c r="S81" s="3"/>
      <c r="T81" s="3"/>
      <c r="U81" s="3"/>
      <c r="V81" s="3"/>
      <c r="W81" s="3"/>
    </row>
    <row r="82" spans="19:23" x14ac:dyDescent="0.45">
      <c r="S82" s="3"/>
      <c r="T82" s="3"/>
      <c r="U82" s="3"/>
      <c r="V82" s="3"/>
      <c r="W82" s="3"/>
    </row>
  </sheetData>
  <phoneticPr fontId="47" type="noConversion"/>
  <conditionalFormatting sqref="B44:P76">
    <cfRule type="expression" dxfId="8" priority="9">
      <formula>$B44&lt;&gt;""</formula>
    </cfRule>
  </conditionalFormatting>
  <conditionalFormatting sqref="C13:C17">
    <cfRule type="cellIs" dxfId="7" priority="1" operator="greaterThan">
      <formula>0</formula>
    </cfRule>
    <cfRule type="cellIs" dxfId="6" priority="2" operator="lessThan">
      <formula>0</formula>
    </cfRule>
  </conditionalFormatting>
  <conditionalFormatting sqref="S44:W82">
    <cfRule type="expression" dxfId="5" priority="10">
      <formula>$B44&lt;&gt;""</formula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A69C-952D-4624-AC65-C4380AA201F9}">
  <dimension ref="A1:Y56"/>
  <sheetViews>
    <sheetView topLeftCell="M1" workbookViewId="0">
      <selection activeCell="X13" sqref="X13"/>
    </sheetView>
  </sheetViews>
  <sheetFormatPr baseColWidth="10" defaultColWidth="9.06640625" defaultRowHeight="14.25" x14ac:dyDescent="0.45"/>
  <cols>
    <col min="1" max="1" width="2.46484375" customWidth="1"/>
    <col min="2" max="2" width="9" customWidth="1"/>
    <col min="3" max="3" width="16" customWidth="1"/>
    <col min="4" max="4" width="36" customWidth="1"/>
    <col min="5" max="6" width="15" customWidth="1"/>
    <col min="7" max="7" width="14" customWidth="1"/>
    <col min="8" max="8" width="15" customWidth="1"/>
    <col min="14" max="19" width="13" customWidth="1"/>
    <col min="22" max="22" width="8.73046875" bestFit="1" customWidth="1"/>
    <col min="23" max="23" width="6.33203125" bestFit="1" customWidth="1"/>
    <col min="24" max="25" width="13.3984375" bestFit="1" customWidth="1"/>
  </cols>
  <sheetData>
    <row r="1" spans="1:25" ht="13.9" customHeight="1" x14ac:dyDescent="0.4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25" ht="25.9" customHeight="1" x14ac:dyDescent="0.45">
      <c r="A2" s="55"/>
      <c r="B2" s="56"/>
      <c r="C2" s="56"/>
      <c r="D2" s="56" t="s">
        <v>86</v>
      </c>
      <c r="E2" s="55"/>
      <c r="F2" s="55"/>
      <c r="G2" s="55"/>
      <c r="H2" s="55"/>
      <c r="I2" s="55"/>
      <c r="J2" s="55"/>
      <c r="K2" s="55"/>
      <c r="L2" s="55"/>
      <c r="M2" s="55"/>
    </row>
    <row r="3" spans="1:25" ht="23.25" customHeight="1" x14ac:dyDescent="0.45">
      <c r="A3" s="55"/>
      <c r="B3" s="57"/>
      <c r="C3" s="57"/>
      <c r="D3" s="57" t="s">
        <v>87</v>
      </c>
      <c r="E3" s="55"/>
      <c r="F3" s="55"/>
      <c r="G3" s="55"/>
      <c r="H3" s="55"/>
      <c r="I3" s="55"/>
      <c r="J3" s="55"/>
      <c r="K3" s="55"/>
      <c r="L3" s="55"/>
      <c r="M3" s="55"/>
    </row>
    <row r="4" spans="1:25" ht="10.050000000000001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25" ht="24" customHeight="1" x14ac:dyDescent="0.45">
      <c r="A5" s="1"/>
      <c r="B5" s="74" t="e">
        <f>"Sur "&amp;TEXT(F34,"#,##0 €")&amp;" de chiffre d'affaires, "&amp;TEXT(-SUM(F35:F47),"#,##0 €")&amp;" partent en charges. Il reste "&amp;TEXT(SUM(F34:F47),"#,##0 €")&amp;" d'EBITDA, soit "&amp;TEXT(SUM(F34:F47)/F34,"0.0%")&amp;" du chiffre d'affaires."</f>
        <v>#DIV/0!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25" ht="14" customHeight="1" x14ac:dyDescent="0.45">
      <c r="A6" s="1"/>
      <c r="B6" s="59" t="s">
        <v>88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75" t="s">
        <v>89</v>
      </c>
      <c r="O6" s="75" t="s">
        <v>90</v>
      </c>
      <c r="P6" s="75" t="s">
        <v>91</v>
      </c>
      <c r="Q6" s="75" t="s">
        <v>92</v>
      </c>
      <c r="R6" s="75" t="s">
        <v>93</v>
      </c>
      <c r="S6" s="75" t="s">
        <v>94</v>
      </c>
    </row>
    <row r="7" spans="1:25" ht="8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25" ht="15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25" ht="15" customHeight="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25" ht="15" customHeigh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25" ht="15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25" ht="15" customHeight="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5" ht="15" customHeight="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V13" s="98" t="s">
        <v>124</v>
      </c>
      <c r="W13" s="97" t="s">
        <v>125</v>
      </c>
      <c r="X13" s="97" t="s">
        <v>126</v>
      </c>
      <c r="Y13" s="97" t="s">
        <v>127</v>
      </c>
    </row>
    <row r="14" spans="1:25" ht="15" customHeight="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V14" s="97"/>
      <c r="W14" s="97"/>
      <c r="X14" s="97"/>
      <c r="Y14" s="97"/>
    </row>
    <row r="15" spans="1:25" ht="1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25" ht="15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45">
      <c r="A32" s="1"/>
      <c r="B32" s="52" t="s">
        <v>108</v>
      </c>
      <c r="C32" s="1"/>
      <c r="D32" s="1"/>
      <c r="E32" s="1"/>
      <c r="F32" s="1"/>
      <c r="G32" s="1"/>
      <c r="H32" s="53"/>
      <c r="I32" s="1"/>
      <c r="J32" s="1"/>
      <c r="K32" s="1"/>
      <c r="L32" s="1"/>
      <c r="M32" s="1"/>
    </row>
    <row r="33" spans="1:13" ht="26" customHeight="1" x14ac:dyDescent="0.45">
      <c r="A33" s="1"/>
      <c r="B33" s="123" t="s">
        <v>89</v>
      </c>
      <c r="C33" s="123" t="s">
        <v>90</v>
      </c>
      <c r="D33" s="123" t="s">
        <v>91</v>
      </c>
      <c r="E33" s="124" t="s">
        <v>93</v>
      </c>
      <c r="F33" s="124" t="s">
        <v>94</v>
      </c>
      <c r="G33" s="124" t="s">
        <v>109</v>
      </c>
      <c r="H33" s="124" t="s">
        <v>110</v>
      </c>
      <c r="I33" s="1"/>
      <c r="K33" t="s">
        <v>111</v>
      </c>
      <c r="L33" t="s">
        <v>112</v>
      </c>
      <c r="M33" s="1"/>
    </row>
    <row r="34" spans="1:13" ht="15.5" customHeight="1" x14ac:dyDescent="0.45">
      <c r="A34" s="1"/>
      <c r="B34" s="76" t="s">
        <v>117</v>
      </c>
      <c r="C34" s="77" t="str">
        <f t="shared" ref="C34:C49" si="0">IFERROR(VLOOKUP($B34,$N$7:$S$28,2,FALSE),"")</f>
        <v/>
      </c>
      <c r="D34" s="72" t="str">
        <f t="shared" ref="D34:D49" si="1">IFERROR(VLOOKUP($B34,$N$7:$S$28,3,FALSE),"")</f>
        <v/>
      </c>
      <c r="E34" s="78">
        <f t="shared" ref="E34:E49" si="2">IFERROR(VLOOKUP($B34,$N$7:$S$28,5,FALSE),0)</f>
        <v>0</v>
      </c>
      <c r="F34" s="78">
        <f t="shared" ref="F34:F49" si="3">IFERROR(VLOOKUP($B34,$N$7:$S$28,6,FALSE),0)</f>
        <v>0</v>
      </c>
      <c r="G34" s="79">
        <f t="shared" ref="G34:G49" si="4">F34-E34</f>
        <v>0</v>
      </c>
      <c r="H34" s="5" t="e">
        <f>IF($C34="Produits","",-F34/SUM(F37:F49))</f>
        <v>#DIV/0!</v>
      </c>
      <c r="I34" s="1"/>
      <c r="J34" t="str">
        <f t="shared" ref="J34:J49" si="5">IFERROR(VLOOKUP($B34,$N$7:$S$28,4,FALSE),"")</f>
        <v/>
      </c>
      <c r="M34" s="1"/>
    </row>
    <row r="35" spans="1:13" ht="15.5" customHeight="1" x14ac:dyDescent="0.45">
      <c r="A35" s="1"/>
      <c r="B35" s="76" t="s">
        <v>118</v>
      </c>
      <c r="C35" s="77" t="str">
        <f t="shared" si="0"/>
        <v/>
      </c>
      <c r="D35" s="72" t="str">
        <f t="shared" si="1"/>
        <v/>
      </c>
      <c r="E35" s="78">
        <f t="shared" si="2"/>
        <v>0</v>
      </c>
      <c r="F35" s="78">
        <f t="shared" si="3"/>
        <v>0</v>
      </c>
      <c r="G35" s="79">
        <f t="shared" si="4"/>
        <v>0</v>
      </c>
      <c r="H35" s="5" t="e">
        <f>IF($C35="Produits","",-F35/SUM(F37:F49))</f>
        <v>#DIV/0!</v>
      </c>
      <c r="I35" s="1"/>
      <c r="J35" t="str">
        <f t="shared" si="5"/>
        <v/>
      </c>
      <c r="M35" s="1"/>
    </row>
    <row r="36" spans="1:13" ht="15.5" customHeight="1" x14ac:dyDescent="0.45">
      <c r="A36" s="1"/>
      <c r="B36" s="76" t="s">
        <v>119</v>
      </c>
      <c r="C36" s="77" t="str">
        <f t="shared" si="0"/>
        <v/>
      </c>
      <c r="D36" s="72" t="str">
        <f t="shared" si="1"/>
        <v/>
      </c>
      <c r="E36" s="78">
        <f t="shared" si="2"/>
        <v>0</v>
      </c>
      <c r="F36" s="78">
        <f t="shared" si="3"/>
        <v>0</v>
      </c>
      <c r="G36" s="79">
        <f t="shared" si="4"/>
        <v>0</v>
      </c>
      <c r="H36" s="5" t="e">
        <f>IF($C36="Produits","",-F36/SUM(F37:F49))</f>
        <v>#DIV/0!</v>
      </c>
      <c r="I36" s="1"/>
      <c r="J36" t="str">
        <f t="shared" si="5"/>
        <v/>
      </c>
      <c r="M36" s="1"/>
    </row>
    <row r="37" spans="1:13" ht="15.5" customHeight="1" x14ac:dyDescent="0.45">
      <c r="A37" s="1"/>
      <c r="B37" s="76" t="s">
        <v>95</v>
      </c>
      <c r="C37" s="77" t="str">
        <f t="shared" si="0"/>
        <v/>
      </c>
      <c r="D37" s="72" t="str">
        <f t="shared" si="1"/>
        <v/>
      </c>
      <c r="E37" s="78">
        <f t="shared" si="2"/>
        <v>0</v>
      </c>
      <c r="F37" s="78">
        <f t="shared" si="3"/>
        <v>0</v>
      </c>
      <c r="G37" s="79">
        <f t="shared" si="4"/>
        <v>0</v>
      </c>
      <c r="H37" s="5" t="e">
        <f>IF($C37="Produits","",-F37/SUM(F37:F49))</f>
        <v>#DIV/0!</v>
      </c>
      <c r="I37" s="1"/>
      <c r="J37" t="str">
        <f t="shared" si="5"/>
        <v/>
      </c>
      <c r="K37">
        <f t="shared" ref="K37:L49" si="6">-E37</f>
        <v>0</v>
      </c>
      <c r="L37">
        <f t="shared" si="6"/>
        <v>0</v>
      </c>
      <c r="M37" s="1"/>
    </row>
    <row r="38" spans="1:13" ht="15.5" customHeight="1" x14ac:dyDescent="0.45">
      <c r="A38" s="1"/>
      <c r="B38" s="76" t="s">
        <v>96</v>
      </c>
      <c r="C38" s="77" t="str">
        <f t="shared" si="0"/>
        <v/>
      </c>
      <c r="D38" s="72" t="str">
        <f t="shared" si="1"/>
        <v/>
      </c>
      <c r="E38" s="78">
        <f t="shared" si="2"/>
        <v>0</v>
      </c>
      <c r="F38" s="78">
        <f t="shared" si="3"/>
        <v>0</v>
      </c>
      <c r="G38" s="79">
        <f t="shared" si="4"/>
        <v>0</v>
      </c>
      <c r="H38" s="5" t="e">
        <f>IF($C38="Produits","",-F38/SUM(F37:F49))</f>
        <v>#DIV/0!</v>
      </c>
      <c r="I38" s="1"/>
      <c r="J38" t="str">
        <f t="shared" si="5"/>
        <v/>
      </c>
      <c r="K38">
        <f t="shared" si="6"/>
        <v>0</v>
      </c>
      <c r="L38">
        <f t="shared" si="6"/>
        <v>0</v>
      </c>
      <c r="M38" s="1"/>
    </row>
    <row r="39" spans="1:13" ht="15.5" customHeight="1" x14ac:dyDescent="0.45">
      <c r="A39" s="1"/>
      <c r="B39" s="76" t="s">
        <v>97</v>
      </c>
      <c r="C39" s="77" t="str">
        <f t="shared" si="0"/>
        <v/>
      </c>
      <c r="D39" s="72" t="str">
        <f t="shared" si="1"/>
        <v/>
      </c>
      <c r="E39" s="78">
        <f t="shared" si="2"/>
        <v>0</v>
      </c>
      <c r="F39" s="78">
        <f t="shared" si="3"/>
        <v>0</v>
      </c>
      <c r="G39" s="79">
        <f t="shared" si="4"/>
        <v>0</v>
      </c>
      <c r="H39" s="5" t="e">
        <f>IF($C39="Produits","",-F39/SUM(F37:F49))</f>
        <v>#DIV/0!</v>
      </c>
      <c r="I39" s="1"/>
      <c r="J39" t="str">
        <f t="shared" si="5"/>
        <v/>
      </c>
      <c r="K39">
        <f t="shared" si="6"/>
        <v>0</v>
      </c>
      <c r="L39">
        <f t="shared" si="6"/>
        <v>0</v>
      </c>
      <c r="M39" s="1"/>
    </row>
    <row r="40" spans="1:13" ht="15.5" customHeight="1" x14ac:dyDescent="0.45">
      <c r="A40" s="1"/>
      <c r="B40" s="76" t="s">
        <v>98</v>
      </c>
      <c r="C40" s="77" t="str">
        <f t="shared" si="0"/>
        <v/>
      </c>
      <c r="D40" s="72" t="str">
        <f t="shared" si="1"/>
        <v/>
      </c>
      <c r="E40" s="78">
        <f t="shared" si="2"/>
        <v>0</v>
      </c>
      <c r="F40" s="78">
        <f t="shared" si="3"/>
        <v>0</v>
      </c>
      <c r="G40" s="79">
        <f t="shared" si="4"/>
        <v>0</v>
      </c>
      <c r="H40" s="5" t="e">
        <f>IF($C40="Produits","",-F40/SUM(F37:F49))</f>
        <v>#DIV/0!</v>
      </c>
      <c r="I40" s="1"/>
      <c r="J40" t="str">
        <f t="shared" si="5"/>
        <v/>
      </c>
      <c r="K40">
        <f t="shared" si="6"/>
        <v>0</v>
      </c>
      <c r="L40">
        <f t="shared" si="6"/>
        <v>0</v>
      </c>
      <c r="M40" s="1"/>
    </row>
    <row r="41" spans="1:13" ht="15.5" customHeight="1" x14ac:dyDescent="0.45">
      <c r="A41" s="1"/>
      <c r="B41" s="76" t="s">
        <v>99</v>
      </c>
      <c r="C41" s="77" t="str">
        <f t="shared" si="0"/>
        <v/>
      </c>
      <c r="D41" s="72" t="str">
        <f t="shared" si="1"/>
        <v/>
      </c>
      <c r="E41" s="78">
        <f t="shared" si="2"/>
        <v>0</v>
      </c>
      <c r="F41" s="78">
        <f t="shared" si="3"/>
        <v>0</v>
      </c>
      <c r="G41" s="79">
        <f t="shared" si="4"/>
        <v>0</v>
      </c>
      <c r="H41" s="5" t="e">
        <f>IF($C41="Produits","",-F41/SUM(F37:F49))</f>
        <v>#DIV/0!</v>
      </c>
      <c r="I41" s="1"/>
      <c r="J41" t="str">
        <f t="shared" si="5"/>
        <v/>
      </c>
      <c r="K41">
        <f t="shared" si="6"/>
        <v>0</v>
      </c>
      <c r="L41">
        <f t="shared" si="6"/>
        <v>0</v>
      </c>
      <c r="M41" s="1"/>
    </row>
    <row r="42" spans="1:13" ht="15.5" customHeight="1" x14ac:dyDescent="0.45">
      <c r="A42" s="1"/>
      <c r="B42" s="76" t="s">
        <v>100</v>
      </c>
      <c r="C42" s="77" t="str">
        <f t="shared" si="0"/>
        <v/>
      </c>
      <c r="D42" s="72" t="str">
        <f t="shared" si="1"/>
        <v/>
      </c>
      <c r="E42" s="78">
        <f t="shared" si="2"/>
        <v>0</v>
      </c>
      <c r="F42" s="78">
        <f t="shared" si="3"/>
        <v>0</v>
      </c>
      <c r="G42" s="79">
        <f t="shared" si="4"/>
        <v>0</v>
      </c>
      <c r="H42" s="5" t="e">
        <f>IF($C42="Produits","",-F42/SUM(F37:F49))</f>
        <v>#DIV/0!</v>
      </c>
      <c r="I42" s="1"/>
      <c r="J42" t="str">
        <f t="shared" si="5"/>
        <v/>
      </c>
      <c r="K42">
        <f t="shared" si="6"/>
        <v>0</v>
      </c>
      <c r="L42">
        <f t="shared" si="6"/>
        <v>0</v>
      </c>
      <c r="M42" s="1"/>
    </row>
    <row r="43" spans="1:13" ht="15.5" customHeight="1" x14ac:dyDescent="0.45">
      <c r="A43" s="1"/>
      <c r="B43" s="76" t="s">
        <v>101</v>
      </c>
      <c r="C43" s="77" t="str">
        <f t="shared" si="0"/>
        <v/>
      </c>
      <c r="D43" s="72" t="str">
        <f t="shared" si="1"/>
        <v/>
      </c>
      <c r="E43" s="78">
        <f t="shared" si="2"/>
        <v>0</v>
      </c>
      <c r="F43" s="78">
        <f t="shared" si="3"/>
        <v>0</v>
      </c>
      <c r="G43" s="79">
        <f t="shared" si="4"/>
        <v>0</v>
      </c>
      <c r="H43" s="5" t="e">
        <f>IF($C43="Produits","",-F43/SUM(F37:F49))</f>
        <v>#DIV/0!</v>
      </c>
      <c r="I43" s="1"/>
      <c r="J43" t="str">
        <f t="shared" si="5"/>
        <v/>
      </c>
      <c r="K43">
        <f t="shared" si="6"/>
        <v>0</v>
      </c>
      <c r="L43">
        <f t="shared" si="6"/>
        <v>0</v>
      </c>
      <c r="M43" s="1"/>
    </row>
    <row r="44" spans="1:13" ht="15.5" customHeight="1" x14ac:dyDescent="0.45">
      <c r="A44" s="1"/>
      <c r="B44" s="76" t="s">
        <v>102</v>
      </c>
      <c r="C44" s="77" t="str">
        <f t="shared" si="0"/>
        <v/>
      </c>
      <c r="D44" s="72" t="str">
        <f t="shared" si="1"/>
        <v/>
      </c>
      <c r="E44" s="78">
        <f t="shared" si="2"/>
        <v>0</v>
      </c>
      <c r="F44" s="78">
        <f t="shared" si="3"/>
        <v>0</v>
      </c>
      <c r="G44" s="79">
        <f t="shared" si="4"/>
        <v>0</v>
      </c>
      <c r="H44" s="5" t="e">
        <f>IF($C44="Produits","",-F44/SUM(F37:F49))</f>
        <v>#DIV/0!</v>
      </c>
      <c r="I44" s="1"/>
      <c r="J44" t="str">
        <f t="shared" si="5"/>
        <v/>
      </c>
      <c r="K44">
        <f t="shared" si="6"/>
        <v>0</v>
      </c>
      <c r="L44">
        <f t="shared" si="6"/>
        <v>0</v>
      </c>
      <c r="M44" s="1"/>
    </row>
    <row r="45" spans="1:13" ht="15.5" customHeight="1" x14ac:dyDescent="0.45">
      <c r="A45" s="1"/>
      <c r="B45" s="76" t="s">
        <v>103</v>
      </c>
      <c r="C45" s="77" t="str">
        <f t="shared" si="0"/>
        <v/>
      </c>
      <c r="D45" s="72" t="str">
        <f t="shared" si="1"/>
        <v/>
      </c>
      <c r="E45" s="78">
        <f t="shared" si="2"/>
        <v>0</v>
      </c>
      <c r="F45" s="78">
        <f t="shared" si="3"/>
        <v>0</v>
      </c>
      <c r="G45" s="79">
        <f t="shared" si="4"/>
        <v>0</v>
      </c>
      <c r="H45" s="5" t="e">
        <f>IF($C45="Produits","",-F45/SUM(F37:F49))</f>
        <v>#DIV/0!</v>
      </c>
      <c r="I45" s="1"/>
      <c r="J45" t="str">
        <f t="shared" si="5"/>
        <v/>
      </c>
      <c r="K45">
        <f t="shared" si="6"/>
        <v>0</v>
      </c>
      <c r="L45">
        <f t="shared" si="6"/>
        <v>0</v>
      </c>
      <c r="M45" s="1"/>
    </row>
    <row r="46" spans="1:13" ht="15.5" customHeight="1" x14ac:dyDescent="0.45">
      <c r="A46" s="1"/>
      <c r="B46" s="76" t="s">
        <v>104</v>
      </c>
      <c r="C46" s="77" t="str">
        <f t="shared" si="0"/>
        <v/>
      </c>
      <c r="D46" s="72" t="str">
        <f t="shared" si="1"/>
        <v/>
      </c>
      <c r="E46" s="78">
        <f t="shared" si="2"/>
        <v>0</v>
      </c>
      <c r="F46" s="78">
        <f t="shared" si="3"/>
        <v>0</v>
      </c>
      <c r="G46" s="79">
        <f t="shared" si="4"/>
        <v>0</v>
      </c>
      <c r="H46" s="5" t="e">
        <f>IF($C46="Produits","",-F46/SUM(F37:F49))</f>
        <v>#DIV/0!</v>
      </c>
      <c r="I46" s="1"/>
      <c r="J46" t="str">
        <f t="shared" si="5"/>
        <v/>
      </c>
      <c r="K46">
        <f t="shared" si="6"/>
        <v>0</v>
      </c>
      <c r="L46">
        <f t="shared" si="6"/>
        <v>0</v>
      </c>
      <c r="M46" s="1"/>
    </row>
    <row r="47" spans="1:13" ht="15.5" customHeight="1" x14ac:dyDescent="0.45">
      <c r="A47" s="1"/>
      <c r="B47" s="76" t="s">
        <v>105</v>
      </c>
      <c r="C47" s="77" t="str">
        <f t="shared" si="0"/>
        <v/>
      </c>
      <c r="D47" s="72" t="str">
        <f t="shared" si="1"/>
        <v/>
      </c>
      <c r="E47" s="78">
        <f t="shared" si="2"/>
        <v>0</v>
      </c>
      <c r="F47" s="78">
        <f t="shared" si="3"/>
        <v>0</v>
      </c>
      <c r="G47" s="79">
        <f t="shared" si="4"/>
        <v>0</v>
      </c>
      <c r="H47" s="5" t="e">
        <f>IF($C47="Produits","",-F47/SUM(F37:F49))</f>
        <v>#DIV/0!</v>
      </c>
      <c r="I47" s="1"/>
      <c r="J47" t="str">
        <f t="shared" si="5"/>
        <v/>
      </c>
      <c r="K47">
        <f t="shared" si="6"/>
        <v>0</v>
      </c>
      <c r="L47">
        <f t="shared" si="6"/>
        <v>0</v>
      </c>
      <c r="M47" s="1"/>
    </row>
    <row r="48" spans="1:13" x14ac:dyDescent="0.45">
      <c r="A48" s="1"/>
      <c r="B48" s="76" t="s">
        <v>106</v>
      </c>
      <c r="C48" s="77" t="str">
        <f t="shared" si="0"/>
        <v/>
      </c>
      <c r="D48" s="72" t="str">
        <f t="shared" si="1"/>
        <v/>
      </c>
      <c r="E48" s="78">
        <f t="shared" si="2"/>
        <v>0</v>
      </c>
      <c r="F48" s="78">
        <f t="shared" si="3"/>
        <v>0</v>
      </c>
      <c r="G48" s="79">
        <f t="shared" si="4"/>
        <v>0</v>
      </c>
      <c r="H48" s="5" t="e">
        <f>IF($C48="Produits","",-F48/SUM(F37:F49))</f>
        <v>#DIV/0!</v>
      </c>
      <c r="I48" s="1"/>
      <c r="J48" t="str">
        <f t="shared" si="5"/>
        <v/>
      </c>
      <c r="K48">
        <f t="shared" si="6"/>
        <v>0</v>
      </c>
      <c r="L48">
        <f t="shared" si="6"/>
        <v>0</v>
      </c>
      <c r="M48" s="1"/>
    </row>
    <row r="49" spans="1:13" x14ac:dyDescent="0.45">
      <c r="A49" s="1"/>
      <c r="B49" s="76" t="s">
        <v>107</v>
      </c>
      <c r="C49" s="77" t="str">
        <f t="shared" si="0"/>
        <v/>
      </c>
      <c r="D49" s="72" t="str">
        <f t="shared" si="1"/>
        <v/>
      </c>
      <c r="E49" s="78">
        <f t="shared" si="2"/>
        <v>0</v>
      </c>
      <c r="F49" s="78">
        <f t="shared" si="3"/>
        <v>0</v>
      </c>
      <c r="G49" s="79">
        <f t="shared" si="4"/>
        <v>0</v>
      </c>
      <c r="H49" s="5" t="e">
        <f>IF($C49="Produits","",-F49/SUM(F37:F49))</f>
        <v>#DIV/0!</v>
      </c>
      <c r="I49" s="1"/>
      <c r="J49" t="str">
        <f t="shared" si="5"/>
        <v/>
      </c>
      <c r="K49">
        <f t="shared" si="6"/>
        <v>0</v>
      </c>
      <c r="L49">
        <f t="shared" si="6"/>
        <v>0</v>
      </c>
      <c r="M49" s="1"/>
    </row>
    <row r="50" spans="1:13" ht="14.65" thickBot="1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4.65" thickBot="1" x14ac:dyDescent="0.5">
      <c r="A51" s="1"/>
      <c r="B51" s="65" t="s">
        <v>113</v>
      </c>
      <c r="C51" s="80"/>
      <c r="D51" s="65" t="s">
        <v>120</v>
      </c>
      <c r="E51" s="81">
        <f>SUM(E34:E49)</f>
        <v>0</v>
      </c>
      <c r="F51" s="81">
        <f>SUM(F34:F49)</f>
        <v>0</v>
      </c>
      <c r="G51" s="80"/>
      <c r="H51" s="80"/>
      <c r="I51" s="1"/>
      <c r="J51" s="1"/>
      <c r="K51" s="1"/>
      <c r="L51" s="1"/>
      <c r="M51" s="1"/>
    </row>
    <row r="52" spans="1:13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45">
      <c r="B53" s="52" t="s">
        <v>121</v>
      </c>
      <c r="C53" s="1"/>
      <c r="D53" s="1"/>
      <c r="E53" s="1"/>
      <c r="F53" s="1"/>
      <c r="G53" s="1"/>
      <c r="H53" s="1"/>
    </row>
    <row r="54" spans="1:13" x14ac:dyDescent="0.45">
      <c r="B54" s="82" t="s">
        <v>122</v>
      </c>
      <c r="C54" s="83"/>
      <c r="D54" s="83"/>
      <c r="E54" s="84">
        <f>SUM(E34:E36)</f>
        <v>0</v>
      </c>
      <c r="F54" s="84">
        <f>SUM(F34:F36)</f>
        <v>0</v>
      </c>
      <c r="G54" s="83"/>
      <c r="H54" s="83"/>
    </row>
    <row r="55" spans="1:13" x14ac:dyDescent="0.45">
      <c r="B55" s="82" t="s">
        <v>123</v>
      </c>
      <c r="C55" s="83"/>
      <c r="D55" s="83"/>
      <c r="E55" s="84">
        <f>SUM($X$14:$X$16)</f>
        <v>0</v>
      </c>
      <c r="F55" s="84">
        <f>SUM($Y$14:$Y$16)</f>
        <v>0</v>
      </c>
      <c r="G55" s="83"/>
      <c r="H55" s="83"/>
    </row>
    <row r="56" spans="1:13" ht="14.65" thickBot="1" x14ac:dyDescent="0.5">
      <c r="B56" s="85" t="s">
        <v>114</v>
      </c>
      <c r="C56" s="86"/>
      <c r="D56" s="86"/>
      <c r="E56" s="87">
        <f>E54-E55</f>
        <v>0</v>
      </c>
      <c r="F56" s="87">
        <f>F54-F55</f>
        <v>0</v>
      </c>
      <c r="G56" s="88" t="e">
        <f>E56/E55</f>
        <v>#DIV/0!</v>
      </c>
      <c r="H56" s="88" t="e">
        <f>F56/F55</f>
        <v>#DIV/0!</v>
      </c>
    </row>
  </sheetData>
  <conditionalFormatting sqref="B34:H49">
    <cfRule type="expression" dxfId="4" priority="1">
      <formula>$C34="Produits"</formula>
    </cfRule>
    <cfRule type="expression" dxfId="3" priority="2">
      <formula>$B34="SIEGE"</formula>
    </cfRule>
    <cfRule type="expression" dxfId="2" priority="3">
      <formula>$B34&lt;&gt;""</formula>
    </cfRule>
  </conditionalFormatting>
  <conditionalFormatting sqref="G34:G49">
    <cfRule type="cellIs" dxfId="1" priority="4" operator="greaterThan">
      <formula>0</formula>
    </cfRule>
    <cfRule type="cellIs" dxfId="0" priority="5" operator="lessThan">
      <formula>0</formula>
    </cfRule>
  </conditionalFormatting>
  <conditionalFormatting sqref="H34:H49">
    <cfRule type="dataBar" priority="6">
      <dataBar>
        <cfvo type="num" val="0"/>
        <cfvo type="max"/>
        <color rgb="FFB8CFEC"/>
      </dataBar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4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COCKPIT</s>
        <a key="desc" refId="2" ln="4" eid="SYS_STR">
          <s>COCKPIT</s>
          <s/>
          <s/>
          <s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Template01</s>
          </key>
          <val>
            <be refId="8" clsId="ReportTemplateVO">
              <s key="code">Template01</s>
              <s key="desc">Cockpit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  <key>
            <s>Template02</s>
          </key>
          <val>
            <be refId="32" clsId="ReportTemplateVO">
              <s key="code">Template02</s>
              <s key="desc">Drill EBITDA 1</s>
              <m key="matrices" refId="33" keid="SYS_STR" veid="Reporting.com.tagetik.tables.IMatrixPositionBlockVO,Reporting"/>
              <m key="cellFields" refId="34" keid="SYS_STR" veid="CodeCellField"/>
              <m key="dictionary" refId="35" keid="SYS_STR" veid="CodeMultiDescVO"/>
              <m key="controlExpressions" refId="36" keid="SYS_STR" veid="CodedExpControlloProspetto"/>
              <m key="inlineParameters" refId="37" keid="SYS_STR" veid="CodedInlineParameter"/>
              <m key="queries" refId="38" keid="SYS_STR" veid="Reporting.com.tagetik.query.IUserDefinedQueryVO,Reporting"/>
              <be key="sheets" refId="39" clsId="FilterNode">
                <l key="dimensionOids" refId="40" ln="0" eid="DimensionOid"/>
                <l key="AdHocParamDimensionOids" refId="41" ln="0" eid="DimensionOid"/>
                <be key="data" refId="42" clsId="FilterNodeData">
                  <ref key="filterNode" refId="39"/>
                  <i key="segmentLevel">0</i>
                  <ref key="segment" refId="19"/>
                  <b key="placeHolder">N</b>
                  <ref key="weight" refId="20"/>
                  <be key="textMatchingCondition" refId="43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44" keid="SYS_STR" veid="ElaborationsLauncher"/>
              <m key="actionLists" refId="45" keid="SYS_STR" veid="Reporting.com.tagetik.actionlist.ISnapshotActionList,Reporting"/>
              <l key="areas" refId="46" ln="0" eid="SYS_STR"/>
              <l key="charts" refId="47" ln="0" eid="SYS_STR"/>
              <l key="pivots" refId="48" ln="0" eid="SYS_STR"/>
            </be>
          </val>
          <key>
            <s>Template00</s>
          </key>
          <val>
            <be refId="49" clsId="ReportTemplateVO">
              <s key="code">Template00</s>
              <s key="desc">Drill EBITDA 2</s>
              <m key="matrices" refId="50" keid="SYS_STR" veid="Reporting.com.tagetik.tables.IMatrixPositionBlockVO,Reporting"/>
              <m key="cellFields" refId="51" keid="SYS_STR" veid="CodeCellField"/>
              <m key="dictionary" refId="52" keid="SYS_STR" veid="CodeMultiDescVO"/>
              <m key="controlExpressions" refId="53" keid="SYS_STR" veid="CodedExpControlloProspetto"/>
              <m key="inlineParameters" refId="54" keid="SYS_STR" veid="CodedInlineParameter"/>
              <m key="queries" refId="55" keid="SYS_STR" veid="Reporting.com.tagetik.query.IUserDefinedQueryVO,Reporting"/>
              <be key="sheets" refId="56" clsId="FilterNode">
                <l key="dimensionOids" refId="57" ln="0" eid="DimensionOid"/>
                <l key="AdHocParamDimensionOids" refId="58" ln="0" eid="DimensionOid"/>
                <be key="data" refId="59" clsId="FilterNodeData">
                  <ref key="filterNode" refId="56"/>
                  <i key="segmentLevel">0</i>
                  <ref key="segment" refId="19"/>
                  <b key="placeHolder">N</b>
                  <ref key="weight" refId="20"/>
                  <be key="textMatchingCondition" refId="60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61" keid="SYS_STR" veid="ElaborationsLauncher"/>
              <m key="actionLists" refId="62" keid="SYS_STR" veid="Reporting.com.tagetik.actionlist.ISnapshotActionList,Reporting"/>
              <l key="areas" refId="63" ln="0" eid="SYS_STR"/>
              <l key="charts" refId="64" ln="0" eid="SYS_STR"/>
              <l key="pivots" refId="65" ln="0" eid="SYS_STR"/>
            </be>
          </val>
        </m>
        <m key="templateLayouts" refId="66" keid="SYS_STR" veid="Reporting.com.tagetik.report.IReportTemplateLayoutVO,Reporting">
          <key>
            <s>Template01</s>
          </key>
          <val>
            <be refId="67" clsId="ReportTemplateLayoutVO">
              <i key="index">0</i>
              <s key="code">Template01</s>
              <m key="cellFieldAddresses" refId="68" keid="SYS_STR" veid="Reporting.com.tagetik.spreadsheet.gridwrappers.IGridReaderVO,Reporting"/>
              <m key="controlExpressionsAddresses" refId="69" keid="SYS_STR" veid="Reporting.com.tagetik.spreadsheet.gridwrappers.IGridReaderVO,Reporting"/>
              <m key="inlineParameterAddresses" refId="70" keid="SYS_STR" veid="Reporting.com.tagetik.spreadsheet.gridwrappers.IGridReaderVO,Reporting"/>
              <m key="dictionaryAddresses" refId="71" keid="SYS_STR" veid="Reporting.com.tagetik.spreadsheet.gridwrappers.IGridReaderVO,Reporting"/>
              <m key="hyperlinkAddresses" refId="72" keid="SYS_STR" veid="Reporting.com.tagetik.spreadsheet.gridwrappers.IGridReaderVO,Reporting"/>
              <m key="matrixGridReaders" refId="73" keid="SYS_STR" veid="Reporting.com.tagetik.spreadsheet.gridwrappers.IGridReaderVO,Reporting"/>
              <m key="queryGridReaders" refId="74" keid="SYS_STR" veid="Reporting.com.tagetik.spreadsheet.gridwrappers.IGridReaderVO,Reporting"/>
            </be>
          </val>
          <key>
            <s>Template02</s>
          </key>
          <val>
            <be refId="75" clsId="ReportTemplateLayoutVO">
              <i key="index">1</i>
              <s key="code">Template02</s>
              <m key="cellFieldAddresses" refId="76" keid="SYS_STR" veid="Reporting.com.tagetik.spreadsheet.gridwrappers.IGridReaderVO,Reporting"/>
              <m key="controlExpressionsAddresses" refId="77" keid="SYS_STR" veid="Reporting.com.tagetik.spreadsheet.gridwrappers.IGridReaderVO,Reporting"/>
              <m key="inlineParameterAddresses" refId="78" keid="SYS_STR" veid="Reporting.com.tagetik.spreadsheet.gridwrappers.IGridReaderVO,Reporting"/>
              <m key="dictionaryAddresses" refId="79" keid="SYS_STR" veid="Reporting.com.tagetik.spreadsheet.gridwrappers.IGridReaderVO,Reporting"/>
              <m key="hyperlinkAddresses" refId="80" keid="SYS_STR" veid="Reporting.com.tagetik.spreadsheet.gridwrappers.IGridReaderVO,Reporting"/>
              <m key="matrixGridReaders" refId="81" keid="SYS_STR" veid="Reporting.com.tagetik.spreadsheet.gridwrappers.IGridReaderVO,Reporting"/>
              <m key="queryGridReaders" refId="82" keid="SYS_STR" veid="Reporting.com.tagetik.spreadsheet.gridwrappers.IGridReaderVO,Reporting"/>
            </be>
          </val>
          <key>
            <s>Template00</s>
          </key>
          <val>
            <be refId="83" clsId="ReportTemplateLayoutVO">
              <i key="index">2</i>
              <s key="code">Template00</s>
              <m key="cellFieldAddresses" refId="84" keid="SYS_STR" veid="Reporting.com.tagetik.spreadsheet.gridwrappers.IGridReaderVO,Reporting"/>
              <m key="controlExpressionsAddresses" refId="85" keid="SYS_STR" veid="Reporting.com.tagetik.spreadsheet.gridwrappers.IGridReaderVO,Reporting"/>
              <m key="inlineParameterAddresses" refId="86" keid="SYS_STR" veid="Reporting.com.tagetik.spreadsheet.gridwrappers.IGridReaderVO,Reporting"/>
              <m key="dictionaryAddresses" refId="87" keid="SYS_STR" veid="Reporting.com.tagetik.spreadsheet.gridwrappers.IGridReaderVO,Reporting"/>
              <m key="hyperlinkAddresses" refId="88" keid="SYS_STR" veid="Reporting.com.tagetik.spreadsheet.gridwrappers.IGridReaderVO,Reporting"/>
              <m key="matrixGridReaders" refId="89" keid="SYS_STR" veid="Reporting.com.tagetik.spreadsheet.gridwrappers.IGridReaderVO,Reporting"/>
              <m key="queryGridReaders" refId="90" keid="SYS_STR" veid="Reporting.com.tagetik.spreadsheet.gridwrappers.IGridReaderVO,Reporting"/>
            </be>
          </val>
        </m>
        <m key="adHocParameters" refId="91" keid="SYS_STR" veid="ProspParametro"/>
        <l key="parametersToBeRequested" refId="92" ln="0" eid="ParameterInfo"/>
      </be>
      <be key="launchResult" refId="93" clsId="MultiRepLaunchResult">
        <be key="elabResult" refId="94" clsId="ElabResult"/>
        <m key="valori" refId="95" keid="SYS_STR" veid="ProspElaborationTaskResult"/>
        <m key="exportedType" refId="96" keid="SYS_STR" veid="SYS_STR"/>
        <m key="exportedResult" refId="97" keid="SYS_STR" veid="System.Byte[]"/>
        <b key="flagValidation">N</b>
      </be>
      <be key="parameters" refId="98" clsId="LaunchParameters">
        <i key="descLanguage">0</i>
        <b key="dataEntry">N</b>
        <b key="checkEdit">S</b>
        <b key="createMatrixAreas">N</b>
      </be>
      <be key="launchInfo" refId="99" clsId="LaunchInfo">
        <d key="launchTime">1788933744638</d>
        <s key="handlerId">fb471678-ddf5-4d7b-8a29-17b41ed6f226</s>
      </be>
    </be>
  </data>
</easyPacket>
</file>

<file path=customXml/item5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D7258346-AFFE-47EE-A082-EF3CEDD059D8}">
  <ds:schemaRefs/>
</ds:datastoreItem>
</file>

<file path=customXml/itemProps2.xml><?xml version="1.0" encoding="utf-8"?>
<ds:datastoreItem xmlns:ds="http://schemas.openxmlformats.org/officeDocument/2006/customXml" ds:itemID="{A81D515A-360A-4EC8-954C-A6A480254D1B}">
  <ds:schemaRefs/>
</ds:datastoreItem>
</file>

<file path=customXml/itemProps3.xml><?xml version="1.0" encoding="utf-8"?>
<ds:datastoreItem xmlns:ds="http://schemas.openxmlformats.org/officeDocument/2006/customXml" ds:itemID="{7AFA98D1-B4B4-4B4E-9497-D411218D8211}">
  <ds:schemaRefs/>
</ds:datastoreItem>
</file>

<file path=customXml/itemProps4.xml><?xml version="1.0" encoding="utf-8"?>
<ds:datastoreItem xmlns:ds="http://schemas.openxmlformats.org/officeDocument/2006/customXml" ds:itemID="{C702BE34-EC61-4B70-9066-6EC759BB860C}">
  <ds:schemaRefs/>
</ds:datastoreItem>
</file>

<file path=customXml/itemProps5.xml><?xml version="1.0" encoding="utf-8"?>
<ds:datastoreItem xmlns:ds="http://schemas.openxmlformats.org/officeDocument/2006/customXml" ds:itemID="{9496B98A-A031-41B3-B1E5-A178DE7EDE7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Cockpit</vt:lpstr>
      <vt:lpstr>Drill EBITDA 1</vt:lpstr>
      <vt:lpstr>Drill EBITDA 2</vt:lpstr>
      <vt:lpstr>Cockpit!Query00</vt:lpstr>
      <vt:lpstr>Cockpit!Query01</vt:lpstr>
      <vt:lpstr>Cockpit!Query02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2026-09-04T14:45:38Z</dcterms:created>
  <dcterms:modified xsi:type="dcterms:W3CDTF">2026-09-09T06:03:02Z</dcterms:modified>
</cp:coreProperties>
</file>