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rage" sheetId="1" state="visible" r:id="rId1"/>
    <sheet name="Pilotage" sheetId="2" state="visible" r:id="rId2"/>
  </sheets>
  <definedNames>
    <definedName name="_xlnm.Print_Titles" localSheetId="0">'Cadrage'!$1:$3</definedName>
    <definedName name="_xlnm.Print_Area" localSheetId="0">'Cadrage'!$A$1:$M$44</definedName>
    <definedName name="_xlnm.Print_Titles" localSheetId="1">'Pilotage'!$1:$3</definedName>
    <definedName name="_xlnm.Print_Area" localSheetId="1">'Pilotage'!$A$1:$L$57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[Red]-0.0%"/>
    <numFmt numFmtId="165" formatCode="#,##0&quot; €&quot;;[Red]-#,##0&quot; €&quot;"/>
    <numFmt numFmtId="166" formatCode="#,##0;[Red]-#,##0"/>
    <numFmt numFmtId="167" formatCode="0.00%;[Red]-0.00%"/>
    <numFmt numFmtId="168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C6D3DE"/>
      <sz val="9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b val="1"/>
      <color rgb="00595959"/>
      <sz val="9"/>
    </font>
    <font>
      <name val="Arial"/>
      <b val="1"/>
      <color rgb="00000000"/>
      <sz val="16"/>
    </font>
    <font>
      <name val="Arial"/>
      <color rgb="00595959"/>
      <sz val="8"/>
    </font>
    <font>
      <name val="Arial"/>
      <b val="1"/>
      <color rgb="00000000"/>
      <sz val="10.5"/>
    </font>
    <font>
      <name val="Arial"/>
      <color rgb="00000000"/>
      <sz val="9"/>
    </font>
    <font>
      <name val="Arial"/>
      <b val="1"/>
      <color rgb="001F3B57"/>
      <sz val="9"/>
    </font>
    <font>
      <name val="Arial"/>
      <color rgb="00FFFFFF"/>
      <sz val="6"/>
    </font>
    <font>
      <name val="Arial"/>
      <color rgb="00C00000"/>
      <sz val="9"/>
    </font>
    <font>
      <name val="Arial"/>
      <b val="1"/>
      <color rgb="00595959"/>
      <sz val="8"/>
    </font>
    <font>
      <name val="Arial"/>
      <color rgb="00595959"/>
      <sz val="9"/>
    </font>
    <font>
      <name val="Arial"/>
      <b val="1"/>
      <color rgb="00000000"/>
      <sz val="9.5"/>
    </font>
  </fonts>
  <fills count="8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E2E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0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 style="thin">
        <color rgb="00595959"/>
      </left>
      <top style="thin">
        <color rgb="00595959"/>
      </top>
    </border>
    <border>
      <left style="thin">
        <color rgb="00BFBFBF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>
      <left style="thin">
        <color rgb="00BFBFBF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left style="thin">
        <color rgb="00BFBFBF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595959"/>
      </top>
      <bottom style="thin">
        <color rgb="00595959"/>
      </bottom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top style="thin">
        <color rgb="00595959"/>
      </top>
      <bottom style="thin">
        <color rgb="00BFBFBF"/>
      </bottom>
    </border>
    <border>
      <bottom style="thin">
        <color rgb="00BFBFBF"/>
      </bottom>
    </border>
    <border>
      <top style="thin">
        <color rgb="00595959"/>
      </top>
      <bottom style="double">
        <color rgb="00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0" fontId="9" fillId="4" borderId="4" pivotButton="0" quotePrefix="0" xfId="0"/>
    <xf numFmtId="0" fontId="9" fillId="4" borderId="5" pivotButton="0" quotePrefix="0" xfId="0"/>
    <xf numFmtId="165" fontId="6" fillId="4" borderId="6" applyAlignment="1" pivotButton="0" quotePrefix="0" xfId="0">
      <alignment horizontal="left" vertical="center" indent="1"/>
    </xf>
    <xf numFmtId="165" fontId="6" fillId="4" borderId="7" applyAlignment="1" pivotButton="0" quotePrefix="0" xfId="0">
      <alignment horizontal="left" vertical="center" indent="1"/>
    </xf>
    <xf numFmtId="0" fontId="9" fillId="4" borderId="8" pivotButton="0" quotePrefix="0" xfId="0"/>
    <xf numFmtId="0" fontId="9" fillId="4" borderId="9" pivotButton="0" quotePrefix="0" xfId="0"/>
    <xf numFmtId="0" fontId="7" fillId="4" borderId="10" applyAlignment="1" pivotButton="0" quotePrefix="0" xfId="0">
      <alignment horizontal="left" vertical="center" indent="1"/>
    </xf>
    <xf numFmtId="0" fontId="7" fillId="4" borderId="11" applyAlignment="1" pivotButton="0" quotePrefix="0" xfId="0">
      <alignment horizontal="left" vertical="center" indent="1"/>
    </xf>
    <xf numFmtId="0" fontId="9" fillId="4" borderId="12" pivotButton="0" quotePrefix="0" xfId="0"/>
    <xf numFmtId="0" fontId="9" fillId="4" borderId="13" pivotButton="0" quotePrefix="0" xfId="0"/>
    <xf numFmtId="0" fontId="8" fillId="0" borderId="14" applyAlignment="1" pivotButton="0" quotePrefix="0" xfId="0">
      <alignment horizontal="left" vertical="center"/>
    </xf>
    <xf numFmtId="0" fontId="9" fillId="0" borderId="14" pivotButton="0" quotePrefix="0" xfId="0"/>
    <xf numFmtId="0" fontId="3" fillId="5" borderId="15" applyAlignment="1" pivotButton="0" quotePrefix="0" xfId="0">
      <alignment horizontal="left" vertical="center" indent="1"/>
    </xf>
    <xf numFmtId="0" fontId="3" fillId="5" borderId="15" applyAlignment="1" pivotButton="0" quotePrefix="0" xfId="0">
      <alignment horizontal="right" vertical="center"/>
    </xf>
    <xf numFmtId="0" fontId="9" fillId="0" borderId="16" applyAlignment="1" pivotButton="0" quotePrefix="0" xfId="0">
      <alignment horizontal="left" vertical="center" indent="1"/>
    </xf>
    <xf numFmtId="165" fontId="9" fillId="0" borderId="16" applyAlignment="1" pivotButton="0" quotePrefix="0" xfId="0">
      <alignment horizontal="right" vertical="center"/>
    </xf>
    <xf numFmtId="164" fontId="9" fillId="0" borderId="16" applyAlignment="1" pivotButton="0" quotePrefix="0" xfId="0">
      <alignment horizontal="right" vertical="center"/>
    </xf>
    <xf numFmtId="0" fontId="3" fillId="6" borderId="17" applyAlignment="1" pivotButton="0" quotePrefix="0" xfId="0">
      <alignment horizontal="left" vertical="center" indent="1"/>
    </xf>
    <xf numFmtId="165" fontId="3" fillId="6" borderId="17" applyAlignment="1" pivotButton="0" quotePrefix="0" xfId="0">
      <alignment horizontal="right" vertical="center"/>
    </xf>
    <xf numFmtId="164" fontId="3" fillId="6" borderId="17" applyAlignment="1" pivotButton="0" quotePrefix="0" xfId="0">
      <alignment horizontal="right" vertical="center"/>
    </xf>
    <xf numFmtId="0" fontId="9" fillId="0" borderId="16" pivotButton="0" quotePrefix="0" xfId="0"/>
    <xf numFmtId="166" fontId="9" fillId="0" borderId="16" applyAlignment="1" pivotButton="0" quotePrefix="0" xfId="0">
      <alignment horizontal="right" vertical="center"/>
    </xf>
    <xf numFmtId="0" fontId="3" fillId="5" borderId="15" applyAlignment="1" pivotButton="0" quotePrefix="0" xfId="0">
      <alignment horizontal="center" vertical="center"/>
    </xf>
    <xf numFmtId="0" fontId="3" fillId="6" borderId="15" applyAlignment="1" pivotButton="0" quotePrefix="0" xfId="0">
      <alignment horizontal="center" vertical="center"/>
    </xf>
    <xf numFmtId="0" fontId="10" fillId="0" borderId="18" applyAlignment="1" pivotButton="0" quotePrefix="0" xfId="0">
      <alignment horizontal="left" vertical="center"/>
    </xf>
    <xf numFmtId="0" fontId="9" fillId="0" borderId="18" pivotButton="0" quotePrefix="0" xfId="0"/>
    <xf numFmtId="0" fontId="11" fillId="0" borderId="0" applyAlignment="1" pivotButton="0" quotePrefix="0" xfId="0">
      <alignment horizontal="center" vertical="center"/>
    </xf>
    <xf numFmtId="167" fontId="9" fillId="0" borderId="16" applyAlignment="1" pivotButton="0" quotePrefix="0" xfId="0">
      <alignment horizontal="center" vertical="center"/>
    </xf>
    <xf numFmtId="167" fontId="3" fillId="6" borderId="16" applyAlignment="1" pivotButton="0" quotePrefix="0" xfId="0">
      <alignment horizontal="center" vertical="center"/>
    </xf>
    <xf numFmtId="2" fontId="9" fillId="0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165" fontId="9" fillId="0" borderId="16" applyAlignment="1" pivotButton="0" quotePrefix="0" xfId="0">
      <alignment horizontal="center" vertical="center"/>
    </xf>
    <xf numFmtId="165" fontId="3" fillId="6" borderId="1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6" fillId="4" borderId="7" applyAlignment="1" pivotButton="0" quotePrefix="0" xfId="0">
      <alignment horizontal="left" vertical="center" indent="1"/>
    </xf>
    <xf numFmtId="168" fontId="6" fillId="4" borderId="7" applyAlignment="1" pivotButton="0" quotePrefix="0" xfId="0">
      <alignment horizontal="left" vertical="center" indent="1"/>
    </xf>
    <xf numFmtId="0" fontId="3" fillId="5" borderId="15" applyAlignment="1" pivotButton="0" quotePrefix="0" xfId="0">
      <alignment horizontal="center" vertical="center" wrapText="1"/>
    </xf>
    <xf numFmtId="0" fontId="3" fillId="5" borderId="15" applyAlignment="1" pivotButton="0" quotePrefix="0" xfId="0">
      <alignment horizontal="left" vertical="center" wrapText="1"/>
    </xf>
    <xf numFmtId="0" fontId="3" fillId="5" borderId="15" applyAlignment="1" pivotButton="0" quotePrefix="0" xfId="0">
      <alignment horizontal="right" vertical="center" wrapText="1"/>
    </xf>
    <xf numFmtId="0" fontId="3" fillId="3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2" fontId="3" fillId="3" borderId="16" applyAlignment="1" pivotButton="0" quotePrefix="0" xfId="0">
      <alignment horizontal="center" vertical="center"/>
    </xf>
    <xf numFmtId="0" fontId="14" fillId="0" borderId="16" applyAlignment="1" pivotButton="0" quotePrefix="0" xfId="0">
      <alignment horizontal="left" vertical="center"/>
    </xf>
    <xf numFmtId="168" fontId="9" fillId="0" borderId="16" applyAlignment="1" pivotButton="0" quotePrefix="0" xfId="0">
      <alignment horizontal="right" vertical="center"/>
    </xf>
    <xf numFmtId="164" fontId="9" fillId="0" borderId="16" applyAlignment="1" pivotButton="0" quotePrefix="0" xfId="0">
      <alignment horizontal="center" vertical="center"/>
    </xf>
    <xf numFmtId="0" fontId="9" fillId="7" borderId="17" pivotButton="0" quotePrefix="0" xfId="0"/>
    <xf numFmtId="0" fontId="15" fillId="7" borderId="17" applyAlignment="1" pivotButton="0" quotePrefix="0" xfId="0">
      <alignment horizontal="left" vertical="center" indent="1"/>
    </xf>
    <xf numFmtId="168" fontId="15" fillId="7" borderId="17" applyAlignment="1" pivotButton="0" quotePrefix="0" xfId="0">
      <alignment horizontal="right" vertical="center"/>
    </xf>
    <xf numFmtId="165" fontId="15" fillId="7" borderId="17" applyAlignment="1" pivotButton="0" quotePrefix="0" xfId="0">
      <alignment horizontal="right" vertical="center"/>
    </xf>
    <xf numFmtId="164" fontId="15" fillId="7" borderId="17" applyAlignment="1" pivotButton="0" quotePrefix="0" xfId="0">
      <alignment horizontal="right" vertical="center"/>
    </xf>
    <xf numFmtId="164" fontId="15" fillId="7" borderId="17" applyAlignment="1" pivotButton="0" quotePrefix="0" xfId="0">
      <alignment horizontal="center" vertical="center"/>
    </xf>
    <xf numFmtId="0" fontId="9" fillId="4" borderId="17" pivotButton="0" quotePrefix="0" xfId="0"/>
    <xf numFmtId="0" fontId="15" fillId="4" borderId="17" applyAlignment="1" pivotButton="0" quotePrefix="0" xfId="0">
      <alignment horizontal="left" vertical="center" indent="1"/>
    </xf>
    <xf numFmtId="165" fontId="15" fillId="4" borderId="17" applyAlignment="1" pivotButton="0" quotePrefix="0" xfId="0">
      <alignment horizontal="right" vertical="center"/>
    </xf>
    <xf numFmtId="0" fontId="9" fillId="6" borderId="19" pivotButton="0" quotePrefix="0" xfId="0"/>
    <xf numFmtId="0" fontId="15" fillId="6" borderId="19" applyAlignment="1" pivotButton="0" quotePrefix="0" xfId="0">
      <alignment horizontal="left" vertical="center" indent="1"/>
    </xf>
    <xf numFmtId="168" fontId="15" fillId="6" borderId="19" applyAlignment="1" pivotButton="0" quotePrefix="0" xfId="0">
      <alignment horizontal="right" vertical="center"/>
    </xf>
    <xf numFmtId="165" fontId="15" fillId="6" borderId="19" applyAlignment="1" pivotButton="0" quotePrefix="0" xfId="0">
      <alignment horizontal="right" vertical="center"/>
    </xf>
    <xf numFmtId="164" fontId="15" fillId="6" borderId="19" applyAlignment="1" pivotButton="0" quotePrefix="0" xfId="0">
      <alignment horizontal="right" vertical="center"/>
    </xf>
    <xf numFmtId="164" fontId="15" fillId="6" borderId="1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000" b="1">
                <a:solidFill>
                  <a:srgbClr val="000000"/>
                </a:solidFill>
                <a:latin typeface="Arial"/>
              </a:defRPr>
            </a:pPr>
            <a:r>
              <a:rPr sz="1000" b="1">
                <a:solidFill>
                  <a:srgbClr val="000000"/>
                </a:solidFill>
                <a:latin typeface="Arial"/>
              </a:rPr>
              <a:t>EBITDA : réel 2024-2026 et budget 2027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'Cadrage'!Q5</f>
            </strRef>
          </tx>
          <spPr>
            <a:solidFill>
              <a:srgbClr val="1F3B57"/>
            </a:solidFill>
            <a:ln>
              <a:prstDash val="solid"/>
            </a:ln>
          </spPr>
          <cat>
            <numRef>
              <f>'Cadrage'!$P$6:$P$9</f>
            </numRef>
          </cat>
          <val>
            <numRef>
              <f>'Cadrage'!$Q$6:$Q$9</f>
            </numRef>
          </val>
        </ser>
        <ser>
          <idx val="1"/>
          <order val="1"/>
          <tx>
            <strRef>
              <f>'Cadrage'!R5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'Cadrage'!$P$6:$P$9</f>
            </numRef>
          </cat>
          <val>
            <numRef>
              <f>'Cadrage'!$R$6:$R$9</f>
            </numRef>
          </val>
        </ser>
        <dLbls>
          <numFmt formatCode="#,##0"/>
          <txPr>
            <a:bodyPr/>
            <a:p>
              <a:pPr>
                <a:defRPr sz="800">
                  <a:solidFill>
                    <a:srgbClr val="000000"/>
                  </a:solidFill>
                  <a:latin typeface="Arial"/>
                </a:defRPr>
              </a:pPr>
              <a:r>
                <a:t/>
              </a:r>
              <a:endParaRPr sz="800">
                <a:solidFill>
                  <a:srgbClr val="000000"/>
                </a:solidFill>
                <a:latin typeface="Arial"/>
              </a:endParaRPr>
            </a:p>
          </txPr>
          <showVal val="1"/>
        </dLbls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'Cadrage'!S5</f>
            </strRef>
          </tx>
          <spPr>
            <a:ln w="18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'Cadrage'!$S$6:$S$9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&quot; €&quot;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3744000" cy="255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6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4.5" customWidth="1" min="3" max="3"/>
    <col width="14.5" customWidth="1" min="4" max="4"/>
    <col width="14.5" customWidth="1" min="5" max="5"/>
    <col width="14.5" customWidth="1" min="6" max="6"/>
    <col width="2" customWidth="1" min="7" max="7"/>
    <col width="2" customWidth="1" min="8" max="8"/>
    <col width="2" customWidth="1" min="9" max="9"/>
    <col width="25" customWidth="1" min="10" max="10"/>
    <col width="9.5" customWidth="1" min="11" max="11"/>
    <col width="2" customWidth="1" min="12" max="12"/>
    <col width="12" customWidth="1" min="13" max="13"/>
    <col width="8" customWidth="1" min="16" max="16"/>
    <col width="12" customWidth="1" min="17" max="17"/>
    <col width="12" customWidth="1" min="18" max="18"/>
    <col width="12" customWidth="1" min="19" max="1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0" customHeight="1">
      <c r="A2" s="2" t="n"/>
      <c r="B2" s="3" t="inlineStr">
        <is>
          <t>EDUSERVICES GROUP    Cadrage budgétaire 2027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4" t="inlineStr">
        <is>
          <t>Scénario 2027BUD_V1</t>
        </is>
      </c>
      <c r="L2" s="2" t="n"/>
      <c r="M2" s="2" t="n"/>
      <c r="N2" s="2" t="n"/>
      <c r="O2" s="2" t="n"/>
      <c r="P2" s="2" t="n"/>
      <c r="Q2" s="2" t="n"/>
      <c r="R2" s="2" t="n"/>
      <c r="S2" s="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5" t="inlineStr">
        <is>
          <t>Données du graphique</t>
        </is>
      </c>
      <c r="Q4" s="1" t="n"/>
      <c r="R4" s="1" t="n"/>
      <c r="S4" s="1" t="n"/>
    </row>
    <row r="5" ht="20" customHeight="1">
      <c r="A5" s="1" t="n"/>
      <c r="B5" s="6" t="inlineStr">
        <is>
          <t>Scénario retenu</t>
        </is>
      </c>
      <c r="C5" s="7" t="inlineStr">
        <is>
          <t>Optimiste</t>
        </is>
      </c>
      <c r="D5" s="1" t="n"/>
      <c r="E5" s="8" t="inlineStr">
        <is>
          <t>Objectif de croissance EBITDA</t>
        </is>
      </c>
      <c r="F5" s="9" t="n">
        <v>0.065</v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5" t="inlineStr">
        <is>
          <t>Exercice</t>
        </is>
      </c>
      <c r="Q5" s="10" t="inlineStr">
        <is>
          <t>Réel</t>
        </is>
      </c>
      <c r="R5" s="10" t="inlineStr">
        <is>
          <t>Budget 2027</t>
        </is>
      </c>
      <c r="S5" s="10" t="inlineStr">
        <is>
          <t>Objectif</t>
        </is>
      </c>
    </row>
    <row r="6" ht="1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1" t="n">
        <v>2024</v>
      </c>
      <c r="Q6" s="12" t="n">
        <v>3151035</v>
      </c>
      <c r="R6" s="1" t="n"/>
      <c r="S6" s="12" t="n">
        <v>4095766.36</v>
      </c>
    </row>
    <row r="7" ht="15" customHeight="1">
      <c r="A7" s="1" t="n"/>
      <c r="B7" s="13" t="inlineStr">
        <is>
          <t>Objectif EBITDA 2027</t>
        </is>
      </c>
      <c r="C7" s="14" t="inlineStr">
        <is>
          <t>EBITDA construit</t>
        </is>
      </c>
      <c r="D7" s="15" t="n"/>
      <c r="E7" s="14" t="inlineStr">
        <is>
          <t>Écart à l'objectif</t>
        </is>
      </c>
      <c r="F7" s="16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1" t="n">
        <v>2025</v>
      </c>
      <c r="Q7" s="12" t="n">
        <v>3467768</v>
      </c>
      <c r="R7" s="1" t="n"/>
      <c r="S7" s="12" t="n">
        <v>4095766.36</v>
      </c>
    </row>
    <row r="8" ht="24" customHeight="1">
      <c r="A8" s="1" t="n"/>
      <c r="B8" s="17" t="n">
        <v>4095766.36</v>
      </c>
      <c r="C8" s="18" t="n">
        <v>6744302.91</v>
      </c>
      <c r="D8" s="19" t="n"/>
      <c r="E8" s="18" t="n">
        <v>2648536.55</v>
      </c>
      <c r="F8" s="20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1" t="n">
        <v>2026</v>
      </c>
      <c r="Q8" s="12" t="n">
        <v>3845790</v>
      </c>
      <c r="R8" s="1" t="n"/>
      <c r="S8" s="12" t="n">
        <v>4095766.36</v>
      </c>
    </row>
    <row r="9" ht="15" customHeight="1">
      <c r="A9" s="1" t="n"/>
      <c r="B9" s="21" t="inlineStr">
        <is>
          <t>2026 : 3 845 790 €</t>
        </is>
      </c>
      <c r="C9" s="22" t="inlineStr">
        <is>
          <t>marge 25,2 %</t>
        </is>
      </c>
      <c r="D9" s="23" t="n"/>
      <c r="E9" s="22" t="inlineStr">
        <is>
          <t>objectif dépassé</t>
        </is>
      </c>
      <c r="F9" s="2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1" t="n">
        <v>2027</v>
      </c>
      <c r="Q9" s="1" t="n"/>
      <c r="R9" s="12" t="n">
        <v>6744302.91</v>
      </c>
      <c r="S9" s="12" t="n">
        <v>4095766.36</v>
      </c>
    </row>
    <row r="10" ht="24" customHeight="1">
      <c r="A10" s="1" t="n"/>
      <c r="B10" s="25" t="inlineStr">
        <is>
          <t>RÉCONCILIATION 2026 / 2027</t>
        </is>
      </c>
      <c r="C10" s="26" t="n"/>
      <c r="D10" s="26" t="n"/>
      <c r="E10" s="26" t="n"/>
      <c r="F10" s="26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18" customHeight="1">
      <c r="A11" s="1" t="n"/>
      <c r="B11" s="27" t="inlineStr">
        <is>
          <t>Indicateur</t>
        </is>
      </c>
      <c r="C11" s="28" t="inlineStr">
        <is>
          <t>Réel 2026</t>
        </is>
      </c>
      <c r="D11" s="28" t="inlineStr">
        <is>
          <t>Budget 2027</t>
        </is>
      </c>
      <c r="E11" s="28" t="inlineStr">
        <is>
          <t>Écart</t>
        </is>
      </c>
      <c r="F11" s="28" t="inlineStr">
        <is>
          <t>Écart %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16.5" customHeight="1">
      <c r="A12" s="1" t="n"/>
      <c r="B12" s="29" t="inlineStr">
        <is>
          <t>Chiffre d'affaires</t>
        </is>
      </c>
      <c r="C12" s="30" t="n">
        <v>23098985</v>
      </c>
      <c r="D12" s="30" t="n">
        <v>26814168.68</v>
      </c>
      <c r="E12" s="30" t="n">
        <v>3715183.68</v>
      </c>
      <c r="F12" s="31" t="n">
        <v>0.1608</v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6.5" customHeight="1">
      <c r="A13" s="1" t="n"/>
      <c r="B13" s="32" t="inlineStr">
        <is>
          <t>EBITDA</t>
        </is>
      </c>
      <c r="C13" s="33" t="n">
        <v>3845790.01</v>
      </c>
      <c r="D13" s="33" t="n">
        <v>6744302.91</v>
      </c>
      <c r="E13" s="33" t="n">
        <v>2898512.9</v>
      </c>
      <c r="F13" s="34" t="n">
        <v>0.7537</v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6.5" customHeight="1">
      <c r="A14" s="1" t="n"/>
      <c r="B14" s="29" t="inlineStr">
        <is>
          <t>Marge EBITDA</t>
        </is>
      </c>
      <c r="C14" s="31" t="n">
        <v>0.1665</v>
      </c>
      <c r="D14" s="31" t="n">
        <v>0.2515</v>
      </c>
      <c r="E14" s="31" t="n">
        <v>0.08500000000000001</v>
      </c>
      <c r="F14" s="35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6.5" customHeight="1">
      <c r="A15" s="1" t="n"/>
      <c r="B15" s="29" t="inlineStr">
        <is>
          <t>Effectif moyen</t>
        </is>
      </c>
      <c r="C15" s="36" t="n">
        <v>3114</v>
      </c>
      <c r="D15" s="36" t="n">
        <v>3473.67</v>
      </c>
      <c r="E15" s="36" t="n">
        <v>359.67</v>
      </c>
      <c r="F15" s="31" t="n">
        <v>0.1155</v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2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6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24" customHeight="1">
      <c r="A18" s="1" t="n"/>
      <c r="B18" s="25" t="inlineStr">
        <is>
          <t>HYPOTHÈSES DE CONSTRUCTION</t>
        </is>
      </c>
      <c r="C18" s="26" t="n"/>
      <c r="D18" s="26" t="n"/>
      <c r="E18" s="26" t="n"/>
      <c r="F18" s="26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8" customHeight="1">
      <c r="A19" s="1" t="n"/>
      <c r="B19" s="27" t="inlineStr">
        <is>
          <t>Levier</t>
        </is>
      </c>
      <c r="C19" s="37" t="inlineStr">
        <is>
          <t>Cadrage</t>
        </is>
      </c>
      <c r="D19" s="37" t="inlineStr">
        <is>
          <t>Optimiste</t>
        </is>
      </c>
      <c r="E19" s="37" t="inlineStr">
        <is>
          <t>Prudent</t>
        </is>
      </c>
      <c r="F19" s="38" t="inlineStr">
        <is>
          <t>Retenu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8" customHeight="1">
      <c r="A21" s="1" t="n"/>
      <c r="B21" s="39" t="inlineStr">
        <is>
          <t>Croissance</t>
        </is>
      </c>
      <c r="C21" s="40" t="n"/>
      <c r="D21" s="40" t="n"/>
      <c r="E21" s="40" t="n"/>
      <c r="F21" s="40" t="n"/>
      <c r="G21" s="1" t="n"/>
      <c r="H21" s="1" t="n"/>
      <c r="I21" s="1" t="n"/>
      <c r="J21" s="25" t="inlineStr">
        <is>
          <t>COEFFICIENTS DE PRIX</t>
        </is>
      </c>
      <c r="K21" s="26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9" customHeight="1">
      <c r="A22" s="1" t="n"/>
      <c r="B22" s="1" t="n"/>
      <c r="C22" s="41" t="inlineStr">
        <is>
          <t>Cadrage</t>
        </is>
      </c>
      <c r="D22" s="41" t="inlineStr">
        <is>
          <t>Optimiste</t>
        </is>
      </c>
      <c r="E22" s="41" t="inlineStr">
        <is>
          <t>Prudent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5.75" customHeight="1">
      <c r="A23" s="1" t="n"/>
      <c r="B23" s="29" t="inlineStr">
        <is>
          <t>Variation du budget d'acquisition</t>
        </is>
      </c>
      <c r="C23" s="42" t="n">
        <v>0.08</v>
      </c>
      <c r="D23" s="42" t="n">
        <v>0.15</v>
      </c>
      <c r="E23" s="42" t="n">
        <v>-0.05</v>
      </c>
      <c r="F23" s="43" t="n">
        <v>0.15</v>
      </c>
      <c r="G23" s="1" t="n"/>
      <c r="H23" s="1" t="n"/>
      <c r="I23" s="1" t="n"/>
      <c r="J23" s="27" t="inlineStr">
        <is>
          <t>Marque</t>
        </is>
      </c>
      <c r="K23" s="37" t="inlineStr">
        <is>
          <t>Coeff.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5.75" customHeight="1">
      <c r="A24" s="1" t="n"/>
      <c r="B24" s="29" t="inlineStr">
        <is>
          <t>Variation du budget de marque</t>
        </is>
      </c>
      <c r="C24" s="42" t="n">
        <v>0.1</v>
      </c>
      <c r="D24" s="42" t="n">
        <v>0.15</v>
      </c>
      <c r="E24" s="42" t="n">
        <v>-0.05</v>
      </c>
      <c r="F24" s="43" t="n">
        <v>0.15</v>
      </c>
      <c r="G24" s="1" t="n"/>
      <c r="H24" s="1" t="n"/>
      <c r="I24" s="1" t="n"/>
      <c r="J24" s="29" t="inlineStr">
        <is>
          <t>MBway</t>
        </is>
      </c>
      <c r="K24" s="44" t="n">
        <v>1.2</v>
      </c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5.75" customHeight="1">
      <c r="A25" s="1" t="n"/>
      <c r="B25" s="29" t="inlineStr">
        <is>
          <t>Hausse tarifaire</t>
        </is>
      </c>
      <c r="C25" s="42" t="n">
        <v>0.0029</v>
      </c>
      <c r="D25" s="42" t="n">
        <v>0.035</v>
      </c>
      <c r="E25" s="42" t="n">
        <v>0.02</v>
      </c>
      <c r="F25" s="43" t="n">
        <v>0.035</v>
      </c>
      <c r="G25" s="1" t="n"/>
      <c r="H25" s="1" t="n"/>
      <c r="I25" s="1" t="n"/>
      <c r="J25" s="29" t="inlineStr">
        <is>
          <t>ISCOM</t>
        </is>
      </c>
      <c r="K25" s="44" t="n">
        <v>1.15</v>
      </c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5.75" customHeight="1">
      <c r="A26" s="1" t="n"/>
      <c r="B26" s="29" t="inlineStr">
        <is>
          <t>Gain de conversion lead / candidature</t>
        </is>
      </c>
      <c r="C26" s="42" t="n">
        <v>0.01</v>
      </c>
      <c r="D26" s="42" t="n">
        <v>0.03</v>
      </c>
      <c r="E26" s="42" t="n">
        <v>-0.01</v>
      </c>
      <c r="F26" s="43" t="n">
        <v>0.03</v>
      </c>
      <c r="G26" s="1" t="n"/>
      <c r="H26" s="1" t="n"/>
      <c r="I26" s="1" t="n"/>
      <c r="J26" s="29" t="inlineStr">
        <is>
          <t>Ipac Bachelor Factory</t>
        </is>
      </c>
      <c r="K26" s="44" t="n">
        <v>0.95</v>
      </c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5.75" customHeight="1">
      <c r="A27" s="1" t="n"/>
      <c r="B27" s="29" t="inlineStr">
        <is>
          <t>Gain de conversion admis / inscrit</t>
        </is>
      </c>
      <c r="C27" s="42" t="n">
        <v>0.01</v>
      </c>
      <c r="D27" s="42" t="n">
        <v>0.025</v>
      </c>
      <c r="E27" s="42" t="n">
        <v>-0.01</v>
      </c>
      <c r="F27" s="43" t="n">
        <v>0.025</v>
      </c>
      <c r="G27" s="1" t="n"/>
      <c r="H27" s="1" t="n"/>
      <c r="I27" s="1" t="n"/>
      <c r="J27" s="29" t="inlineStr">
        <is>
          <t>Pigier</t>
        </is>
      </c>
      <c r="K27" s="44" t="n">
        <v>0.9</v>
      </c>
      <c r="L27" s="1" t="n"/>
      <c r="M27" s="1" t="n"/>
      <c r="N27" s="1" t="n"/>
      <c r="O27" s="1" t="n"/>
      <c r="P27" s="1" t="n"/>
      <c r="Q27" s="1" t="n"/>
      <c r="R27" s="1" t="n"/>
      <c r="S27" s="1" t="n"/>
    </row>
    <row r="28" ht="15.75" customHeight="1">
      <c r="A28" s="1" t="n"/>
      <c r="B28" s="29" t="inlineStr">
        <is>
          <t>Amélioration du taux de passage</t>
        </is>
      </c>
      <c r="C28" s="42" t="n">
        <v>0.005</v>
      </c>
      <c r="D28" s="42" t="n">
        <v>0.015</v>
      </c>
      <c r="E28" s="42" t="n">
        <v>-0.01</v>
      </c>
      <c r="F28" s="43" t="n">
        <v>0.015</v>
      </c>
      <c r="G28" s="1" t="n"/>
      <c r="H28" s="1" t="n"/>
      <c r="I28" s="1" t="n"/>
      <c r="J28" s="29" t="inlineStr">
        <is>
          <t>Tunon</t>
        </is>
      </c>
      <c r="K28" s="44" t="n">
        <v>1.05</v>
      </c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6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6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6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8" customHeight="1">
      <c r="A32" s="1" t="n"/>
      <c r="B32" s="39" t="inlineStr">
        <is>
          <t>Coûts</t>
        </is>
      </c>
      <c r="C32" s="40" t="n"/>
      <c r="D32" s="40" t="n"/>
      <c r="E32" s="40" t="n"/>
      <c r="F32" s="40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15.75" customHeight="1">
      <c r="A34" s="1" t="n"/>
      <c r="B34" s="29" t="inlineStr">
        <is>
          <t>Inflation des charges externes</t>
        </is>
      </c>
      <c r="C34" s="42" t="n">
        <v>0.02</v>
      </c>
      <c r="D34" s="42" t="n">
        <v>0.015</v>
      </c>
      <c r="E34" s="42" t="n">
        <v>0.03</v>
      </c>
      <c r="F34" s="43" t="n">
        <v>0.015</v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5.75" customHeight="1">
      <c r="A35" s="1" t="n"/>
      <c r="B35" s="29" t="inlineStr">
        <is>
          <t>Politique salariale</t>
        </is>
      </c>
      <c r="C35" s="42" t="n">
        <v>0.025</v>
      </c>
      <c r="D35" s="42" t="n">
        <v>0.02</v>
      </c>
      <c r="E35" s="42" t="n">
        <v>0.03</v>
      </c>
      <c r="F35" s="43" t="n">
        <v>0.02</v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5.75" customHeight="1">
      <c r="A36" s="1" t="n"/>
      <c r="B36" s="29" t="inlineStr">
        <is>
          <t>Variation des effectifs permanents</t>
        </is>
      </c>
      <c r="C36" s="42" t="n">
        <v>0.04</v>
      </c>
      <c r="D36" s="42" t="n">
        <v>0.03</v>
      </c>
      <c r="E36" s="42" t="n">
        <v>0.05</v>
      </c>
      <c r="F36" s="43" t="n">
        <v>0.03</v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5.75" customHeight="1">
      <c r="A37" s="1" t="n"/>
      <c r="B37" s="29" t="inlineStr">
        <is>
          <t>Effort de productivité</t>
        </is>
      </c>
      <c r="C37" s="42" t="n">
        <v>0.0185</v>
      </c>
      <c r="D37" s="42" t="n">
        <v>0.03</v>
      </c>
      <c r="E37" s="45" t="inlineStr">
        <is>
          <t>n.d.</t>
        </is>
      </c>
      <c r="F37" s="43" t="n">
        <v>0.03</v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5.75" customHeight="1">
      <c r="A38" s="1" t="n"/>
      <c r="B38" s="29" t="inlineStr">
        <is>
          <t>Variation des coûts de structure</t>
        </is>
      </c>
      <c r="C38" s="45" t="inlineStr">
        <is>
          <t>n.d.</t>
        </is>
      </c>
      <c r="D38" s="42" t="n">
        <v>-0.03</v>
      </c>
      <c r="E38" s="42" t="n">
        <v>0.04</v>
      </c>
      <c r="F38" s="43" t="n">
        <v>-0.03</v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8" customHeight="1">
      <c r="A40" s="1" t="n"/>
      <c r="B40" s="39" t="inlineStr">
        <is>
          <t>Constante</t>
        </is>
      </c>
      <c r="C40" s="40" t="n"/>
      <c r="D40" s="40" t="n"/>
      <c r="E40" s="40" t="n"/>
      <c r="F40" s="40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75" customHeight="1">
      <c r="A42" s="1" t="n"/>
      <c r="B42" s="29" t="inlineStr">
        <is>
          <t>Frais de dossier par nouvel inscrit</t>
        </is>
      </c>
      <c r="C42" s="46" t="n">
        <v>90</v>
      </c>
      <c r="D42" s="46" t="n">
        <v>90</v>
      </c>
      <c r="E42" s="46" t="n">
        <v>90</v>
      </c>
      <c r="F42" s="47" t="n">
        <v>90</v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2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2" customHeight="1">
      <c r="A44" s="1" t="n"/>
      <c r="B44" s="48" t="inlineStr">
        <is>
          <t>Source : Tagetik TGK_MSSQL_07, cube d'hypothèses, versions V01 / V02 / V03.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</sheetData>
  <dataValidations count="1">
    <dataValidation sqref="C5" showDropDown="0" showInputMessage="0" showErrorMessage="0" allowBlank="0" type="list">
      <formula1>"Cadrage,Optimiste,Prudent"</formula1>
    </dataValidation>
  </dataValidations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58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.5" customWidth="1" min="2" max="2"/>
    <col width="13.5" customWidth="1" min="3" max="3"/>
    <col width="12.5" customWidth="1" min="4" max="4"/>
    <col width="13" customWidth="1" min="5" max="5"/>
    <col width="12" customWidth="1" min="6" max="6"/>
    <col width="10.5" customWidth="1" min="7" max="7"/>
    <col width="13" customWidth="1" min="8" max="8"/>
    <col width="10.5" customWidth="1" min="9" max="9"/>
    <col width="12" customWidth="1" min="10" max="10"/>
    <col width="13" customWidth="1" min="11" max="11"/>
    <col width="12.5" customWidth="1" min="12" max="12"/>
    <col width="2" customWidth="1" min="13" max="13"/>
    <col hidden="1" width="13" customWidth="1" min="14" max="14"/>
    <col hidden="1" width="13" customWidth="1" min="21" max="21"/>
    <col hidden="1" width="13" customWidth="1" min="22" max="22"/>
    <col hidden="1" width="13" customWidth="1" min="23" max="2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0" customHeight="1">
      <c r="A2" s="2" t="n"/>
      <c r="B2" s="3" t="inlineStr">
        <is>
          <t>EDUSERVICES GROUP    Pilotage budgétaire 2027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4" t="inlineStr">
        <is>
          <t>Scénario 2027BUD_V1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 ht="20" customHeight="1">
      <c r="A6" s="1" t="n"/>
      <c r="B6" s="6" t="inlineStr">
        <is>
          <t>Scénario retenu</t>
        </is>
      </c>
      <c r="C6" s="1" t="n"/>
      <c r="D6" s="1" t="n"/>
      <c r="E6" s="7" t="inlineStr">
        <is>
          <t>Cadrage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6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5" customHeight="1">
      <c r="A9" s="1" t="n"/>
      <c r="B9" s="13" t="inlineStr">
        <is>
          <t>Chiffre d'affaires</t>
        </is>
      </c>
      <c r="C9" s="14" t="inlineStr">
        <is>
          <t>EBITDA après siège</t>
        </is>
      </c>
      <c r="D9" s="15" t="n"/>
      <c r="E9" s="14" t="inlineStr">
        <is>
          <t>Marge EBITDA</t>
        </is>
      </c>
      <c r="F9" s="15" t="n"/>
      <c r="G9" s="14" t="inlineStr">
        <is>
          <t>Effectif moyen</t>
        </is>
      </c>
      <c r="H9" s="15" t="n"/>
      <c r="I9" s="14" t="inlineStr">
        <is>
          <t>Croissance CA</t>
        </is>
      </c>
      <c r="J9" s="15" t="n"/>
      <c r="K9" s="16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24" customHeight="1">
      <c r="A10" s="1" t="n"/>
      <c r="B10" s="17" t="n">
        <v>24231703.55</v>
      </c>
      <c r="C10" s="18" t="n">
        <v>4111503.64</v>
      </c>
      <c r="D10" s="19" t="n"/>
      <c r="E10" s="49" t="n">
        <v>0.1697</v>
      </c>
      <c r="F10" s="19" t="n"/>
      <c r="G10" s="50" t="n">
        <v>3253.62</v>
      </c>
      <c r="H10" s="19" t="n"/>
      <c r="I10" s="49" t="n">
        <v>0.049</v>
      </c>
      <c r="J10" s="19" t="n"/>
      <c r="K10" s="20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15" customHeight="1">
      <c r="A11" s="1" t="n"/>
      <c r="B11" s="21" t="inlineStr">
        <is>
          <t>2026 : 23 098 985 €</t>
        </is>
      </c>
      <c r="C11" s="22" t="inlineStr">
        <is>
          <t>2026 : 3 845 790 €</t>
        </is>
      </c>
      <c r="D11" s="23" t="n"/>
      <c r="E11" s="22" t="inlineStr">
        <is>
          <t>2026 : 16,6 %</t>
        </is>
      </c>
      <c r="F11" s="23" t="n"/>
      <c r="G11" s="22" t="inlineStr">
        <is>
          <t>2026 : 3 114</t>
        </is>
      </c>
      <c r="H11" s="23" t="n"/>
      <c r="I11" s="22" t="inlineStr">
        <is>
          <t>vs réel 2026</t>
        </is>
      </c>
      <c r="J11" s="23" t="n"/>
      <c r="K11" s="24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12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6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6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24" customHeight="1">
      <c r="A16" s="1" t="n"/>
      <c r="B16" s="25" t="inlineStr">
        <is>
          <t>CAPACITÉ PAR CAMPUS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6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26" customHeight="1">
      <c r="A18" s="51" t="inlineStr"/>
      <c r="B18" s="52" t="inlineStr">
        <is>
          <t>Marque</t>
        </is>
      </c>
      <c r="C18" s="52" t="inlineStr">
        <is>
          <t>Ville</t>
        </is>
      </c>
      <c r="D18" s="53" t="inlineStr">
        <is>
          <t>CAC marginal</t>
        </is>
      </c>
      <c r="E18" s="53" t="inlineStr">
        <is>
          <t>Croissance leads</t>
        </is>
      </c>
      <c r="F18" s="53" t="inlineStr">
        <is>
          <t>Intensité marketing</t>
        </is>
      </c>
      <c r="G18" s="51" t="inlineStr">
        <is>
          <t>Cap effectif</t>
        </is>
      </c>
      <c r="H18" s="51" t="inlineStr">
        <is>
          <t>Cap momentum</t>
        </is>
      </c>
      <c r="I18" s="51" t="inlineStr">
        <is>
          <t>Cap potentiel</t>
        </is>
      </c>
      <c r="J18" s="54" t="inlineStr">
        <is>
          <t>Cap retenu</t>
        </is>
      </c>
      <c r="K18" s="53" t="inlineStr">
        <is>
          <t>Budget acquisition</t>
        </is>
      </c>
      <c r="L18" s="52" t="inlineStr">
        <is>
          <t>Code campus</t>
        </is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5.75" customHeight="1">
      <c r="A19" s="55" t="inlineStr"/>
      <c r="B19" s="29" t="inlineStr">
        <is>
          <t>Ipac</t>
        </is>
      </c>
      <c r="C19" s="56" t="inlineStr">
        <is>
          <t>Montpellier</t>
        </is>
      </c>
      <c r="D19" s="30" t="n">
        <v>1033.98</v>
      </c>
      <c r="E19" s="31" t="n">
        <v>0.1448</v>
      </c>
      <c r="F19" s="31" t="n">
        <v>0.0194</v>
      </c>
      <c r="G19" s="44" t="n">
        <v>1.1626</v>
      </c>
      <c r="H19" s="44" t="n">
        <v>1.3855</v>
      </c>
      <c r="I19" s="44" t="n">
        <v>0.9443</v>
      </c>
      <c r="J19" s="57" t="n">
        <v>1</v>
      </c>
      <c r="K19" s="30" t="n">
        <v>15178</v>
      </c>
      <c r="L19" s="58" t="inlineStr">
        <is>
          <t>IPAC_MTP</t>
        </is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15.75" customHeight="1">
      <c r="A20" s="55" t="inlineStr"/>
      <c r="B20" s="29" t="inlineStr">
        <is>
          <t>Ipac</t>
        </is>
      </c>
      <c r="C20" s="56" t="inlineStr">
        <is>
          <t>Nantes</t>
        </is>
      </c>
      <c r="D20" s="30" t="n">
        <v>1216.29</v>
      </c>
      <c r="E20" s="31" t="n">
        <v>0.1379</v>
      </c>
      <c r="F20" s="31" t="n">
        <v>0.0213</v>
      </c>
      <c r="G20" s="44" t="n">
        <v>0.9883</v>
      </c>
      <c r="H20" s="44" t="n">
        <v>1.3195</v>
      </c>
      <c r="I20" s="44" t="n">
        <v>0.8591</v>
      </c>
      <c r="J20" s="57" t="n">
        <v>1</v>
      </c>
      <c r="K20" s="30" t="n">
        <v>21760</v>
      </c>
      <c r="L20" s="58" t="inlineStr">
        <is>
          <t>IPAC_NAN</t>
        </is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5.75" customHeight="1">
      <c r="A21" s="55" t="inlineStr"/>
      <c r="B21" s="29" t="inlineStr">
        <is>
          <t>Ipac</t>
        </is>
      </c>
      <c r="C21" s="56" t="inlineStr">
        <is>
          <t>Rennes</t>
        </is>
      </c>
      <c r="D21" s="30" t="n">
        <v>1040.56</v>
      </c>
      <c r="E21" s="31" t="n">
        <v>0.1448</v>
      </c>
      <c r="F21" s="31" t="n">
        <v>0.0191</v>
      </c>
      <c r="G21" s="44" t="n">
        <v>1.1553</v>
      </c>
      <c r="H21" s="44" t="n">
        <v>1.3855</v>
      </c>
      <c r="I21" s="44" t="n">
        <v>0.9598</v>
      </c>
      <c r="J21" s="57" t="n">
        <v>1</v>
      </c>
      <c r="K21" s="30" t="n">
        <v>14933</v>
      </c>
      <c r="L21" s="58" t="inlineStr">
        <is>
          <t>IPAC_REN</t>
        </is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5.75" customHeight="1">
      <c r="A22" s="55" t="inlineStr"/>
      <c r="B22" s="29" t="inlineStr">
        <is>
          <t>ISCOM</t>
        </is>
      </c>
      <c r="C22" s="56" t="inlineStr">
        <is>
          <t>Lille</t>
        </is>
      </c>
      <c r="D22" s="30" t="n">
        <v>978.58</v>
      </c>
      <c r="E22" s="31" t="n">
        <v>0.0815</v>
      </c>
      <c r="F22" s="31" t="n">
        <v>0.0144</v>
      </c>
      <c r="G22" s="44" t="n">
        <v>1.2284</v>
      </c>
      <c r="H22" s="44" t="n">
        <v>0.7804</v>
      </c>
      <c r="I22" s="44" t="n">
        <v>1.2767</v>
      </c>
      <c r="J22" s="57" t="n">
        <v>1</v>
      </c>
      <c r="K22" s="30" t="n">
        <v>25220</v>
      </c>
      <c r="L22" s="58" t="inlineStr">
        <is>
          <t>ISCOM_LIL</t>
        </is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5.75" customHeight="1">
      <c r="A23" s="55" t="inlineStr"/>
      <c r="B23" s="29" t="inlineStr">
        <is>
          <t>ISCOM</t>
        </is>
      </c>
      <c r="C23" s="56" t="inlineStr">
        <is>
          <t>Paris</t>
        </is>
      </c>
      <c r="D23" s="30" t="n">
        <v>1540.33</v>
      </c>
      <c r="E23" s="31" t="n">
        <v>0.07770000000000001</v>
      </c>
      <c r="F23" s="31" t="n">
        <v>0.0209</v>
      </c>
      <c r="G23" s="44" t="n">
        <v>0.7804</v>
      </c>
      <c r="H23" s="44" t="n">
        <v>0.744</v>
      </c>
      <c r="I23" s="44" t="n">
        <v>0.8773</v>
      </c>
      <c r="J23" s="57" t="n">
        <v>1</v>
      </c>
      <c r="K23" s="30" t="n">
        <v>60800</v>
      </c>
      <c r="L23" s="58" t="inlineStr">
        <is>
          <t>ISCOM_PAR</t>
        </is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5.75" customHeight="1">
      <c r="A24" s="55" t="inlineStr"/>
      <c r="B24" s="29" t="inlineStr">
        <is>
          <t>ISCOM</t>
        </is>
      </c>
      <c r="C24" s="56" t="inlineStr">
        <is>
          <t>Toulouse</t>
        </is>
      </c>
      <c r="D24" s="30" t="n">
        <v>919.03</v>
      </c>
      <c r="E24" s="31" t="n">
        <v>0.08210000000000001</v>
      </c>
      <c r="F24" s="31" t="n">
        <v>0.0136</v>
      </c>
      <c r="G24" s="44" t="n">
        <v>1.308</v>
      </c>
      <c r="H24" s="44" t="n">
        <v>0.7858000000000001</v>
      </c>
      <c r="I24" s="44" t="n">
        <v>1.3518</v>
      </c>
      <c r="J24" s="57" t="n">
        <v>1</v>
      </c>
      <c r="K24" s="30" t="n">
        <v>22083</v>
      </c>
      <c r="L24" s="58" t="inlineStr">
        <is>
          <t>ISCOM_TLS</t>
        </is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5.75" customHeight="1">
      <c r="A25" s="55" t="inlineStr"/>
      <c r="B25" s="29" t="inlineStr">
        <is>
          <t>MBway</t>
        </is>
      </c>
      <c r="C25" s="56" t="inlineStr">
        <is>
          <t>Bordeaux</t>
        </is>
      </c>
      <c r="D25" s="30" t="n">
        <v>889.59</v>
      </c>
      <c r="E25" s="31" t="n">
        <v>0.1261</v>
      </c>
      <c r="F25" s="31" t="n">
        <v>0.0141</v>
      </c>
      <c r="G25" s="44" t="n">
        <v>1.3513</v>
      </c>
      <c r="H25" s="44" t="n">
        <v>1.2067</v>
      </c>
      <c r="I25" s="44" t="n">
        <v>1.3049</v>
      </c>
      <c r="J25" s="57" t="n">
        <v>1</v>
      </c>
      <c r="K25" s="30" t="n">
        <v>24923</v>
      </c>
      <c r="L25" s="58" t="inlineStr">
        <is>
          <t>MBWAY_BOR</t>
        </is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5.75" customHeight="1">
      <c r="A26" s="55" t="inlineStr"/>
      <c r="B26" s="29" t="inlineStr">
        <is>
          <t>MBway</t>
        </is>
      </c>
      <c r="C26" s="56" t="inlineStr">
        <is>
          <t>Lyon</t>
        </is>
      </c>
      <c r="D26" s="30" t="n">
        <v>1101.6</v>
      </c>
      <c r="E26" s="31" t="n">
        <v>0.1189</v>
      </c>
      <c r="F26" s="31" t="n">
        <v>0.0167</v>
      </c>
      <c r="G26" s="44" t="n">
        <v>1.0912</v>
      </c>
      <c r="H26" s="44" t="n">
        <v>1.1376</v>
      </c>
      <c r="I26" s="44" t="n">
        <v>1.0957</v>
      </c>
      <c r="J26" s="57" t="n">
        <v>1</v>
      </c>
      <c r="K26" s="30" t="n">
        <v>41783</v>
      </c>
      <c r="L26" s="58" t="inlineStr">
        <is>
          <t>MBWAY_LYO</t>
        </is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5.75" customHeight="1">
      <c r="A27" s="55" t="inlineStr"/>
      <c r="B27" s="29" t="inlineStr">
        <is>
          <t>MBway</t>
        </is>
      </c>
      <c r="C27" s="56" t="inlineStr">
        <is>
          <t>Nantes</t>
        </is>
      </c>
      <c r="D27" s="30" t="n">
        <v>963.58</v>
      </c>
      <c r="E27" s="31" t="n">
        <v>0.1238</v>
      </c>
      <c r="F27" s="31" t="n">
        <v>0.0146</v>
      </c>
      <c r="G27" s="44" t="n">
        <v>1.2476</v>
      </c>
      <c r="H27" s="44" t="n">
        <v>1.1847</v>
      </c>
      <c r="I27" s="44" t="n">
        <v>1.2551</v>
      </c>
      <c r="J27" s="57" t="n">
        <v>1</v>
      </c>
      <c r="K27" s="30" t="n">
        <v>31533</v>
      </c>
      <c r="L27" s="58" t="inlineStr">
        <is>
          <t>MBWAY_NAN</t>
        </is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5.75" customHeight="1">
      <c r="A28" s="55" t="inlineStr"/>
      <c r="B28" s="29" t="inlineStr">
        <is>
          <t>MBway</t>
        </is>
      </c>
      <c r="C28" s="56" t="inlineStr">
        <is>
          <t>Paris</t>
        </is>
      </c>
      <c r="D28" s="30" t="n">
        <v>1475.02</v>
      </c>
      <c r="E28" s="31" t="n">
        <v>0.1107</v>
      </c>
      <c r="F28" s="31" t="n">
        <v>0.0218</v>
      </c>
      <c r="G28" s="44" t="n">
        <v>0.8149999999999999</v>
      </c>
      <c r="H28" s="44" t="n">
        <v>1.0597</v>
      </c>
      <c r="I28" s="44" t="n">
        <v>0.8428</v>
      </c>
      <c r="J28" s="57" t="n">
        <v>1</v>
      </c>
      <c r="K28" s="30" t="n">
        <v>68291</v>
      </c>
      <c r="L28" s="58" t="inlineStr">
        <is>
          <t>MBWAY_PAR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15.75" customHeight="1">
      <c r="A29" s="55" t="inlineStr"/>
      <c r="B29" s="29" t="inlineStr">
        <is>
          <t>Pigier</t>
        </is>
      </c>
      <c r="C29" s="56" t="inlineStr">
        <is>
          <t>Bordeaux</t>
        </is>
      </c>
      <c r="D29" s="30" t="n">
        <v>1368.09</v>
      </c>
      <c r="E29" s="31" t="n">
        <v>0.08749999999999999</v>
      </c>
      <c r="F29" s="31" t="n">
        <v>0.0194</v>
      </c>
      <c r="G29" s="44" t="n">
        <v>0.8787</v>
      </c>
      <c r="H29" s="44" t="n">
        <v>0.8377</v>
      </c>
      <c r="I29" s="44" t="n">
        <v>0.9454</v>
      </c>
      <c r="J29" s="57" t="n">
        <v>1</v>
      </c>
      <c r="K29" s="30" t="n">
        <v>21968</v>
      </c>
      <c r="L29" s="58" t="inlineStr">
        <is>
          <t>PIGIER_BOR</t>
        </is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5.75" customHeight="1">
      <c r="A30" s="55" t="inlineStr"/>
      <c r="B30" s="29" t="inlineStr">
        <is>
          <t>Pigier</t>
        </is>
      </c>
      <c r="C30" s="56" t="inlineStr">
        <is>
          <t>Lyon</t>
        </is>
      </c>
      <c r="D30" s="30" t="n">
        <v>1704.98</v>
      </c>
      <c r="E30" s="31" t="n">
        <v>0.08500000000000001</v>
      </c>
      <c r="F30" s="31" t="n">
        <v>0.0233</v>
      </c>
      <c r="G30" s="44" t="n">
        <v>0.7050999999999999</v>
      </c>
      <c r="H30" s="44" t="n">
        <v>0.8135</v>
      </c>
      <c r="I30" s="44" t="n">
        <v>0.7883</v>
      </c>
      <c r="J30" s="57" t="n">
        <v>1</v>
      </c>
      <c r="K30" s="30" t="n">
        <v>36612</v>
      </c>
      <c r="L30" s="58" t="inlineStr">
        <is>
          <t>PIGIER_LYO</t>
        </is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5.75" customHeight="1">
      <c r="A31" s="55" t="inlineStr"/>
      <c r="B31" s="29" t="inlineStr">
        <is>
          <t>Tunon</t>
        </is>
      </c>
      <c r="C31" s="56" t="inlineStr">
        <is>
          <t>Lyon</t>
        </is>
      </c>
      <c r="D31" s="30" t="n">
        <v>1624.68</v>
      </c>
      <c r="E31" s="31" t="n">
        <v>0.0726</v>
      </c>
      <c r="F31" s="31" t="n">
        <v>0.0218</v>
      </c>
      <c r="G31" s="44" t="n">
        <v>0.7399</v>
      </c>
      <c r="H31" s="44" t="n">
        <v>0.6943</v>
      </c>
      <c r="I31" s="44" t="n">
        <v>0.8401</v>
      </c>
      <c r="J31" s="57" t="n">
        <v>1</v>
      </c>
      <c r="K31" s="30" t="n">
        <v>18850</v>
      </c>
      <c r="L31" s="58" t="inlineStr">
        <is>
          <t>TUNON_LYO</t>
        </is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5.75" customHeight="1">
      <c r="A32" s="55" t="inlineStr"/>
      <c r="B32" s="29" t="inlineStr">
        <is>
          <t>Tunon</t>
        </is>
      </c>
      <c r="C32" s="56" t="inlineStr">
        <is>
          <t>Paris</t>
        </is>
      </c>
      <c r="D32" s="30" t="n">
        <v>2192.89</v>
      </c>
      <c r="E32" s="31" t="n">
        <v>0.06950000000000001</v>
      </c>
      <c r="F32" s="31" t="n">
        <v>0.0278</v>
      </c>
      <c r="G32" s="44" t="n">
        <v>0.5482</v>
      </c>
      <c r="H32" s="44" t="n">
        <v>0.6653</v>
      </c>
      <c r="I32" s="44" t="n">
        <v>0.6586</v>
      </c>
      <c r="J32" s="57" t="n">
        <v>1</v>
      </c>
      <c r="K32" s="30" t="n">
        <v>30240</v>
      </c>
      <c r="L32" s="58" t="inlineStr">
        <is>
          <t>TUNON_PAR</t>
        </is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2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24" customHeight="1">
      <c r="A36" s="1" t="n"/>
      <c r="B36" s="25" t="inlineStr">
        <is>
          <t>SYNTHÈSE PAR CAMPUS</t>
        </is>
      </c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6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26" customHeight="1">
      <c r="A38" s="51" t="inlineStr"/>
      <c r="B38" s="52" t="inlineStr">
        <is>
          <t>Marque</t>
        </is>
      </c>
      <c r="C38" s="52" t="inlineStr">
        <is>
          <t>Ville</t>
        </is>
      </c>
      <c r="D38" s="53" t="inlineStr">
        <is>
          <t>Effectif</t>
        </is>
      </c>
      <c r="E38" s="53" t="inlineStr">
        <is>
          <t>Chiffre d'affaires</t>
        </is>
      </c>
      <c r="F38" s="53" t="inlineStr">
        <is>
          <t>Prix moyen</t>
        </is>
      </c>
      <c r="G38" s="53" t="inlineStr">
        <is>
          <t>Part du CA</t>
        </is>
      </c>
      <c r="H38" s="53" t="inlineStr">
        <is>
          <t>EBITDA</t>
        </is>
      </c>
      <c r="I38" s="51" t="inlineStr">
        <is>
          <t>Marge</t>
        </is>
      </c>
      <c r="J38" s="53" t="inlineStr">
        <is>
          <t>EBITDA par étudiant</t>
        </is>
      </c>
      <c r="K38" s="53" t="inlineStr">
        <is>
          <t>Budget acquisition</t>
        </is>
      </c>
      <c r="L38" s="53" t="inlineStr">
        <is>
          <t>CAC marginal</t>
        </is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15.75" customHeight="1">
      <c r="A39" s="55" t="inlineStr"/>
      <c r="B39" s="29" t="inlineStr">
        <is>
          <t>Ipac</t>
        </is>
      </c>
      <c r="C39" s="56" t="inlineStr">
        <is>
          <t>Montpellier</t>
        </is>
      </c>
      <c r="D39" s="59" t="n">
        <v>122.13</v>
      </c>
      <c r="E39" s="30" t="n">
        <v>818445.73</v>
      </c>
      <c r="F39" s="30" t="n">
        <v>6701.29</v>
      </c>
      <c r="G39" s="31" t="n">
        <v>0.0338</v>
      </c>
      <c r="H39" s="30" t="n">
        <v>254308.3</v>
      </c>
      <c r="I39" s="60" t="n">
        <v>0.3107</v>
      </c>
      <c r="J39" s="30" t="n">
        <v>2082.23</v>
      </c>
      <c r="K39" s="30" t="n">
        <v>15178</v>
      </c>
      <c r="L39" s="30" t="n">
        <v>1033.98</v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15.75" customHeight="1">
      <c r="A40" s="55" t="inlineStr"/>
      <c r="B40" s="29" t="inlineStr">
        <is>
          <t>Ipac</t>
        </is>
      </c>
      <c r="C40" s="56" t="inlineStr">
        <is>
          <t>Nantes</t>
        </is>
      </c>
      <c r="D40" s="59" t="n">
        <v>151.32</v>
      </c>
      <c r="E40" s="30" t="n">
        <v>1067200.79</v>
      </c>
      <c r="F40" s="30" t="n">
        <v>7052.49</v>
      </c>
      <c r="G40" s="31" t="n">
        <v>0.044</v>
      </c>
      <c r="H40" s="30" t="n">
        <v>331184.51</v>
      </c>
      <c r="I40" s="60" t="n">
        <v>0.3103</v>
      </c>
      <c r="J40" s="30" t="n">
        <v>2188.6</v>
      </c>
      <c r="K40" s="30" t="n">
        <v>21760</v>
      </c>
      <c r="L40" s="30" t="n">
        <v>1216.29</v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 ht="15.75" customHeight="1">
      <c r="A41" s="55" t="inlineStr"/>
      <c r="B41" s="29" t="inlineStr">
        <is>
          <t>Ipac</t>
        </is>
      </c>
      <c r="C41" s="56" t="inlineStr">
        <is>
          <t>Rennes</t>
        </is>
      </c>
      <c r="D41" s="59" t="n">
        <v>122.12</v>
      </c>
      <c r="E41" s="30" t="n">
        <v>818371.29</v>
      </c>
      <c r="F41" s="30" t="n">
        <v>6701.28</v>
      </c>
      <c r="G41" s="31" t="n">
        <v>0.0338</v>
      </c>
      <c r="H41" s="30" t="n">
        <v>254316.41</v>
      </c>
      <c r="I41" s="60" t="n">
        <v>0.3108</v>
      </c>
      <c r="J41" s="30" t="n">
        <v>2082.49</v>
      </c>
      <c r="K41" s="30" t="n">
        <v>14933</v>
      </c>
      <c r="L41" s="30" t="n">
        <v>1040.56</v>
      </c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15.75" customHeight="1">
      <c r="A42" s="55" t="inlineStr"/>
      <c r="B42" s="29" t="inlineStr">
        <is>
          <t>ISCOM</t>
        </is>
      </c>
      <c r="C42" s="56" t="inlineStr">
        <is>
          <t>Lille</t>
        </is>
      </c>
      <c r="D42" s="59" t="n">
        <v>255.09</v>
      </c>
      <c r="E42" s="30" t="n">
        <v>1844124.54</v>
      </c>
      <c r="F42" s="30" t="n">
        <v>7229.4</v>
      </c>
      <c r="G42" s="31" t="n">
        <v>0.0761</v>
      </c>
      <c r="H42" s="30" t="n">
        <v>602778.74</v>
      </c>
      <c r="I42" s="60" t="n">
        <v>0.3269</v>
      </c>
      <c r="J42" s="30" t="n">
        <v>2363.04</v>
      </c>
      <c r="K42" s="30" t="n">
        <v>25220</v>
      </c>
      <c r="L42" s="30" t="n">
        <v>978.58</v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15.75" customHeight="1">
      <c r="A43" s="55" t="inlineStr"/>
      <c r="B43" s="29" t="inlineStr">
        <is>
          <t>ISCOM</t>
        </is>
      </c>
      <c r="C43" s="56" t="inlineStr">
        <is>
          <t>Paris</t>
        </is>
      </c>
      <c r="D43" s="59" t="n">
        <v>369.35</v>
      </c>
      <c r="E43" s="30" t="n">
        <v>3048653.48</v>
      </c>
      <c r="F43" s="30" t="n">
        <v>8254.049999999999</v>
      </c>
      <c r="G43" s="31" t="n">
        <v>0.1258</v>
      </c>
      <c r="H43" s="30" t="n">
        <v>985765.87</v>
      </c>
      <c r="I43" s="60" t="n">
        <v>0.3233</v>
      </c>
      <c r="J43" s="30" t="n">
        <v>2668.9</v>
      </c>
      <c r="K43" s="30" t="n">
        <v>60800</v>
      </c>
      <c r="L43" s="30" t="n">
        <v>1540.33</v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15.75" customHeight="1">
      <c r="A44" s="55" t="inlineStr"/>
      <c r="B44" s="29" t="inlineStr">
        <is>
          <t>ISCOM</t>
        </is>
      </c>
      <c r="C44" s="56" t="inlineStr">
        <is>
          <t>Toulouse</t>
        </is>
      </c>
      <c r="D44" s="59" t="n">
        <v>241.48</v>
      </c>
      <c r="E44" s="30" t="n">
        <v>1709754.85</v>
      </c>
      <c r="F44" s="30" t="n">
        <v>7080.28</v>
      </c>
      <c r="G44" s="31" t="n">
        <v>0.0706</v>
      </c>
      <c r="H44" s="30" t="n">
        <v>560009.03</v>
      </c>
      <c r="I44" s="60" t="n">
        <v>0.3275</v>
      </c>
      <c r="J44" s="30" t="n">
        <v>2319.06</v>
      </c>
      <c r="K44" s="30" t="n">
        <v>22083</v>
      </c>
      <c r="L44" s="30" t="n">
        <v>919.03</v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15.75" customHeight="1">
      <c r="A45" s="55" t="inlineStr"/>
      <c r="B45" s="29" t="inlineStr">
        <is>
          <t>MBway</t>
        </is>
      </c>
      <c r="C45" s="56" t="inlineStr">
        <is>
          <t>Bordeaux</t>
        </is>
      </c>
      <c r="D45" s="59" t="n">
        <v>260.41</v>
      </c>
      <c r="E45" s="30" t="n">
        <v>1863775.69</v>
      </c>
      <c r="F45" s="30" t="n">
        <v>7157.03</v>
      </c>
      <c r="G45" s="31" t="n">
        <v>0.0769</v>
      </c>
      <c r="H45" s="30" t="n">
        <v>625402.3</v>
      </c>
      <c r="I45" s="60" t="n">
        <v>0.3356</v>
      </c>
      <c r="J45" s="30" t="n">
        <v>2401.59</v>
      </c>
      <c r="K45" s="30" t="n">
        <v>24923</v>
      </c>
      <c r="L45" s="30" t="n">
        <v>889.59</v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15.75" customHeight="1">
      <c r="A46" s="55" t="inlineStr"/>
      <c r="B46" s="29" t="inlineStr">
        <is>
          <t>MBway</t>
        </is>
      </c>
      <c r="C46" s="56" t="inlineStr">
        <is>
          <t>Lyon</t>
        </is>
      </c>
      <c r="D46" s="59" t="n">
        <v>338.5</v>
      </c>
      <c r="E46" s="30" t="n">
        <v>2620797.34</v>
      </c>
      <c r="F46" s="30" t="n">
        <v>7742.43</v>
      </c>
      <c r="G46" s="31" t="n">
        <v>0.1082</v>
      </c>
      <c r="H46" s="30" t="n">
        <v>876442.71</v>
      </c>
      <c r="I46" s="60" t="n">
        <v>0.3344</v>
      </c>
      <c r="J46" s="30" t="n">
        <v>2589.21</v>
      </c>
      <c r="K46" s="30" t="n">
        <v>41783</v>
      </c>
      <c r="L46" s="30" t="n">
        <v>1101.6</v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15.75" customHeight="1">
      <c r="A47" s="55" t="inlineStr"/>
      <c r="B47" s="29" t="inlineStr">
        <is>
          <t>MBway</t>
        </is>
      </c>
      <c r="C47" s="56" t="inlineStr">
        <is>
          <t>Nantes</t>
        </is>
      </c>
      <c r="D47" s="59" t="n">
        <v>307.34</v>
      </c>
      <c r="E47" s="30" t="n">
        <v>2267018.63</v>
      </c>
      <c r="F47" s="30" t="n">
        <v>7376.18</v>
      </c>
      <c r="G47" s="31" t="n">
        <v>0.0936</v>
      </c>
      <c r="H47" s="30" t="n">
        <v>763702.73</v>
      </c>
      <c r="I47" s="60" t="n">
        <v>0.3369</v>
      </c>
      <c r="J47" s="30" t="n">
        <v>2484.86</v>
      </c>
      <c r="K47" s="30" t="n">
        <v>31533</v>
      </c>
      <c r="L47" s="30" t="n">
        <v>963.58</v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15.75" customHeight="1">
      <c r="A48" s="55" t="inlineStr"/>
      <c r="B48" s="29" t="inlineStr">
        <is>
          <t>MBway</t>
        </is>
      </c>
      <c r="C48" s="56" t="inlineStr">
        <is>
          <t>Paris</t>
        </is>
      </c>
      <c r="D48" s="59" t="n">
        <v>398.78</v>
      </c>
      <c r="E48" s="30" t="n">
        <v>3292150.8</v>
      </c>
      <c r="F48" s="30" t="n">
        <v>8255.51</v>
      </c>
      <c r="G48" s="31" t="n">
        <v>0.1359</v>
      </c>
      <c r="H48" s="30" t="n">
        <v>1096393.82</v>
      </c>
      <c r="I48" s="60" t="n">
        <v>0.333</v>
      </c>
      <c r="J48" s="30" t="n">
        <v>2749.35</v>
      </c>
      <c r="K48" s="30" t="n">
        <v>68291</v>
      </c>
      <c r="L48" s="30" t="n">
        <v>1475.02</v>
      </c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15.75" customHeight="1">
      <c r="A49" s="55" t="inlineStr"/>
      <c r="B49" s="29" t="inlineStr">
        <is>
          <t>Pigier</t>
        </is>
      </c>
      <c r="C49" s="56" t="inlineStr">
        <is>
          <t>Bordeaux</t>
        </is>
      </c>
      <c r="D49" s="59" t="n">
        <v>184.72</v>
      </c>
      <c r="E49" s="30" t="n">
        <v>1191512.54</v>
      </c>
      <c r="F49" s="30" t="n">
        <v>6450.49</v>
      </c>
      <c r="G49" s="31" t="n">
        <v>0.0492</v>
      </c>
      <c r="H49" s="30" t="n">
        <v>455099.2</v>
      </c>
      <c r="I49" s="60" t="n">
        <v>0.382</v>
      </c>
      <c r="J49" s="30" t="n">
        <v>2463.77</v>
      </c>
      <c r="K49" s="30" t="n">
        <v>21968</v>
      </c>
      <c r="L49" s="30" t="n">
        <v>1368.09</v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15.75" customHeight="1">
      <c r="A50" s="55" t="inlineStr"/>
      <c r="B50" s="29" t="inlineStr">
        <is>
          <t>Pigier</t>
        </is>
      </c>
      <c r="C50" s="56" t="inlineStr">
        <is>
          <t>Lyon</t>
        </is>
      </c>
      <c r="D50" s="59" t="n">
        <v>236.95</v>
      </c>
      <c r="E50" s="30" t="n">
        <v>1653869.91</v>
      </c>
      <c r="F50" s="30" t="n">
        <v>6979.9</v>
      </c>
      <c r="G50" s="31" t="n">
        <v>0.0683</v>
      </c>
      <c r="H50" s="30" t="n">
        <v>626670.52</v>
      </c>
      <c r="I50" s="60" t="n">
        <v>0.3789</v>
      </c>
      <c r="J50" s="30" t="n">
        <v>2644.77</v>
      </c>
      <c r="K50" s="30" t="n">
        <v>36612</v>
      </c>
      <c r="L50" s="30" t="n">
        <v>1704.98</v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5.75" customHeight="1">
      <c r="A51" s="55" t="inlineStr"/>
      <c r="B51" s="29" t="inlineStr">
        <is>
          <t>Tunon</t>
        </is>
      </c>
      <c r="C51" s="56" t="inlineStr">
        <is>
          <t>Lyon</t>
        </is>
      </c>
      <c r="D51" s="59" t="n">
        <v>121.86</v>
      </c>
      <c r="E51" s="30" t="n">
        <v>902399.37</v>
      </c>
      <c r="F51" s="30" t="n">
        <v>7405.22</v>
      </c>
      <c r="G51" s="31" t="n">
        <v>0.0372</v>
      </c>
      <c r="H51" s="30" t="n">
        <v>178759.19</v>
      </c>
      <c r="I51" s="60" t="n">
        <v>0.1981</v>
      </c>
      <c r="J51" s="30" t="n">
        <v>1466.92</v>
      </c>
      <c r="K51" s="30" t="n">
        <v>18850</v>
      </c>
      <c r="L51" s="30" t="n">
        <v>1624.68</v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15.75" customHeight="1">
      <c r="A52" s="55" t="inlineStr"/>
      <c r="B52" s="29" t="inlineStr">
        <is>
          <t>Tunon</t>
        </is>
      </c>
      <c r="C52" s="56" t="inlineStr">
        <is>
          <t>Paris</t>
        </is>
      </c>
      <c r="D52" s="59" t="n">
        <v>143.56</v>
      </c>
      <c r="E52" s="30" t="n">
        <v>1133628.58</v>
      </c>
      <c r="F52" s="30" t="n">
        <v>7896.53</v>
      </c>
      <c r="G52" s="31" t="n">
        <v>0.0468</v>
      </c>
      <c r="H52" s="30" t="n">
        <v>220510.28</v>
      </c>
      <c r="I52" s="60" t="n">
        <v>0.1945</v>
      </c>
      <c r="J52" s="30" t="n">
        <v>1536.01</v>
      </c>
      <c r="K52" s="30" t="n">
        <v>30240</v>
      </c>
      <c r="L52" s="30" t="n">
        <v>2192.89</v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17" customHeight="1">
      <c r="A53" s="61" t="n"/>
      <c r="B53" s="62" t="inlineStr">
        <is>
          <t>Total campus</t>
        </is>
      </c>
      <c r="C53" s="61" t="n"/>
      <c r="D53" s="63" t="n">
        <v>3253.62</v>
      </c>
      <c r="E53" s="64" t="n">
        <v>24231703.55</v>
      </c>
      <c r="F53" s="64" t="n">
        <v>7447.62</v>
      </c>
      <c r="G53" s="65" t="n">
        <v>1</v>
      </c>
      <c r="H53" s="64" t="n">
        <v>7831343.62</v>
      </c>
      <c r="I53" s="66" t="n">
        <v>0.3232</v>
      </c>
      <c r="J53" s="64" t="n">
        <v>2406.97</v>
      </c>
      <c r="K53" s="64" t="n">
        <v>434174</v>
      </c>
      <c r="L53" s="6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15.75" customHeight="1">
      <c r="A54" s="67" t="n"/>
      <c r="B54" s="68" t="inlineStr">
        <is>
          <t>Siège et holding</t>
        </is>
      </c>
      <c r="C54" s="67" t="n"/>
      <c r="D54" s="67" t="n"/>
      <c r="E54" s="67" t="n"/>
      <c r="F54" s="67" t="n"/>
      <c r="G54" s="67" t="n"/>
      <c r="H54" s="69" t="n">
        <v>-3719839.98</v>
      </c>
      <c r="I54" s="67" t="n"/>
      <c r="J54" s="67" t="n"/>
      <c r="K54" s="67" t="n"/>
      <c r="L54" s="67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19" customHeight="1">
      <c r="A55" s="70" t="n"/>
      <c r="B55" s="71" t="inlineStr">
        <is>
          <t>Groupe</t>
        </is>
      </c>
      <c r="C55" s="70" t="n"/>
      <c r="D55" s="72" t="n">
        <v>3253.62</v>
      </c>
      <c r="E55" s="73" t="n">
        <v>24231703.55</v>
      </c>
      <c r="F55" s="73" t="n">
        <v>7447.62</v>
      </c>
      <c r="G55" s="74" t="n">
        <v>1</v>
      </c>
      <c r="H55" s="73" t="n">
        <v>4111503.64</v>
      </c>
      <c r="I55" s="75" t="n">
        <v>0.1697</v>
      </c>
      <c r="J55" s="73" t="n">
        <v>1263.67</v>
      </c>
      <c r="K55" s="73" t="n">
        <v>434174</v>
      </c>
      <c r="L55" s="70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12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12" customHeight="1">
      <c r="A57" s="1" t="n"/>
      <c r="B57" s="48" t="inlineStr">
        <is>
          <t>Source : Tagetik TGK_MSSQL_07, scénario 2027BUD_V1.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</sheetData>
  <dataValidations count="1">
    <dataValidation sqref="E6" showDropDown="0" showInputMessage="0" showErrorMessage="0" allowBlank="0" type="list">
      <formula1>"Cadrage,Optimiste,Prudent"</formula1>
    </dataValidation>
  </dataValidation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2026-09-08T03:36:11Z</dcterms:created>
  <dcterms:modified xsi:type="dcterms:W3CDTF">2026-09-08T03:36:12Z</dcterms:modified>
</cp:coreProperties>
</file>