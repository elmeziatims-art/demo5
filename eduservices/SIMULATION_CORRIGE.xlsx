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firstSheet="1" activeTab="2"/>
  </bookViews>
  <sheets>
    <sheet r:id="rId1" name="_TGK_HIDDEN" sheetId="1" state="veryHidden"/>
    <sheet r:id="rId2" name="Cockpit" sheetId="2"/>
    <sheet r:id="rId3" name="Cockpit 2" sheetId="3"/>
    <sheet r:id="rId4" name="Drill EBITDA 1" sheetId="4"/>
    <sheet r:id="rId5" name="Drill EBITDA 2" sheetId="5"/>
  </sheets>
  <definedNames>
    <definedName name="Query02" localSheetId="1" comment="Query02" isReadOnly="false">Cockpit!$BB$6:$BD$9</definedName>
    <definedName name="Query01" localSheetId="1" comment="Query01" isReadOnly="false">Cockpit!$AK$6:$AN$11</definedName>
    <definedName name="Query00" localSheetId="1" comment="Query00" isReadOnly="false">Cockpit!$AD$6:$AH$11</definedName>
    <definedName name="Query00" localSheetId="2" isReadOnly="false">'Cockpit 2'!$AD$7:$AH$8</definedName>
    <definedName name="Query01" localSheetId="2" isReadOnly="false">'Cockpit 2'!$AK$7:$AN$8</definedName>
    <definedName name="Query02" localSheetId="2" isReadOnly="false">'Cockpit 2'!$BB$7:$BD$8</definedName>
  </definedNames>
  <calcPr calcId="191029" fullCalcOnLoad="1"/>
</workbook>
</file>

<file path=xl/sharedStrings.xml><?xml version="1.0" encoding="utf-8"?>
<sst xmlns="http://schemas.openxmlformats.org/spreadsheetml/2006/main" count="262" uniqueCount="262">
  <si>
    <t>Template00</t>
  </si>
  <si>
    <t>Template01</t>
  </si>
  <si>
    <t>Template02</t>
  </si>
  <si>
    <t>Template03</t>
  </si>
  <si>
    <t>COCKPIT EDUSERVICES — PILOTAGE DE LA MARGE</t>
  </si>
  <si>
    <t xml:space="preserve">Exercice 2026 · variation contre 2025 </t>
  </si>
  <si>
    <t xml:space="preserve">  Scénario</t>
  </si>
  <si>
    <t>Forecast 2026</t>
  </si>
  <si>
    <t>Version</t>
  </si>
  <si>
    <t>V_FINAL</t>
  </si>
  <si>
    <t>Entité</t>
  </si>
  <si>
    <t>EDUSERVICES</t>
  </si>
  <si>
    <t>Pont</t>
  </si>
  <si>
    <t>ETAPE</t>
  </si>
  <si>
    <t>SOCLE</t>
  </si>
  <si>
    <t>ANCRE</t>
  </si>
  <si>
    <t>HAUSSE</t>
  </si>
  <si>
    <t>BAISSE</t>
  </si>
  <si>
    <t>LIBELLE</t>
  </si>
  <si>
    <t>MARGE_2024</t>
  </si>
  <si>
    <t>MARGE_2025</t>
  </si>
  <si>
    <t>MARGE_2026</t>
  </si>
  <si>
    <t>EXERCICE</t>
  </si>
  <si>
    <t>IND_DEPENSES</t>
  </si>
  <si>
    <t>IND_INSCRITS</t>
  </si>
  <si>
    <t>EBITDA 2025</t>
  </si>
  <si>
    <t>Ipac Bachelor Factory</t>
  </si>
  <si>
    <t>2024</t>
  </si>
  <si>
    <t xml:space="preserve">  CHIFFRE D'AFFAIRES</t>
  </si>
  <si>
    <t xml:space="preserve">  EBITDA</t>
  </si>
  <si>
    <t xml:space="preserve">  MARGE EBITDA</t>
  </si>
  <si>
    <t xml:space="preserve">  INSCRITS (NOUVEAUX)</t>
  </si>
  <si>
    <t xml:space="preserve">  COÛT D'ACQUISITION</t>
  </si>
  <si>
    <t xml:space="preserve">  REMPLISSAGE MOYEN</t>
  </si>
  <si>
    <t>Activite</t>
  </si>
  <si>
    <t>ISCOM</t>
  </si>
  <si>
    <t>2025</t>
  </si>
  <si>
    <t>Prix / mix</t>
  </si>
  <si>
    <t>MBway</t>
  </si>
  <si>
    <t>2026</t>
  </si>
  <si>
    <t>Couts</t>
  </si>
  <si>
    <t>Pigier</t>
  </si>
  <si>
    <t>EBITDA 2026</t>
  </si>
  <si>
    <t>Tunon</t>
  </si>
  <si>
    <t xml:space="preserve">  Pont d'EBITDA 2025 → 2026</t>
  </si>
  <si>
    <t xml:space="preserve">  Marge EBITDA par marque</t>
  </si>
  <si>
    <t>CA</t>
  </si>
  <si>
    <t>Δ CA</t>
  </si>
  <si>
    <t>EBITDA</t>
  </si>
  <si>
    <t>Δ EBITDA</t>
  </si>
  <si>
    <t>Part EBITDA</t>
  </si>
  <si>
    <t>Marge EBITDA</t>
  </si>
  <si>
    <t>Δ Marge</t>
  </si>
  <si>
    <t>Inscrits</t>
  </si>
  <si>
    <t>Rempl.</t>
  </si>
  <si>
    <t>Mix alt.</t>
  </si>
  <si>
    <t>EFFECTIFS</t>
  </si>
  <si>
    <t>PLACES</t>
  </si>
  <si>
    <t>EFFECTIFS_ALT</t>
  </si>
  <si>
    <t>EBITDA_N1</t>
  </si>
  <si>
    <t>CA_N1</t>
  </si>
  <si>
    <t>SPEND_ACQ</t>
  </si>
  <si>
    <t>SPEND_ACQ_N1</t>
  </si>
  <si>
    <t>Marge EBTIDA N-1</t>
  </si>
  <si>
    <t>PLACES_N1</t>
  </si>
  <si>
    <t>INSCRITS_N1</t>
  </si>
  <si>
    <t>EFFECTIFS_N1</t>
  </si>
  <si>
    <t>% nouveaux inscrits</t>
  </si>
  <si>
    <t>Programme</t>
  </si>
  <si>
    <t>Modalité</t>
  </si>
  <si>
    <t>Ipac Bachelor Factory Montpellier</t>
  </si>
  <si>
    <t>Ipac Bachelor Factory Nantes</t>
  </si>
  <si>
    <t>Ipac Bachelor Factory Rennes</t>
  </si>
  <si>
    <t>ISCOM Lille</t>
  </si>
  <si>
    <t>ISCOM Paris</t>
  </si>
  <si>
    <t>ISCOM Toulouse</t>
  </si>
  <si>
    <t>MBway Bordeaux</t>
  </si>
  <si>
    <t>MBway Lyon</t>
  </si>
  <si>
    <t>MBway Nantes</t>
  </si>
  <si>
    <t>MBway Paris</t>
  </si>
  <si>
    <t>Pigier Bordeaux</t>
  </si>
  <si>
    <t>Pigier Lyon</t>
  </si>
  <si>
    <t>Tunon Lyon</t>
  </si>
  <si>
    <t>Tunon Paris</t>
  </si>
  <si>
    <t>COCKPIT EDUSERVICES - PILOTAGE DES PROGRAMMES</t>
  </si>
  <si>
    <t>Budget 2027</t>
  </si>
  <si>
    <t>V_CAMPUS</t>
  </si>
  <si>
    <t/>
  </si>
  <si>
    <t>MARQUE</t>
  </si>
  <si>
    <t>VILLE</t>
  </si>
  <si>
    <t>PROGRAMME_LIB</t>
  </si>
  <si>
    <t>NIVEAU</t>
  </si>
  <si>
    <t>MODALITE</t>
  </si>
  <si>
    <t>EFFECTIF</t>
  </si>
  <si>
    <t>SECTIONS</t>
  </si>
  <si>
    <t>COUT_VARIABLE</t>
  </si>
  <si>
    <t>CONTRIBUTION</t>
  </si>
  <si>
    <t>STRUCTURE_ALLOUEE</t>
  </si>
  <si>
    <t>COUT_COMPLET</t>
  </si>
  <si>
    <t>MARGE_COMPLETE</t>
  </si>
  <si>
    <t>POINT_MORT</t>
  </si>
  <si>
    <t>MARGE_SECURITE</t>
  </si>
  <si>
    <t>DECISION_OUV</t>
  </si>
  <si>
    <t>Structure APRÈS</t>
  </si>
  <si>
    <t>Marge complète APRÈS</t>
  </si>
  <si>
    <t>Impact EBITDA</t>
  </si>
  <si>
    <t>Lecture</t>
  </si>
  <si>
    <t>IPAC</t>
  </si>
  <si>
    <t>Montpellier</t>
  </si>
  <si>
    <t>Bachelor Commerce</t>
  </si>
  <si>
    <t>B1</t>
  </si>
  <si>
    <t>ALT</t>
  </si>
  <si>
    <t>Garder</t>
  </si>
  <si>
    <t>Rentable. Point mort 35 étudiants, marge de sécurité 23%.</t>
  </si>
  <si>
    <t>B2</t>
  </si>
  <si>
    <t>cohorte</t>
  </si>
  <si>
    <t>Rentable. Point mort 34 étudiants, marge de sécurité 15%.</t>
  </si>
  <si>
    <t>B3</t>
  </si>
  <si>
    <t>Rentable. Point mort 34 étudiants, marge de sécurité 12%.</t>
  </si>
  <si>
    <t>Nantes</t>
  </si>
  <si>
    <t>Rentable. Point mort 43 étudiants, marge de sécurité 23%.</t>
  </si>
  <si>
    <t>Rentable. Point mort 41 étudiants, marge de sécurité 15%.</t>
  </si>
  <si>
    <t>Rentable. Point mort 42 étudiants, marge de sécurité 13%.</t>
  </si>
  <si>
    <t>Rennes</t>
  </si>
  <si>
    <t>Lille</t>
  </si>
  <si>
    <t>Bachelor Communication</t>
  </si>
  <si>
    <t>INIT</t>
  </si>
  <si>
    <t>Rentable. Point mort 44 étudiants, marge de sécurité 21%.</t>
  </si>
  <si>
    <t>Rentable. Point mort 43 étudiants, marge de sécurité 11%.</t>
  </si>
  <si>
    <t>Rentable. Point mort 43 étudiants, marge de sécurité 9%.</t>
  </si>
  <si>
    <t>Mastère Communication</t>
  </si>
  <si>
    <t>M1</t>
  </si>
  <si>
    <t>Rentable. Point mort 39 étudiants, marge de sécurité 31%.</t>
  </si>
  <si>
    <t>M2</t>
  </si>
  <si>
    <t>Rentable. Point mort 39 étudiants, marge de sécurité 23%.</t>
  </si>
  <si>
    <t>Paris</t>
  </si>
  <si>
    <t>Rentable. Point mort 63 étudiants, marge de sécurité 20%.</t>
  </si>
  <si>
    <t>Rentable. Point mort 61 étudiants, marge de sécurité 14%.</t>
  </si>
  <si>
    <t>Rentable. Point mort 61 étudiants, marge de sécurité 13%.</t>
  </si>
  <si>
    <t>Rentable. Point mort 56 étudiants, marge de sécurité 30%.</t>
  </si>
  <si>
    <t>Rentable. Point mort 54 étudiants, marge de sécurité 25%.</t>
  </si>
  <si>
    <t>Toulouse</t>
  </si>
  <si>
    <t>Rentable. Point mort 42 étudiants, marge de sécurité 20%.</t>
  </si>
  <si>
    <t>Rentable. Point mort 41 étudiants, marge de sécurité 12%.</t>
  </si>
  <si>
    <t>Rentable. Point mort 41 étudiants, marge de sécurité 10%.</t>
  </si>
  <si>
    <t>Rentable. Point mort 37 étudiants, marge de sécurité 30%.</t>
  </si>
  <si>
    <t>Rentable. Point mort 37 étudiants, marge de sécurité 22%.</t>
  </si>
  <si>
    <t>MBWAY</t>
  </si>
  <si>
    <t>Bordeaux</t>
  </si>
  <si>
    <t>Bachelor Management</t>
  </si>
  <si>
    <t>Rentable. Point mort 44 étudiants, marge de sécurité 12%.</t>
  </si>
  <si>
    <t>Rentable. Point mort 44 étudiants, marge de sécurité 10%.</t>
  </si>
  <si>
    <t>Mastère Management</t>
  </si>
  <si>
    <t>Rentable. Point mort 40 étudiants, marge de sécurité 31%.</t>
  </si>
  <si>
    <t>Lyon</t>
  </si>
  <si>
    <t>Rentable. Point mort 67 étudiants, marge de sécurité 8%.</t>
  </si>
  <si>
    <t>Rentable. Point mort 42 étudiants, marge de sécurité 35%.</t>
  </si>
  <si>
    <t>Rentable. Point mort 42 étudiants, marge de sécurité 34%.</t>
  </si>
  <si>
    <t>Rentable. Point mort 59 étudiants, marge de sécurité 20%.</t>
  </si>
  <si>
    <t>Rentable. Point mort 58 étudiants, marge de sécurité 12%.</t>
  </si>
  <si>
    <t>Rentable. Point mort 43 étudiants, marge de sécurité 35%.</t>
  </si>
  <si>
    <t>Rentable. Point mort 42 étudiants, marge de sécurité 28%.</t>
  </si>
  <si>
    <t>Rentable. Point mort 43 étudiants, marge de sécurité 27%.</t>
  </si>
  <si>
    <t>Rentable. Point mort 59 étudiants, marge de sécurité 13%.</t>
  </si>
  <si>
    <t>Rentable. Point mort 58 étudiants, marge de sécurité 3%.</t>
  </si>
  <si>
    <t>Rentable. Point mort 67 étudiants, marge de sécurité 22%.</t>
  </si>
  <si>
    <t>Rentable. Point mort 65 étudiants, marge de sécurité 16%.</t>
  </si>
  <si>
    <t>Rentable. Point mort 65 étudiants, marge de sécurité 14%.</t>
  </si>
  <si>
    <t>Rentable. Point mort 60 étudiants, marge de sécurité 31%.</t>
  </si>
  <si>
    <t>Rentable. Point mort 58 étudiants, marge de sécurité 25%.</t>
  </si>
  <si>
    <t>PIGIER</t>
  </si>
  <si>
    <t>BTS Gestion</t>
  </si>
  <si>
    <t>BTS1</t>
  </si>
  <si>
    <t>Rentable. Point mort 35 étudiants, marge de sécurité 15%.</t>
  </si>
  <si>
    <t>BTS2</t>
  </si>
  <si>
    <t>Rentable. Point mort 34 étudiants, marge de sécurité 5%.</t>
  </si>
  <si>
    <t>Bachelor Ressources humaines</t>
  </si>
  <si>
    <t>Rentable. Point mort 25 étudiants, marge de sécurité 38%.</t>
  </si>
  <si>
    <t>Rentable. Point mort 25 étudiants, marge de sécurité 31%.</t>
  </si>
  <si>
    <t>Rentable. Point mort 25 étudiants, marge de sécurité 29%.</t>
  </si>
  <si>
    <t>Rentable. Point mort 32 étudiants, marge de sécurité 30%.</t>
  </si>
  <si>
    <t>Rentable. Point mort 32 étudiants, marge de sécurité 31%.</t>
  </si>
  <si>
    <t>Rentable. Point mort 44 étudiants, marge de sécurité 15%.</t>
  </si>
  <si>
    <t>Rentable. Point mort 42 étudiants, marge de sécurité 8%.</t>
  </si>
  <si>
    <t>Rentable. Point mort 33 étudiants, marge de sécurité 37%.</t>
  </si>
  <si>
    <t>TUNON</t>
  </si>
  <si>
    <t>Bachelor Tourisme</t>
  </si>
  <si>
    <t>Rentable. Point mort 40 étudiants, marge de sécurité 10%.</t>
  </si>
  <si>
    <t>Rentable. Point mort 39 étudiants, marge de sécurité 3%.</t>
  </si>
  <si>
    <t>Rentable. Point mort 39 étudiants, marge de sécurité 0%.</t>
  </si>
  <si>
    <t>Rentable. Point mort 48 étudiants, marge de sécurité 9%.</t>
  </si>
  <si>
    <t>Rentable. Point mort 45 étudiants, marge de sécurité 4%.</t>
  </si>
  <si>
    <t>Rentable. Point mort 45 étudiants, marge de sécurité 2%.</t>
  </si>
  <si>
    <t>POURQUOI L'EBITDA A BOUGÉ</t>
  </si>
  <si>
    <t>drill sur la cellule cliquée · 2026 contre 2025</t>
  </si>
  <si>
    <t>le pont ci-dessous décompose cette variation en cinq causes, sans reste</t>
  </si>
  <si>
    <t>LE PONT, CHIFFRE PAR CHIFFRE</t>
  </si>
  <si>
    <t xml:space="preserve">la légende du graphe  </t>
  </si>
  <si>
    <t>Effet</t>
  </si>
  <si>
    <t>Montant</t>
  </si>
  <si>
    <t>Part de sa masse</t>
  </si>
  <si>
    <t>Effet effectifs</t>
  </si>
  <si>
    <t>Effet prix et mix</t>
  </si>
  <si>
    <t>Effet coût var. unitaire</t>
  </si>
  <si>
    <t>Effet coûts directs</t>
  </si>
  <si>
    <t>Effet siège</t>
  </si>
  <si>
    <t>Ce qui pousse  ·  ce qui freine</t>
  </si>
  <si>
    <t>Contrôle · les cinq effets moins la variation</t>
  </si>
  <si>
    <t>doit valoir 0,00 €</t>
  </si>
  <si>
    <t xml:space="preserve">LE DÉTAIL PAR CAMPUS </t>
  </si>
  <si>
    <t xml:space="preserve">une ligne par campus  </t>
  </si>
  <si>
    <t>Calcul des effets</t>
  </si>
  <si>
    <t xml:space="preserve">une multiplication par effet  </t>
  </si>
  <si>
    <t>Campus</t>
  </si>
  <si>
    <t>Effectifs 2025</t>
  </si>
  <si>
    <t>Effectifs 2026</t>
  </si>
  <si>
    <t>Élèves gagnés</t>
  </si>
  <si>
    <t>CA par élève 2025</t>
  </si>
  <si>
    <t>CA par élève 2026</t>
  </si>
  <si>
    <t>Coût var. par élève 2025</t>
  </si>
  <si>
    <t>Coût var. par élève 2026</t>
  </si>
  <si>
    <t>Marge sur coût var. par élève 2025</t>
  </si>
  <si>
    <t>Coûts directs 2025</t>
  </si>
  <si>
    <t>Coûts directs 2026</t>
  </si>
  <si>
    <t>Siège 2025</t>
  </si>
  <si>
    <t>Siège 2026</t>
  </si>
  <si>
    <t>TOTAL du périmètre</t>
  </si>
  <si>
    <t>—</t>
  </si>
  <si>
    <t>DE QUOI CET EBITDA EST-IL FAIT</t>
  </si>
  <si>
    <t>drill sur la cellule cliquée · 2026 contre 2025 · le tableau lit la restitution de Q_D2_SOCLE par RECHERCHEV sur le compte</t>
  </si>
  <si>
    <t>les charges sont signées en négatif : leur somme avec le CA donne l'EBITDA</t>
  </si>
  <si>
    <t>Compte</t>
  </si>
  <si>
    <t>Famille</t>
  </si>
  <si>
    <t>Poste</t>
  </si>
  <si>
    <t>Poste court</t>
  </si>
  <si>
    <t>Montant 2025</t>
  </si>
  <si>
    <t>Montant 2026</t>
  </si>
  <si>
    <t>LE COMPTE D'EXPLOITATION, POSTE PAR POSTE</t>
  </si>
  <si>
    <t>Variation</t>
  </si>
  <si>
    <t>Part des charges</t>
  </si>
  <si>
    <t>706</t>
  </si>
  <si>
    <t>7062</t>
  </si>
  <si>
    <t>708</t>
  </si>
  <si>
    <t>621</t>
  </si>
  <si>
    <t>604</t>
  </si>
  <si>
    <t>6063</t>
  </si>
  <si>
    <t>6231</t>
  </si>
  <si>
    <t>6411</t>
  </si>
  <si>
    <t>6413</t>
  </si>
  <si>
    <t>645</t>
  </si>
  <si>
    <t>613</t>
  </si>
  <si>
    <t>615</t>
  </si>
  <si>
    <t>616</t>
  </si>
  <si>
    <t>625</t>
  </si>
  <si>
    <t>63511</t>
  </si>
  <si>
    <t>SIEGE</t>
  </si>
  <si>
    <t>Contrôle</t>
  </si>
  <si>
    <t>la somme des seize lignes doit valoir l'EBITDA</t>
  </si>
  <si>
    <t>RAPPROCHEMENT DU CHIFFRE D'AFFAIRES  ·  comptes de produit contre socle CRM</t>
  </si>
  <si>
    <t>Comptes de produit  ·  706 + 7062 + 708, somme des trois lignes ci-dessus</t>
  </si>
  <si>
    <t>Socle CRM  ·  effectifs × droits de scolarité, restitution de Q_D3_CA_CRM</t>
  </si>
  <si>
    <t>Écart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</si>
</sst>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9">
    <numFmt numFmtId="1277" formatCode="0.0%"/>
    <numFmt numFmtId="1278" formatCode="#,##0.00,"/>
    <numFmt numFmtId="1279" formatCode="#,##0,"/>
    <numFmt numFmtId="1282" formatCode="mm/dd/yy;@"/>
    <numFmt numFmtId="1284" formatCode="_(&quot;$&quot;* #,##0_);_(&quot;$&quot;* \(#,##0\);_(&quot;$&quot;* &quot;-&quot;_);_(@_)"/>
    <numFmt numFmtId="1285" formatCode="&quot;$&quot;#,##0.00"/>
    <numFmt numFmtId="1288" formatCode="&quot;▲ &quot;0.0%;&quot;▼ &quot;0.0%;&quot;&quot;"/>
    <numFmt numFmtId="1290" formatCode="&quot;▲ &quot;0.00;&quot;▼ &quot;0.00;&quot;&quot;"/>
    <numFmt numFmtId="1291" formatCode="0.0,,&quot; M€&quot;"/>
    <numFmt numFmtId="1295" formatCode="#,##0&quot; €&quot;"/>
    <numFmt numFmtId="1299" formatCode="&quot;▲ &quot;0.0%;&quot;▼ &quot;0.0%;&quot;—&quot;"/>
    <numFmt numFmtId="1300" formatCode="&quot;+&quot;0.0%;&quot;-&quot;0.0%;&quot;—&quot;"/>
    <numFmt numFmtId="1301" formatCode="&quot;▲ &quot;0.00&quot; pt&quot;;&quot;▼ &quot;0.00&quot; pt&quot;;&quot;—&quot;"/>
    <numFmt numFmtId="1302" formatCode="&quot;+&quot;0.00&quot; pt&quot;;&quot;-&quot;0.00&quot; pt&quot;;&quot;—&quot;"/>
    <numFmt numFmtId="1303" formatCode="#,##0&quot; places libres&quot;;\-#,##0&quot; places libres&quot;;&quot;—&quot;"/>
    <numFmt numFmtId="1304" formatCode="#,##0&quot; places libres&quot;"/>
    <numFmt numFmtId="1309" formatCode="0.00&quot; €&quot;"/>
    <numFmt numFmtId="1311" formatCode="&quot;▲ &quot;#,##0;&quot;▼ &quot;#,##0;&quot;—&quot;"/>
    <numFmt numFmtId="1314" formatCode="\+#,##0&quot; €&quot;;\-#,##0&quot; €&quot;;&quot;0 €&quot;"/>
    <numFmt numFmtId="1315" formatCode="\+0.00%;\-0.00%;&quot;0,00 %&quot;"/>
    <numFmt numFmtId="1316" formatCode="\+#,##0&quot; €&quot;"/>
    <numFmt numFmtId="1317" formatCode="\-#,##0&quot; €&quot;"/>
    <numFmt numFmtId="1321" formatCode="&quot;+&quot;0.0%;&quot;-&quot;0.0%;&quot;&quot;"/>
    <numFmt numFmtId="1327" formatCode="#,##0&quot; €&quot;;\(#,##0\)&quot; €&quot;;&quot;-&quot;"/>
    <numFmt numFmtId="1329" formatCode="_(* #,##0.00_);_(* \(#,##0.00\);_(* &quot;-&quot;??_);_(@_)"/>
    <numFmt numFmtId="1330" formatCode="_(* #,##0_);_(* \(#,##0\);_(* &quot;-&quot;_);_(@_)"/>
    <numFmt numFmtId="1331" formatCode="_(&quot;€&quot;* #,##0.00_);_(&quot;€&quot;* \(#,##0.00\);_(&quot;€&quot;* &quot;-&quot;??_);_(@_)"/>
    <numFmt numFmtId="1332" formatCode="_(&quot;€&quot;* #,##0_);_(&quot;€&quot;* \(#,##0\);_(&quot;€&quot;* &quot;-&quot;_);_(@_)"/>
    <numFmt numFmtId="1333" formatCode="#.###."/>
  </numFmts>
  <fonts count="70">
    <font>
      <b val="0"/>
      <i val="0"/>
      <sz val="11"/>
      <color theme="1"/>
      <name val="Calibri"/>
      <scheme val="minor"/>
    </font>
    <font>
      <b val="0"/>
      <i val="0"/>
      <sz val="11"/>
      <color theme="0"/>
      <name val="Aptos Narrow"/>
      <scheme val="minor"/>
    </font>
    <font>
      <b val="0"/>
      <i val="0"/>
      <sz val="8"/>
      <color theme="3"/>
      <name val="Tahoma"/>
    </font>
    <font>
      <b val="0"/>
      <i val="0"/>
      <sz val="11"/>
      <color theme="3"/>
      <name val="Calibri"/>
      <scheme val="minor"/>
    </font>
    <font>
      <b val="0"/>
      <i val="0"/>
      <sz val="8"/>
      <color theme="0"/>
      <name val="Tahoma"/>
    </font>
    <font>
      <b/>
      <i val="0"/>
      <sz val="8"/>
      <color theme="3"/>
      <name val="Tahoma"/>
    </font>
    <font>
      <b/>
      <i/>
      <sz val="8"/>
      <color theme="3"/>
      <name val="Tahoma"/>
    </font>
    <font>
      <b val="0"/>
      <i val="0"/>
      <u/>
      <sz val="8"/>
      <color theme="3"/>
      <name val="Tahoma"/>
    </font>
    <font>
      <b val="0"/>
      <i val="0"/>
      <sz val="8"/>
      <color auto="1"/>
      <name val="Tahoma"/>
    </font>
    <font>
      <b val="0"/>
      <i val="0"/>
      <sz val="11"/>
      <color rgb="FF9C6500"/>
      <name val="Aptos Narrow"/>
      <scheme val="minor"/>
    </font>
    <font>
      <b val="0"/>
      <i val="0"/>
      <sz val="11"/>
      <color theme="1"/>
      <name val="Aptos Narrow"/>
      <scheme val="minor"/>
    </font>
    <font>
      <b val="0"/>
      <i val="0"/>
      <sz val="11"/>
      <color theme="0"/>
      <name val="Calibri"/>
      <scheme val="minor"/>
    </font>
    <font>
      <b val="0"/>
      <i val="0"/>
      <sz val="11"/>
      <color theme="3"/>
      <name val="Tahoma"/>
    </font>
    <font>
      <b val="0"/>
      <i val="0"/>
      <sz val="10"/>
      <color theme="3"/>
      <name val="Webdings"/>
    </font>
    <font>
      <b/>
      <i val="0"/>
      <sz val="18"/>
      <color theme="3"/>
      <name val="Aptos Display"/>
      <scheme val="major"/>
    </font>
    <font>
      <b val="0"/>
      <i val="0"/>
      <sz val="8"/>
      <color rgb="FFFF0000"/>
      <name val="Webdings"/>
    </font>
    <font>
      <b val="0"/>
      <i val="0"/>
      <sz val="14"/>
      <color rgb="FFFF0000"/>
      <name val="Webdings"/>
    </font>
    <font>
      <b val="0"/>
      <i val="0"/>
      <sz val="8"/>
      <color theme="1"/>
      <name val="Webdings"/>
    </font>
    <font>
      <b val="0"/>
      <i val="0"/>
      <sz val="14"/>
      <color rgb="FF00B050"/>
      <name val="Webdings"/>
    </font>
    <font>
      <b val="0"/>
      <i val="0"/>
      <sz val="8.5"/>
      <color rgb="FF202733"/>
      <name val="Arial"/>
    </font>
    <font>
      <b/>
      <i val="0"/>
      <sz val="9"/>
      <color rgb="FF202733"/>
      <name val="Fira Sans Medium"/>
    </font>
    <font>
      <b/>
      <i val="0"/>
      <sz val="16"/>
      <color rgb="FF202733"/>
      <name val="Fira Sans Medium"/>
    </font>
    <font>
      <b/>
      <i val="0"/>
      <sz val="7.5"/>
      <color rgb="FF526071"/>
      <name val="Arial"/>
    </font>
    <font>
      <b/>
      <i val="0"/>
      <sz val="9"/>
      <color rgb="FF202733"/>
      <name val="Arial"/>
    </font>
    <font>
      <b val="0"/>
      <i val="0"/>
      <sz val="9"/>
      <color rgb="FF7C8798"/>
      <name val="Segoe UI"/>
    </font>
    <font>
      <b/>
      <i/>
      <sz val="11"/>
      <color theme="1"/>
      <name val="Aptos Narrow"/>
      <scheme val="minor"/>
    </font>
    <font>
      <b/>
      <i val="0"/>
      <sz val="11"/>
      <color theme="1"/>
      <name val="Aptos Narrow"/>
      <scheme val="minor"/>
    </font>
    <font>
      <b/>
      <i val="0"/>
      <sz val="18"/>
      <color rgb="FF202733"/>
      <name val="Fira Sans Medium"/>
    </font>
    <font>
      <b/>
      <i val="0"/>
      <sz val="9"/>
      <color rgb="FF69778B"/>
      <name val="Arial"/>
    </font>
    <font>
      <b/>
      <i val="0"/>
      <sz val="8.5"/>
      <color rgb="FF69778B"/>
      <name val="Arial"/>
    </font>
    <font>
      <b val="0"/>
      <i/>
      <sz val="7.5"/>
      <color rgb="FF69778B"/>
      <name val="Arial"/>
    </font>
    <font>
      <b val="0"/>
      <i val="0"/>
      <sz val="11"/>
      <color rgb="FFF3F6FA"/>
      <name val="Aptos Narrow"/>
      <scheme val="minor"/>
    </font>
    <font>
      <b/>
      <i val="0"/>
      <sz val="8"/>
      <color rgb="FFFFFFFF"/>
      <name val="Fira Sans Medium"/>
    </font>
    <font>
      <b/>
      <i val="0"/>
      <sz val="10"/>
      <color rgb="FF202733"/>
      <name val="Fira Sans Medium"/>
    </font>
    <font>
      <b val="0"/>
      <i val="0"/>
      <sz val="8.5"/>
      <color rgb="FF69778B"/>
      <name val="Arial"/>
    </font>
    <font>
      <b/>
      <i val="0"/>
      <sz val="15"/>
      <color rgb="FFFFFFFF"/>
      <name val="Fira Sans Medium"/>
    </font>
    <font>
      <b val="0"/>
      <i val="0"/>
      <sz val="8"/>
      <color rgb="FFB8C6DA"/>
      <name val="Arial"/>
    </font>
    <font>
      <b/>
      <i val="0"/>
      <sz val="14"/>
      <color rgb="FF202733"/>
      <name val="Fira Sans Medium"/>
    </font>
    <font>
      <b val="0"/>
      <i/>
      <sz val="8.5"/>
      <color rgb="FF69778B"/>
      <name val="Arial"/>
    </font>
    <font>
      <b val="0"/>
      <i val="0"/>
      <sz val="9"/>
      <color rgb="FF202733"/>
      <name val="Arial"/>
    </font>
    <font>
      <b/>
      <i val="0"/>
      <sz val="11"/>
      <color rgb="FF1E9E89"/>
      <name val="Arial"/>
    </font>
    <font>
      <b/>
      <i val="0"/>
      <sz val="8.5"/>
      <color rgb="FF202733"/>
      <name val="Arial"/>
    </font>
    <font>
      <b/>
      <i val="0"/>
      <sz val="13"/>
      <color rgb="FF202733"/>
      <name val="Fira Sans Medium"/>
    </font>
    <font>
      <b/>
      <i val="0"/>
      <sz val="8"/>
      <color rgb="FF69778B"/>
      <name val="Arial"/>
    </font>
    <font>
      <b/>
      <i val="0"/>
      <sz val="11"/>
      <color rgb="FF2A78D6"/>
      <name val="Arial"/>
    </font>
    <font>
      <b/>
      <i val="0"/>
      <sz val="9"/>
      <color rgb="FF2A78D6"/>
      <name val="Arial"/>
    </font>
    <font>
      <b/>
      <i val="0"/>
      <sz val="9"/>
      <color rgb="FF1E9E89"/>
      <name val="Arial"/>
    </font>
    <font>
      <b/>
      <i val="0"/>
      <sz val="9"/>
      <color rgb="FFD64545"/>
      <name val="Arial"/>
    </font>
    <font>
      <b val="0"/>
      <i val="0"/>
      <sz val="8"/>
      <color theme="3"/>
      <name val="Tahoma"/>
    </font>
    <font>
      <b val="0"/>
      <i val="0"/>
      <sz val="7.5"/>
      <color rgb="FF69778B"/>
      <name val="Arial"/>
    </font>
    <font>
      <b val="0"/>
      <i val="0"/>
      <sz val="8"/>
      <color rgb="FF69778B"/>
      <name val="Arial"/>
    </font>
    <font>
      <b val="0"/>
      <i val="0"/>
      <sz val="11"/>
      <color rgb="FF000000"/>
      <name val="Arial"/>
    </font>
    <font>
      <b/>
      <i val="0"/>
      <sz val="11"/>
      <color rgb="FF000000"/>
      <name val="Arial"/>
    </font>
    <font>
      <b/>
      <i val="0"/>
      <sz val="11"/>
      <color rgb="FFFFFFFF"/>
      <name val="Arial"/>
    </font>
    <font>
      <b val="0"/>
      <i val="0"/>
      <sz val="11"/>
      <color rgb="FF9C0006"/>
      <name val="Calibri"/>
      <scheme val="minor"/>
    </font>
    <font>
      <b/>
      <i val="0"/>
      <sz val="11"/>
      <color rgb="FFFA7D00"/>
      <name val="Calibri"/>
      <scheme val="minor"/>
    </font>
    <font>
      <b/>
      <i val="0"/>
      <sz val="11"/>
      <color theme="0"/>
      <name val="Calibri"/>
      <scheme val="minor"/>
    </font>
    <font>
      <b val="0"/>
      <i/>
      <sz val="11"/>
      <color rgb="FF7F7F7F"/>
      <name val="Calibri"/>
      <scheme val="minor"/>
    </font>
    <font>
      <b val="0"/>
      <i val="0"/>
      <sz val="11"/>
      <color rgb="FF006100"/>
      <name val="Calibri"/>
      <scheme val="minor"/>
    </font>
    <font>
      <b/>
      <i val="0"/>
      <sz val="15"/>
      <color theme="3"/>
      <name val="Calibri"/>
      <scheme val="minor"/>
    </font>
    <font>
      <b/>
      <i val="0"/>
      <sz val="13"/>
      <color theme="3"/>
      <name val="Calibri"/>
      <scheme val="minor"/>
    </font>
    <font>
      <b/>
      <i val="0"/>
      <sz val="11"/>
      <color theme="3"/>
      <name val="Calibri"/>
      <scheme val="minor"/>
    </font>
    <font>
      <b val="0"/>
      <i val="0"/>
      <sz val="11"/>
      <color rgb="FF3F3F76"/>
      <name val="Calibri"/>
      <scheme val="minor"/>
    </font>
    <font>
      <b val="0"/>
      <i val="0"/>
      <sz val="11"/>
      <color rgb="FFFA7D00"/>
      <name val="Calibri"/>
      <scheme val="minor"/>
    </font>
    <font>
      <b val="0"/>
      <i val="0"/>
      <sz val="11"/>
      <color rgb="FF9C6500"/>
      <name val="Calibri"/>
      <scheme val="minor"/>
    </font>
    <font>
      <b/>
      <i val="0"/>
      <sz val="11"/>
      <color rgb="FF3F3F3F"/>
      <name val="Calibri"/>
      <scheme val="minor"/>
    </font>
    <font>
      <b/>
      <i/>
      <sz val="11"/>
      <color theme="1"/>
      <name val="Calibri"/>
      <scheme val="minor"/>
    </font>
    <font>
      <b/>
      <i val="0"/>
      <sz val="18"/>
      <color theme="3"/>
      <name val="Cambria"/>
      <scheme val="major"/>
    </font>
    <font>
      <b/>
      <i val="0"/>
      <sz val="11"/>
      <color theme="1"/>
      <name val="Calibri"/>
      <scheme val="minor"/>
    </font>
    <font>
      <b val="0"/>
      <i val="0"/>
      <sz val="11"/>
      <color rgb="FFFF0000"/>
      <name val="Calibri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0"/>
      </patternFill>
    </fill>
    <fill>
      <patternFill patternType="solid">
        <fgColor rgb="FFF8F8F2"/>
      </patternFill>
    </fill>
    <fill>
      <patternFill patternType="solid">
        <fgColor theme="3" tint="0.8"/>
      </patternFill>
    </fill>
    <fill>
      <patternFill patternType="solid">
        <fgColor rgb="FFFFEB9C"/>
      </patternFill>
    </fill>
    <fill>
      <patternFill patternType="solid">
        <fgColor theme="0" tint="-0.05"/>
      </patternFill>
    </fill>
    <fill>
      <patternFill patternType="solid">
        <fgColor rgb="FFEAF0F6"/>
      </patternFill>
    </fill>
    <fill>
      <patternFill patternType="solid">
        <fgColor rgb="FFF3F6FA"/>
      </patternFill>
    </fill>
    <fill>
      <patternFill patternType="solid">
        <fgColor rgb="FF526071"/>
      </patternFill>
    </fill>
    <fill>
      <patternFill patternType="solid">
        <fgColor rgb="FFFFFFFF"/>
      </patternFill>
    </fill>
    <fill>
      <patternFill patternType="solid">
        <fgColor rgb="FF172033"/>
      </patternFill>
    </fill>
    <fill>
      <patternFill patternType="solid">
        <fgColor rgb="FFD9E2EF"/>
      </patternFill>
    </fill>
    <fill>
      <patternFill patternType="solid">
        <fgColor rgb="FFEAF2FC"/>
      </patternFill>
    </fill>
    <fill>
      <patternFill patternType="solid">
        <fgColor rgb="FFFFF1E8"/>
      </patternFill>
    </fill>
    <fill>
      <patternFill patternType="solid">
        <fgColor rgb="FF2E5496"/>
      </patternFill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38">
    <border>
      <left/>
      <right/>
      <top/>
      <bottom/>
    </border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1" tint="0.5"/>
      </bottom>
      <diagonal/>
    </border>
    <border>
      <left/>
      <right/>
      <top/>
      <bottom style="thin">
        <color theme="3" tint="0.8"/>
      </bottom>
      <diagonal/>
    </border>
    <border>
      <left/>
      <right/>
      <top/>
      <bottom style="thick">
        <color theme="3" tint="0.4"/>
      </bottom>
      <diagonal/>
    </border>
    <border>
      <left style="thin">
        <color theme="0"/>
      </left>
      <right style="thin">
        <color theme="0"/>
      </right>
      <top/>
      <bottom style="thin">
        <color theme="3" tint="0.8"/>
      </bottom>
      <diagonal/>
    </border>
    <border>
      <left style="thin">
        <color theme="0"/>
      </left>
      <right style="thin">
        <color theme="0"/>
      </right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3" tint="0.8"/>
      </top>
      <bottom style="thin">
        <color theme="3" tint="0.8"/>
      </bottom>
      <diagonal/>
    </border>
    <border>
      <left/>
      <right/>
      <top/>
      <bottom style="medium">
        <color theme="3"/>
      </bottom>
      <diagonal/>
    </border>
    <border>
      <left style="thin">
        <color rgb="FFE9EDF3"/>
      </left>
      <right/>
      <top style="thin">
        <color rgb="FFE9EDF3"/>
      </top>
      <bottom/>
      <diagonal/>
    </border>
    <border>
      <left/>
      <right/>
      <top style="thin">
        <color rgb="FFB8CFEC"/>
      </top>
      <bottom style="thin">
        <color rgb="FFB8CFEC"/>
      </bottom>
      <diagonal/>
    </border>
    <border>
      <left/>
      <right style="thin">
        <color rgb="FFE9EDF3"/>
      </right>
      <top style="thin">
        <color rgb="FFE9EDF3"/>
      </top>
      <bottom/>
      <diagonal/>
    </border>
    <border>
      <left style="thin">
        <color rgb="FFE9EDF3"/>
      </left>
      <right/>
      <top/>
      <bottom/>
      <diagonal/>
    </border>
    <border>
      <left/>
      <right style="thin">
        <color rgb="FFE9EDF3"/>
      </right>
      <top/>
      <bottom/>
      <diagonal/>
    </border>
    <border>
      <left style="thin">
        <color rgb="FFE9EDF3"/>
      </left>
      <right/>
      <top/>
      <bottom style="thin">
        <color rgb="FFE9EDF3"/>
      </bottom>
      <diagonal/>
    </border>
    <border>
      <left/>
      <right style="thin">
        <color rgb="FFE9EDF3"/>
      </right>
      <top/>
      <bottom style="thin">
        <color rgb="FFE9EDF3"/>
      </bottom>
      <diagonal/>
    </border>
    <border>
      <left/>
      <right/>
      <top style="thin">
        <color rgb="FFE9EDF3"/>
      </top>
      <bottom/>
      <diagonal/>
    </border>
    <border>
      <left/>
      <right/>
      <top/>
      <bottom style="thin">
        <color rgb="FFE9EDF3"/>
      </bottom>
      <diagonal/>
    </border>
    <border>
      <left style="thin">
        <color rgb="FF526071"/>
      </left>
      <right style="thin">
        <color rgb="FF526071"/>
      </right>
      <top style="thin">
        <color rgb="FF526071"/>
      </top>
      <bottom style="thin">
        <color rgb="FF526071"/>
      </bottom>
      <diagonal/>
    </border>
    <border>
      <left/>
      <right/>
      <top style="medium">
        <color rgb="FF526071"/>
      </top>
      <bottom style="medium">
        <color rgb="FF526071"/>
      </bottom>
      <diagonal/>
    </border>
    <border>
      <left/>
      <right/>
      <top style="medium">
        <color rgb="FF526071"/>
      </top>
      <bottom style="thin">
        <color rgb="FF526071"/>
      </bottom>
      <diagonal/>
    </border>
    <border>
      <left/>
      <right/>
      <top/>
      <bottom style="medium">
        <color rgb="FF526071"/>
      </bottom>
      <diagonal/>
    </border>
    <border>
      <left/>
      <right/>
      <top/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5"/>
      </bottom>
      <diagonal/>
    </border>
    <border>
      <left/>
      <right/>
      <top/>
      <bottom style="medium">
        <color theme="4" tint="0.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3" tint="0.8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theme="3" tint="0.8"/>
      </bottom>
      <diagonal/>
    </border>
  </borders>
  <cellStyleXfs count="112">
    <xf numFmtId="0" fontId="0" fillId="0" borderId="1"/>
    <xf numFmtId="9" fontId="0" fillId="0" borderId="1" applyFont="0" applyFill="0" applyBorder="0" applyAlignment="0" applyProtection="0"/>
    <xf numFmtId="1277" fontId="0" fillId="0" borderId="1" applyFont="0" applyFill="0" applyBorder="0">
      <alignment horizontal="center" vertical="bottom"/>
    </xf>
    <xf numFmtId="10" fontId="0" fillId="0" borderId="1" applyFont="0" applyFill="0" applyBorder="0" applyAlignment="0"/>
    <xf numFmtId="0" fontId="1" fillId="2" borderId="1" applyBorder="0" applyNumberFormat="0" applyAlignment="0" applyProtection="0"/>
    <xf numFmtId="0" fontId="1" fillId="3" borderId="1" applyBorder="0" applyNumberFormat="0" applyAlignment="0" applyProtection="0"/>
    <xf numFmtId="0" fontId="1" fillId="4" borderId="1" applyBorder="0" applyNumberFormat="0" applyAlignment="0" applyProtection="0"/>
    <xf numFmtId="0" fontId="1" fillId="5" borderId="1" applyBorder="0" applyNumberFormat="0" applyAlignment="0" applyProtection="0"/>
    <xf numFmtId="0" fontId="1" fillId="6" borderId="1" applyBorder="0" applyNumberFormat="0" applyAlignment="0" applyProtection="0"/>
    <xf numFmtId="0" fontId="1" fillId="7" borderId="1" applyBorder="0" applyNumberFormat="0" applyAlignment="0" applyProtection="0"/>
    <xf numFmtId="1278" fontId="2" fillId="8" borderId="2" applyNumberFormat="0" applyProtection="0">
      <alignment horizontal="center" vertical="center" wrapText="1"/>
    </xf>
    <xf numFmtId="9" fontId="0" fillId="0" borderId="1" applyFont="0" applyFill="0" applyBorder="0" applyNumberFormat="0" applyProtection="0">
      <alignment horizontal="center" vertical="center"/>
    </xf>
    <xf numFmtId="9" fontId="0" fillId="0" borderId="1" applyFont="0" applyFill="0" applyBorder="0" applyNumberFormat="0" applyProtection="0">
      <alignment horizontal="left" vertical="center"/>
    </xf>
    <xf numFmtId="9" fontId="0" fillId="0" borderId="1" applyFont="0" applyFill="0" applyBorder="0" applyNumberFormat="0" applyProtection="0">
      <alignment horizontal="left" vertical="center" wrapText="1"/>
    </xf>
    <xf numFmtId="2" fontId="3" fillId="0" borderId="1" applyFont="0" applyFill="0" applyBorder="0" applyAlignment="0" applyProtection="0">
      <alignment horizontal="left" vertical="bottom"/>
    </xf>
    <xf numFmtId="9" fontId="0" fillId="0" borderId="3" applyFont="0" applyFill="0" applyNumberFormat="0" applyAlignment="0"/>
    <xf numFmtId="1279" fontId="0" fillId="0" borderId="1" applyFont="0" applyFill="0" applyBorder="0" applyAlignment="0"/>
    <xf numFmtId="1278" fontId="2" fillId="0" borderId="4" applyFill="0" applyNumberFormat="0" applyProtection="0">
      <alignment horizontal="center" vertical="center" wrapText="1"/>
    </xf>
    <xf numFmtId="9" fontId="4" fillId="0" borderId="1" applyFill="0" applyNumberFormat="0" applyAlignment="0"/>
    <xf numFmtId="9" fontId="5" fillId="0" borderId="1" applyFill="0" applyBorder="0" applyNumberFormat="0" applyAlignment="0" applyProtection="0"/>
    <xf numFmtId="9" fontId="6" fillId="0" borderId="1" applyFill="0" applyBorder="0" applyNumberFormat="0" applyAlignment="0" applyProtection="0"/>
    <xf numFmtId="1278" fontId="0" fillId="9" borderId="5" applyFont="0" applyNumberFormat="0" applyAlignment="0"/>
    <xf numFmtId="0" fontId="2" fillId="8" borderId="6">
      <alignment horizontal="center" vertical="center" wrapText="1"/>
    </xf>
    <xf numFmtId="1282" fontId="0" fillId="0" borderId="1" applyFont="0" applyFill="0" applyBorder="0" applyAlignment="0"/>
    <xf numFmtId="9" fontId="0" fillId="10" borderId="1" applyFont="0" applyBorder="0" applyNumberFormat="0" applyAlignment="0" applyProtection="0"/>
    <xf numFmtId="1278" fontId="5" fillId="0" borderId="1" applyFill="0" applyBorder="0" applyNumberFormat="0" applyProtection="0">
      <alignment horizontal="right" vertical="bottom"/>
    </xf>
    <xf numFmtId="0" fontId="2" fillId="0" borderId="3" applyFill="0" applyNumberFormat="0">
      <alignment horizontal="left" vertical="center"/>
    </xf>
    <xf numFmtId="9" fontId="7" fillId="0" borderId="1" applyFill="0" applyBorder="0" applyNumberFormat="0" applyAlignment="0"/>
    <xf numFmtId="0" fontId="0" fillId="0" borderId="1" applyFont="0" applyFill="0" applyBorder="0" applyNumberFormat="0">
      <alignment horizontal="center" vertical="center" wrapText="1"/>
    </xf>
    <xf numFmtId="1284" fontId="2" fillId="0" borderId="1"/>
    <xf numFmtId="1285" fontId="8" fillId="0" borderId="1" applyBorder="0">
      <alignment horizontal="center" vertical="bottom"/>
    </xf>
    <xf numFmtId="0" fontId="9" fillId="11" borderId="1" applyBorder="0" applyNumberFormat="0" applyAlignment="0" applyProtection="0"/>
    <xf numFmtId="0" fontId="10" fillId="0" borderId="1"/>
    <xf numFmtId="0" fontId="2" fillId="0" borderId="5" applyFill="0" applyNumberFormat="0" applyAlignment="0"/>
    <xf numFmtId="9" fontId="5" fillId="0" borderId="7" applyFill="0" applyNumberFormat="0"/>
    <xf numFmtId="9" fontId="11" fillId="8" borderId="8" applyNumberFormat="0" applyAlignment="0"/>
    <xf numFmtId="3" fontId="2" fillId="0" borderId="1" applyFill="0" applyBorder="0" applyProtection="0">
      <alignment horizontal="right" vertical="center"/>
    </xf>
    <xf numFmtId="37" fontId="12" fillId="0" borderId="1" applyFill="0" applyBorder="0" applyProtection="0">
      <alignment horizontal="right" vertical="center"/>
    </xf>
    <xf numFmtId="1278" fontId="2" fillId="0" borderId="1" applyFill="0" applyBorder="0" applyNumberFormat="0" applyProtection="0">
      <alignment horizontal="left" vertical="bottom"/>
    </xf>
    <xf numFmtId="0" fontId="2" fillId="0" borderId="1" applyFill="0" applyBorder="0" applyNumberFormat="0" applyProtection="0">
      <alignment horizontal="right" vertical="center" wrapText="1"/>
    </xf>
    <xf numFmtId="9" fontId="0" fillId="12" borderId="1" applyFont="0" applyNumberFormat="0" applyAlignment="0" applyProtection="0"/>
    <xf numFmtId="9" fontId="13" fillId="0" borderId="1" applyFill="0" applyBorder="0" applyNumberFormat="0" applyAlignment="0"/>
    <xf numFmtId="9" fontId="0" fillId="0" borderId="1"/>
    <xf numFmtId="9" fontId="5" fillId="13" borderId="1" applyBorder="0" applyNumberFormat="0" applyProtection="0">
      <alignment horizontal="right" vertical="center"/>
    </xf>
    <xf numFmtId="9" fontId="5" fillId="13" borderId="1" applyBorder="0" applyNumberFormat="0" applyProtection="0">
      <alignment horizontal="left" vertical="center" wrapText="1"/>
    </xf>
    <xf numFmtId="1278" fontId="5" fillId="13" borderId="9" applyFill="0" applyBorder="0" applyNumberFormat="0" applyAlignment="0"/>
    <xf numFmtId="0" fontId="3" fillId="0" borderId="1" applyFill="0" applyBorder="0" applyNumberFormat="0" applyProtection="0">
      <alignment horizontal="right" vertical="bottom"/>
    </xf>
    <xf numFmtId="0" fontId="14" fillId="0" borderId="1" applyFill="0" applyBorder="0" applyNumberFormat="0" applyAlignment="0" applyProtection="0"/>
    <xf numFmtId="9" fontId="15" fillId="0" borderId="1" applyFill="0" applyBorder="0" applyProtection="0">
      <alignment horizontal="center" vertical="center"/>
    </xf>
    <xf numFmtId="0" fontId="16" fillId="0" borderId="1">
      <alignment horizontal="center" vertical="center"/>
    </xf>
    <xf numFmtId="1" fontId="17" fillId="0" borderId="1" applyFill="0" applyBorder="0" applyProtection="0">
      <alignment horizontal="center" vertical="center"/>
    </xf>
    <xf numFmtId="0" fontId="16" fillId="0" borderId="10" applyFill="0" applyProtection="0">
      <alignment horizontal="center" vertical="center"/>
    </xf>
    <xf numFmtId="0" fontId="18" fillId="0" borderId="10" applyFill="0" applyProtection="0">
      <alignment horizontal="center" vertical="bottom"/>
    </xf>
    <xf numFmtId="9" fontId="5" fillId="0" borderId="11" applyFill="0" applyNumberFormat="0">
      <alignment horizontal="left" vertical="bottom"/>
    </xf>
    <xf numFmtId="0" fontId="2" fillId="0" borderId="3">
      <alignment horizontal="left" vertical="top" wrapText="1"/>
      <protection locked="0"/>
    </xf>
    <xf numFmtId="0" fontId="0" fillId="22" borderId="1" applyBorder="0" applyNumberFormat="0" applyAlignment="0" applyProtection="0"/>
    <xf numFmtId="0" fontId="0" fillId="23" borderId="1" applyBorder="0" applyNumberFormat="0" applyAlignment="0" applyProtection="0"/>
    <xf numFmtId="0" fontId="0" fillId="24" borderId="1" applyBorder="0" applyNumberFormat="0" applyAlignment="0" applyProtection="0"/>
    <xf numFmtId="0" fontId="0" fillId="25" borderId="1" applyBorder="0" applyNumberFormat="0" applyAlignment="0" applyProtection="0"/>
    <xf numFmtId="0" fontId="0" fillId="26" borderId="1" applyBorder="0" applyNumberFormat="0" applyAlignment="0" applyProtection="0"/>
    <xf numFmtId="0" fontId="0" fillId="27" borderId="1" applyBorder="0" applyNumberFormat="0" applyAlignment="0" applyProtection="0"/>
    <xf numFmtId="0" fontId="0" fillId="28" borderId="1" applyBorder="0" applyNumberFormat="0" applyAlignment="0" applyProtection="0"/>
    <xf numFmtId="0" fontId="0" fillId="29" borderId="1" applyBorder="0" applyNumberFormat="0" applyAlignment="0" applyProtection="0"/>
    <xf numFmtId="0" fontId="0" fillId="30" borderId="1" applyBorder="0" applyNumberFormat="0" applyAlignment="0" applyProtection="0"/>
    <xf numFmtId="0" fontId="0" fillId="31" borderId="1" applyBorder="0" applyNumberFormat="0" applyAlignment="0" applyProtection="0"/>
    <xf numFmtId="0" fontId="0" fillId="32" borderId="1" applyBorder="0" applyNumberFormat="0" applyAlignment="0" applyProtection="0"/>
    <xf numFmtId="0" fontId="0" fillId="33" borderId="1" applyBorder="0" applyNumberFormat="0" applyAlignment="0" applyProtection="0"/>
    <xf numFmtId="0" fontId="11" fillId="2" borderId="1" applyBorder="0" applyNumberFormat="0" applyAlignment="0" applyProtection="0"/>
    <xf numFmtId="0" fontId="11" fillId="3" borderId="1" applyBorder="0" applyNumberFormat="0" applyAlignment="0" applyProtection="0"/>
    <xf numFmtId="0" fontId="11" fillId="4" borderId="1" applyBorder="0" applyNumberFormat="0" applyAlignment="0" applyProtection="0"/>
    <xf numFmtId="0" fontId="11" fillId="5" borderId="1" applyBorder="0" applyNumberFormat="0" applyAlignment="0" applyProtection="0"/>
    <xf numFmtId="0" fontId="11" fillId="6" borderId="1" applyBorder="0" applyNumberFormat="0" applyAlignment="0" applyProtection="0"/>
    <xf numFmtId="0" fontId="11" fillId="7" borderId="1" applyBorder="0" applyNumberFormat="0" applyAlignment="0" applyProtection="0"/>
    <xf numFmtId="0" fontId="11" fillId="34" borderId="1" applyBorder="0" applyNumberFormat="0" applyAlignment="0" applyProtection="0"/>
    <xf numFmtId="0" fontId="11" fillId="35" borderId="1" applyBorder="0" applyNumberFormat="0" applyAlignment="0" applyProtection="0"/>
    <xf numFmtId="0" fontId="11" fillId="36" borderId="1" applyBorder="0" applyNumberFormat="0" applyAlignment="0" applyProtection="0"/>
    <xf numFmtId="0" fontId="11" fillId="37" borderId="1" applyBorder="0" applyNumberFormat="0" applyAlignment="0" applyProtection="0"/>
    <xf numFmtId="0" fontId="11" fillId="38" borderId="1" applyBorder="0" applyNumberFormat="0" applyAlignment="0" applyProtection="0"/>
    <xf numFmtId="0" fontId="11" fillId="39" borderId="1" applyBorder="0" applyNumberFormat="0" applyAlignment="0" applyProtection="0"/>
    <xf numFmtId="9" fontId="2" fillId="0" borderId="3" applyFill="0" applyNumberFormat="0" applyProtection="0">
      <alignment horizontal="right" vertical="center"/>
      <protection locked="0"/>
    </xf>
    <xf numFmtId="0" fontId="54" fillId="40" borderId="1" applyBorder="0" applyNumberFormat="0" applyAlignment="0" applyProtection="0"/>
    <xf numFmtId="0" fontId="55" fillId="41" borderId="27" applyNumberFormat="0" applyAlignment="0" applyProtection="0"/>
    <xf numFmtId="0" fontId="56" fillId="42" borderId="28" applyNumberFormat="0" applyAlignment="0" applyProtection="0"/>
    <xf numFmtId="1329" fontId="0" fillId="0" borderId="1" applyFont="0" applyFill="0" applyBorder="0" applyAlignment="0" applyProtection="0"/>
    <xf numFmtId="1330" fontId="0" fillId="0" borderId="1" applyFont="0" applyFill="0" applyBorder="0" applyAlignment="0" applyProtection="0"/>
    <xf numFmtId="1331" fontId="0" fillId="0" borderId="1" applyFont="0" applyFill="0" applyBorder="0" applyAlignment="0" applyProtection="0"/>
    <xf numFmtId="1332" fontId="0" fillId="0" borderId="1" applyFont="0" applyFill="0" applyBorder="0" applyAlignment="0" applyProtection="0"/>
    <xf numFmtId="0" fontId="57" fillId="0" borderId="1" applyFill="0" applyBorder="0" applyNumberFormat="0" applyAlignment="0" applyProtection="0"/>
    <xf numFmtId="0" fontId="58" fillId="43" borderId="1" applyBorder="0" applyNumberFormat="0" applyAlignment="0" applyProtection="0"/>
    <xf numFmtId="0" fontId="59" fillId="0" borderId="29" applyFill="0" applyNumberFormat="0" applyAlignment="0" applyProtection="0"/>
    <xf numFmtId="0" fontId="60" fillId="0" borderId="30" applyFill="0" applyNumberFormat="0" applyAlignment="0" applyProtection="0"/>
    <xf numFmtId="0" fontId="61" fillId="0" borderId="31" applyFill="0" applyNumberFormat="0" applyAlignment="0" applyProtection="0"/>
    <xf numFmtId="0" fontId="61" fillId="0" borderId="1" applyFill="0" applyBorder="0" applyNumberFormat="0" applyAlignment="0" applyProtection="0"/>
    <xf numFmtId="0" fontId="62" fillId="44" borderId="27" applyNumberFormat="0" applyAlignment="0" applyProtection="0"/>
    <xf numFmtId="0" fontId="63" fillId="0" borderId="32" applyFill="0" applyNumberFormat="0" applyAlignment="0" applyProtection="0"/>
    <xf numFmtId="0" fontId="64" fillId="11" borderId="1" applyBorder="0" applyNumberFormat="0" applyAlignment="0" applyProtection="0"/>
    <xf numFmtId="0" fontId="0" fillId="45" borderId="33" applyFont="0" applyNumberFormat="0" applyAlignment="0" applyProtection="0"/>
    <xf numFmtId="0" fontId="65" fillId="41" borderId="34" applyNumberFormat="0" applyAlignment="0" applyProtection="0"/>
    <xf numFmtId="9" fontId="5" fillId="0" borderId="1" applyFill="0" applyNumberFormat="0"/>
    <xf numFmtId="1333" fontId="5" fillId="13" borderId="35" applyFill="0" applyBorder="0" applyNumberFormat="0">
      <alignment horizontal="left" vertical="center"/>
    </xf>
    <xf numFmtId="9" fontId="5" fillId="13" borderId="7" applyFill="0" applyNumberFormat="0">
      <alignment horizontal="center" vertical="center" wrapText="1"/>
    </xf>
    <xf numFmtId="0" fontId="66" fillId="0" borderId="1" applyFont="0" applyFill="0" applyBorder="0" applyNumberFormat="0" applyProtection="0">
      <alignment horizontal="left" vertical="bottom" indent="2"/>
    </xf>
    <xf numFmtId="0" fontId="66" fillId="0" borderId="1" applyFill="0" applyBorder="0" applyNumberFormat="0" applyProtection="0">
      <alignment horizontal="left" vertical="bottom" indent="1"/>
    </xf>
    <xf numFmtId="0" fontId="67" fillId="0" borderId="1" applyFill="0" applyBorder="0" applyNumberFormat="0" applyAlignment="0" applyProtection="0"/>
    <xf numFmtId="0" fontId="68" fillId="0" borderId="36" applyFill="0" applyNumberFormat="0" applyAlignment="0" applyProtection="0"/>
    <xf numFmtId="1278" fontId="5" fillId="13" borderId="37" applyNumberFormat="0">
      <alignment horizontal="right" vertical="bottom"/>
    </xf>
    <xf numFmtId="9" fontId="2" fillId="13" borderId="3" applyBorder="0" applyNumberFormat="0">
      <alignment horizontal="right" vertical="center"/>
    </xf>
    <xf numFmtId="9" fontId="5" fillId="13" borderId="3" applyNumberFormat="0">
      <alignment horizontal="right" vertical="center"/>
    </xf>
    <xf numFmtId="49" fontId="5" fillId="13" borderId="37">
      <alignment horizontal="left" vertical="bottom"/>
    </xf>
    <xf numFmtId="9" fontId="2" fillId="13" borderId="7" applyNumberFormat="0">
      <alignment horizontal="center" vertical="center" wrapText="1"/>
    </xf>
    <xf numFmtId="9" fontId="5" fillId="13" borderId="3" applyNumberFormat="0">
      <alignment horizontal="left" vertical="center" wrapText="1"/>
    </xf>
    <xf numFmtId="0" fontId="69" fillId="0" borderId="1" applyFill="0" applyBorder="0" applyNumberFormat="0" applyAlignment="0" applyProtection="0"/>
  </cellStyleXfs>
  <cellXfs count="128">
    <xf numFmtId="0" fontId="0" fillId="0" borderId="1" xfId="0"/>
    <xf numFmtId="0" fontId="21" fillId="14" borderId="1" xfId="0">
      <alignment horizontal="left" vertical="center" indent="2"/>
    </xf>
    <xf numFmtId="0" fontId="20" fillId="14" borderId="1" xfId="0">
      <alignment horizontal="left" vertical="center" indent="2"/>
    </xf>
    <xf numFmtId="0" fontId="22" fillId="14" borderId="13" xfId="0">
      <alignment horizontal="center" vertical="center"/>
    </xf>
    <xf numFmtId="0" fontId="23" fillId="14" borderId="13" xfId="0" quotePrefix="1">
      <alignment horizontal="left" vertical="center"/>
    </xf>
    <xf numFmtId="0" fontId="24" fillId="14" borderId="13" xfId="0">
      <alignment horizontal="left" vertical="center"/>
    </xf>
    <xf numFmtId="0" fontId="22" fillId="14" borderId="13" xfId="0">
      <alignment horizontal="left" vertical="center"/>
    </xf>
    <xf numFmtId="0" fontId="23" fillId="14" borderId="13" xfId="0">
      <alignment horizontal="left" vertical="center" indent="1"/>
    </xf>
    <xf numFmtId="0" fontId="10" fillId="14" borderId="13" xfId="0"/>
    <xf numFmtId="0" fontId="23" fillId="14" borderId="13" xfId="0">
      <alignment horizontal="left" vertical="center"/>
    </xf>
    <xf numFmtId="0" fontId="10" fillId="14" borderId="1" xfId="0"/>
    <xf numFmtId="0" fontId="25" fillId="14" borderId="1" xfId="0" quotePrefix="1"/>
    <xf numFmtId="0" fontId="26" fillId="14" borderId="1" xfId="0" quotePrefix="1"/>
    <xf numFmtId="0" fontId="22" fillId="14" borderId="12" xfId="32">
      <alignment horizontal="left" vertical="center" indent="1"/>
    </xf>
    <xf numFmtId="0" fontId="22" fillId="14" borderId="19" xfId="32">
      <alignment horizontal="left" vertical="center" indent="1"/>
    </xf>
    <xf numFmtId="0" fontId="22" fillId="14" borderId="14" xfId="32">
      <alignment horizontal="left" vertical="center" indent="1"/>
    </xf>
    <xf numFmtId="0" fontId="22" fillId="14" borderId="12" xfId="0">
      <alignment horizontal="left" vertical="center" indent="1"/>
    </xf>
    <xf numFmtId="0" fontId="22" fillId="14" borderId="14" xfId="0">
      <alignment horizontal="left" vertical="center" indent="1"/>
    </xf>
    <xf numFmtId="0" fontId="10" fillId="14" borderId="14" xfId="0"/>
    <xf numFmtId="1291" fontId="27" fillId="14" borderId="15" xfId="32">
      <alignment horizontal="left" vertical="center" indent="1"/>
    </xf>
    <xf numFmtId="1291" fontId="27" fillId="14" borderId="1" xfId="32">
      <alignment horizontal="left" vertical="center" indent="1"/>
    </xf>
    <xf numFmtId="1291" fontId="27" fillId="14" borderId="16" xfId="32">
      <alignment horizontal="left" vertical="center" indent="1"/>
    </xf>
    <xf numFmtId="1277" fontId="27" fillId="14" borderId="15" xfId="32">
      <alignment horizontal="left" vertical="center" indent="1"/>
    </xf>
    <xf numFmtId="1277" fontId="27" fillId="14" borderId="16" xfId="32">
      <alignment horizontal="left" vertical="center" indent="1"/>
    </xf>
    <xf numFmtId="3" fontId="27" fillId="14" borderId="15" xfId="32">
      <alignment horizontal="left" vertical="center" indent="1"/>
    </xf>
    <xf numFmtId="3" fontId="27" fillId="14" borderId="16" xfId="32">
      <alignment horizontal="left" vertical="center" indent="1"/>
    </xf>
    <xf numFmtId="1295" fontId="27" fillId="14" borderId="15" xfId="32">
      <alignment horizontal="left" vertical="center" indent="1"/>
    </xf>
    <xf numFmtId="1295" fontId="27" fillId="14" borderId="16" xfId="32">
      <alignment horizontal="left" vertical="center" indent="1"/>
    </xf>
    <xf numFmtId="1277" fontId="27" fillId="14" borderId="15" xfId="0">
      <alignment horizontal="left" vertical="center" indent="1"/>
    </xf>
    <xf numFmtId="1277" fontId="27" fillId="14" borderId="16" xfId="0">
      <alignment horizontal="left" vertical="center" indent="1"/>
    </xf>
    <xf numFmtId="0" fontId="10" fillId="14" borderId="16" xfId="0"/>
    <xf numFmtId="1299" fontId="28" fillId="14" borderId="17" xfId="32">
      <alignment horizontal="left" vertical="center" indent="1"/>
    </xf>
    <xf numFmtId="1299" fontId="28" fillId="14" borderId="20" xfId="32">
      <alignment horizontal="left" vertical="center" indent="1"/>
    </xf>
    <xf numFmtId="1300" fontId="29" fillId="14" borderId="18" xfId="32">
      <alignment horizontal="left" vertical="center" indent="1"/>
    </xf>
    <xf numFmtId="1301" fontId="28" fillId="14" borderId="17" xfId="32">
      <alignment horizontal="left" vertical="center" indent="1"/>
    </xf>
    <xf numFmtId="1302" fontId="29" fillId="14" borderId="18" xfId="32">
      <alignment horizontal="left" vertical="center" indent="1"/>
    </xf>
    <xf numFmtId="1303" fontId="28" fillId="14" borderId="17" xfId="0">
      <alignment horizontal="left" vertical="center" indent="1"/>
    </xf>
    <xf numFmtId="1304" fontId="29" fillId="14" borderId="18" xfId="0">
      <alignment horizontal="left" vertical="center" indent="1"/>
    </xf>
    <xf numFmtId="1304" fontId="29" fillId="14" borderId="17" xfId="0">
      <alignment horizontal="left" vertical="center" indent="1"/>
    </xf>
    <xf numFmtId="0" fontId="10" fillId="14" borderId="18" xfId="0"/>
    <xf numFmtId="0" fontId="20" fillId="14" borderId="12" xfId="0">
      <alignment horizontal="left" vertical="center" indent="2"/>
    </xf>
    <xf numFmtId="0" fontId="20" fillId="14" borderId="19" xfId="0">
      <alignment horizontal="left" vertical="center" indent="2"/>
    </xf>
    <xf numFmtId="0" fontId="10" fillId="14" borderId="19" xfId="0"/>
    <xf numFmtId="0" fontId="30" fillId="14" borderId="19" xfId="0">
      <alignment horizontal="right" vertical="center"/>
    </xf>
    <xf numFmtId="0" fontId="10" fillId="14" borderId="15" xfId="0"/>
    <xf numFmtId="0" fontId="10" fillId="14" borderId="17" xfId="0"/>
    <xf numFmtId="0" fontId="10" fillId="14" borderId="20" xfId="0"/>
    <xf numFmtId="0" fontId="31" fillId="14" borderId="1" xfId="0"/>
    <xf numFmtId="0" fontId="32" fillId="15" borderId="21" xfId="0">
      <alignment horizontal="center" vertical="center"/>
    </xf>
    <xf numFmtId="0" fontId="32" fillId="15" borderId="21" xfId="22" quotePrefix="1">
      <alignment horizontal="left" vertical="center" indent="1"/>
    </xf>
    <xf numFmtId="0" fontId="32" fillId="15" borderId="21" xfId="0" quotePrefix="1">
      <alignment horizontal="center" vertical="center"/>
    </xf>
    <xf numFmtId="0" fontId="48" fillId="8" borderId="6" xfId="0" quotePrefix="1">
      <alignment horizontal="center" vertical="center" wrapText="1"/>
    </xf>
    <xf numFmtId="0" fontId="49" fillId="14" borderId="1" xfId="0" quotePrefix="1">
      <alignment horizontal="center" vertical="center"/>
    </xf>
    <xf numFmtId="3" fontId="19" fillId="14" borderId="1" xfId="0" quotePrefix="1">
      <alignment horizontal="left" vertical="center"/>
    </xf>
    <xf numFmtId="3" fontId="50" fillId="14" borderId="1" xfId="0" quotePrefix="1">
      <alignment horizontal="left" vertical="center"/>
    </xf>
    <xf numFmtId="1321" fontId="50" fillId="14" borderId="1" xfId="0" quotePrefix="1">
      <alignment horizontal="left" vertical="center"/>
    </xf>
    <xf numFmtId="3" fontId="19" fillId="14" borderId="1" xfId="0">
      <alignment horizontal="right" vertical="center"/>
    </xf>
    <xf numFmtId="1288" fontId="19" fillId="14" borderId="1" xfId="0">
      <alignment horizontal="right" vertical="center"/>
    </xf>
    <xf numFmtId="1277" fontId="19" fillId="14" borderId="1" xfId="0">
      <alignment horizontal="right" vertical="center"/>
    </xf>
    <xf numFmtId="1290" fontId="19" fillId="14" borderId="1" xfId="0">
      <alignment horizontal="right" vertical="center"/>
    </xf>
    <xf numFmtId="1277" fontId="19" fillId="14" borderId="1" xfId="36">
      <alignment horizontal="right" vertical="center"/>
    </xf>
    <xf numFmtId="3" fontId="48" fillId="0" borderId="3" xfId="36">
      <alignment horizontal="right" vertical="center"/>
    </xf>
    <xf numFmtId="1277" fontId="48" fillId="0" borderId="3" xfId="2">
      <alignment horizontal="center" vertical="bottom"/>
    </xf>
    <xf numFmtId="0" fontId="49" fillId="14" borderId="1" xfId="0">
      <alignment horizontal="center" vertical="center"/>
    </xf>
    <xf numFmtId="0" fontId="19" fillId="14" borderId="1" xfId="0">
      <alignment horizontal="left" vertical="center"/>
    </xf>
    <xf numFmtId="0" fontId="50" fillId="14" borderId="1" xfId="0">
      <alignment horizontal="left" vertical="center"/>
    </xf>
    <xf numFmtId="1277" fontId="27" fillId="14" borderId="1" xfId="32">
      <alignment horizontal="left" vertical="center" indent="1"/>
    </xf>
    <xf numFmtId="3" fontId="27" fillId="14" borderId="1" xfId="32">
      <alignment horizontal="left" vertical="center" indent="1"/>
    </xf>
    <xf numFmtId="1295" fontId="27" fillId="14" borderId="1" xfId="32">
      <alignment horizontal="left" vertical="center" indent="1"/>
    </xf>
    <xf numFmtId="1277" fontId="27" fillId="14" borderId="1" xfId="0">
      <alignment horizontal="left" vertical="center" indent="1"/>
    </xf>
    <xf numFmtId="0" fontId="2" fillId="8" borderId="6" xfId="0" quotePrefix="1">
      <alignment horizontal="center" vertical="center" wrapText="1"/>
    </xf>
    <xf numFmtId="0" fontId="53" fillId="21" borderId="26" xfId="0">
      <alignment horizontal="center" vertical="center" wrapText="1"/>
    </xf>
    <xf numFmtId="0" fontId="10" fillId="0" borderId="1" xfId="0" quotePrefix="1"/>
    <xf numFmtId="3" fontId="2" fillId="14" borderId="3" xfId="0">
      <alignment horizontal="right" vertical="center"/>
    </xf>
    <xf numFmtId="1327" fontId="51" fillId="0" borderId="26" xfId="0">
      <alignment horizontal="right" vertical="center"/>
    </xf>
    <xf numFmtId="1327" fontId="52" fillId="0" borderId="26" xfId="0">
      <alignment horizontal="right" vertical="center"/>
    </xf>
    <xf numFmtId="0" fontId="51" fillId="0" borderId="26" xfId="0">
      <alignment horizontal="left" vertical="center"/>
    </xf>
    <xf numFmtId="0" fontId="10" fillId="0" borderId="1" xfId="0"/>
    <xf numFmtId="0" fontId="49" fillId="14" borderId="1" xfId="32">
      <alignment horizontal="center" vertical="center"/>
    </xf>
    <xf numFmtId="0" fontId="10" fillId="17" borderId="1" xfId="0"/>
    <xf numFmtId="0" fontId="35" fillId="17" borderId="1" xfId="0">
      <alignment horizontal="left" vertical="center" indent="1"/>
    </xf>
    <xf numFmtId="0" fontId="35" fillId="17" borderId="1" xfId="0">
      <alignment horizontal="left" vertical="center"/>
    </xf>
    <xf numFmtId="0" fontId="10" fillId="0" borderId="25" xfId="0"/>
    <xf numFmtId="0" fontId="36" fillId="17" borderId="25" xfId="0">
      <alignment horizontal="left" vertical="center" indent="1"/>
    </xf>
    <xf numFmtId="0" fontId="36" fillId="17" borderId="25" xfId="0">
      <alignment horizontal="left" vertical="center"/>
    </xf>
    <xf numFmtId="0" fontId="10" fillId="17" borderId="25" xfId="0"/>
    <xf numFmtId="0" fontId="37" fillId="14" borderId="1" xfId="0">
      <alignment horizontal="left" vertical="center"/>
    </xf>
    <xf numFmtId="0" fontId="38" fillId="14" borderId="1" xfId="0">
      <alignment horizontal="left" vertical="center"/>
    </xf>
    <xf numFmtId="0" fontId="33" fillId="14" borderId="1" xfId="0">
      <alignment horizontal="left" vertical="center"/>
    </xf>
    <xf numFmtId="0" fontId="30" fillId="14" borderId="1" xfId="0">
      <alignment horizontal="right" vertical="center"/>
    </xf>
    <xf numFmtId="0" fontId="32" fillId="15" borderId="21" xfId="0">
      <alignment horizontal="left" vertical="center" indent="1"/>
    </xf>
    <xf numFmtId="0" fontId="32" fillId="15" borderId="21" xfId="0">
      <alignment horizontal="center" vertical="center" wrapText="1"/>
    </xf>
    <xf numFmtId="0" fontId="23" fillId="18" borderId="20" xfId="0">
      <alignment horizontal="left" vertical="center" indent="1"/>
    </xf>
    <xf numFmtId="1295" fontId="23" fillId="18" borderId="20" xfId="0">
      <alignment horizontal="right" vertical="center"/>
    </xf>
    <xf numFmtId="0" fontId="10" fillId="18" borderId="20" xfId="0"/>
    <xf numFmtId="0" fontId="39" fillId="16" borderId="20" xfId="0">
      <alignment horizontal="left" vertical="center" indent="1"/>
    </xf>
    <xf numFmtId="1295" fontId="39" fillId="16" borderId="20" xfId="0">
      <alignment horizontal="right" vertical="center"/>
    </xf>
    <xf numFmtId="1277" fontId="34" fillId="16" borderId="20" xfId="0">
      <alignment horizontal="right" vertical="center"/>
    </xf>
    <xf numFmtId="0" fontId="29" fillId="20" borderId="20" xfId="0">
      <alignment horizontal="left" vertical="center" indent="1"/>
    </xf>
    <xf numFmtId="1316" fontId="46" fillId="20" borderId="20" xfId="0">
      <alignment horizontal="right" vertical="center"/>
    </xf>
    <xf numFmtId="1317" fontId="47" fillId="20" borderId="20" xfId="0">
      <alignment horizontal="right" vertical="center"/>
    </xf>
    <xf numFmtId="0" fontId="29" fillId="19" borderId="22" xfId="0">
      <alignment horizontal="left" vertical="center" indent="1"/>
    </xf>
    <xf numFmtId="1309" fontId="40" fillId="19" borderId="22" xfId="0">
      <alignment horizontal="right" vertical="center"/>
    </xf>
    <xf numFmtId="0" fontId="30" fillId="19" borderId="22" xfId="0">
      <alignment horizontal="center" vertical="center"/>
    </xf>
    <xf numFmtId="0" fontId="41" fillId="18" borderId="23" xfId="0">
      <alignment horizontal="left" vertical="center" indent="1"/>
    </xf>
    <xf numFmtId="3" fontId="41" fillId="18" borderId="23" xfId="0">
      <alignment horizontal="right" vertical="center"/>
    </xf>
    <xf numFmtId="4" fontId="34" fillId="18" borderId="23" xfId="0">
      <alignment horizontal="center" vertical="center"/>
    </xf>
    <xf numFmtId="4" fontId="41" fillId="18" borderId="23" xfId="0">
      <alignment horizontal="right" vertical="center"/>
    </xf>
    <xf numFmtId="0" fontId="19" fillId="14" borderId="1" xfId="0">
      <alignment horizontal="left" vertical="center" indent="1"/>
    </xf>
    <xf numFmtId="4" fontId="19" fillId="14" borderId="1" xfId="0">
      <alignment horizontal="right" vertical="center"/>
    </xf>
    <xf numFmtId="0" fontId="36" fillId="17" borderId="1" xfId="0">
      <alignment horizontal="left" vertical="center"/>
    </xf>
    <xf numFmtId="0" fontId="42" fillId="14" borderId="1" xfId="0">
      <alignment horizontal="left" vertical="center"/>
    </xf>
    <xf numFmtId="0" fontId="43" fillId="0" borderId="1" xfId="0"/>
    <xf numFmtId="0" fontId="25" fillId="0" borderId="1" xfId="0" quotePrefix="1"/>
    <xf numFmtId="0" fontId="26" fillId="0" borderId="1" xfId="0" quotePrefix="1"/>
    <xf numFmtId="0" fontId="34" fillId="14" borderId="1" xfId="0">
      <alignment horizontal="center" vertical="center"/>
    </xf>
    <xf numFmtId="0" fontId="34" fillId="14" borderId="1" xfId="0">
      <alignment horizontal="left" vertical="center" indent="1"/>
    </xf>
    <xf numFmtId="1295" fontId="19" fillId="14" borderId="1" xfId="0">
      <alignment horizontal="right" vertical="center"/>
    </xf>
    <xf numFmtId="1311" fontId="19" fillId="14" borderId="1" xfId="0">
      <alignment horizontal="right" vertical="center"/>
    </xf>
    <xf numFmtId="0" fontId="10" fillId="19" borderId="22" xfId="0"/>
    <xf numFmtId="1295" fontId="44" fillId="19" borderId="22" xfId="0">
      <alignment horizontal="right" vertical="center"/>
    </xf>
    <xf numFmtId="0" fontId="19" fillId="16" borderId="20" xfId="0">
      <alignment horizontal="left" vertical="center" indent="1"/>
    </xf>
    <xf numFmtId="0" fontId="10" fillId="16" borderId="20" xfId="0"/>
    <xf numFmtId="1295" fontId="19" fillId="16" borderId="20" xfId="0">
      <alignment horizontal="right" vertical="center"/>
    </xf>
    <xf numFmtId="0" fontId="41" fillId="19" borderId="24" xfId="0">
      <alignment horizontal="left" vertical="center" indent="1"/>
    </xf>
    <xf numFmtId="0" fontId="10" fillId="19" borderId="24" xfId="0"/>
    <xf numFmtId="1314" fontId="45" fillId="19" borderId="24" xfId="0">
      <alignment horizontal="right" vertical="center"/>
    </xf>
    <xf numFmtId="1315" fontId="34" fillId="19" borderId="24" xfId="0">
      <alignment horizontal="right" vertical="center"/>
    </xf>
  </cellXfs>
  <cellStyles count="116">
    <cellStyle name="Normal" xfId="0" builtinId="0"/>
    <cellStyle name="%0." xfId="1"/>
    <cellStyle name="%0.0" xfId="2"/>
    <cellStyle name="%0.00" xfId="3"/>
    <cellStyle name="60 % - Accent1" xfId="4"/>
    <cellStyle name="60 % - Accent2" xfId="5"/>
    <cellStyle name="60 % - Accent3" xfId="6"/>
    <cellStyle name="60 % - Accent4" xfId="7"/>
    <cellStyle name="60 % - Accent5" xfId="8"/>
    <cellStyle name="60 % - Accent6" xfId="9"/>
    <cellStyle name="ACT" xfId="10"/>
    <cellStyle name="Alighment Center" xfId="11"/>
    <cellStyle name="Alighment Left" xfId="12"/>
    <cellStyle name="Alignment H&amp;V center" xfId="11"/>
    <cellStyle name="Amounts left nolocked" xfId="13"/>
    <cellStyle name="Amounts w/ 2 Decimals" xfId="14"/>
    <cellStyle name="Amounts_Board" xfId="15"/>
    <cellStyle name="Amounts-1000" xfId="16"/>
    <cellStyle name="BDG" xfId="17"/>
    <cellStyle name="Blank_Row" xfId="18"/>
    <cellStyle name="Bold" xfId="19"/>
    <cellStyle name="Bold+Italic" xfId="20"/>
    <cellStyle name="C_Amount_ACT" xfId="21"/>
    <cellStyle name="C_Head" xfId="22"/>
    <cellStyle name="Date" xfId="23"/>
    <cellStyle name="Fill light blue" xfId="24"/>
    <cellStyle name="Formula" xfId="25"/>
    <cellStyle name="Head_left" xfId="26"/>
    <cellStyle name="Hyperlink for amounts" xfId="27"/>
    <cellStyle name="Hyperlnk row header underlined bold" xfId="27"/>
    <cellStyle name="Middle Headers Centered" xfId="28"/>
    <cellStyle name="NA Currency" xfId="29"/>
    <cellStyle name="NA Currency 2 dec" xfId="30"/>
    <cellStyle name="Neutre" xfId="31"/>
    <cellStyle name="Normal 2" xfId="32"/>
    <cellStyle name="Placeholder" xfId="33"/>
    <cellStyle name="Placeholder Header Underlined bold" xfId="34"/>
    <cellStyle name="Placeholder_column_blank" xfId="35"/>
    <cellStyle name="R_Area_font" xfId="36"/>
    <cellStyle name="R_AREA_FONT_UC" xfId="37"/>
    <cellStyle name="R_formula" xfId="38"/>
    <cellStyle name="R_head_font" xfId="39"/>
    <cellStyle name="Row_Grey" xfId="40"/>
    <cellStyle name="Status Check" xfId="41"/>
    <cellStyle name="Style0" xfId="42"/>
    <cellStyle name="Subtotal Amounts row fill" xfId="43"/>
    <cellStyle name="Subtotal head row fill" xfId="44"/>
    <cellStyle name="Subtotal_amounts" xfId="45"/>
    <cellStyle name="TGK_TOC_PAGE_COLUMN" xfId="46"/>
    <cellStyle name="Titre" xfId="47"/>
    <cellStyle name="Visual Check" xfId="48"/>
    <cellStyle name="Webdings" xfId="49"/>
    <cellStyle name="Webdings1" xfId="50"/>
    <cellStyle name="Webdings14" xfId="51"/>
    <cellStyle name="Webdings14Green" xfId="52"/>
    <cellStyle name="Work new book placeholder header underlined" xfId="53"/>
    <cellStyle name="WrappedText" xfId="54"/>
    <cellStyle name="20% - Accent1" xfId="55" builtinId="30"/>
    <cellStyle name="20% - Accent2" xfId="56" builtinId="34"/>
    <cellStyle name="20% - Accent3" xfId="57" builtinId="38"/>
    <cellStyle name="20% - Accent4" xfId="58" builtinId="42"/>
    <cellStyle name="20% - Accent5" xfId="59" builtinId="46"/>
    <cellStyle name="20% - Accent6" xfId="60" builtinId="50"/>
    <cellStyle name="40% - Accent1" xfId="61" builtinId="31"/>
    <cellStyle name="40% - Accent2" xfId="62" builtinId="35"/>
    <cellStyle name="40% - Accent3" xfId="63" builtinId="39"/>
    <cellStyle name="40% - Accent4" xfId="64" builtinId="43"/>
    <cellStyle name="40% - Accent5" xfId="65" builtinId="47"/>
    <cellStyle name="40% - Accent6" xfId="66" builtinId="51"/>
    <cellStyle name="60% - Accent1" xfId="67" builtinId="32"/>
    <cellStyle name="60% - Accent2" xfId="68" builtinId="36"/>
    <cellStyle name="60% - Accent3" xfId="69" builtinId="40"/>
    <cellStyle name="60% - Accent4" xfId="70" builtinId="44"/>
    <cellStyle name="60% - Accent5" xfId="71" builtinId="48"/>
    <cellStyle name="60% - Accent6" xfId="72" builtinId="52"/>
    <cellStyle name="Accent1" xfId="73" builtinId="29"/>
    <cellStyle name="Accent2" xfId="74" builtinId="33"/>
    <cellStyle name="Accent3" xfId="75" builtinId="37"/>
    <cellStyle name="Accent4" xfId="76" builtinId="41"/>
    <cellStyle name="Accent5" xfId="77" builtinId="45"/>
    <cellStyle name="Accent6" xfId="78" builtinId="49"/>
    <cellStyle name="Amounts_right_nolocked" xfId="79"/>
    <cellStyle name="Bad" xfId="80" builtinId="27"/>
    <cellStyle name="Calculation" xfId="81" builtinId="22"/>
    <cellStyle name="Check Cell" xfId="82" builtinId="23"/>
    <cellStyle name="Comma" xfId="83" builtinId="3"/>
    <cellStyle name="Comma [0]" xfId="84" builtinId="6"/>
    <cellStyle name="Currency" xfId="85" builtinId="4"/>
    <cellStyle name="Currency [0]" xfId="86" builtinId="7"/>
    <cellStyle name="Explanatory Text" xfId="87" builtinId="53"/>
    <cellStyle name="Good" xfId="88" builtinId="26"/>
    <cellStyle name="Heading 1" xfId="89" builtinId="16"/>
    <cellStyle name="Heading 2" xfId="90" builtinId="17"/>
    <cellStyle name="Heading 3" xfId="91" builtinId="18"/>
    <cellStyle name="Heading 4" xfId="92" builtinId="19"/>
    <cellStyle name="Input" xfId="93" builtinId="20"/>
    <cellStyle name="Linked Cell" xfId="94" builtinId="24"/>
    <cellStyle name="Neutral" xfId="95" builtinId="28"/>
    <cellStyle name="Note" xfId="96" builtinId="10"/>
    <cellStyle name="Output" xfId="97" builtinId="21"/>
    <cellStyle name="Percent" xfId="1" builtinId="5"/>
    <cellStyle name="Placeholder_Header" xfId="98"/>
    <cellStyle name="Subtotal_head" xfId="99"/>
    <cellStyle name="Subtotal_Head_C" xfId="100"/>
    <cellStyle name="TGK_TOC_REPORT_ROW" xfId="92"/>
    <cellStyle name="TGK_TOC_SHEET_ROW" xfId="101"/>
    <cellStyle name="TGK_TOC_TEMPLATE_ROW" xfId="102"/>
    <cellStyle name="Title" xfId="103" builtinId="15"/>
    <cellStyle name="Total" xfId="104" builtinId="25"/>
    <cellStyle name="Total_amounts" xfId="105"/>
    <cellStyle name="Total_Amounts_C" xfId="106"/>
    <cellStyle name="Total_Amounts_Margin" xfId="107"/>
    <cellStyle name="Total_head" xfId="108"/>
    <cellStyle name="Total_Head_C" xfId="109"/>
    <cellStyle name="Total_Headers_Margin" xfId="110"/>
    <cellStyle name="Warning Text" xfId="111" builtinId="11"/>
  </cellStyles>
  <dxfs count="14">
    <dxf>
      <font>
        <b/>
        <color rgb="FF202733"/>
      </font>
      <fill>
        <patternFill patternType="solid">
          <fgColor rgb="FFEAF2FC"/>
          <bgColor rgb="FFEAF2FC"/>
        </patternFill>
      </fill>
      <border>
        <bottom style="thin">
          <color rgb="FFE9EDF3"/>
        </bottom>
      </border>
    </dxf>
    <dxf>
      <font>
        <color rgb="FF202733"/>
      </font>
      <fill>
        <patternFill patternType="solid">
          <fgColor rgb="FFFFFFFF"/>
          <bgColor rgb="FFFFFFFF"/>
        </patternFill>
      </fill>
      <border>
        <bottom style="thin">
          <color rgb="FFE9EDF3"/>
        </bottom>
      </border>
    </dxf>
    <dxf>
      <font>
        <b/>
        <color rgb="FF202733"/>
      </font>
      <fill>
        <patternFill patternType="solid">
          <fgColor rgb="FFD9E2EF"/>
          <bgColor rgb="FFD9E2EF"/>
        </patternFill>
      </fill>
      <border>
        <top style="medium">
          <color rgb="FF526071"/>
        </top>
        <bottom style="thin">
          <color rgb="FFE9EDF3"/>
        </bottom>
      </border>
    </dxf>
    <dxf>
      <font>
        <b/>
        <sz val="9"/>
        <color rgb="FF1E9E89"/>
        <name val="Arial"/>
      </font>
    </dxf>
    <dxf>
      <font>
        <b/>
        <sz val="9"/>
        <color rgb="FFD64545"/>
        <name val="Arial"/>
      </font>
    </dxf>
    <dxf>
      <font>
        <sz val="8.5"/>
        <color rgb="FF1E9E89"/>
        <name val="Arial"/>
      </font>
    </dxf>
    <dxf>
      <font>
        <sz val="8.5"/>
        <color rgb="FFD64545"/>
        <name val="Arial"/>
      </font>
    </dxf>
    <dxf>
      <fill>
        <patternFill patternType="solid">
          <fgColor rgb="FFFFFFFF"/>
          <bgColor rgb="FFFFFFFF"/>
        </patternFill>
      </fill>
      <border>
        <bottom style="thin">
          <color rgb="FFE9EDF3"/>
        </bottom>
      </border>
    </dxf>
    <dxf>
      <font>
        <sz val="9"/>
        <color rgb="FF1E9E89"/>
        <name val="Arial"/>
      </font>
    </dxf>
    <dxf>
      <font>
        <sz val="9"/>
        <color rgb="FFD64545"/>
        <name val="Arial"/>
      </font>
    </dxf>
    <dxf>
      <fill>
        <patternFill patternType="solid">
          <fgColor rgb="FFFFF1E8"/>
          <bgColor rgb="FFFFF1E8"/>
        </patternFill>
      </fill>
      <border>
        <bottom style="thin">
          <color rgb="FFE9EDF3"/>
        </bottom>
      </border>
    </dxf>
    <dxf>
      <font>
        <b/>
      </font>
      <fill>
        <patternFill patternType="solid">
          <fgColor rgb="FFD9E2EF"/>
          <bgColor rgb="FFD9E2EF"/>
        </patternFill>
      </fill>
      <border>
        <bottom style="thin">
          <color rgb="FFE9EDF3"/>
        </bottom>
      </border>
    </dxf>
    <dxf>
      <font>
        <b/>
      </font>
      <fill>
        <patternFill patternType="solid">
          <fgColor rgb="FFEAF2FC"/>
          <bgColor rgb="FFEAF2FC"/>
        </patternFill>
      </fill>
      <border>
        <bottom style="thin">
          <color rgb="FFE9EDF3"/>
        </bottom>
      </border>
    </dxf>
    <dxf>
      <font>
        <sz val="8.5"/>
        <color rgb="FF00B050"/>
        <name val="Arial"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fr-FR"/>
  <c:roundedCorners val="0"/>
  <c:chart>
    <c:autoTitleDeleted val="1"/>
    <c:plotArea>
      <c:layout>
        <c:manualLayout>
          <c:layoutTarget val="inner"/>
          <c:xMode val="edge"/>
          <c:yMode val="edge"/>
          <c:x val="9.4305936708143856E-2"/>
          <c:y val="4.0668570274869489E-2"/>
          <c:w val="0.87878275349124646"/>
          <c:h val="0.81369040408410487"/>
        </c:manualLayout>
      </c:layout>
      <c:barChart chartType="6">
        <c:ser seriesType="0">
          <c:idx val="0"/>
          <c:order val="0"/>
          <c:tx>
            <c:v>2024</c:v>
          </c:tx>
          <c:invertIfNegative val="0"/>
          <c:cat>
            <c:strRef>
              <c:f>Cockpit!$AK$7:$AK$11</c:f>
            </c:strRef>
          </c:cat>
          <c:val>
            <c:numRef>
              <c:f>Cockpit!$AL$7:$AL$11</c:f>
              <c:numCache>
                <c:formatCode>General</c:formatCode>
              </c:numCache>
            </c:numRef>
          </c:val>
          <c:extLst/>
          <c:spPr/>
        </c:ser>
        <c:ser seriesType="0">
          <c:idx val="1"/>
          <c:order val="1"/>
          <c:tx>
            <c:v>2025</c:v>
          </c:tx>
          <c:invertIfNegative val="0"/>
          <c:cat>
            <c:strRef>
              <c:f>Cockpit!$AK$7:$AK$11</c:f>
            </c:strRef>
          </c:cat>
          <c:val>
            <c:numRef>
              <c:f>Cockpit!$AM$7:$AM$11</c:f>
              <c:numCache>
                <c:formatCode>General</c:formatCode>
              </c:numCache>
            </c:numRef>
          </c:val>
          <c:extLst/>
          <c:spPr/>
        </c:ser>
        <c:ser seriesType="0">
          <c:idx val="2"/>
          <c:order val="2"/>
          <c:tx>
            <c:v>2026</c:v>
          </c:tx>
          <c:invertIfNegative val="0"/>
          <c:cat>
            <c:strRef>
              <c:f>Cockpit!$AK$7:$AK$11</c:f>
            </c:strRef>
          </c:cat>
          <c:val>
            <c:numRef>
              <c:f>Cockpit!$AN$7:$AN$11</c:f>
              <c:numCache>
                <c:formatCode>General</c:formatCode>
              </c:numCache>
            </c:numRef>
          </c:val>
          <c:extLst/>
          <c:spPr/>
        </c:ser>
        <c:axId val="83540091"/>
        <c:axId val="55622102"/>
        <c:barDir val="col"/>
        <c:grouping val="clustered"/>
        <c:gapWidth val="60"/>
        <c:varyColors val="1"/>
        <c:overlap val="-10"/>
      </c:barChart>
      <c:catAx axisType="0">
        <c:axId val="83540091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55622102"/>
        <c:crosses val="autoZero"/>
        <c:auto val="1"/>
        <c:lblAlgn val="ctr"/>
        <c:lblOffset val="100"/>
        <c:noMultiLvlLbl val="1"/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/>
            </a:pPr>
            <a:r>
              <a:rPr/>
              <a:t/>
            </a:r>
            <a:endParaRPr/>
          </a:p>
        </c:txPr>
        <c:tickMarkSkip val="1"/>
      </c:catAx>
      <c:valAx axisType="3">
        <c:axId val="55622102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0%" sourceLinked="0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>
              <a:solidFill>
                <a:srgbClr val="868686"/>
              </a:solidFill>
              <a:round/>
            </a:ln>
          </c:spPr>
        </c:majorGridlines>
        <c:crosses val="autoZero"/>
        <c:crossBetween val="between"/>
        <c:crossAx val="83540091"/>
      </c:valAx>
      <c:spPr>
        <a:noFill/>
        <a:ln>
          <a:noFill/>
        </a:ln>
      </c:spPr>
    </c:plotArea>
    <c:legend>
      <c:legendPos val="b"/>
      <c:layout>
        <c:manualLayout>
          <c:xMode val="edge"/>
          <c:yMode val="edge"/>
          <c:x val="0.10045951494916516"/>
          <c:y val="0.9117842000519166"/>
          <c:w val="0.6912392417367639"/>
          <c:h val="0.06623777797006143"/>
        </c:manualLayout>
      </c:layout>
      <c:overlay val="1"/>
      <c:spPr>
        <a:noFill/>
      </c:spPr>
      <c:txPr>
        <a:bodyPr/>
        <a:p>
          <a:pPr>
            <a:defRPr/>
          </a:pPr>
          <a:r>
            <a:rPr/>
            <a:t/>
          </a:r>
          <a:endParaRPr/>
        </a:p>
      </c:txPr>
    </c:legend>
    <c:plotVisOnly val="0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txPr>
    <a:bodyPr/>
    <a:p>
      <a:pPr>
        <a:defRPr/>
      </a:pPr>
      <a:r>
        <a:rPr/>
        <a:t/>
      </a:r>
      <a:endParaRPr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fr-FR"/>
  <c:roundedCorners val="0"/>
  <c:chart>
    <c:autoTitleDeleted val="1"/>
    <c:plotArea>
      <c:layout>
        <c:manualLayout>
          <c:layoutTarget val="inner"/>
          <c:xMode val="edge"/>
          <c:yMode val="edge"/>
          <c:x val="0.10136779585598484"/>
          <c:y val="4.1350166424727636E-2"/>
          <c:w val="0.86259616810797912"/>
          <c:h val="0.83291426560506754"/>
        </c:manualLayout>
      </c:layout>
      <c:lineChart chartType="8">
        <c:ser seriesType="2">
          <c:idx val="0"/>
          <c:order val="0"/>
          <c:tx>
            <c:v>Dépenses</c:v>
          </c:tx>
          <c:marker>
            <c:symbol val="circle"/>
            <c:size val="6"/>
            <c:spPr>
              <a:solidFill>
                <a:srgbClr val="f07b32"/>
              </a:solidFill>
              <a:ln w="9525">
                <a:solidFill>
                  <a:srgbClr val="f07b32"/>
                </a:solidFill>
                <a:prstDash val="solid"/>
              </a:ln>
            </c:spPr>
          </c:marker>
          <c:cat>
            <c:strRef>
              <c:f>Cockpit!$BB$7:$BB$9</c:f>
            </c:strRef>
          </c:cat>
          <c:val>
            <c:numRef>
              <c:f>Cockpit!$BC$7:$BC$9</c:f>
              <c:numCache>
                <c:formatCode>General</c:formatCode>
              </c:numCache>
            </c:numRef>
          </c:val>
          <c:smooth val="0"/>
          <c:extLst/>
          <c:spPr>
            <a:ln w="19050"/>
          </c:spPr>
        </c:ser>
        <c:ser seriesType="2">
          <c:idx val="1"/>
          <c:order val="1"/>
          <c:tx>
            <c:v>Inscrits</c:v>
          </c:tx>
          <c:marker>
            <c:symbol val="circle"/>
            <c:size val="6"/>
            <c:spPr>
              <a:solidFill>
                <a:srgbClr val="2a78d6"/>
              </a:solidFill>
              <a:ln w="9525">
                <a:solidFill>
                  <a:srgbClr val="2a78d6"/>
                </a:solidFill>
                <a:prstDash val="solid"/>
              </a:ln>
            </c:spPr>
          </c:marker>
          <c:cat>
            <c:strRef>
              <c:f>Cockpit!$BB$7:$BB$9</c:f>
            </c:strRef>
          </c:cat>
          <c:val>
            <c:numRef>
              <c:f>Cockpit!$BD$7:$BD$9</c:f>
              <c:numCache>
                <c:formatCode>General</c:formatCode>
              </c:numCache>
            </c:numRef>
          </c:val>
          <c:smooth val="0"/>
          <c:extLst/>
          <c:spPr>
            <a:ln w="19050"/>
          </c:spPr>
        </c:ser>
        <c:axId val="37927784"/>
        <c:axId val="95150954"/>
        <c:grouping val="standard"/>
        <c:varyColors val="1"/>
        <c:smooth val="0"/>
        <c:marker val="1"/>
      </c:lineChart>
      <c:catAx axisType="0">
        <c:axId val="37927784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95150954"/>
        <c:crosses val="autoZero"/>
        <c:auto val="1"/>
        <c:lblAlgn val="ctr"/>
        <c:lblOffset val="100"/>
        <c:noMultiLvlLbl val="1"/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/>
            </a:pPr>
            <a:r>
              <a:rPr/>
              <a:t/>
            </a:r>
            <a:endParaRPr/>
          </a:p>
        </c:txPr>
        <c:tickMarkSkip val="1"/>
      </c:catAx>
      <c:valAx axisType="3">
        <c:axId val="95150954"/>
        <c:delete val="0"/>
        <c:majorTickMark val="none"/>
        <c:minorTickMark val="none"/>
        <c:tickLblPos val="nextTo"/>
        <c:axPos val="l"/>
        <c:scaling>
          <c:orientation val="minMax"/>
          <c:max val="125"/>
          <c:min val="95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0" sourceLinked="0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>
              <a:solidFill>
                <a:srgbClr val="868686"/>
              </a:solidFill>
              <a:round/>
            </a:ln>
          </c:spPr>
        </c:majorGridlines>
        <c:majorUnit val="10"/>
        <c:crosses val="autoZero"/>
        <c:crossBetween val="between"/>
        <c:crossAx val="37927784"/>
      </c:valAx>
      <c:spPr>
        <a:noFill/>
        <a:ln>
          <a:noFill/>
        </a:ln>
      </c:spPr>
    </c:plotArea>
    <c:legend>
      <c:legendPos val="b"/>
      <c:layout>
        <c:manualLayout>
          <c:xMode val="edge"/>
          <c:yMode val="edge"/>
          <c:x val="0.099803052873919"/>
          <c:y val="0.9103057229578146"/>
          <c:w val="0.8429816788871906"/>
          <c:h val="0.06734790832710157"/>
        </c:manualLayout>
      </c:layout>
      <c:overlay val="1"/>
      <c:spPr>
        <a:noFill/>
      </c:spPr>
      <c:txPr>
        <a:bodyPr/>
        <a:p>
          <a:pPr>
            <a:defRPr/>
          </a:pPr>
          <a:r>
            <a:rPr/>
            <a:t/>
          </a:r>
          <a:endParaRPr/>
        </a:p>
      </c:txPr>
    </c:legend>
    <c:plotVisOnly val="0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txPr>
    <a:bodyPr/>
    <a:p>
      <a:pPr>
        <a:defRPr/>
      </a:pPr>
      <a:r>
        <a:rPr/>
        <a:t/>
      </a:r>
      <a:endParaRPr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fr-FR"/>
  <c:roundedCorners val="0"/>
  <c:chart>
    <c:autoTitleDeleted val="1"/>
    <c:plotArea>
      <c:layout/>
      <c:barChart chartType="6">
        <c:ser seriesType="0">
          <c:idx val="0"/>
          <c:order val="0"/>
          <c:tx>
            <c:strRef>
              <c:f>Cockpit!$AD$6</c:f>
            </c:strRef>
          </c:tx>
          <c:invertIfNegative val="1"/>
          <c:cat>
            <c:strRef>
              <c:f>Cockpit!$AD$7:$AD$11</c:f>
            </c:strRef>
          </c:cat>
          <c:val>
            <c:numRef>
              <c:f>Cockpit!$AD$7:$AD$11</c:f>
              <c:numCache>
                <c:formatCode>General</c:formatCode>
              </c:numCache>
            </c:numRef>
          </c:val>
          <c:extLst/>
          <c:spPr/>
        </c:ser>
        <c:ser seriesType="0">
          <c:idx val="1"/>
          <c:order val="1"/>
          <c:tx>
            <c:strRef>
              <c:f>Cockpit!$AE$6</c:f>
            </c:strRef>
          </c:tx>
          <c:spPr>
            <a:noFill/>
            <a:ln>
              <a:prstDash val="solid"/>
            </a:ln>
          </c:spPr>
          <c:invertIfNegative val="1"/>
          <c:cat>
            <c:strRef>
              <c:f>Cockpit!$AD$7:$AD$11</c:f>
            </c:strRef>
          </c:cat>
          <c:val>
            <c:numRef>
              <c:f>Cockpit!$AE$7:$AE$11</c:f>
              <c:numCache>
                <c:formatCode>General</c:formatCode>
              </c:numCache>
            </c:numRef>
          </c:val>
          <c:extLst/>
        </c:ser>
        <c:ser seriesType="0">
          <c:idx val="2"/>
          <c:order val="2"/>
          <c:tx>
            <c:strRef>
              <c:f>Cockpit!$AF$6</c:f>
            </c:strRef>
          </c:tx>
          <c:spPr>
            <a:solidFill>
              <a:srgbClr val="526071"/>
            </a:solidFill>
            <a:ln>
              <a:noFill/>
              <a:prstDash val="solid"/>
            </a:ln>
          </c:spPr>
          <c:invertIfNegative val="1"/>
          <c:cat>
            <c:strRef>
              <c:f>Cockpit!$AD$7:$AD$11</c:f>
            </c:strRef>
          </c:cat>
          <c:val>
            <c:numRef>
              <c:f>Cockpit!$AF$7:$AF$11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ser seriesType="0">
          <c:idx val="3"/>
          <c:order val="3"/>
          <c:tx>
            <c:strRef>
              <c:f>Cockpit!$AG$6</c:f>
            </c:strRef>
          </c:tx>
          <c:spPr>
            <a:solidFill>
              <a:srgbClr val="1e9e89"/>
            </a:solidFill>
            <a:ln>
              <a:noFill/>
              <a:prstDash val="solid"/>
            </a:ln>
          </c:spPr>
          <c:invertIfNegative val="1"/>
          <c:cat>
            <c:strRef>
              <c:f>Cockpit!$AD$7:$AD$11</c:f>
            </c:strRef>
          </c:cat>
          <c:val>
            <c:numRef>
              <c:f>Cockpit!$AG$7:$AG$11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ser seriesType="0">
          <c:idx val="4"/>
          <c:order val="4"/>
          <c:tx>
            <c:strRef>
              <c:f>Cockpit!$AH$6</c:f>
            </c:strRef>
          </c:tx>
          <c:invertIfNegative val="1"/>
          <c:cat>
            <c:strRef>
              <c:f>Cockpit!$AD$7:$AD$11</c:f>
            </c:strRef>
          </c:cat>
          <c:val>
            <c:numRef>
              <c:f>Cockpit!$AH$7:$AH$11</c:f>
              <c:numCache>
                <c:formatCode>General</c:formatCode>
              </c:numCache>
            </c:numRef>
          </c:val>
          <c:extLst/>
          <c:spPr/>
        </c:ser>
        <c:axId val="51723296"/>
        <c:axId val="39741988"/>
        <c:barDir val="col"/>
        <c:grouping val="stacked"/>
        <c:gapWidth val="55"/>
        <c:varyColors val="1"/>
        <c:overlap val="100"/>
      </c:barChart>
      <c:catAx axisType="0">
        <c:axId val="51723296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39741988"/>
        <c:crosses val="autoZero"/>
        <c:auto val="1"/>
        <c:lblAlgn val="ctr"/>
        <c:lblOffset val="100"/>
        <c:noMultiLvlLbl val="1"/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/>
            </a:pPr>
            <a:r>
              <a:rPr/>
              <a:t/>
            </a:r>
            <a:endParaRPr/>
          </a:p>
        </c:txPr>
        <c:tickMarkSkip val="1"/>
      </c:catAx>
      <c:valAx axisType="3">
        <c:axId val="39741988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0.0,,&quot; M€&quot;" sourceLinked="0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>
              <a:solidFill>
                <a:srgbClr val="868686"/>
              </a:solidFill>
              <a:round/>
            </a:ln>
          </c:spPr>
        </c:majorGridlines>
        <c:crosses val="autoZero"/>
        <c:crossBetween val="between"/>
        <c:crossAx val="51723296"/>
      </c:valAx>
      <c:spPr>
        <a:noFill/>
        <a:ln>
          <a:noFill/>
        </a:ln>
      </c:spPr>
    </c:plotArea>
    <c:plotVisOnly val="0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txPr>
    <a:bodyPr/>
    <a:p>
      <a:pPr>
        <a:defRPr/>
      </a:pPr>
      <a:r>
        <a:rPr/>
        <a:t/>
      </a:r>
      <a:endParaRPr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fr-FR"/>
  <c:roundedCorners val="0"/>
  <c:chart>
    <c:autoTitleDeleted val="1"/>
    <c:plotArea>
      <c:layout/>
      <c:barChart chartType="6">
        <c:ser seriesType="0">
          <c:idx val="0"/>
          <c:order val="0"/>
          <c:spPr>
            <a:noFill/>
            <a:ln>
              <a:prstDash val="solid"/>
            </a:ln>
          </c:spPr>
          <c:invertIfNegative val="1"/>
          <c:cat>
            <c:strRef>
              <c:f>'Drill EBITDA 1'!$Y$30:$Y$36</c:f>
            </c:strRef>
          </c:cat>
          <c:val>
            <c:numRef>
              <c:f>'Drill EBITDA 1'!$Z$30:$Z$36</c:f>
              <c:numCache>
                <c:formatCode>General</c:formatCode>
              </c:numCache>
            </c:numRef>
          </c:val>
          <c:extLst/>
        </c:ser>
        <c:ser seriesType="0">
          <c:idx val="1"/>
          <c:order val="1"/>
          <c:spPr>
            <a:solidFill>
              <a:srgbClr val="526071"/>
            </a:solidFill>
            <a:ln>
              <a:noFill/>
              <a:prstDash val="solid"/>
            </a:ln>
          </c:spPr>
          <c:invertIfNegative val="1"/>
          <c:cat>
            <c:strRef>
              <c:f>'Drill EBITDA 1'!$Y$30:$Y$36</c:f>
            </c:strRef>
          </c:cat>
          <c:val>
            <c:numRef>
              <c:f>'Drill EBITDA 1'!$AA$30:$AA$36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ser seriesType="0">
          <c:idx val="2"/>
          <c:order val="2"/>
          <c:spPr>
            <a:solidFill>
              <a:srgbClr val="1e9e89"/>
            </a:solidFill>
            <a:ln>
              <a:noFill/>
              <a:prstDash val="solid"/>
            </a:ln>
          </c:spPr>
          <c:invertIfNegative val="1"/>
          <c:cat>
            <c:strRef>
              <c:f>'Drill EBITDA 1'!$Y$30:$Y$36</c:f>
            </c:strRef>
          </c:cat>
          <c:val>
            <c:numRef>
              <c:f>'Drill EBITDA 1'!$AB$30:$AB$36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ser seriesType="0">
          <c:idx val="3"/>
          <c:order val="3"/>
          <c:spPr>
            <a:solidFill>
              <a:srgbClr val="d64545"/>
            </a:solidFill>
            <a:ln>
              <a:noFill/>
              <a:prstDash val="solid"/>
            </a:ln>
          </c:spPr>
          <c:invertIfNegative val="1"/>
          <c:cat>
            <c:strRef>
              <c:f>'Drill EBITDA 1'!$Y$30:$Y$36</c:f>
            </c:strRef>
          </c:cat>
          <c:val>
            <c:numRef>
              <c:f>'Drill EBITDA 1'!$AC$30:$AC$36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axId val="98123738"/>
        <c:axId val="43886086"/>
        <c:barDir val="col"/>
        <c:grouping val="stacked"/>
        <c:gapWidth val="45"/>
        <c:varyColors val="1"/>
        <c:overlap val="100"/>
      </c:barChart>
      <c:catAx axisType="0">
        <c:axId val="98123738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fr-FR"/>
          </a:p>
        </c:txPr>
        <c:crossAx val="43886086"/>
        <c:crosses val="autoZero"/>
        <c:auto val="1"/>
        <c:lblAlgn val="ctr"/>
        <c:lblOffset val="100"/>
        <c:noMultiLvlLbl val="1"/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tickMarkSkip val="1"/>
      </c:catAx>
      <c:valAx axisType="3">
        <c:axId val="43886086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#,##0" sourceLinked="0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>
              <a:solidFill>
                <a:srgbClr val="868686"/>
              </a:solidFill>
              <a:round/>
            </a:ln>
          </c:spPr>
        </c:majorGridlines>
        <c:crosses val="autoZero"/>
        <c:crossBetween val="between"/>
        <c:crossAx val="98123738"/>
      </c:valAx>
      <c:spPr>
        <a:noFill/>
        <a:ln>
          <a:noFill/>
        </a:ln>
      </c:spPr>
    </c:plotArea>
    <c:plotVisOnly val="0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txPr>
    <a:bodyPr/>
    <a:p>
      <a:pPr>
        <a:defRPr/>
      </a:pPr>
      <a:r>
        <a:rPr/>
        <a:t/>
      </a:r>
      <a:endParaRPr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fr-FR"/>
  <c:roundedCorners val="0"/>
  <c:chart>
    <c:autoTitleDeleted val="1"/>
    <c:plotArea>
      <c:layout>
        <c:manualLayout>
          <c:layoutTarget val="inner"/>
          <c:xMode val="edge"/>
          <c:yMode val="edge"/>
          <c:x val="0.1471013952203343"/>
          <c:y val="3.8194444444444448E-2"/>
          <c:w val="0.80246884928857576"/>
          <c:h val="0.78582470802943238"/>
        </c:manualLayout>
      </c:layout>
      <c:barChart chartType="6">
        <c:ser seriesType="0">
          <c:idx val="0"/>
          <c:order val="0"/>
          <c:tx>
            <c:strRef>
              <c:f>'Drill EBITDA 2'!$K$33</c:f>
            </c:strRef>
          </c:tx>
          <c:spPr>
            <a:solidFill>
              <a:srgbClr val="b8cfec"/>
            </a:solidFill>
            <a:ln>
              <a:noFill/>
              <a:prstDash val="solid"/>
            </a:ln>
          </c:spPr>
          <c:invertIfNegative val="1"/>
          <c:val>
            <c:numRef>
              <c:f>'Drill EBITDA 2'!$K$35:$K$47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ser seriesType="0">
          <c:idx val="1"/>
          <c:order val="1"/>
          <c:tx>
            <c:strRef>
              <c:f>'Drill EBITDA 2'!$L$33</c:f>
            </c:strRef>
          </c:tx>
          <c:spPr>
            <a:solidFill>
              <a:srgbClr val="2a78d6"/>
            </a:solidFill>
            <a:ln>
              <a:noFill/>
              <a:prstDash val="solid"/>
            </a:ln>
          </c:spPr>
          <c:invertIfNegative val="1"/>
          <c:val>
            <c:numRef>
              <c:f>'Drill EBITDA 2'!$L$35:$L$47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axId val="67013452"/>
        <c:axId val="60008424"/>
        <c:barDir val="bar"/>
        <c:grouping val="clustered"/>
        <c:gapWidth val="45"/>
        <c:varyColors val="1"/>
        <c:overlap val="-15"/>
      </c:barChart>
      <c:catAx axisType="0">
        <c:axId val="67013452"/>
        <c:scaling>
          <c:orientation val="minMax"/>
        </c:scaling>
        <c:delete val="0"/>
        <c:axPos val="l"/>
        <c:numFmt formatCode="#,##0,&quot; k€&quot;" sourceLinked="0"/>
        <c:majorTickMark val="none"/>
        <c:minorTickMark val="none"/>
        <c:tickLblPos val="nextTo"/>
        <c:crossAx val="60008424"/>
        <c:crosses val="autoZero"/>
        <c:auto val="1"/>
        <c:lblAlgn val="ctr"/>
        <c:lblOffset val="100"/>
        <c:noMultiLvlLbl val="1"/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/>
            </a:pPr>
            <a:r>
              <a:rPr/>
              <a:t/>
            </a:r>
            <a:endParaRPr/>
          </a:p>
        </c:txPr>
        <c:tickMarkSkip val="1"/>
      </c:catAx>
      <c:valAx axisType="3">
        <c:axId val="60008424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General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>
              <a:solidFill>
                <a:srgbClr val="868686"/>
              </a:solidFill>
              <a:round/>
            </a:ln>
          </c:spPr>
        </c:majorGridlines>
        <c:crosses val="autoZero"/>
        <c:crossBetween val="between"/>
        <c:crossAx val="67013452"/>
      </c:valAx>
      <c:spPr>
        <a:noFill/>
        <a:ln>
          <a:noFill/>
        </a:ln>
      </c:spPr>
    </c:plotArea>
    <c:legend>
      <c:legendPos val="b"/>
      <c:overlay val="1"/>
      <c:spPr>
        <a:noFill/>
      </c:spPr>
      <c:txPr>
        <a:bodyPr/>
        <a:p>
          <a:pPr>
            <a:defRPr/>
          </a:pPr>
          <a:r>
            <a:rPr/>
            <a:t/>
          </a:r>
          <a:endParaRPr/>
        </a:p>
      </c:txPr>
    </c:legend>
    <c:plotVisOnly val="0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txPr>
    <a:bodyPr/>
    <a:p>
      <a:pPr>
        <a:defRPr/>
      </a:pPr>
      <a:r>
        <a:rPr/>
        <a:t/>
      </a:r>
      <a:endParaRPr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2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3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4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5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0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514349</xdr:colOff>
      <xdr:row>12</xdr:row>
      <xdr:rowOff>76200</xdr:rowOff>
    </xdr:from>
    <xdr:to>
      <xdr:col>13</xdr:col>
      <xdr:colOff>152400</xdr:colOff>
      <xdr:row>31</xdr:row>
      <xdr:rowOff>104775</xdr:rowOff>
    </xdr:to>
    <xdr:graphicFrame>
      <xdr:nvGraphicFramePr>
        <xdr:cNvPr id="3" name="Chart 2"/>
        <xdr:cNvGraphicFramePr>
          <a:graphicFrameLocks noChangeAspect="0"/>
        </xdr:cNvGraphicFramePr>
      </xdr:nvGraphicFramePr>
      <xdr:xfrm>
        <a:off x="7067549" y="2543175"/>
        <a:ext cx="5191126" cy="3467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285749</xdr:colOff>
      <xdr:row>11</xdr:row>
      <xdr:rowOff>180974</xdr:rowOff>
    </xdr:from>
    <xdr:to>
      <xdr:col>48</xdr:col>
      <xdr:colOff>457200</xdr:colOff>
      <xdr:row>31</xdr:row>
      <xdr:rowOff>76199</xdr:rowOff>
    </xdr:to>
    <xdr:graphicFrame>
      <xdr:nvGraphicFramePr>
        <xdr:cNvPr id="4" name="Chart 3"/>
        <xdr:cNvGraphicFramePr>
          <a:graphicFrameLocks noChangeAspect="0"/>
        </xdr:cNvGraphicFramePr>
      </xdr:nvGraphicFramePr>
      <xdr:xfrm>
        <a:off x="12392024" y="2466974"/>
        <a:ext cx="4629151" cy="3514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400050</xdr:colOff>
      <xdr:row>1</xdr:row>
      <xdr:rowOff>28575</xdr:rowOff>
    </xdr:from>
    <xdr:to>
      <xdr:col>3</xdr:col>
      <xdr:colOff>858825</xdr:colOff>
      <xdr:row>2</xdr:row>
      <xdr:rowOff>240070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3"/>
        <a:srcRect l="0" r="0" t="20579" b="34332"/>
        <a:stretch/>
      </xdr:blipFill>
      <xdr:spPr>
        <a:xfrm>
          <a:off x="723900" y="133350"/>
          <a:ext cx="1497000" cy="544870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 editAs="oneCell">
    <xdr:from>
      <xdr:col>1</xdr:col>
      <xdr:colOff>180974</xdr:colOff>
      <xdr:row>13</xdr:row>
      <xdr:rowOff>0</xdr:rowOff>
    </xdr:from>
    <xdr:to>
      <xdr:col>6</xdr:col>
      <xdr:colOff>619125</xdr:colOff>
      <xdr:row>31</xdr:row>
      <xdr:rowOff>57150</xdr:rowOff>
    </xdr:to>
    <xdr:graphicFrame>
      <xdr:nvGraphicFramePr>
        <xdr:cNvPr id="7" name="Chart 1"/>
        <xdr:cNvGraphicFramePr>
          <a:graphicFrameLocks noChangeAspect="0"/>
        </xdr:cNvGraphicFramePr>
      </xdr:nvGraphicFramePr>
      <xdr:xfrm>
        <a:off x="323850" y="2647950"/>
        <a:ext cx="4772025" cy="3314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1</xdr:row>
      <xdr:rowOff>28575</xdr:rowOff>
    </xdr:from>
    <xdr:to>
      <xdr:col>3</xdr:col>
      <xdr:colOff>858825</xdr:colOff>
      <xdr:row>2</xdr:row>
      <xdr:rowOff>240070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1"/>
        <a:srcRect l="0" r="0" t="20579" b="34332"/>
        <a:stretch/>
      </xdr:blipFill>
      <xdr:spPr>
        <a:xfrm>
          <a:off x="723900" y="133350"/>
          <a:ext cx="1497000" cy="544870"/>
        </a:xfrm>
        <a:prstGeom prst="rect">
          <a:avLst/>
        </a:prstGeom>
        <a:noFill/>
        <a:ln cmpd="sng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819150</xdr:colOff>
      <xdr:row>8</xdr:row>
      <xdr:rowOff>161925</xdr:rowOff>
    </xdr:from>
    <xdr:to>
      <xdr:col>13</xdr:col>
      <xdr:colOff>561975</xdr:colOff>
      <xdr:row>26</xdr:row>
      <xdr:rowOff>123825</xdr:rowOff>
    </xdr:to>
    <xdr:graphicFrame>
      <xdr:nvGraphicFramePr>
        <xdr:cNvPr id="3" name="Chart 1"/>
        <xdr:cNvGraphicFramePr>
          <a:graphicFrameLocks noChangeAspect="0"/>
        </xdr:cNvGraphicFramePr>
      </xdr:nvGraphicFramePr>
      <xdr:xfrm>
        <a:off x="4162425" y="1609725"/>
        <a:ext cx="8229600" cy="3486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76200</xdr:colOff>
      <xdr:row>0</xdr:row>
      <xdr:rowOff>95250</xdr:rowOff>
    </xdr:from>
    <xdr:to>
      <xdr:col>1</xdr:col>
      <xdr:colOff>1649400</xdr:colOff>
      <xdr:row>3</xdr:row>
      <xdr:rowOff>97195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srgbClr val="e8e8e8">
              <a:shade val="45000"/>
              <a:satMod val="135000"/>
            </a:srgbClr>
            <a:srgbClr val="ffffff"/>
          </a:duotone>
        </a:blip>
        <a:srcRect l="0" r="0" t="20579" b="34332"/>
        <a:stretch/>
      </xdr:blipFill>
      <xdr:spPr>
        <a:xfrm>
          <a:off x="238125" y="95250"/>
          <a:ext cx="1573200" cy="544870"/>
        </a:xfrm>
        <a:prstGeom prst="rect">
          <a:avLst/>
        </a:prstGeom>
        <a:noFill/>
        <a:ln cmpd="sng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6</xdr:row>
      <xdr:rowOff>85724</xdr:rowOff>
    </xdr:from>
    <xdr:to>
      <xdr:col>7</xdr:col>
      <xdr:colOff>390525</xdr:colOff>
      <xdr:row>27</xdr:row>
      <xdr:rowOff>47624</xdr:rowOff>
    </xdr:to>
    <xdr:graphicFrame>
      <xdr:nvGraphicFramePr>
        <xdr:cNvPr id="2" name="Chart 1"/>
        <xdr:cNvGraphicFramePr>
          <a:graphicFrameLocks noChangeAspect="0"/>
        </xdr:cNvGraphicFramePr>
      </xdr:nvGraphicFramePr>
      <xdr:xfrm>
        <a:off x="314325" y="1504949"/>
        <a:ext cx="7239000" cy="3876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123825</xdr:rowOff>
    </xdr:from>
    <xdr:to>
      <xdr:col>2</xdr:col>
      <xdr:colOff>858825</xdr:colOff>
      <xdr:row>2</xdr:row>
      <xdr:rowOff>154345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srgbClr val="e8e8e8">
              <a:shade val="45000"/>
              <a:satMod val="135000"/>
            </a:srgbClr>
            <a:srgbClr val="ffffff"/>
          </a:duotone>
        </a:blip>
        <a:srcRect l="0" r="0" t="20579" b="34332"/>
        <a:stretch/>
      </xdr:blipFill>
      <xdr:spPr>
        <a:xfrm>
          <a:off x="114300" y="123825"/>
          <a:ext cx="1506525" cy="544870"/>
        </a:xfrm>
        <a:prstGeom prst="rect">
          <a:avLst/>
        </a:prstGeom>
        <a:noFill/>
        <a:ln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24E9CD8-E5B8-7118-C0B8-0583418814A8}" mc:Ignorable="x14ac xr xr2 xr3">
  <dimension ref="A1:X34"/>
  <sheetViews>
    <sheetView topLeftCell="A1" workbookViewId="0">
      <selection activeCell="A1" sqref="A1"/>
    </sheetView>
  </sheetViews>
  <sheetFormatPr defaultRowHeight="14.25" defaultColWidth="9.140625" customHeight="1"/>
  <sheetData>
    <row r="1" ht="14.25" customHeight="1">
      <c r="A1" t="s">
        <v>0</v>
      </c>
      <c r="B1">
        <f>'Drill EBITDA 2'!A65524</f>
        <v>0</v>
      </c>
    </row>
    <row r="2" ht="14.25" customHeight="1">
      <c r="A2" t="s">
        <v>1</v>
      </c>
      <c r="B2">
        <f>Cockpit!A65557</f>
        <v>0</v>
      </c>
    </row>
    <row r="3" ht="14.25" customHeight="1">
      <c r="A3" t="s">
        <v>2</v>
      </c>
      <c r="B3">
        <f>'Drill EBITDA 1'!A65536</f>
        <v>0</v>
      </c>
    </row>
    <row r="4" ht="14.25" customHeight="1">
      <c r="A4" t="s">
        <v>3</v>
      </c>
      <c r="B4">
        <f>'Cockpit 2'!A65535</f>
        <v>0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B44170B-28E6-3DE8-FD98-CB0AB2284E08}" mc:Ignorable="x14ac xr xr2 xr3">
  <dimension ref="A1:BK106"/>
  <sheetViews>
    <sheetView topLeftCell="A5" workbookViewId="0">
      <selection activeCell="E40" sqref="E40"/>
    </sheetView>
  </sheetViews>
  <sheetFormatPr defaultRowHeight="14.25" defaultColWidth="9.140625" customHeight="1"/>
  <cols>
    <col min="1" max="2" style="10" width="2.421875" customWidth="1"/>
    <col min="3" max="10" style="10" width="15.57421875" customWidth="1"/>
    <col min="11" max="11" style="10" width="21.00390625" customWidth="1"/>
    <col min="12" max="17" style="10" width="15.57421875" customWidth="1"/>
    <col min="18" max="18" style="10" width="15.57421875" hidden="1" customWidth="1"/>
    <col min="19" max="19" style="10" width="11.140625" hidden="1" customWidth="1"/>
    <col min="20" max="20" style="10" width="11.421875" hidden="1" customWidth="1"/>
    <col min="21" max="21" style="10" width="11.57421875" hidden="1" customWidth="1"/>
    <col min="22" max="22" style="10" width="9.28125" hidden="1" customWidth="1"/>
    <col min="23" max="23" style="10" width="12.57421875" hidden="1" customWidth="1"/>
    <col min="24" max="24" style="10" width="15.57421875" hidden="1" customWidth="1"/>
    <col min="25" max="25" style="10" width="10.00390625" hidden="1" customWidth="1"/>
    <col min="26" max="26" style="10" width="11.28125" hidden="1" customWidth="1"/>
    <col min="27" max="27" style="10" width="14.00390625" hidden="1" customWidth="1"/>
    <col min="28" max="28" style="10" width="17.28125" hidden="1" customWidth="1"/>
    <col min="29" max="29" style="10" width="4.57421875" customWidth="1"/>
    <col min="30" max="30" style="10" width="9.28125" hidden="1" customWidth="1"/>
    <col min="31" max="48" style="10" width="9.140625" hidden="1" customWidth="1"/>
    <col min="49" max="53" style="10" width="10.7109375" customWidth="1"/>
    <col min="54" max="54" style="10" width="9.57421875" customWidth="1"/>
    <col min="55" max="55" style="10" width="14.00390625" customWidth="1"/>
    <col min="56" max="56" style="10" width="12.8515625" customWidth="1"/>
    <col min="57" max="57" style="10" width="4.57421875" customWidth="1"/>
    <col min="58" max="58" style="10" width="9.28125" customWidth="1"/>
    <col min="59" max="59" style="10" width="10.00390625" customWidth="1"/>
    <col min="60" max="60" style="10" width="8.8515625" customWidth="1"/>
    <col min="61" max="63" style="10" width="10.7109375" customWidth="1"/>
    <col min="64" max="64" width="9.140625" customWidth="1"/>
  </cols>
  <sheetData>
    <row r="1" ht="8.25" customHeight="1"/>
    <row r="2" ht="26.25" customHeight="1">
      <c r="G2" s="1" t="s">
        <v>4</v>
      </c>
      <c r="H2" s="1"/>
      <c r="I2" s="1"/>
      <c r="J2" s="1"/>
      <c r="K2" s="1"/>
    </row>
    <row r="3" ht="20.25" customHeight="1">
      <c r="G3" s="2" t="s">
        <v>5</v>
      </c>
      <c r="H3" s="2"/>
      <c r="I3" s="2"/>
      <c r="J3" s="2"/>
      <c r="K3" s="2"/>
    </row>
    <row r="4" ht="10.5" customHeight="1"/>
    <row r="5" ht="20.25" customHeight="1">
      <c r="C5" s="3" t="s">
        <v>6</v>
      </c>
      <c r="D5" s="3"/>
      <c r="E5" s="3"/>
      <c r="F5" s="4" t="s">
        <v>7</v>
      </c>
      <c r="G5" s="5"/>
      <c r="H5" s="6"/>
      <c r="I5" s="7"/>
      <c r="J5" s="7" t="s">
        <v>8</v>
      </c>
      <c r="K5" s="7" t="s">
        <v>9</v>
      </c>
      <c r="L5" s="8"/>
      <c r="M5" s="6" t="s">
        <v>10</v>
      </c>
      <c r="N5" s="4" t="s">
        <v>11</v>
      </c>
      <c r="O5" s="9"/>
      <c r="P5" s="8"/>
      <c r="Q5" s="8"/>
      <c r="R5" s="8"/>
      <c r="AD5" s="10" t="s">
        <v>12</v>
      </c>
    </row>
    <row r="6" ht="17.25" customHeight="1">
      <c r="AD6" s="11" t="s">
        <v>13</v>
      </c>
      <c r="AE6" s="12" t="s">
        <v>14</v>
      </c>
      <c r="AF6" s="12" t="s">
        <v>15</v>
      </c>
      <c r="AG6" s="12" t="s">
        <v>16</v>
      </c>
      <c r="AH6" s="12" t="s">
        <v>17</v>
      </c>
      <c r="AI6" s="12"/>
      <c r="AK6" s="11" t="s">
        <v>18</v>
      </c>
      <c r="AL6" s="12" t="s">
        <v>19</v>
      </c>
      <c r="AM6" s="12" t="s">
        <v>20</v>
      </c>
      <c r="AN6" s="12" t="s">
        <v>21</v>
      </c>
      <c r="AO6" s="12"/>
      <c r="AP6" s="12"/>
      <c r="AQ6" s="12"/>
      <c r="AR6" s="12"/>
      <c r="AS6" s="12"/>
      <c r="AT6" s="12"/>
      <c r="AU6" s="12"/>
      <c r="AV6" s="12"/>
      <c r="AW6" s="12"/>
      <c r="BB6" s="12" t="s">
        <v>22</v>
      </c>
      <c r="BC6" s="12" t="s">
        <v>23</v>
      </c>
      <c r="BD6" s="12" t="s">
        <v>24</v>
      </c>
      <c r="BE6" s="12"/>
      <c r="BF6" s="12"/>
      <c r="BG6" s="12"/>
      <c r="BH6" s="12"/>
    </row>
    <row r="7" ht="9.75" customHeight="1">
      <c r="AD7" s="12" t="s">
        <v>25</v>
      </c>
      <c r="AE7" s="12">
        <v>0</v>
      </c>
      <c r="AF7" s="12">
        <v>3467793</v>
      </c>
      <c r="AG7" s="12">
        <v>0</v>
      </c>
      <c r="AH7" s="12">
        <v>0</v>
      </c>
      <c r="AI7" s="12"/>
      <c r="AK7" s="12" t="s">
        <v>26</v>
      </c>
      <c r="AL7" s="12">
        <v>0.1189</v>
      </c>
      <c r="AM7" s="12">
        <v>0.1298</v>
      </c>
      <c r="AN7" s="12">
        <v>0.1416</v>
      </c>
      <c r="AO7" s="12"/>
      <c r="AP7" s="12"/>
      <c r="AQ7" s="12"/>
      <c r="AR7" s="12"/>
      <c r="AS7" s="12"/>
      <c r="AT7" s="12"/>
      <c r="AU7" s="12"/>
      <c r="AW7" s="11"/>
      <c r="BB7" s="12" t="s">
        <v>27</v>
      </c>
      <c r="BC7" s="12">
        <v>100</v>
      </c>
      <c r="BD7" s="12">
        <v>100</v>
      </c>
      <c r="BE7" s="12"/>
      <c r="BF7" s="12"/>
      <c r="BG7" s="12"/>
      <c r="BH7" s="12"/>
      <c r="BJ7" s="10">
        <f t="shared" si="0" ref="BJ7:BJ11">IF($AE7="","",$AE7)</f>
        <v>0</v>
      </c>
    </row>
    <row r="8" ht="12.75" customHeight="1">
      <c r="C8" s="13" t="s">
        <v>28</v>
      </c>
      <c r="D8" s="14"/>
      <c r="E8" s="14"/>
      <c r="F8" s="15"/>
      <c r="G8" s="13" t="s">
        <v>29</v>
      </c>
      <c r="H8" s="15"/>
      <c r="I8" s="13" t="s">
        <v>30</v>
      </c>
      <c r="J8" s="15"/>
      <c r="K8" s="13" t="s">
        <v>31</v>
      </c>
      <c r="L8" s="15"/>
      <c r="M8" s="13" t="s">
        <v>32</v>
      </c>
      <c r="N8" s="15"/>
      <c r="O8" s="16" t="s">
        <v>33</v>
      </c>
      <c r="P8" s="17"/>
      <c r="Q8" s="16"/>
      <c r="R8" s="18"/>
      <c r="AD8" s="10" t="s">
        <v>34</v>
      </c>
      <c r="AE8" s="10">
        <v>3467793</v>
      </c>
      <c r="AF8" s="10">
        <v>0</v>
      </c>
      <c r="AG8" s="10">
        <v>1157203</v>
      </c>
      <c r="AH8" s="10">
        <v>0</v>
      </c>
      <c r="AK8" s="10" t="s">
        <v>35</v>
      </c>
      <c r="AL8" s="10">
        <v>0.1581</v>
      </c>
      <c r="AM8" s="10">
        <v>0.1643</v>
      </c>
      <c r="AN8" s="10">
        <v>0.1717</v>
      </c>
      <c r="BB8" s="10" t="s">
        <v>36</v>
      </c>
      <c r="BC8" s="10">
        <v>110</v>
      </c>
      <c r="BD8" s="10">
        <v>106.1</v>
      </c>
      <c r="BJ8" s="10">
        <f t="shared" si="0"/>
        <v>3467793</v>
      </c>
    </row>
    <row r="9" ht="26.25" customHeight="1">
      <c r="C9" s="19">
        <f>F38</f>
        <v>23098985</v>
      </c>
      <c r="D9" s="20"/>
      <c r="E9" s="20"/>
      <c r="F9" s="21"/>
      <c r="G9" s="19">
        <f>H38</f>
        <v>3845816.907756</v>
      </c>
      <c r="H9" s="21"/>
      <c r="I9" s="22">
        <f t="shared" si="1" ref="I9:K9">K38</f>
        <v>0.166492896019284</v>
      </c>
      <c r="J9" s="23"/>
      <c r="K9" s="24">
        <f t="shared" si="1"/>
        <v>1229</v>
      </c>
      <c r="L9" s="25"/>
      <c r="M9" s="26">
        <f>U38/M38</f>
        <v>353.274206672091</v>
      </c>
      <c r="N9" s="27"/>
      <c r="O9" s="28">
        <f>N38</f>
        <v>0.76174168297456</v>
      </c>
      <c r="P9" s="29"/>
      <c r="Q9" s="28"/>
      <c r="R9" s="30"/>
      <c r="AD9" s="10" t="s">
        <v>37</v>
      </c>
      <c r="AE9" s="10">
        <v>4624390</v>
      </c>
      <c r="AF9" s="10">
        <v>0</v>
      </c>
      <c r="AG9" s="10">
        <v>0</v>
      </c>
      <c r="AH9" s="10">
        <v>607</v>
      </c>
      <c r="AK9" s="10" t="s">
        <v>38</v>
      </c>
      <c r="AL9" s="10">
        <v>0.1651</v>
      </c>
      <c r="AM9" s="10">
        <v>0.1732</v>
      </c>
      <c r="AN9" s="10">
        <v>0.1825</v>
      </c>
      <c r="BB9" s="10" t="s">
        <v>39</v>
      </c>
      <c r="BC9" s="10">
        <v>121</v>
      </c>
      <c r="BD9" s="10">
        <v>112.5</v>
      </c>
      <c r="BJ9" s="10">
        <f t="shared" si="0"/>
        <v>4624390</v>
      </c>
    </row>
    <row r="10" ht="14.25" customHeight="1">
      <c r="C10" s="31">
        <f>G38</f>
        <v>0.0615942445276089</v>
      </c>
      <c r="D10" s="32"/>
      <c r="E10" s="32"/>
      <c r="F10" s="33"/>
      <c r="G10" s="31">
        <f>I38</f>
        <v>0.109009847953962</v>
      </c>
      <c r="H10" s="33"/>
      <c r="I10" s="34">
        <f>L38</f>
        <v>0.711838686150498</v>
      </c>
      <c r="J10" s="35"/>
      <c r="K10" s="31">
        <f>AA38</f>
        <v>0.0603968938740293</v>
      </c>
      <c r="L10" s="33"/>
      <c r="M10" s="31">
        <f>_xlfn.IFERROR(M9/(V38/Y38)-1,"")</f>
        <v>0.037351737596854</v>
      </c>
      <c r="N10" s="33"/>
      <c r="O10" s="36">
        <f>Q38-P38</f>
        <v>974</v>
      </c>
      <c r="P10" s="37"/>
      <c r="Q10" s="38"/>
      <c r="R10" s="39"/>
      <c r="AD10" s="10" t="s">
        <v>40</v>
      </c>
      <c r="AE10" s="10">
        <v>3845817</v>
      </c>
      <c r="AF10" s="10">
        <v>0</v>
      </c>
      <c r="AG10" s="10">
        <v>0</v>
      </c>
      <c r="AH10" s="10">
        <v>778573</v>
      </c>
      <c r="AK10" s="10" t="s">
        <v>41</v>
      </c>
      <c r="AL10" s="10">
        <v>0.198</v>
      </c>
      <c r="AM10" s="10">
        <v>0.2039</v>
      </c>
      <c r="AN10" s="10">
        <v>0.2114</v>
      </c>
      <c r="BJ10" s="10">
        <f t="shared" si="0"/>
        <v>3845817</v>
      </c>
    </row>
    <row r="11" ht="14.25" customHeight="1">
      <c r="AD11" s="10" t="s">
        <v>42</v>
      </c>
      <c r="AE11" s="10">
        <v>0</v>
      </c>
      <c r="AF11" s="10">
        <v>3845817</v>
      </c>
      <c r="AG11" s="10">
        <v>0</v>
      </c>
      <c r="AH11" s="10">
        <v>0</v>
      </c>
      <c r="AK11" s="10" t="s">
        <v>43</v>
      </c>
      <c r="AL11" s="10">
        <v>0.063</v>
      </c>
      <c r="AM11" s="10">
        <v>0.0532</v>
      </c>
      <c r="AN11" s="10">
        <v>0.0419</v>
      </c>
      <c r="BJ11" s="10">
        <f t="shared" si="0"/>
        <v>0</v>
      </c>
    </row>
    <row r="12" ht="14.25" customHeight="1">
      <c r="C12" s="40" t="s">
        <v>44</v>
      </c>
      <c r="D12" s="41"/>
      <c r="E12" s="41"/>
      <c r="F12" s="42"/>
      <c r="G12" s="43"/>
      <c r="H12" s="43"/>
      <c r="I12" s="43"/>
      <c r="J12" s="43"/>
      <c r="K12" s="40" t="s">
        <v>45</v>
      </c>
      <c r="L12" s="43"/>
      <c r="M12" s="43"/>
      <c r="N12" s="43"/>
      <c r="O12" s="43"/>
      <c r="P12" s="43"/>
      <c r="Q12" s="43"/>
      <c r="R12" s="43"/>
    </row>
    <row r="13" ht="14.25" customHeight="1">
      <c r="C13" s="44"/>
    </row>
    <row r="14" ht="14.25" customHeight="1">
      <c r="C14" s="44"/>
    </row>
    <row r="15" ht="14.25" customHeight="1">
      <c r="C15" s="44"/>
    </row>
    <row r="16" ht="14.25" customHeight="1">
      <c r="C16" s="44"/>
    </row>
    <row r="17" ht="14.25" customHeight="1">
      <c r="C17" s="44"/>
    </row>
    <row r="18" ht="14.25" customHeight="1">
      <c r="C18" s="44"/>
    </row>
    <row r="19" ht="14.25" customHeight="1">
      <c r="C19" s="44"/>
    </row>
    <row r="20" ht="14.25" customHeight="1">
      <c r="C20" s="44"/>
    </row>
    <row r="21" ht="14.25" customHeight="1">
      <c r="C21" s="44"/>
    </row>
    <row r="22" ht="14.25" customHeight="1">
      <c r="C22" s="44"/>
    </row>
    <row r="23" ht="14.25" customHeight="1">
      <c r="C23" s="44"/>
    </row>
    <row r="24" ht="14.25" customHeight="1">
      <c r="C24" s="44"/>
    </row>
    <row r="25" ht="14.25" customHeight="1">
      <c r="C25" s="44"/>
    </row>
    <row r="26" ht="14.25" customHeight="1">
      <c r="C26" s="44"/>
    </row>
    <row r="27" ht="14.25" customHeight="1">
      <c r="C27" s="44"/>
    </row>
    <row r="28" ht="14.25" customHeight="1">
      <c r="C28" s="44"/>
    </row>
    <row r="29" ht="14.25" customHeight="1">
      <c r="C29" s="44"/>
    </row>
    <row r="30" ht="14.25" customHeight="1">
      <c r="C30" s="44"/>
    </row>
    <row r="31" ht="14.25" customHeight="1">
      <c r="C31" s="44"/>
    </row>
    <row r="32" ht="14.25" customHeight="1">
      <c r="C32" s="45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6" ht="14.25" customHeight="1">
      <c r="B36" s="47"/>
      <c r="R36" s="47"/>
    </row>
    <row r="37" ht="11.25" customHeight="1">
      <c r="B37" s="48"/>
      <c r="C37" s="49"/>
      <c r="D37" s="49"/>
      <c r="E37" s="49"/>
      <c r="F37" s="50" t="s">
        <v>46</v>
      </c>
      <c r="G37" s="50" t="s">
        <v>47</v>
      </c>
      <c r="H37" s="50" t="s">
        <v>48</v>
      </c>
      <c r="I37" s="50" t="s">
        <v>49</v>
      </c>
      <c r="J37" s="50" t="s">
        <v>50</v>
      </c>
      <c r="K37" s="50" t="s">
        <v>51</v>
      </c>
      <c r="L37" s="50" t="s">
        <v>52</v>
      </c>
      <c r="M37" s="50" t="s">
        <v>53</v>
      </c>
      <c r="N37" s="50" t="s">
        <v>54</v>
      </c>
      <c r="O37" s="50" t="s">
        <v>55</v>
      </c>
      <c r="P37" s="50" t="s">
        <v>56</v>
      </c>
      <c r="Q37" s="50" t="s">
        <v>57</v>
      </c>
      <c r="R37" s="50" t="s">
        <v>58</v>
      </c>
      <c r="S37" s="51" t="s">
        <v>59</v>
      </c>
      <c r="T37" s="51" t="s">
        <v>60</v>
      </c>
      <c r="U37" s="51" t="s">
        <v>61</v>
      </c>
      <c r="V37" s="51" t="s">
        <v>62</v>
      </c>
      <c r="W37" s="51" t="s">
        <v>63</v>
      </c>
      <c r="X37" s="51" t="s">
        <v>64</v>
      </c>
      <c r="Y37" s="51" t="s">
        <v>65</v>
      </c>
      <c r="Z37" s="51" t="s">
        <v>66</v>
      </c>
      <c r="AA37" s="51" t="s">
        <v>67</v>
      </c>
      <c r="AB37" s="51"/>
      <c r="AC37" s="47"/>
      <c r="AD37" s="47"/>
      <c r="AE37" s="47"/>
    </row>
    <row r="38" ht="11.25" customHeight="1">
      <c r="B38" s="52">
        <v>2</v>
      </c>
      <c r="C38" s="53" t="s">
        <v>11</v>
      </c>
      <c r="D38" s="54" t="s">
        <v>68</v>
      </c>
      <c r="E38" s="55" t="s">
        <v>69</v>
      </c>
      <c r="F38" s="56">
        <v>23098985</v>
      </c>
      <c r="G38" s="57">
        <f t="shared" si="2" ref="G38:G57">_xlfn.IFERROR((F38-T38)/T38,"")</f>
        <v>0.0615942445276089</v>
      </c>
      <c r="H38" s="56">
        <v>3845816.907756</v>
      </c>
      <c r="I38" s="57">
        <f t="shared" si="3" ref="I38:I57">_xlfn.IFERROR((H38-S38)/S38,"")</f>
        <v>0.109009847953962</v>
      </c>
      <c r="J38" s="58">
        <v>0.999984</v>
      </c>
      <c r="K38" s="58">
        <f t="shared" si="4" ref="K38:K57">_xlfn.IFERROR(H38/F38,"")</f>
        <v>0.166492896019284</v>
      </c>
      <c r="L38" s="59">
        <f t="shared" si="5" ref="L38:L57">_xlfn.IFERROR((K38-W38)*100,"")</f>
        <v>0.711838686150498</v>
      </c>
      <c r="M38" s="56">
        <v>1229</v>
      </c>
      <c r="N38" s="60">
        <f t="shared" si="6" ref="N38:N57">_xlfn.IFERROR(P38/Q38,"")</f>
        <v>0.76174168297456</v>
      </c>
      <c r="O38" s="60">
        <f t="shared" si="7" ref="O38:O57">_xlfn.IFERROR(R38/P38,"")</f>
        <v>0.863840719332049</v>
      </c>
      <c r="P38" s="56">
        <v>3114</v>
      </c>
      <c r="Q38" s="56">
        <v>4088</v>
      </c>
      <c r="R38" s="56">
        <v>2690</v>
      </c>
      <c r="S38" s="61">
        <v>3467793.288627</v>
      </c>
      <c r="T38" s="61">
        <v>21758770</v>
      </c>
      <c r="U38" s="61">
        <v>434174</v>
      </c>
      <c r="V38" s="61">
        <v>394702</v>
      </c>
      <c r="W38" s="62">
        <f t="shared" si="8" ref="W38:W57">_xlfn.IFERROR(S38/T38,"")</f>
        <v>0.159374509157779</v>
      </c>
      <c r="X38" s="61">
        <v>4088</v>
      </c>
      <c r="Y38" s="61">
        <v>1159</v>
      </c>
      <c r="Z38" s="61">
        <v>2933</v>
      </c>
      <c r="AA38" s="61">
        <f t="shared" si="9" ref="AA38:AA57">_xlfn.IFERROR((M38-Y38)/Y38,"")</f>
        <v>0.0603968938740293</v>
      </c>
      <c r="AB38" s="61">
        <f t="shared" si="10" ref="AB38:AB57">_xlfn.IFERROR((U38-T38)/T38,"")</f>
        <v>-0.980046022822062</v>
      </c>
      <c r="AC38" s="47"/>
      <c r="AD38" s="47"/>
      <c r="AE38" s="47"/>
    </row>
    <row r="39" ht="11.25" customHeight="1">
      <c r="B39" s="52">
        <v>3</v>
      </c>
      <c r="C39" s="53" t="s">
        <v>26</v>
      </c>
      <c r="D39" s="54" t="s">
        <v>68</v>
      </c>
      <c r="E39" s="55" t="s">
        <v>69</v>
      </c>
      <c r="F39" s="56">
        <v>2582800</v>
      </c>
      <c r="G39" s="57">
        <f t="shared" si="2"/>
        <v>0.0587979683278879</v>
      </c>
      <c r="H39" s="56">
        <v>365679.751826</v>
      </c>
      <c r="I39" s="57">
        <f t="shared" si="3"/>
        <v>0.154871551731531</v>
      </c>
      <c r="J39" s="58">
        <v>0.095085</v>
      </c>
      <c r="K39" s="58">
        <f t="shared" si="4"/>
        <v>0.14158268229286</v>
      </c>
      <c r="L39" s="59">
        <f t="shared" si="5"/>
        <v>1.177824115191</v>
      </c>
      <c r="M39" s="56">
        <v>130</v>
      </c>
      <c r="N39" s="58">
        <f t="shared" si="6"/>
        <v>0.657986111111111</v>
      </c>
      <c r="O39" s="58">
        <f t="shared" si="7"/>
        <v>1</v>
      </c>
      <c r="P39" s="56">
        <v>379</v>
      </c>
      <c r="Q39" s="56">
        <v>576</v>
      </c>
      <c r="R39" s="56">
        <v>379</v>
      </c>
      <c r="S39" s="47">
        <v>316641.059586</v>
      </c>
      <c r="T39" s="47">
        <v>2439370</v>
      </c>
      <c r="U39" s="47">
        <v>51871</v>
      </c>
      <c r="V39" s="47">
        <v>47155</v>
      </c>
      <c r="W39" s="47">
        <f t="shared" si="8"/>
        <v>0.12980444114095</v>
      </c>
      <c r="X39" s="47">
        <v>576</v>
      </c>
      <c r="Y39" s="47">
        <v>123</v>
      </c>
      <c r="Z39" s="47">
        <v>358</v>
      </c>
      <c r="AA39" s="47">
        <f t="shared" si="9"/>
        <v>0.0569105691056911</v>
      </c>
      <c r="AB39" s="47">
        <f t="shared" si="10"/>
        <v>-0.978735903122528</v>
      </c>
      <c r="AC39" s="47"/>
      <c r="AD39" s="47"/>
      <c r="AE39" s="47"/>
    </row>
    <row r="40" ht="11.25" customHeight="1">
      <c r="B40" s="52">
        <v>4</v>
      </c>
      <c r="C40" s="53" t="s">
        <v>70</v>
      </c>
      <c r="D40" s="54" t="s">
        <v>68</v>
      </c>
      <c r="E40" s="55" t="s">
        <v>69</v>
      </c>
      <c r="F40" s="56">
        <v>781650</v>
      </c>
      <c r="G40" s="57">
        <f t="shared" si="2"/>
        <v>0.0540474938306566</v>
      </c>
      <c r="H40" s="56">
        <v>107890.617776</v>
      </c>
      <c r="I40" s="57">
        <f t="shared" si="3"/>
        <v>0.152307524620808</v>
      </c>
      <c r="J40" s="58">
        <v>0.028054</v>
      </c>
      <c r="K40" s="58">
        <f t="shared" si="4"/>
        <v>0.138029319741572</v>
      </c>
      <c r="L40" s="59">
        <f t="shared" si="5"/>
        <v>1.1770091679487</v>
      </c>
      <c r="M40" s="56">
        <v>40</v>
      </c>
      <c r="N40" s="58">
        <f t="shared" si="6"/>
        <v>0.609375</v>
      </c>
      <c r="O40" s="58">
        <f t="shared" si="7"/>
        <v>1</v>
      </c>
      <c r="P40" s="56">
        <v>117</v>
      </c>
      <c r="Q40" s="56">
        <v>192</v>
      </c>
      <c r="R40" s="56">
        <v>117</v>
      </c>
      <c r="S40" s="47">
        <v>93630.055754</v>
      </c>
      <c r="T40" s="47">
        <v>741570</v>
      </c>
      <c r="U40" s="47">
        <v>15178</v>
      </c>
      <c r="V40" s="47">
        <v>13798</v>
      </c>
      <c r="W40" s="47">
        <f t="shared" si="8"/>
        <v>0.126259228062085</v>
      </c>
      <c r="X40" s="47">
        <v>192</v>
      </c>
      <c r="Y40" s="47">
        <v>38</v>
      </c>
      <c r="Z40" s="47">
        <v>111</v>
      </c>
      <c r="AA40" s="47">
        <f t="shared" si="9"/>
        <v>0.0526315789473684</v>
      </c>
      <c r="AB40" s="47">
        <f t="shared" si="10"/>
        <v>-0.979532613239478</v>
      </c>
      <c r="AC40" s="47"/>
      <c r="AD40" s="47"/>
      <c r="AE40" s="47"/>
    </row>
    <row r="41" ht="11.25" customHeight="1">
      <c r="B41" s="52">
        <v>4</v>
      </c>
      <c r="C41" s="53" t="s">
        <v>71</v>
      </c>
      <c r="D41" s="54" t="s">
        <v>68</v>
      </c>
      <c r="E41" s="55" t="s">
        <v>69</v>
      </c>
      <c r="F41" s="56">
        <v>1019500</v>
      </c>
      <c r="G41" s="57">
        <f t="shared" si="2"/>
        <v>0.0661660897482823</v>
      </c>
      <c r="H41" s="56">
        <v>149898.516029</v>
      </c>
      <c r="I41" s="57">
        <f t="shared" si="3"/>
        <v>0.158582429212553</v>
      </c>
      <c r="J41" s="58">
        <v>0.038977</v>
      </c>
      <c r="K41" s="58">
        <f t="shared" si="4"/>
        <v>0.147031403657675</v>
      </c>
      <c r="L41" s="59">
        <f t="shared" si="5"/>
        <v>1.1728215247983</v>
      </c>
      <c r="M41" s="56">
        <v>50</v>
      </c>
      <c r="N41" s="58">
        <f t="shared" si="6"/>
        <v>0.755208333333333</v>
      </c>
      <c r="O41" s="58">
        <f t="shared" si="7"/>
        <v>1</v>
      </c>
      <c r="P41" s="56">
        <v>145</v>
      </c>
      <c r="Q41" s="56">
        <v>192</v>
      </c>
      <c r="R41" s="56">
        <v>145</v>
      </c>
      <c r="S41" s="47">
        <v>129380.967853</v>
      </c>
      <c r="T41" s="47">
        <v>956230</v>
      </c>
      <c r="U41" s="47">
        <v>21760</v>
      </c>
      <c r="V41" s="47">
        <v>19782</v>
      </c>
      <c r="W41" s="47">
        <f t="shared" si="8"/>
        <v>0.135303188409692</v>
      </c>
      <c r="X41" s="47">
        <v>192</v>
      </c>
      <c r="Y41" s="47">
        <v>47</v>
      </c>
      <c r="Z41" s="47">
        <v>136</v>
      </c>
      <c r="AA41" s="47">
        <f t="shared" si="9"/>
        <v>0.0638297872340425</v>
      </c>
      <c r="AB41" s="47">
        <f t="shared" si="10"/>
        <v>-0.977243968501302</v>
      </c>
      <c r="AC41" s="47"/>
      <c r="AD41" s="47"/>
      <c r="AE41" s="47"/>
    </row>
    <row r="42" ht="11.25" customHeight="1">
      <c r="B42" s="52">
        <v>4</v>
      </c>
      <c r="C42" s="53" t="s">
        <v>72</v>
      </c>
      <c r="D42" s="54" t="s">
        <v>68</v>
      </c>
      <c r="E42" s="55" t="s">
        <v>69</v>
      </c>
      <c r="F42" s="56">
        <v>781650</v>
      </c>
      <c r="G42" s="57">
        <f t="shared" si="2"/>
        <v>0.0540474938306566</v>
      </c>
      <c r="H42" s="56">
        <v>107890.618021</v>
      </c>
      <c r="I42" s="57">
        <f t="shared" si="3"/>
        <v>0.152307770608979</v>
      </c>
      <c r="J42" s="58">
        <v>0.028054</v>
      </c>
      <c r="K42" s="58">
        <f t="shared" si="4"/>
        <v>0.138029320055012</v>
      </c>
      <c r="L42" s="59">
        <f t="shared" si="5"/>
        <v>1.1770118659324</v>
      </c>
      <c r="M42" s="56">
        <v>40</v>
      </c>
      <c r="N42" s="58">
        <f t="shared" si="6"/>
        <v>0.609375</v>
      </c>
      <c r="O42" s="58">
        <f t="shared" si="7"/>
        <v>1</v>
      </c>
      <c r="P42" s="56">
        <v>117</v>
      </c>
      <c r="Q42" s="56">
        <v>192</v>
      </c>
      <c r="R42" s="56">
        <v>117</v>
      </c>
      <c r="S42" s="47">
        <v>93630.035979</v>
      </c>
      <c r="T42" s="47">
        <v>741570</v>
      </c>
      <c r="U42" s="47">
        <v>14933</v>
      </c>
      <c r="V42" s="47">
        <v>13575</v>
      </c>
      <c r="W42" s="47">
        <f t="shared" si="8"/>
        <v>0.126259201395688</v>
      </c>
      <c r="X42" s="47">
        <v>192</v>
      </c>
      <c r="Y42" s="47">
        <v>38</v>
      </c>
      <c r="Z42" s="47">
        <v>111</v>
      </c>
      <c r="AA42" s="47">
        <f t="shared" si="9"/>
        <v>0.0526315789473684</v>
      </c>
      <c r="AB42" s="47">
        <f t="shared" si="10"/>
        <v>-0.979862993378912</v>
      </c>
      <c r="AC42" s="47"/>
      <c r="AD42" s="47"/>
      <c r="AE42" s="47"/>
    </row>
    <row r="43" ht="11.25" customHeight="1">
      <c r="B43" s="52">
        <v>3</v>
      </c>
      <c r="C43" s="53" t="s">
        <v>35</v>
      </c>
      <c r="D43" s="54" t="s">
        <v>68</v>
      </c>
      <c r="E43" s="55" t="s">
        <v>69</v>
      </c>
      <c r="F43" s="56">
        <v>6292550</v>
      </c>
      <c r="G43" s="57">
        <f t="shared" si="2"/>
        <v>0.0638652194495165</v>
      </c>
      <c r="H43" s="56">
        <v>1080136.255572</v>
      </c>
      <c r="I43" s="57">
        <f t="shared" si="3"/>
        <v>0.111391991758978</v>
      </c>
      <c r="J43" s="58">
        <v>0.280855</v>
      </c>
      <c r="K43" s="58">
        <f t="shared" si="4"/>
        <v>0.171653186001224</v>
      </c>
      <c r="L43" s="59">
        <f t="shared" si="5"/>
        <v>0.734045408619702</v>
      </c>
      <c r="M43" s="56">
        <v>338</v>
      </c>
      <c r="N43" s="58">
        <f t="shared" si="6"/>
        <v>0.80019305019305</v>
      </c>
      <c r="O43" s="58">
        <f t="shared" si="7"/>
        <v>0.796139927623643</v>
      </c>
      <c r="P43" s="56">
        <v>829</v>
      </c>
      <c r="Q43" s="56">
        <v>1036</v>
      </c>
      <c r="R43" s="56">
        <v>660</v>
      </c>
      <c r="S43" s="47">
        <v>971876.946731</v>
      </c>
      <c r="T43" s="47">
        <v>5914800</v>
      </c>
      <c r="U43" s="47">
        <v>108103</v>
      </c>
      <c r="V43" s="47">
        <v>98275</v>
      </c>
      <c r="W43" s="47">
        <f t="shared" si="8"/>
        <v>0.164312731915027</v>
      </c>
      <c r="X43" s="47">
        <v>1036</v>
      </c>
      <c r="Y43" s="47">
        <v>318</v>
      </c>
      <c r="Z43" s="47">
        <v>779</v>
      </c>
      <c r="AA43" s="47">
        <f t="shared" si="9"/>
        <v>0.0628930817610063</v>
      </c>
      <c r="AB43" s="47">
        <f t="shared" si="10"/>
        <v>-0.981723304253736</v>
      </c>
      <c r="AC43" s="47"/>
      <c r="AD43" s="47"/>
      <c r="AE43" s="47"/>
    </row>
    <row r="44" ht="11.25" customHeight="1">
      <c r="B44" s="52">
        <v>4</v>
      </c>
      <c r="C44" s="53" t="s">
        <v>73</v>
      </c>
      <c r="D44" s="54" t="s">
        <v>68</v>
      </c>
      <c r="E44" s="55" t="s">
        <v>69</v>
      </c>
      <c r="F44" s="56">
        <v>1755850</v>
      </c>
      <c r="G44" s="57">
        <f t="shared" si="2"/>
        <v>0.0654429611650485</v>
      </c>
      <c r="H44" s="56">
        <v>289771.286902</v>
      </c>
      <c r="I44" s="57">
        <f t="shared" si="3"/>
        <v>0.115413052563397</v>
      </c>
      <c r="J44" s="58">
        <v>0.075345</v>
      </c>
      <c r="K44" s="58">
        <f t="shared" si="4"/>
        <v>0.165031914401572</v>
      </c>
      <c r="L44" s="59">
        <f t="shared" si="5"/>
        <v>0.7393368606669</v>
      </c>
      <c r="M44" s="56">
        <v>100</v>
      </c>
      <c r="N44" s="58">
        <f t="shared" si="6"/>
        <v>0.824324324324324</v>
      </c>
      <c r="O44" s="58">
        <f t="shared" si="7"/>
        <v>0.795081967213115</v>
      </c>
      <c r="P44" s="56">
        <v>244</v>
      </c>
      <c r="Q44" s="56">
        <v>296</v>
      </c>
      <c r="R44" s="56">
        <v>194</v>
      </c>
      <c r="S44" s="47">
        <v>259788.32347</v>
      </c>
      <c r="T44" s="47">
        <v>1648000</v>
      </c>
      <c r="U44" s="47">
        <v>25220</v>
      </c>
      <c r="V44" s="47">
        <v>22927</v>
      </c>
      <c r="W44" s="47">
        <f t="shared" si="8"/>
        <v>0.157638545794903</v>
      </c>
      <c r="X44" s="47">
        <v>296</v>
      </c>
      <c r="Y44" s="47">
        <v>94</v>
      </c>
      <c r="Z44" s="47">
        <v>229</v>
      </c>
      <c r="AA44" s="47">
        <f t="shared" si="9"/>
        <v>0.0638297872340425</v>
      </c>
      <c r="AB44" s="47">
        <f t="shared" si="10"/>
        <v>-0.984696601941748</v>
      </c>
      <c r="AC44" s="47"/>
      <c r="AD44" s="47"/>
      <c r="AE44" s="47"/>
    </row>
    <row r="45" ht="11.25" customHeight="1">
      <c r="B45" s="52">
        <v>4</v>
      </c>
      <c r="C45" s="53" t="s">
        <v>74</v>
      </c>
      <c r="D45" s="54" t="s">
        <v>68</v>
      </c>
      <c r="E45" s="55" t="s">
        <v>69</v>
      </c>
      <c r="F45" s="56">
        <v>2908720</v>
      </c>
      <c r="G45" s="57">
        <f t="shared" si="2"/>
        <v>0.0598437591091937</v>
      </c>
      <c r="H45" s="56">
        <v>526580.913096</v>
      </c>
      <c r="I45" s="57">
        <f t="shared" si="3"/>
        <v>0.104650086088985</v>
      </c>
      <c r="J45" s="58">
        <v>0.136922</v>
      </c>
      <c r="K45" s="58">
        <f t="shared" si="4"/>
        <v>0.181035270873786</v>
      </c>
      <c r="L45" s="59">
        <f t="shared" si="5"/>
        <v>0.734307238445497</v>
      </c>
      <c r="M45" s="56">
        <v>144</v>
      </c>
      <c r="N45" s="58">
        <f t="shared" si="6"/>
        <v>0.797297297297297</v>
      </c>
      <c r="O45" s="58">
        <f t="shared" si="7"/>
        <v>0.796610169491525</v>
      </c>
      <c r="P45" s="56">
        <v>354</v>
      </c>
      <c r="Q45" s="56">
        <v>444</v>
      </c>
      <c r="R45" s="56">
        <v>282</v>
      </c>
      <c r="S45" s="47">
        <v>476694.76491</v>
      </c>
      <c r="T45" s="47">
        <v>2744480</v>
      </c>
      <c r="U45" s="47">
        <v>60800</v>
      </c>
      <c r="V45" s="47">
        <v>55272</v>
      </c>
      <c r="W45" s="47">
        <f t="shared" si="8"/>
        <v>0.173692198489331</v>
      </c>
      <c r="X45" s="47">
        <v>444</v>
      </c>
      <c r="Y45" s="47">
        <v>136</v>
      </c>
      <c r="Z45" s="47">
        <v>334</v>
      </c>
      <c r="AA45" s="47">
        <f t="shared" si="9"/>
        <v>0.0588235294117647</v>
      </c>
      <c r="AB45" s="47">
        <f t="shared" si="10"/>
        <v>-0.977846440855827</v>
      </c>
      <c r="AC45" s="47"/>
      <c r="AD45" s="47"/>
      <c r="AE45" s="47"/>
    </row>
    <row r="46" ht="11.25" customHeight="1">
      <c r="B46" s="52">
        <v>4</v>
      </c>
      <c r="C46" s="53" t="s">
        <v>75</v>
      </c>
      <c r="D46" s="54" t="s">
        <v>68</v>
      </c>
      <c r="E46" s="55" t="s">
        <v>69</v>
      </c>
      <c r="F46" s="56">
        <v>1627980</v>
      </c>
      <c r="G46" s="57">
        <f t="shared" si="2"/>
        <v>0.0694072205580955</v>
      </c>
      <c r="H46" s="56">
        <v>263784.055574</v>
      </c>
      <c r="I46" s="57">
        <f t="shared" si="3"/>
        <v>0.120607213042351</v>
      </c>
      <c r="J46" s="58">
        <v>0.068588</v>
      </c>
      <c r="K46" s="58">
        <f t="shared" si="4"/>
        <v>0.162031508724923</v>
      </c>
      <c r="L46" s="59">
        <f t="shared" si="5"/>
        <v>0.740313995160299</v>
      </c>
      <c r="M46" s="56">
        <v>94</v>
      </c>
      <c r="N46" s="58">
        <f t="shared" si="6"/>
        <v>0.780405405405405</v>
      </c>
      <c r="O46" s="58">
        <f t="shared" si="7"/>
        <v>0.796536796536797</v>
      </c>
      <c r="P46" s="56">
        <v>231</v>
      </c>
      <c r="Q46" s="56">
        <v>296</v>
      </c>
      <c r="R46" s="56">
        <v>184</v>
      </c>
      <c r="S46" s="47">
        <v>235393.858351</v>
      </c>
      <c r="T46" s="47">
        <v>1522320</v>
      </c>
      <c r="U46" s="47">
        <v>22083</v>
      </c>
      <c r="V46" s="47">
        <v>20076</v>
      </c>
      <c r="W46" s="47">
        <f t="shared" si="8"/>
        <v>0.15462836877332</v>
      </c>
      <c r="X46" s="47">
        <v>296</v>
      </c>
      <c r="Y46" s="47">
        <v>88</v>
      </c>
      <c r="Z46" s="47">
        <v>216</v>
      </c>
      <c r="AA46" s="47">
        <f t="shared" si="9"/>
        <v>0.0681818181818182</v>
      </c>
      <c r="AB46" s="47">
        <f t="shared" si="10"/>
        <v>-0.985493851489831</v>
      </c>
      <c r="AC46" s="47"/>
      <c r="AD46" s="47"/>
      <c r="AE46" s="47"/>
    </row>
    <row r="47" ht="11.25" customHeight="1">
      <c r="B47" s="52">
        <v>3</v>
      </c>
      <c r="C47" s="53" t="s">
        <v>38</v>
      </c>
      <c r="D47" s="54" t="s">
        <v>68</v>
      </c>
      <c r="E47" s="55" t="s">
        <v>69</v>
      </c>
      <c r="F47" s="56">
        <v>9567455</v>
      </c>
      <c r="G47" s="57">
        <f t="shared" si="2"/>
        <v>0.05923730127098</v>
      </c>
      <c r="H47" s="56">
        <v>1746010.127975</v>
      </c>
      <c r="I47" s="57">
        <f t="shared" si="3"/>
        <v>0.116130467067482</v>
      </c>
      <c r="J47" s="58">
        <v>0.453995</v>
      </c>
      <c r="K47" s="58">
        <f t="shared" si="4"/>
        <v>0.182494731145848</v>
      </c>
      <c r="L47" s="59">
        <f t="shared" si="5"/>
        <v>0.930240980102298</v>
      </c>
      <c r="M47" s="56">
        <v>510</v>
      </c>
      <c r="N47" s="58">
        <f t="shared" si="6"/>
        <v>0.850817438692098</v>
      </c>
      <c r="O47" s="58">
        <f t="shared" si="7"/>
        <v>0.795836669335468</v>
      </c>
      <c r="P47" s="56">
        <v>1249</v>
      </c>
      <c r="Q47" s="56">
        <v>1468</v>
      </c>
      <c r="R47" s="56">
        <v>994</v>
      </c>
      <c r="S47" s="47">
        <v>1564342.323315</v>
      </c>
      <c r="T47" s="47">
        <v>9032400</v>
      </c>
      <c r="U47" s="47">
        <v>166530</v>
      </c>
      <c r="V47" s="47">
        <v>151390</v>
      </c>
      <c r="W47" s="47">
        <f t="shared" si="8"/>
        <v>0.173192321344825</v>
      </c>
      <c r="X47" s="47">
        <v>1468</v>
      </c>
      <c r="Y47" s="47">
        <v>482</v>
      </c>
      <c r="Z47" s="47">
        <v>1179</v>
      </c>
      <c r="AA47" s="47">
        <f t="shared" si="9"/>
        <v>0.0580912863070539</v>
      </c>
      <c r="AB47" s="47">
        <f t="shared" si="10"/>
        <v>-0.981563039723661</v>
      </c>
      <c r="AC47" s="47"/>
      <c r="AD47" s="47"/>
      <c r="AE47" s="47"/>
    </row>
    <row r="48" ht="11.25" customHeight="1">
      <c r="B48" s="52">
        <v>4</v>
      </c>
      <c r="C48" s="53" t="s">
        <v>76</v>
      </c>
      <c r="D48" s="54" t="s">
        <v>68</v>
      </c>
      <c r="E48" s="55" t="s">
        <v>69</v>
      </c>
      <c r="F48" s="56">
        <v>1773610</v>
      </c>
      <c r="G48" s="57">
        <f t="shared" si="2"/>
        <v>0.0640457628288003</v>
      </c>
      <c r="H48" s="56">
        <v>305136.216562</v>
      </c>
      <c r="I48" s="57">
        <f t="shared" si="3"/>
        <v>0.125178037002669</v>
      </c>
      <c r="J48" s="58">
        <v>0.07934</v>
      </c>
      <c r="K48" s="58">
        <f t="shared" si="4"/>
        <v>0.172042453843855</v>
      </c>
      <c r="L48" s="59">
        <f t="shared" si="5"/>
        <v>0.934727315327299</v>
      </c>
      <c r="M48" s="56">
        <v>102</v>
      </c>
      <c r="N48" s="58">
        <f t="shared" si="6"/>
        <v>0.841216216216216</v>
      </c>
      <c r="O48" s="58">
        <f t="shared" si="7"/>
        <v>0.795180722891566</v>
      </c>
      <c r="P48" s="56">
        <v>249</v>
      </c>
      <c r="Q48" s="56">
        <v>296</v>
      </c>
      <c r="R48" s="56">
        <v>198</v>
      </c>
      <c r="S48" s="47">
        <v>271189.27541</v>
      </c>
      <c r="T48" s="47">
        <v>1666855</v>
      </c>
      <c r="U48" s="47">
        <v>24923</v>
      </c>
      <c r="V48" s="47">
        <v>22657</v>
      </c>
      <c r="W48" s="47">
        <f t="shared" si="8"/>
        <v>0.162695180690582</v>
      </c>
      <c r="X48" s="47">
        <v>296</v>
      </c>
      <c r="Y48" s="47">
        <v>96</v>
      </c>
      <c r="Z48" s="47">
        <v>234</v>
      </c>
      <c r="AA48" s="47">
        <f t="shared" si="9"/>
        <v>0.0625</v>
      </c>
      <c r="AB48" s="47">
        <f t="shared" si="10"/>
        <v>-0.985047889588477</v>
      </c>
      <c r="AC48" s="47"/>
      <c r="AD48" s="47"/>
      <c r="AE48" s="47"/>
    </row>
    <row r="49" ht="11.25" customHeight="1">
      <c r="B49" s="52">
        <v>4</v>
      </c>
      <c r="C49" s="53" t="s">
        <v>77</v>
      </c>
      <c r="D49" s="54" t="s">
        <v>68</v>
      </c>
      <c r="E49" s="55" t="s">
        <v>69</v>
      </c>
      <c r="F49" s="56">
        <v>2496705</v>
      </c>
      <c r="G49" s="57">
        <f t="shared" si="2"/>
        <v>0.0657450745618809</v>
      </c>
      <c r="H49" s="56">
        <v>456976.670653</v>
      </c>
      <c r="I49" s="57">
        <f t="shared" si="3"/>
        <v>0.1228869636144</v>
      </c>
      <c r="J49" s="58">
        <v>0.118823</v>
      </c>
      <c r="K49" s="58">
        <f t="shared" si="4"/>
        <v>0.183031904311082</v>
      </c>
      <c r="L49" s="59">
        <f t="shared" si="5"/>
        <v>0.931419555851798</v>
      </c>
      <c r="M49" s="56">
        <v>132</v>
      </c>
      <c r="N49" s="58">
        <f t="shared" si="6"/>
        <v>0.852631578947368</v>
      </c>
      <c r="O49" s="58">
        <f t="shared" si="7"/>
        <v>0.796296296296296</v>
      </c>
      <c r="P49" s="56">
        <v>324</v>
      </c>
      <c r="Q49" s="56">
        <v>380</v>
      </c>
      <c r="R49" s="56">
        <v>258</v>
      </c>
      <c r="S49" s="47">
        <v>406965.870529</v>
      </c>
      <c r="T49" s="47">
        <v>2342685</v>
      </c>
      <c r="U49" s="47">
        <v>41783</v>
      </c>
      <c r="V49" s="47">
        <v>37985</v>
      </c>
      <c r="W49" s="47">
        <f t="shared" si="8"/>
        <v>0.173717708752564</v>
      </c>
      <c r="X49" s="47">
        <v>380</v>
      </c>
      <c r="Y49" s="47">
        <v>124</v>
      </c>
      <c r="Z49" s="47">
        <v>304</v>
      </c>
      <c r="AA49" s="47">
        <f t="shared" si="9"/>
        <v>0.0645161290322581</v>
      </c>
      <c r="AB49" s="47">
        <f t="shared" si="10"/>
        <v>-0.982164482207382</v>
      </c>
      <c r="AC49" s="47"/>
      <c r="AD49" s="47"/>
      <c r="AE49" s="47"/>
    </row>
    <row r="50" ht="11.25" customHeight="1">
      <c r="B50" s="52">
        <v>4</v>
      </c>
      <c r="C50" s="53" t="s">
        <v>78</v>
      </c>
      <c r="D50" s="54" t="s">
        <v>68</v>
      </c>
      <c r="E50" s="55" t="s">
        <v>69</v>
      </c>
      <c r="F50" s="56">
        <v>2158300</v>
      </c>
      <c r="G50" s="57">
        <f t="shared" si="2"/>
        <v>0.0537236483649537</v>
      </c>
      <c r="H50" s="56">
        <v>384274.75401</v>
      </c>
      <c r="I50" s="57">
        <f t="shared" si="3"/>
        <v>0.111984455939207</v>
      </c>
      <c r="J50" s="58">
        <v>0.099918</v>
      </c>
      <c r="K50" s="58">
        <f t="shared" si="4"/>
        <v>0.178045106801649</v>
      </c>
      <c r="L50" s="59">
        <f t="shared" si="5"/>
        <v>0.932841430606701</v>
      </c>
      <c r="M50" s="56">
        <v>120</v>
      </c>
      <c r="N50" s="58">
        <f t="shared" si="6"/>
        <v>0.844827586206897</v>
      </c>
      <c r="O50" s="58">
        <f t="shared" si="7"/>
        <v>0.795918367346939</v>
      </c>
      <c r="P50" s="56">
        <v>294</v>
      </c>
      <c r="Q50" s="56">
        <v>348</v>
      </c>
      <c r="R50" s="56">
        <v>234</v>
      </c>
      <c r="S50" s="47">
        <v>345575.652571</v>
      </c>
      <c r="T50" s="47">
        <v>2048260</v>
      </c>
      <c r="U50" s="47">
        <v>31533</v>
      </c>
      <c r="V50" s="47">
        <v>28666</v>
      </c>
      <c r="W50" s="47">
        <f t="shared" si="8"/>
        <v>0.168716692495582</v>
      </c>
      <c r="X50" s="47">
        <v>348</v>
      </c>
      <c r="Y50" s="47">
        <v>114</v>
      </c>
      <c r="Z50" s="47">
        <v>279</v>
      </c>
      <c r="AA50" s="47">
        <f t="shared" si="9"/>
        <v>0.0526315789473684</v>
      </c>
      <c r="AB50" s="47">
        <f t="shared" si="10"/>
        <v>-0.984604981789421</v>
      </c>
      <c r="AC50" s="47"/>
      <c r="AD50" s="47"/>
      <c r="AE50" s="47"/>
    </row>
    <row r="51" ht="11.25" customHeight="1">
      <c r="B51" s="52">
        <v>4</v>
      </c>
      <c r="C51" s="53" t="s">
        <v>79</v>
      </c>
      <c r="D51" s="54" t="s">
        <v>68</v>
      </c>
      <c r="E51" s="55" t="s">
        <v>69</v>
      </c>
      <c r="F51" s="56">
        <v>3138840</v>
      </c>
      <c r="G51" s="57">
        <f t="shared" si="2"/>
        <v>0.0552141464398575</v>
      </c>
      <c r="H51" s="56">
        <v>599622.48675</v>
      </c>
      <c r="I51" s="57">
        <f t="shared" si="3"/>
        <v>0.109155945142467</v>
      </c>
      <c r="J51" s="58">
        <v>0.155914</v>
      </c>
      <c r="K51" s="58">
        <f t="shared" si="4"/>
        <v>0.191033148153458</v>
      </c>
      <c r="L51" s="59">
        <f t="shared" si="5"/>
        <v>0.9290552575901</v>
      </c>
      <c r="M51" s="56">
        <v>156</v>
      </c>
      <c r="N51" s="58">
        <f t="shared" si="6"/>
        <v>0.86036036036036</v>
      </c>
      <c r="O51" s="58">
        <f t="shared" si="7"/>
        <v>0.795811518324607</v>
      </c>
      <c r="P51" s="56">
        <v>382</v>
      </c>
      <c r="Q51" s="56">
        <v>444</v>
      </c>
      <c r="R51" s="56">
        <v>304</v>
      </c>
      <c r="S51" s="47">
        <v>540611.524805</v>
      </c>
      <c r="T51" s="47">
        <v>2974600</v>
      </c>
      <c r="U51" s="47">
        <v>68291</v>
      </c>
      <c r="V51" s="47">
        <v>62082</v>
      </c>
      <c r="W51" s="47">
        <f t="shared" si="8"/>
        <v>0.181742595577557</v>
      </c>
      <c r="X51" s="47">
        <v>444</v>
      </c>
      <c r="Y51" s="47">
        <v>148</v>
      </c>
      <c r="Z51" s="47">
        <v>362</v>
      </c>
      <c r="AA51" s="47">
        <f t="shared" si="9"/>
        <v>0.0540540540540541</v>
      </c>
      <c r="AB51" s="47">
        <f t="shared" si="10"/>
        <v>-0.97704195522087</v>
      </c>
      <c r="AC51" s="47"/>
      <c r="AD51" s="47"/>
      <c r="AE51" s="47"/>
    </row>
    <row r="52" ht="11.25" customHeight="1">
      <c r="B52" s="52">
        <v>3</v>
      </c>
      <c r="C52" s="53" t="s">
        <v>41</v>
      </c>
      <c r="D52" s="54" t="s">
        <v>68</v>
      </c>
      <c r="E52" s="55" t="s">
        <v>69</v>
      </c>
      <c r="F52" s="56">
        <v>2706480</v>
      </c>
      <c r="G52" s="57">
        <f t="shared" si="2"/>
        <v>0.0665468689042051</v>
      </c>
      <c r="H52" s="56">
        <v>572262.783809</v>
      </c>
      <c r="I52" s="57">
        <f t="shared" si="3"/>
        <v>0.106034866607223</v>
      </c>
      <c r="J52" s="58">
        <v>0.148799</v>
      </c>
      <c r="K52" s="58">
        <f t="shared" si="4"/>
        <v>0.211441719062768</v>
      </c>
      <c r="L52" s="59">
        <f t="shared" si="5"/>
        <v>0.754895742327302</v>
      </c>
      <c r="M52" s="56">
        <v>164</v>
      </c>
      <c r="N52" s="58">
        <f t="shared" si="6"/>
        <v>0.644230769230769</v>
      </c>
      <c r="O52" s="58">
        <f t="shared" si="7"/>
        <v>1</v>
      </c>
      <c r="P52" s="56">
        <v>402</v>
      </c>
      <c r="Q52" s="56">
        <v>624</v>
      </c>
      <c r="R52" s="56">
        <v>402</v>
      </c>
      <c r="S52" s="47">
        <v>517400.310864</v>
      </c>
      <c r="T52" s="47">
        <v>2537610</v>
      </c>
      <c r="U52" s="47">
        <v>58580</v>
      </c>
      <c r="V52" s="47">
        <v>53255</v>
      </c>
      <c r="W52" s="47">
        <f t="shared" si="8"/>
        <v>0.203892761639495</v>
      </c>
      <c r="X52" s="47">
        <v>624</v>
      </c>
      <c r="Y52" s="47">
        <v>154</v>
      </c>
      <c r="Z52" s="47">
        <v>377</v>
      </c>
      <c r="AA52" s="47">
        <f t="shared" si="9"/>
        <v>0.0649350649350649</v>
      </c>
      <c r="AB52" s="47">
        <f t="shared" si="10"/>
        <v>-0.976915286430933</v>
      </c>
      <c r="AC52" s="47"/>
      <c r="AD52" s="47"/>
      <c r="AE52" s="47"/>
    </row>
    <row r="53" ht="11.25" customHeight="1">
      <c r="B53" s="52">
        <v>4</v>
      </c>
      <c r="C53" s="53" t="s">
        <v>80</v>
      </c>
      <c r="D53" s="54" t="s">
        <v>68</v>
      </c>
      <c r="E53" s="55" t="s">
        <v>69</v>
      </c>
      <c r="F53" s="56">
        <v>1132650</v>
      </c>
      <c r="G53" s="57">
        <f t="shared" si="2"/>
        <v>0.06026566317504</v>
      </c>
      <c r="H53" s="56">
        <v>232243.363153</v>
      </c>
      <c r="I53" s="57">
        <f t="shared" si="3"/>
        <v>0.100829666732937</v>
      </c>
      <c r="J53" s="58">
        <v>0.060387</v>
      </c>
      <c r="K53" s="58">
        <f t="shared" si="4"/>
        <v>0.20504424416457</v>
      </c>
      <c r="L53" s="59">
        <f t="shared" si="5"/>
        <v>0.755558802707701</v>
      </c>
      <c r="M53" s="56">
        <v>72</v>
      </c>
      <c r="N53" s="58">
        <f t="shared" si="6"/>
        <v>0.564102564102564</v>
      </c>
      <c r="O53" s="58">
        <f t="shared" si="7"/>
        <v>1</v>
      </c>
      <c r="P53" s="56">
        <v>176</v>
      </c>
      <c r="Q53" s="56">
        <v>312</v>
      </c>
      <c r="R53" s="56">
        <v>176</v>
      </c>
      <c r="S53" s="47">
        <v>210971.206692</v>
      </c>
      <c r="T53" s="47">
        <v>1068270</v>
      </c>
      <c r="U53" s="47">
        <v>21968</v>
      </c>
      <c r="V53" s="47">
        <v>19971</v>
      </c>
      <c r="W53" s="47">
        <f t="shared" si="8"/>
        <v>0.197488656137493</v>
      </c>
      <c r="X53" s="47">
        <v>312</v>
      </c>
      <c r="Y53" s="47">
        <v>68</v>
      </c>
      <c r="Z53" s="47">
        <v>166</v>
      </c>
      <c r="AA53" s="47">
        <f t="shared" si="9"/>
        <v>0.0588235294117647</v>
      </c>
      <c r="AB53" s="47">
        <f t="shared" si="10"/>
        <v>-0.979435910397184</v>
      </c>
      <c r="AC53" s="47"/>
      <c r="AD53" s="47"/>
      <c r="AE53" s="47"/>
    </row>
    <row r="54" ht="11.25" customHeight="1">
      <c r="B54" s="52">
        <v>4</v>
      </c>
      <c r="C54" s="53" t="s">
        <v>81</v>
      </c>
      <c r="D54" s="54" t="s">
        <v>68</v>
      </c>
      <c r="E54" s="55" t="s">
        <v>69</v>
      </c>
      <c r="F54" s="56">
        <v>1573830</v>
      </c>
      <c r="G54" s="57">
        <f t="shared" si="2"/>
        <v>0.0711135611907387</v>
      </c>
      <c r="H54" s="56">
        <v>340019.420656</v>
      </c>
      <c r="I54" s="57">
        <f t="shared" si="3"/>
        <v>0.109618557854562</v>
      </c>
      <c r="J54" s="58">
        <v>0.088412</v>
      </c>
      <c r="K54" s="58">
        <f t="shared" si="4"/>
        <v>0.216045837641931</v>
      </c>
      <c r="L54" s="59">
        <f t="shared" si="5"/>
        <v>0.749703057753501</v>
      </c>
      <c r="M54" s="56">
        <v>92</v>
      </c>
      <c r="N54" s="58">
        <f t="shared" si="6"/>
        <v>0.724358974358974</v>
      </c>
      <c r="O54" s="58">
        <f t="shared" si="7"/>
        <v>1</v>
      </c>
      <c r="P54" s="56">
        <v>226</v>
      </c>
      <c r="Q54" s="56">
        <v>312</v>
      </c>
      <c r="R54" s="56">
        <v>226</v>
      </c>
      <c r="S54" s="47">
        <v>306429.104172</v>
      </c>
      <c r="T54" s="47">
        <v>1469340</v>
      </c>
      <c r="U54" s="47">
        <v>36612</v>
      </c>
      <c r="V54" s="47">
        <v>33284</v>
      </c>
      <c r="W54" s="47">
        <f t="shared" si="8"/>
        <v>0.208548807064396</v>
      </c>
      <c r="X54" s="47">
        <v>312</v>
      </c>
      <c r="Y54" s="47">
        <v>86</v>
      </c>
      <c r="Z54" s="47">
        <v>211</v>
      </c>
      <c r="AA54" s="47">
        <f t="shared" si="9"/>
        <v>0.0697674418604651</v>
      </c>
      <c r="AB54" s="47">
        <f t="shared" si="10"/>
        <v>-0.975082690187431</v>
      </c>
      <c r="AC54" s="47"/>
      <c r="AD54" s="47"/>
      <c r="AE54" s="47"/>
    </row>
    <row r="55" ht="11.25" customHeight="1">
      <c r="B55" s="52">
        <v>3</v>
      </c>
      <c r="C55" s="53" t="s">
        <v>43</v>
      </c>
      <c r="D55" s="54" t="s">
        <v>68</v>
      </c>
      <c r="E55" s="55" t="s">
        <v>69</v>
      </c>
      <c r="F55" s="56">
        <v>1949700</v>
      </c>
      <c r="G55" s="57">
        <f t="shared" si="2"/>
        <v>0.0627442643860481</v>
      </c>
      <c r="H55" s="56">
        <v>81727.988574</v>
      </c>
      <c r="I55" s="57">
        <f t="shared" si="3"/>
        <v>-0.162044811248969</v>
      </c>
      <c r="J55" s="58">
        <v>0.02125</v>
      </c>
      <c r="K55" s="58">
        <f t="shared" si="4"/>
        <v>0.0419182379719957</v>
      </c>
      <c r="L55" s="59">
        <f t="shared" si="5"/>
        <v>-1.1244947334258</v>
      </c>
      <c r="M55" s="56">
        <v>87</v>
      </c>
      <c r="N55" s="58">
        <f t="shared" si="6"/>
        <v>0.6640625</v>
      </c>
      <c r="O55" s="58">
        <f t="shared" si="7"/>
        <v>1</v>
      </c>
      <c r="P55" s="56">
        <v>255</v>
      </c>
      <c r="Q55" s="56">
        <v>384</v>
      </c>
      <c r="R55" s="56">
        <v>255</v>
      </c>
      <c r="S55" s="47">
        <v>97532.648131</v>
      </c>
      <c r="T55" s="47">
        <v>1834590</v>
      </c>
      <c r="U55" s="47">
        <v>49090</v>
      </c>
      <c r="V55" s="47">
        <v>44627</v>
      </c>
      <c r="W55" s="47">
        <f t="shared" si="8"/>
        <v>0.0531631853062537</v>
      </c>
      <c r="X55" s="47">
        <v>384</v>
      </c>
      <c r="Y55" s="47">
        <v>82</v>
      </c>
      <c r="Z55" s="47">
        <v>240</v>
      </c>
      <c r="AA55" s="47">
        <f t="shared" si="9"/>
        <v>0.0609756097560976</v>
      </c>
      <c r="AB55" s="47">
        <f t="shared" si="10"/>
        <v>-0.9732419777716</v>
      </c>
      <c r="AC55" s="47"/>
      <c r="AD55" s="47"/>
      <c r="AE55" s="47"/>
    </row>
    <row r="56" ht="11.25" customHeight="1">
      <c r="B56" s="52">
        <v>4</v>
      </c>
      <c r="C56" s="53" t="s">
        <v>82</v>
      </c>
      <c r="D56" s="54" t="s">
        <v>68</v>
      </c>
      <c r="E56" s="55" t="s">
        <v>69</v>
      </c>
      <c r="F56" s="56">
        <v>863550</v>
      </c>
      <c r="G56" s="57">
        <f t="shared" si="2"/>
        <v>0.0540481160057124</v>
      </c>
      <c r="H56" s="56">
        <v>32830.609502</v>
      </c>
      <c r="I56" s="57">
        <f t="shared" si="3"/>
        <v>-0.186795400535368</v>
      </c>
      <c r="J56" s="58">
        <v>0.008536</v>
      </c>
      <c r="K56" s="58">
        <f t="shared" si="4"/>
        <v>0.0380181917688611</v>
      </c>
      <c r="L56" s="59">
        <f t="shared" si="5"/>
        <v>-1.12596940599865</v>
      </c>
      <c r="M56" s="56">
        <v>40</v>
      </c>
      <c r="N56" s="58">
        <f t="shared" si="6"/>
        <v>0.609375</v>
      </c>
      <c r="O56" s="58">
        <f t="shared" si="7"/>
        <v>1</v>
      </c>
      <c r="P56" s="56">
        <v>117</v>
      </c>
      <c r="Q56" s="56">
        <v>192</v>
      </c>
      <c r="R56" s="56">
        <v>117</v>
      </c>
      <c r="S56" s="47">
        <v>40371.893523</v>
      </c>
      <c r="T56" s="47">
        <v>819270</v>
      </c>
      <c r="U56" s="47">
        <v>18850</v>
      </c>
      <c r="V56" s="47">
        <v>17136</v>
      </c>
      <c r="W56" s="47">
        <f t="shared" si="8"/>
        <v>0.0492778858288476</v>
      </c>
      <c r="X56" s="47">
        <v>192</v>
      </c>
      <c r="Y56" s="47">
        <v>38</v>
      </c>
      <c r="Z56" s="47">
        <v>111</v>
      </c>
      <c r="AA56" s="47">
        <f t="shared" si="9"/>
        <v>0.0526315789473684</v>
      </c>
      <c r="AB56" s="47">
        <f t="shared" si="10"/>
        <v>-0.976991712133973</v>
      </c>
      <c r="AC56" s="47"/>
      <c r="AD56" s="47"/>
      <c r="AE56" s="47"/>
    </row>
    <row r="57" ht="11.25" customHeight="1">
      <c r="B57" s="52">
        <v>4</v>
      </c>
      <c r="C57" s="53" t="s">
        <v>83</v>
      </c>
      <c r="D57" s="54" t="s">
        <v>68</v>
      </c>
      <c r="E57" s="55" t="s">
        <v>69</v>
      </c>
      <c r="F57" s="56">
        <v>1086150</v>
      </c>
      <c r="G57" s="57">
        <f t="shared" si="2"/>
        <v>0.0697612575345704</v>
      </c>
      <c r="H57" s="56">
        <v>48897.379072</v>
      </c>
      <c r="I57" s="57">
        <f t="shared" si="3"/>
        <v>-0.144563793684478</v>
      </c>
      <c r="J57" s="58">
        <v>0.012714</v>
      </c>
      <c r="K57" s="58">
        <f t="shared" si="4"/>
        <v>0.0450189928389265</v>
      </c>
      <c r="L57" s="59">
        <f t="shared" si="5"/>
        <v>-1.12792723464338</v>
      </c>
      <c r="M57" s="56">
        <v>47</v>
      </c>
      <c r="N57" s="58">
        <f t="shared" si="6"/>
        <v>0.71875</v>
      </c>
      <c r="O57" s="58">
        <f t="shared" si="7"/>
        <v>1</v>
      </c>
      <c r="P57" s="56">
        <v>138</v>
      </c>
      <c r="Q57" s="56">
        <v>192</v>
      </c>
      <c r="R57" s="56">
        <v>138</v>
      </c>
      <c r="S57" s="47">
        <v>57160.754608</v>
      </c>
      <c r="T57" s="47">
        <v>1015320</v>
      </c>
      <c r="U57" s="47">
        <v>30240</v>
      </c>
      <c r="V57" s="47">
        <v>27491</v>
      </c>
      <c r="W57" s="47">
        <f t="shared" si="8"/>
        <v>0.0562982651853603</v>
      </c>
      <c r="X57" s="47">
        <v>192</v>
      </c>
      <c r="Y57" s="47">
        <v>44</v>
      </c>
      <c r="Z57" s="47">
        <v>129</v>
      </c>
      <c r="AA57" s="47">
        <f t="shared" si="9"/>
        <v>0.0681818181818182</v>
      </c>
      <c r="AB57" s="47">
        <f t="shared" si="10"/>
        <v>-0.970216286490958</v>
      </c>
      <c r="AC57" s="47"/>
      <c r="AD57" s="47"/>
      <c r="AE57" s="47"/>
    </row>
    <row r="58" ht="14.25" customHeight="1">
      <c r="B58" s="63"/>
      <c r="C58" s="64"/>
      <c r="D58" s="65"/>
      <c r="E58" s="65"/>
      <c r="F58" s="56"/>
      <c r="G58" s="57"/>
      <c r="H58" s="56"/>
      <c r="I58" s="57"/>
      <c r="J58" s="58"/>
      <c r="K58" s="58"/>
      <c r="L58" s="59"/>
      <c r="M58" s="56"/>
      <c r="N58" s="58"/>
      <c r="O58" s="58"/>
      <c r="P58" s="56"/>
      <c r="Q58" s="56"/>
      <c r="R58" s="56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</row>
    <row r="59" ht="14.25" customHeight="1">
      <c r="B59" s="63"/>
      <c r="C59" s="64"/>
      <c r="D59" s="65"/>
      <c r="E59" s="65"/>
      <c r="F59" s="56"/>
      <c r="G59" s="57"/>
      <c r="H59" s="56"/>
      <c r="I59" s="57"/>
      <c r="J59" s="58"/>
      <c r="K59" s="58"/>
      <c r="L59" s="59"/>
      <c r="M59" s="56"/>
      <c r="N59" s="58"/>
      <c r="O59" s="58"/>
      <c r="P59" s="56"/>
      <c r="Q59" s="56"/>
      <c r="R59" s="56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</row>
    <row r="60" ht="14.25" customHeight="1">
      <c r="B60" s="63"/>
      <c r="C60" s="64"/>
      <c r="D60" s="65"/>
      <c r="E60" s="65"/>
      <c r="F60" s="56"/>
      <c r="G60" s="57"/>
      <c r="H60" s="56"/>
      <c r="I60" s="57"/>
      <c r="J60" s="58"/>
      <c r="K60" s="58"/>
      <c r="L60" s="59"/>
      <c r="M60" s="56"/>
      <c r="N60" s="58"/>
      <c r="O60" s="58"/>
      <c r="P60" s="56"/>
      <c r="Q60" s="56"/>
      <c r="R60" s="56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</row>
    <row r="61" ht="14.25" customHeight="1">
      <c r="B61" s="63"/>
      <c r="C61" s="64"/>
      <c r="D61" s="65"/>
      <c r="E61" s="65"/>
      <c r="F61" s="56"/>
      <c r="G61" s="57"/>
      <c r="H61" s="56"/>
      <c r="I61" s="57"/>
      <c r="J61" s="58"/>
      <c r="K61" s="58"/>
      <c r="L61" s="59"/>
      <c r="M61" s="56"/>
      <c r="N61" s="58"/>
      <c r="O61" s="58"/>
      <c r="P61" s="56"/>
      <c r="Q61" s="56"/>
      <c r="R61" s="56"/>
    </row>
    <row r="62" ht="14.25" customHeight="1">
      <c r="B62" s="63"/>
      <c r="C62" s="64"/>
      <c r="D62" s="65"/>
      <c r="E62" s="65"/>
      <c r="F62" s="56"/>
      <c r="G62" s="57"/>
      <c r="H62" s="56"/>
      <c r="I62" s="57"/>
      <c r="J62" s="58"/>
      <c r="K62" s="58"/>
      <c r="L62" s="59"/>
      <c r="M62" s="56"/>
      <c r="N62" s="58"/>
      <c r="O62" s="58"/>
      <c r="P62" s="56"/>
      <c r="Q62" s="56"/>
      <c r="R62" s="56"/>
    </row>
    <row r="63" ht="14.25" customHeight="1">
      <c r="B63" s="63"/>
      <c r="C63" s="64"/>
      <c r="D63" s="65"/>
      <c r="E63" s="65"/>
      <c r="F63" s="56"/>
      <c r="G63" s="57"/>
      <c r="H63" s="56"/>
      <c r="I63" s="57"/>
      <c r="J63" s="58"/>
      <c r="K63" s="58"/>
      <c r="L63" s="59"/>
      <c r="M63" s="56"/>
      <c r="N63" s="58"/>
      <c r="O63" s="58"/>
      <c r="P63" s="56"/>
      <c r="Q63" s="56"/>
      <c r="R63" s="56"/>
    </row>
    <row r="64" ht="14.25" customHeight="1">
      <c r="B64" s="63"/>
      <c r="C64" s="64"/>
      <c r="D64" s="65"/>
      <c r="E64" s="65"/>
      <c r="F64" s="56"/>
      <c r="G64" s="57"/>
      <c r="H64" s="56"/>
      <c r="I64" s="57"/>
      <c r="J64" s="58"/>
      <c r="K64" s="58"/>
      <c r="L64" s="59"/>
      <c r="M64" s="56"/>
      <c r="N64" s="58"/>
      <c r="O64" s="58"/>
      <c r="P64" s="56"/>
      <c r="Q64" s="56"/>
      <c r="R64" s="56"/>
    </row>
    <row r="65" ht="14.25" customHeight="1">
      <c r="B65" s="63"/>
      <c r="C65" s="64"/>
      <c r="D65" s="65"/>
      <c r="E65" s="65"/>
      <c r="F65" s="56"/>
      <c r="G65" s="57"/>
      <c r="H65" s="56"/>
      <c r="I65" s="57"/>
      <c r="J65" s="58"/>
      <c r="K65" s="58"/>
      <c r="L65" s="59"/>
      <c r="M65" s="56"/>
      <c r="N65" s="58"/>
      <c r="O65" s="58"/>
      <c r="P65" s="56"/>
      <c r="Q65" s="56"/>
      <c r="R65" s="56"/>
    </row>
    <row r="66" ht="14.25" customHeight="1">
      <c r="B66" s="63"/>
      <c r="C66" s="64"/>
      <c r="D66" s="65"/>
      <c r="E66" s="65"/>
      <c r="F66" s="56"/>
      <c r="G66" s="57"/>
      <c r="H66" s="56"/>
      <c r="I66" s="57"/>
      <c r="J66" s="58"/>
      <c r="K66" s="58"/>
      <c r="L66" s="59"/>
      <c r="M66" s="56"/>
      <c r="N66" s="58"/>
      <c r="O66" s="58"/>
      <c r="P66" s="56"/>
      <c r="Q66" s="56"/>
      <c r="R66" s="56"/>
    </row>
    <row r="67" ht="14.25" customHeight="1">
      <c r="B67" s="63"/>
      <c r="C67" s="64"/>
      <c r="D67" s="65"/>
      <c r="E67" s="65"/>
      <c r="F67" s="56"/>
      <c r="G67" s="57"/>
      <c r="H67" s="56"/>
      <c r="I67" s="57"/>
      <c r="J67" s="58"/>
      <c r="K67" s="58"/>
      <c r="L67" s="59"/>
      <c r="M67" s="56"/>
      <c r="N67" s="58"/>
      <c r="O67" s="58"/>
      <c r="P67" s="56"/>
      <c r="Q67" s="56"/>
      <c r="R67" s="56"/>
    </row>
    <row r="68" ht="14.25" customHeight="1">
      <c r="B68" s="63"/>
      <c r="C68" s="64"/>
      <c r="D68" s="65"/>
      <c r="E68" s="65"/>
      <c r="F68" s="56"/>
      <c r="G68" s="57"/>
      <c r="H68" s="56"/>
      <c r="I68" s="57"/>
      <c r="J68" s="58"/>
      <c r="K68" s="58"/>
      <c r="L68" s="59"/>
      <c r="M68" s="56"/>
      <c r="N68" s="58"/>
      <c r="O68" s="58"/>
      <c r="P68" s="56"/>
      <c r="Q68" s="56"/>
      <c r="R68" s="56"/>
    </row>
    <row r="69" ht="14.25" customHeight="1">
      <c r="B69" s="63"/>
      <c r="C69" s="64"/>
      <c r="D69" s="65"/>
      <c r="E69" s="65"/>
      <c r="F69" s="56"/>
      <c r="G69" s="57"/>
      <c r="H69" s="56"/>
      <c r="I69" s="57"/>
      <c r="J69" s="58"/>
      <c r="K69" s="58"/>
      <c r="L69" s="59"/>
      <c r="M69" s="56"/>
      <c r="N69" s="58"/>
      <c r="O69" s="58"/>
      <c r="P69" s="56"/>
      <c r="Q69" s="56"/>
      <c r="R69" s="56"/>
    </row>
    <row r="70" ht="14.25" customHeight="1">
      <c r="B70" s="63"/>
      <c r="C70" s="64"/>
      <c r="D70" s="65"/>
      <c r="E70" s="65"/>
      <c r="F70" s="56"/>
      <c r="G70" s="57"/>
      <c r="H70" s="56"/>
      <c r="I70" s="57"/>
      <c r="J70" s="58"/>
      <c r="K70" s="58"/>
      <c r="L70" s="59"/>
      <c r="M70" s="56"/>
      <c r="N70" s="58"/>
      <c r="O70" s="58"/>
      <c r="P70" s="56"/>
      <c r="Q70" s="56"/>
      <c r="R70" s="56"/>
    </row>
    <row r="71" ht="14.25" customHeight="1">
      <c r="B71" s="63"/>
      <c r="C71" s="64"/>
      <c r="D71" s="65"/>
      <c r="E71" s="65"/>
      <c r="F71" s="56"/>
      <c r="G71" s="57"/>
      <c r="H71" s="56"/>
      <c r="I71" s="57"/>
      <c r="J71" s="58"/>
      <c r="K71" s="58"/>
      <c r="L71" s="59"/>
      <c r="M71" s="56"/>
      <c r="N71" s="58"/>
      <c r="O71" s="58"/>
      <c r="P71" s="56"/>
      <c r="Q71" s="56"/>
      <c r="R71" s="56"/>
    </row>
    <row r="72" ht="14.25" customHeight="1">
      <c r="B72" s="63"/>
      <c r="C72" s="64"/>
      <c r="D72" s="65"/>
      <c r="E72" s="65"/>
      <c r="F72" s="56"/>
      <c r="G72" s="57"/>
      <c r="H72" s="56"/>
      <c r="I72" s="57"/>
      <c r="J72" s="58"/>
      <c r="K72" s="58"/>
      <c r="L72" s="59"/>
      <c r="M72" s="56"/>
      <c r="N72" s="58"/>
      <c r="O72" s="58"/>
      <c r="P72" s="56"/>
      <c r="Q72" s="56"/>
      <c r="R72" s="56"/>
    </row>
    <row r="73" ht="14.25" customHeight="1">
      <c r="B73" s="63"/>
      <c r="C73" s="64"/>
      <c r="D73" s="65"/>
      <c r="E73" s="65"/>
      <c r="F73" s="56"/>
      <c r="G73" s="57"/>
      <c r="H73" s="56"/>
      <c r="I73" s="57"/>
      <c r="J73" s="58"/>
      <c r="K73" s="58"/>
      <c r="L73" s="59"/>
      <c r="M73" s="56"/>
      <c r="N73" s="58"/>
      <c r="O73" s="58"/>
      <c r="P73" s="56"/>
      <c r="Q73" s="56"/>
      <c r="R73" s="56"/>
    </row>
    <row r="74" ht="14.25" customHeight="1">
      <c r="B74" s="63"/>
      <c r="C74" s="64"/>
      <c r="D74" s="65"/>
      <c r="E74" s="65"/>
      <c r="F74" s="56"/>
      <c r="G74" s="57"/>
      <c r="H74" s="56"/>
      <c r="I74" s="57"/>
      <c r="J74" s="58"/>
      <c r="K74" s="58"/>
      <c r="L74" s="59"/>
      <c r="M74" s="56"/>
      <c r="N74" s="58"/>
      <c r="O74" s="58"/>
      <c r="P74" s="56"/>
      <c r="Q74" s="56"/>
      <c r="R74" s="56"/>
    </row>
    <row r="75" ht="14.25" customHeight="1">
      <c r="B75" s="63"/>
      <c r="C75" s="64"/>
      <c r="D75" s="65"/>
      <c r="E75" s="65"/>
      <c r="F75" s="56"/>
      <c r="G75" s="57"/>
      <c r="H75" s="56"/>
      <c r="I75" s="57"/>
      <c r="J75" s="58"/>
      <c r="K75" s="58"/>
      <c r="L75" s="59"/>
      <c r="M75" s="56"/>
      <c r="N75" s="58"/>
      <c r="O75" s="58"/>
      <c r="P75" s="56"/>
      <c r="Q75" s="56"/>
      <c r="R75" s="56"/>
    </row>
    <row r="76" ht="14.25" customHeight="1">
      <c r="B76" s="63"/>
      <c r="C76" s="64"/>
      <c r="D76" s="65"/>
      <c r="E76" s="65"/>
      <c r="F76" s="56"/>
      <c r="G76" s="57"/>
      <c r="H76" s="56"/>
      <c r="I76" s="57"/>
      <c r="J76" s="58"/>
      <c r="K76" s="58"/>
      <c r="L76" s="59"/>
      <c r="M76" s="56"/>
      <c r="N76" s="58"/>
      <c r="O76" s="58"/>
      <c r="P76" s="56"/>
      <c r="Q76" s="56"/>
      <c r="R76" s="56"/>
    </row>
    <row r="77" ht="14.25" customHeight="1">
      <c r="B77" s="63"/>
      <c r="C77" s="64"/>
      <c r="D77" s="65"/>
      <c r="E77" s="65"/>
      <c r="F77" s="56"/>
      <c r="G77" s="57"/>
      <c r="H77" s="56"/>
      <c r="I77" s="57"/>
      <c r="J77" s="58"/>
      <c r="K77" s="58"/>
      <c r="L77" s="59"/>
      <c r="M77" s="56"/>
      <c r="N77" s="58"/>
      <c r="O77" s="58"/>
      <c r="P77" s="56"/>
      <c r="Q77" s="56"/>
      <c r="R77" s="56"/>
    </row>
    <row r="78" ht="14.25" customHeight="1">
      <c r="B78" s="63"/>
      <c r="C78" s="64"/>
      <c r="D78" s="65"/>
      <c r="E78" s="65"/>
      <c r="F78" s="56"/>
      <c r="G78" s="57"/>
      <c r="H78" s="56"/>
      <c r="I78" s="57"/>
      <c r="J78" s="58"/>
      <c r="K78" s="58"/>
      <c r="L78" s="59"/>
      <c r="M78" s="56"/>
      <c r="N78" s="58"/>
      <c r="O78" s="58"/>
      <c r="P78" s="56"/>
      <c r="Q78" s="56"/>
      <c r="R78" s="56"/>
    </row>
    <row r="79" ht="14.25" customHeight="1">
      <c r="B79" s="63"/>
      <c r="C79" s="64"/>
      <c r="D79" s="65"/>
      <c r="E79" s="65"/>
      <c r="F79" s="56"/>
      <c r="G79" s="57"/>
      <c r="H79" s="56"/>
      <c r="I79" s="57"/>
      <c r="J79" s="58"/>
      <c r="K79" s="58"/>
      <c r="L79" s="59"/>
      <c r="M79" s="56"/>
      <c r="N79" s="58"/>
      <c r="O79" s="58"/>
      <c r="P79" s="56"/>
      <c r="Q79" s="56"/>
      <c r="R79" s="56"/>
    </row>
    <row r="80" ht="14.25" customHeight="1">
      <c r="B80" s="63"/>
      <c r="C80" s="64"/>
      <c r="D80" s="65"/>
      <c r="E80" s="65"/>
      <c r="F80" s="56"/>
      <c r="G80" s="57"/>
      <c r="H80" s="56"/>
      <c r="I80" s="57"/>
      <c r="J80" s="58"/>
      <c r="K80" s="58"/>
      <c r="L80" s="59"/>
      <c r="M80" s="56"/>
      <c r="N80" s="58"/>
      <c r="O80" s="58"/>
      <c r="P80" s="56"/>
      <c r="Q80" s="56"/>
      <c r="R80" s="56"/>
    </row>
    <row r="81" ht="14.25" customHeight="1">
      <c r="B81" s="63"/>
      <c r="C81" s="64"/>
      <c r="D81" s="65"/>
      <c r="E81" s="65"/>
      <c r="F81" s="56"/>
      <c r="G81" s="57"/>
      <c r="H81" s="56"/>
      <c r="I81" s="57"/>
      <c r="J81" s="58"/>
      <c r="K81" s="58"/>
      <c r="L81" s="59"/>
      <c r="M81" s="56"/>
      <c r="N81" s="58"/>
      <c r="O81" s="58"/>
      <c r="P81" s="56"/>
      <c r="Q81" s="56"/>
      <c r="R81" s="56"/>
    </row>
    <row r="82" ht="14.25" customHeight="1">
      <c r="B82" s="63"/>
      <c r="C82" s="64"/>
      <c r="D82" s="65"/>
      <c r="E82" s="65"/>
      <c r="F82" s="56"/>
      <c r="G82" s="57"/>
      <c r="H82" s="56"/>
      <c r="I82" s="57"/>
      <c r="J82" s="58"/>
      <c r="K82" s="58"/>
      <c r="L82" s="59"/>
      <c r="M82" s="56"/>
      <c r="N82" s="58"/>
      <c r="O82" s="58"/>
      <c r="P82" s="56"/>
      <c r="Q82" s="56"/>
      <c r="R82" s="56"/>
    </row>
    <row r="83" ht="14.25" customHeight="1">
      <c r="B83" s="63"/>
      <c r="C83" s="64"/>
      <c r="D83" s="65"/>
      <c r="E83" s="65"/>
      <c r="F83" s="56"/>
      <c r="G83" s="57"/>
      <c r="H83" s="56"/>
      <c r="I83" s="57"/>
      <c r="J83" s="58"/>
      <c r="K83" s="58"/>
      <c r="L83" s="59"/>
      <c r="M83" s="56"/>
      <c r="N83" s="58"/>
      <c r="O83" s="58"/>
      <c r="P83" s="56"/>
      <c r="Q83" s="56"/>
      <c r="R83" s="56"/>
    </row>
    <row r="84" ht="14.25" customHeight="1">
      <c r="B84" s="63"/>
      <c r="C84" s="64"/>
      <c r="D84" s="65"/>
      <c r="E84" s="65"/>
      <c r="F84" s="56"/>
      <c r="G84" s="57"/>
      <c r="H84" s="56"/>
      <c r="I84" s="57"/>
      <c r="J84" s="58"/>
      <c r="K84" s="58"/>
      <c r="L84" s="59"/>
      <c r="M84" s="56"/>
      <c r="N84" s="58"/>
      <c r="O84" s="58"/>
      <c r="P84" s="56"/>
      <c r="Q84" s="56"/>
      <c r="R84" s="56"/>
    </row>
    <row r="85" ht="14.25" customHeight="1">
      <c r="B85" s="63"/>
      <c r="C85" s="64"/>
      <c r="D85" s="65"/>
      <c r="E85" s="65"/>
      <c r="F85" s="56"/>
      <c r="G85" s="57"/>
      <c r="H85" s="56"/>
      <c r="I85" s="57"/>
      <c r="J85" s="58"/>
      <c r="K85" s="58"/>
      <c r="L85" s="59"/>
      <c r="M85" s="56"/>
      <c r="N85" s="58"/>
      <c r="O85" s="58"/>
      <c r="P85" s="56"/>
      <c r="Q85" s="56"/>
      <c r="R85" s="56"/>
    </row>
    <row r="86" ht="14.25" customHeight="1">
      <c r="B86" s="63"/>
      <c r="C86" s="64"/>
      <c r="D86" s="65"/>
      <c r="E86" s="65"/>
      <c r="F86" s="56"/>
      <c r="G86" s="57"/>
      <c r="H86" s="56"/>
      <c r="I86" s="57"/>
      <c r="J86" s="58"/>
      <c r="K86" s="58"/>
      <c r="L86" s="59"/>
      <c r="M86" s="56"/>
      <c r="N86" s="58"/>
      <c r="O86" s="58"/>
      <c r="P86" s="56"/>
      <c r="Q86" s="56"/>
      <c r="R86" s="56"/>
    </row>
    <row r="87" ht="14.25" customHeight="1">
      <c r="B87" s="63"/>
      <c r="C87" s="64"/>
      <c r="D87" s="65"/>
      <c r="E87" s="65"/>
      <c r="F87" s="56"/>
      <c r="G87" s="57"/>
      <c r="H87" s="56"/>
      <c r="I87" s="57"/>
      <c r="J87" s="58"/>
      <c r="K87" s="58"/>
      <c r="L87" s="59"/>
      <c r="M87" s="56"/>
      <c r="N87" s="58"/>
      <c r="O87" s="58"/>
      <c r="P87" s="56"/>
      <c r="Q87" s="56"/>
      <c r="R87" s="56"/>
    </row>
  </sheetData>
  <sheetProtection sort="1" autoFilter="0"/>
  <conditionalFormatting sqref="B38:O106">
    <cfRule type="expression" dxfId="0" priority="11" text="null">
      <formula>$B38=3</formula>
    </cfRule>
  </conditionalFormatting>
  <conditionalFormatting sqref="B38:O106">
    <cfRule type="expression" dxfId="1" priority="12" text="null">
      <formula>$B38=4</formula>
    </cfRule>
  </conditionalFormatting>
  <conditionalFormatting sqref="B38:R106">
    <cfRule type="expression" dxfId="2" priority="10" text="null">
      <formula>$B38=2</formula>
    </cfRule>
  </conditionalFormatting>
  <conditionalFormatting sqref="C10:E10">
    <cfRule type="cellIs" dxfId="3" priority="79" operator="greaterThan" text="null">
      <formula>0</formula>
    </cfRule>
  </conditionalFormatting>
  <conditionalFormatting sqref="C10:E10">
    <cfRule type="cellIs" dxfId="4" priority="80" operator="lessThan" text="null">
      <formula>0</formula>
    </cfRule>
  </conditionalFormatting>
  <conditionalFormatting sqref="G10">
    <cfRule type="cellIs" dxfId="3" priority="81" operator="greaterThan" text="null">
      <formula>0</formula>
    </cfRule>
  </conditionalFormatting>
  <conditionalFormatting sqref="G10">
    <cfRule type="cellIs" dxfId="4" priority="82" operator="lessThan" text="null">
      <formula>0</formula>
    </cfRule>
  </conditionalFormatting>
  <conditionalFormatting sqref="G38:G106">
    <cfRule type="cellIs" dxfId="5" priority="4" operator="greaterThan" text="null">
      <formula>0</formula>
    </cfRule>
  </conditionalFormatting>
  <conditionalFormatting sqref="G38:G106">
    <cfRule type="cellIs" dxfId="6" priority="5" operator="lessThan" text="null">
      <formula>0</formula>
    </cfRule>
  </conditionalFormatting>
  <conditionalFormatting sqref="I10">
    <cfRule type="cellIs" dxfId="3" priority="83" operator="greaterThan" text="null">
      <formula>0</formula>
    </cfRule>
  </conditionalFormatting>
  <conditionalFormatting sqref="I10">
    <cfRule type="cellIs" dxfId="4" priority="84" operator="lessThan" text="null">
      <formula>0</formula>
    </cfRule>
  </conditionalFormatting>
  <conditionalFormatting sqref="I38:I106">
    <cfRule type="cellIs" dxfId="5" priority="6" operator="greaterThan" text="null">
      <formula>0</formula>
    </cfRule>
  </conditionalFormatting>
  <conditionalFormatting sqref="I38:I106">
    <cfRule type="cellIs" dxfId="6" priority="7" operator="lessThan" text="null">
      <formula>0</formula>
    </cfRule>
  </conditionalFormatting>
  <conditionalFormatting sqref="J38:J106">
    <cfRule type="dataBar" priority="3">
      <dataBar>
        <cfvo type="num" val="0"/>
        <cfvo type="num" val="1"/>
        <color rgb="FFB8CFEC"/>
      </dataBar>
      <extLst>
        <ext xmlns:x14="http://schemas.microsoft.com/office/spreadsheetml/2009/9/main" uri="{B025F937-C7B1-47D3-B67F-A62EFF666E3E}">
          <x14:id>{e9c7ee95-9e17-48b9-9079-01b5e5b06e60}</x14:id>
        </ext>
      </extLst>
    </cfRule>
  </conditionalFormatting>
  <conditionalFormatting sqref="K10">
    <cfRule type="cellIs" dxfId="3" priority="85" operator="greaterThan" text="null">
      <formula>0</formula>
    </cfRule>
  </conditionalFormatting>
  <conditionalFormatting sqref="K10">
    <cfRule type="cellIs" dxfId="4" priority="86" operator="lessThan" text="null">
      <formula>0</formula>
    </cfRule>
  </conditionalFormatting>
  <conditionalFormatting sqref="K38:K106">
    <cfRule type="colorScale" priority="1">
      <colorScale>
        <cfvo type="num" val="0.02"/>
        <cfvo type="num" val="0.12"/>
        <cfvo type="num" val="0.22"/>
        <color rgb="FFF7CFCF"/>
        <color rgb="FFFDF0CE"/>
        <color rgb="FFCDE9DF"/>
      </colorScale>
    </cfRule>
  </conditionalFormatting>
  <conditionalFormatting sqref="L38:L106">
    <cfRule type="cellIs" dxfId="5" priority="8" operator="greaterThan" text="null">
      <formula>0</formula>
    </cfRule>
  </conditionalFormatting>
  <conditionalFormatting sqref="L38:L106">
    <cfRule type="cellIs" dxfId="6" priority="9" operator="lessThan" text="null">
      <formula>0</formula>
    </cfRule>
  </conditionalFormatting>
  <conditionalFormatting sqref="M10">
    <cfRule type="cellIs" dxfId="4" priority="87" operator="greaterThan" text="null">
      <formula>0</formula>
    </cfRule>
  </conditionalFormatting>
  <conditionalFormatting sqref="M10">
    <cfRule type="cellIs" dxfId="3" priority="88" operator="lessThan" text="null">
      <formula>0</formula>
    </cfRule>
  </conditionalFormatting>
  <conditionalFormatting sqref="N38:N106">
    <cfRule type="colorScale" priority="2">
      <colorScale>
        <cfvo type="num" val="0.55000000000000004"/>
        <cfvo type="num" val="0.75"/>
        <cfvo type="num" val="0.95"/>
        <color rgb="FFF7CFCF"/>
        <color rgb="FFFDF0CE"/>
        <color rgb="FFCDE9DF"/>
      </colorScale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c7ee95-9e17-48b9-9079-01b5e5b06e60}">
            <x14:dataBar minLength="0" maxLength="100" direction="leftToRight">
              <x14:color rgb="FFB8CFEC"/>
              <x14:cfvo type="num">
                <xm:f>0</xm:f>
              </x14:cfvo>
              <x14:cfvo type="num">
                <xm:f>1</xm:f>
              </x14:cfvo>
              <x14:negativeFillColor rgb="FFFF0000"/>
              <x14:negativeBorderColor rgb="FF000000"/>
              <x14:axisColor rgb="FF000000"/>
            </x14:dataBar>
          </x14:cfRule>
          <xm:sqref>J38:J106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A2C4AD7-EC34-E088-CEA8-B67A84D6799A}" mc:Ignorable="x14ac xr xr2 xr3">
  <dimension ref="A1:BK145"/>
  <sheetViews>
    <sheetView topLeftCell="A1" workbookViewId="0" tabSelected="1">
      <selection activeCell="C11" sqref="C11"/>
    </sheetView>
  </sheetViews>
  <sheetFormatPr defaultRowHeight="14.25" defaultColWidth="9.140625" customHeight="1"/>
  <cols>
    <col min="1" max="2" style="10" width="2.421875" customWidth="1"/>
    <col min="3" max="10" style="10" width="15.57421875" customWidth="1"/>
    <col min="11" max="11" style="10" width="21.00390625" customWidth="1"/>
    <col min="12" max="18" style="10" width="15.57421875" customWidth="1"/>
    <col min="19" max="19" style="10" width="15.00390625" customWidth="1"/>
    <col min="20" max="20" style="10" width="14.28125" customWidth="1"/>
    <col min="21" max="21" style="10" width="15.00390625" customWidth="1"/>
    <col min="22" max="22" style="10" width="21.7109375" customWidth="1"/>
    <col min="23" max="23" style="10" width="12.57421875" customWidth="1"/>
    <col min="24" max="24" style="10" width="15.57421875" customWidth="1"/>
    <col min="25" max="25" style="10" width="10.00390625" customWidth="1"/>
    <col min="26" max="26" style="10" width="11.28125" customWidth="1"/>
    <col min="27" max="27" style="10" width="14.00390625" customWidth="1"/>
    <col min="28" max="28" style="10" width="17.28125" customWidth="1"/>
    <col min="29" max="29" style="10" width="4.57421875" customWidth="1"/>
    <col min="30" max="30" style="10" width="9.28125" customWidth="1"/>
    <col min="31" max="53" style="10" width="10.7109375" customWidth="1"/>
    <col min="54" max="54" style="10" width="9.57421875" customWidth="1"/>
    <col min="55" max="55" style="10" width="14.00390625" customWidth="1"/>
    <col min="56" max="56" style="10" width="12.8515625" customWidth="1"/>
    <col min="57" max="57" style="10" width="4.57421875" customWidth="1"/>
    <col min="58" max="58" style="10" width="9.28125" customWidth="1"/>
    <col min="59" max="59" style="10" width="10.00390625" customWidth="1"/>
    <col min="60" max="60" style="10" width="8.8515625" customWidth="1"/>
    <col min="61" max="63" style="10" width="10.7109375" customWidth="1"/>
    <col min="64" max="64" width="9.140625" customWidth="1"/>
  </cols>
  <sheetData>
    <row r="1" ht="8.25" customHeight="1"/>
    <row r="2" ht="26.25" customHeight="1">
      <c r="G2" s="1" t="s">
        <v>84</v>
      </c>
      <c r="H2" s="1"/>
      <c r="I2" s="1"/>
      <c r="J2" s="1"/>
      <c r="K2" s="1"/>
    </row>
    <row r="3" ht="20.25" customHeight="1">
      <c r="G3" s="2"/>
      <c r="H3" s="2"/>
      <c r="I3" s="2"/>
      <c r="J3" s="2"/>
      <c r="K3" s="2"/>
    </row>
    <row r="4" ht="10.5" customHeight="1"/>
    <row r="5" ht="10.5" customHeight="1"/>
    <row r="6" ht="20.25" customHeight="1">
      <c r="C6" s="3" t="s">
        <v>6</v>
      </c>
      <c r="D6" s="3"/>
      <c r="E6" s="3"/>
      <c r="F6" s="4" t="s">
        <v>85</v>
      </c>
      <c r="G6" s="5"/>
      <c r="H6" s="6"/>
      <c r="I6" s="7"/>
      <c r="J6" s="7" t="s">
        <v>8</v>
      </c>
      <c r="K6" s="7" t="s">
        <v>86</v>
      </c>
      <c r="L6" s="8"/>
      <c r="M6" s="6" t="s">
        <v>10</v>
      </c>
      <c r="N6" s="4" t="s">
        <v>11</v>
      </c>
      <c r="O6" s="9"/>
      <c r="P6" s="8"/>
      <c r="Q6" s="8"/>
      <c r="R6" s="8"/>
    </row>
    <row r="7" ht="17.25" customHeight="1">
      <c r="AD7" s="11"/>
      <c r="AE7" s="12"/>
      <c r="AF7" s="12"/>
      <c r="AG7" s="12"/>
      <c r="AH7" s="12"/>
      <c r="AI7" s="12"/>
      <c r="AK7" s="11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BB7" s="12"/>
      <c r="BC7" s="12"/>
      <c r="BD7" s="12"/>
      <c r="BE7" s="12"/>
      <c r="BF7" s="12"/>
      <c r="BG7" s="12"/>
      <c r="BH7" s="12"/>
    </row>
    <row r="8" ht="9.75" customHeight="1">
      <c r="AD8" s="12"/>
      <c r="AE8" s="12"/>
      <c r="AF8" s="12"/>
      <c r="AG8" s="12"/>
      <c r="AH8" s="12"/>
      <c r="AI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W8" s="11"/>
      <c r="BB8" s="12"/>
      <c r="BC8" s="12"/>
      <c r="BD8" s="12"/>
      <c r="BE8" s="12"/>
      <c r="BF8" s="12"/>
      <c r="BG8" s="12"/>
      <c r="BH8" s="12"/>
      <c r="BJ8" s="10" t="str">
        <f>IF($AE8="","",$AE8)</f>
        <v/>
      </c>
    </row>
    <row r="9" ht="12.75" customHeight="1">
      <c r="C9" s="13"/>
      <c r="D9" s="14"/>
      <c r="E9" s="14"/>
      <c r="F9" s="15"/>
      <c r="G9" s="13"/>
      <c r="H9" s="15"/>
      <c r="I9" s="13"/>
      <c r="J9" s="15"/>
      <c r="K9" s="13"/>
      <c r="L9" s="15"/>
      <c r="M9" s="13"/>
      <c r="N9" s="15"/>
      <c r="O9" s="16"/>
      <c r="P9" s="17"/>
      <c r="Q9" s="16"/>
      <c r="R9" s="18"/>
    </row>
    <row r="10" ht="26.25" customHeight="1">
      <c r="C10" s="19"/>
      <c r="D10" s="20"/>
      <c r="E10" s="20"/>
      <c r="F10" s="21"/>
      <c r="G10" s="19"/>
      <c r="H10" s="21"/>
      <c r="I10" s="22"/>
      <c r="J10" s="23"/>
      <c r="K10" s="24"/>
      <c r="L10" s="25"/>
      <c r="M10" s="26"/>
      <c r="N10" s="27"/>
      <c r="O10" s="28"/>
      <c r="P10" s="29"/>
      <c r="Q10" s="28"/>
      <c r="R10" s="30"/>
    </row>
    <row r="11" ht="26.25" customHeight="1">
      <c r="C11" s="20"/>
      <c r="D11" s="20"/>
      <c r="E11" s="20"/>
      <c r="F11" s="20"/>
      <c r="G11" s="20"/>
      <c r="H11" s="20"/>
      <c r="I11" s="66"/>
      <c r="J11" s="66"/>
      <c r="K11" s="67"/>
      <c r="L11" s="67"/>
      <c r="M11" s="68"/>
      <c r="N11" s="68"/>
      <c r="O11" s="69"/>
      <c r="P11" s="69"/>
      <c r="Q11" s="69"/>
    </row>
    <row r="12" ht="19.5" customHeight="1">
      <c r="C12" s="70" t="s">
        <v>88</v>
      </c>
      <c r="D12" s="70" t="s">
        <v>89</v>
      </c>
      <c r="E12" s="70" t="s">
        <v>90</v>
      </c>
      <c r="F12" s="70" t="s">
        <v>91</v>
      </c>
      <c r="G12" s="70" t="s">
        <v>92</v>
      </c>
      <c r="H12" s="70" t="s">
        <v>93</v>
      </c>
      <c r="I12" s="70" t="s">
        <v>94</v>
      </c>
      <c r="J12" s="70" t="s">
        <v>46</v>
      </c>
      <c r="K12" s="70" t="s">
        <v>95</v>
      </c>
      <c r="L12" s="70" t="s">
        <v>96</v>
      </c>
      <c r="M12" s="70" t="s">
        <v>97</v>
      </c>
      <c r="N12" s="70" t="s">
        <v>98</v>
      </c>
      <c r="O12" s="70" t="s">
        <v>99</v>
      </c>
      <c r="P12" s="70" t="s">
        <v>100</v>
      </c>
      <c r="Q12" s="70" t="s">
        <v>101</v>
      </c>
      <c r="R12" s="70" t="s">
        <v>102</v>
      </c>
      <c r="S12" s="71" t="s">
        <v>103</v>
      </c>
      <c r="T12" s="71" t="s">
        <v>104</v>
      </c>
      <c r="U12" s="71" t="s">
        <v>105</v>
      </c>
      <c r="V12" s="71" t="s">
        <v>106</v>
      </c>
      <c r="W12" s="72"/>
      <c r="X12" s="72"/>
      <c r="Y12" s="72"/>
      <c r="Z12" s="72"/>
      <c r="AA12" s="72"/>
    </row>
    <row r="13" ht="15" customHeight="1">
      <c r="C13" s="73" t="s">
        <v>107</v>
      </c>
      <c r="D13" s="73" t="s">
        <v>108</v>
      </c>
      <c r="E13" s="73" t="s">
        <v>109</v>
      </c>
      <c r="F13" s="73" t="s">
        <v>110</v>
      </c>
      <c r="G13" s="73" t="s">
        <v>111</v>
      </c>
      <c r="H13" s="73">
        <v>44.737599</v>
      </c>
      <c r="I13" s="73">
        <v>2</v>
      </c>
      <c r="J13" s="73">
        <v>302351.043627</v>
      </c>
      <c r="K13" s="73">
        <v>57673.16447</v>
      </c>
      <c r="L13" s="73">
        <v>244677.879157</v>
      </c>
      <c r="M13" s="73">
        <v>189069.179318</v>
      </c>
      <c r="N13" s="73">
        <v>246742.343788</v>
      </c>
      <c r="O13" s="73">
        <v>55608.699839</v>
      </c>
      <c r="P13" s="73">
        <v>35</v>
      </c>
      <c r="Q13" s="73">
        <v>0.227274</v>
      </c>
      <c r="R13" s="73" t="s">
        <v>112</v>
      </c>
      <c r="S13" s="74">
        <f>IF(OR($C13="",COUNT($H13:$Q13)=0),"",IF($R13="Fermer","",IF(SUMPRODUCT(($C$13:$C$72=$C13)*($D$13:$D$72=$D13)*($R$13:$R$72&lt;&gt;"Fermer"),$M$13:$M$72)=0,$M13,$M13*SUMPRODUCT(($C$13:$C$72=$C13)*($D$13:$D$72=$D13),$M$13:$M$72)/SUMPRODUCT(($C$13:$C$72=$C13)*($D$13:$D$72=$D13)*($R$13:$R$72&lt;&gt;"Fermer"),$M$13:$M$72))))</f>
      </c>
      <c r="T13" s="75">
        <f>IF(OR($C13="",COUNT($H13:$Q13)=0),"",IF($R13="Fermer","",$J13-$K13-$S13))</f>
      </c>
      <c r="U13" s="74">
        <f>IF(OR($C13="",COUNT($H13:$Q13)=0),"",IF($R13="Fermer",-$L13,0))</f>
      </c>
      <c r="V13" s="76">
        <f>IF(OR($C13="",COUNT($H13:$Q13)=0),"",IF($R13="Fermer","Fermer = perdre "&amp;TEXT($L13,"#,##0")&amp;" € de contribution. Le fixe, lui, reste.",IF(AND($O13&gt;=0,$T13&lt;0),"BASCULE : saine avant, en déficit à cause d'une fermeture voisine.",IF(AND($O13&lt;0,$L13&gt;0),"Déficit au coût complet mais contribution positive : ne pas fermer, c'est un artefact d'allocation.",IF($O13&lt;0,"Contribution négative : vrai point dur.","Rentable. Point mort "&amp;TEXT($P13,"#,##0")&amp;" étudiants, marge de sécurité "&amp;TEXT($Q13,"0%")&amp;".")))))</f>
      </c>
      <c r="W13" s="77"/>
      <c r="X13" s="77"/>
      <c r="Y13" s="77"/>
      <c r="Z13" s="77"/>
      <c r="AA13" s="77"/>
    </row>
    <row r="14" ht="14.25" customHeight="1">
      <c r="C14" s="73" t="s">
        <v>107</v>
      </c>
      <c r="D14" s="73" t="s">
        <v>108</v>
      </c>
      <c r="E14" s="73" t="s">
        <v>109</v>
      </c>
      <c r="F14" s="73" t="s">
        <v>114</v>
      </c>
      <c r="G14" s="73" t="s">
        <v>111</v>
      </c>
      <c r="H14" s="73">
        <v>39.2</v>
      </c>
      <c r="I14" s="73">
        <v>2</v>
      </c>
      <c r="J14" s="73">
        <v>261398.1734</v>
      </c>
      <c r="K14" s="73">
        <v>39248.517136</v>
      </c>
      <c r="L14" s="73">
        <v>222149.656264</v>
      </c>
      <c r="M14" s="73">
        <v>189069.179318</v>
      </c>
      <c r="N14" s="73">
        <v>228317.696454</v>
      </c>
      <c r="O14" s="73">
        <v>33080.476946</v>
      </c>
      <c r="P14" s="73">
        <v>34</v>
      </c>
      <c r="Q14" s="73">
        <v>0.148911</v>
      </c>
      <c r="R14" s="73" t="s">
        <v>115</v>
      </c>
      <c r="S14" s="74">
        <f>IF(OR($C14="",COUNT($H14:$Q14)=0),"",IF($R14="Fermer","",IF(SUMPRODUCT(($C$13:$C$72=$C14)*($D$13:$D$72=$D14)*($R$13:$R$72&lt;&gt;"Fermer"),$M$13:$M$72)=0,$M14,$M14*SUMPRODUCT(($C$13:$C$72=$C14)*($D$13:$D$72=$D14),$M$13:$M$72)/SUMPRODUCT(($C$13:$C$72=$C14)*($D$13:$D$72=$D14)*($R$13:$R$72&lt;&gt;"Fermer"),$M$13:$M$72))))</f>
      </c>
      <c r="T14" s="75">
        <f>IF(OR($C14="",COUNT($H14:$Q14)=0),"",IF($R14="Fermer","",$J14-$K14-$S14))</f>
      </c>
      <c r="U14" s="74">
        <f>IF(OR($C14="",COUNT($H14:$Q14)=0),"",IF($R14="Fermer",-$L14,0))</f>
      </c>
      <c r="V14" s="76">
        <f>IF(OR($C14="",COUNT($H14:$Q14)=0),"",IF($R14="Fermer","Fermer = perdre "&amp;TEXT($L14,"#,##0")&amp;" € de contribution. Le fixe, lui, reste.",IF(AND($O14&gt;=0,$T14&lt;0),"BASCULE : saine avant, en déficit à cause d'une fermeture voisine.",IF(AND($O14&lt;0,$L14&gt;0),"Déficit au coût complet mais contribution positive : ne pas fermer, c'est un artefact d'allocation.",IF($O14&lt;0,"Contribution négative : vrai point dur.","Rentable. Point mort "&amp;TEXT($P14,"#,##0")&amp;" étudiants, marge de sécurité "&amp;TEXT($Q14,"0%")&amp;".")))))</f>
      </c>
    </row>
    <row r="15" ht="14.25" customHeight="1">
      <c r="C15" s="73" t="s">
        <v>107</v>
      </c>
      <c r="D15" s="73" t="s">
        <v>108</v>
      </c>
      <c r="E15" s="73" t="s">
        <v>109</v>
      </c>
      <c r="F15" s="73" t="s">
        <v>117</v>
      </c>
      <c r="G15" s="73" t="s">
        <v>111</v>
      </c>
      <c r="H15" s="73">
        <v>38.195</v>
      </c>
      <c r="I15" s="73">
        <v>2</v>
      </c>
      <c r="J15" s="73">
        <v>254696.511046</v>
      </c>
      <c r="K15" s="73">
        <v>38879.652754</v>
      </c>
      <c r="L15" s="73">
        <v>215816.858292</v>
      </c>
      <c r="M15" s="73">
        <v>189069.179318</v>
      </c>
      <c r="N15" s="73">
        <v>227948.832072</v>
      </c>
      <c r="O15" s="73">
        <v>26747.678974</v>
      </c>
      <c r="P15" s="73">
        <v>34</v>
      </c>
      <c r="Q15" s="73">
        <v>0.123937</v>
      </c>
      <c r="R15" s="73" t="s">
        <v>115</v>
      </c>
      <c r="S15" s="74">
        <f>IF(OR($C15="",COUNT($H15:$Q15)=0),"",IF($R15="Fermer","",IF(SUMPRODUCT(($C$13:$C$72=$C15)*($D$13:$D$72=$D15)*($R$13:$R$72&lt;&gt;"Fermer"),$M$13:$M$72)=0,$M15,$M15*SUMPRODUCT(($C$13:$C$72=$C15)*($D$13:$D$72=$D15),$M$13:$M$72)/SUMPRODUCT(($C$13:$C$72=$C15)*($D$13:$D$72=$D15)*($R$13:$R$72&lt;&gt;"Fermer"),$M$13:$M$72))))</f>
      </c>
      <c r="T15" s="75">
        <f>IF(OR($C15="",COUNT($H15:$Q15)=0),"",IF($R15="Fermer","",$J15-$K15-$S15))</f>
      </c>
      <c r="U15" s="74">
        <f>IF(OR($C15="",COUNT($H15:$Q15)=0),"",IF($R15="Fermer",-$L15,0))</f>
      </c>
      <c r="V15" s="76">
        <f>IF(OR($C15="",COUNT($H15:$Q15)=0),"",IF($R15="Fermer","Fermer = perdre "&amp;TEXT($L15,"#,##0")&amp;" € de contribution. Le fixe, lui, reste.",IF(AND($O15&gt;=0,$T15&lt;0),"BASCULE : saine avant, en déficit à cause d'une fermeture voisine.",IF(AND($O15&lt;0,$L15&gt;0),"Déficit au coût complet mais contribution positive : ne pas fermer, c'est un artefact d'allocation.",IF($O15&lt;0,"Contribution négative : vrai point dur.","Rentable. Point mort "&amp;TEXT($P15,"#,##0")&amp;" étudiants, marge de sécurité "&amp;TEXT($Q15,"0%")&amp;".")))))</f>
      </c>
    </row>
    <row r="16" ht="14.25" customHeight="1">
      <c r="C16" s="73" t="s">
        <v>107</v>
      </c>
      <c r="D16" s="73" t="s">
        <v>119</v>
      </c>
      <c r="E16" s="73" t="s">
        <v>109</v>
      </c>
      <c r="F16" s="73" t="s">
        <v>110</v>
      </c>
      <c r="G16" s="73" t="s">
        <v>111</v>
      </c>
      <c r="H16" s="73">
        <v>55.832531</v>
      </c>
      <c r="I16" s="73">
        <v>2</v>
      </c>
      <c r="J16" s="73">
        <v>396929.37515</v>
      </c>
      <c r="K16" s="73">
        <v>68859.087983</v>
      </c>
      <c r="L16" s="73">
        <v>328070.287167</v>
      </c>
      <c r="M16" s="73">
        <v>251610.866464</v>
      </c>
      <c r="N16" s="73">
        <v>320469.954447</v>
      </c>
      <c r="O16" s="73">
        <v>76459.420703</v>
      </c>
      <c r="P16" s="73">
        <v>43</v>
      </c>
      <c r="Q16" s="73">
        <v>0.233059</v>
      </c>
      <c r="R16" s="73" t="s">
        <v>112</v>
      </c>
      <c r="S16" s="74">
        <f>IF(OR($C16="",COUNT($H16:$Q16)=0),"",IF($R16="Fermer","",IF(SUMPRODUCT(($C$13:$C$72=$C16)*($D$13:$D$72=$D16)*($R$13:$R$72&lt;&gt;"Fermer"),$M$13:$M$72)=0,$M16,$M16*SUMPRODUCT(($C$13:$C$72=$C16)*($D$13:$D$72=$D16),$M$13:$M$72)/SUMPRODUCT(($C$13:$C$72=$C16)*($D$13:$D$72=$D16)*($R$13:$R$72&lt;&gt;"Fermer"),$M$13:$M$72))))</f>
      </c>
      <c r="T16" s="75">
        <f>IF(OR($C16="",COUNT($H16:$Q16)=0),"",IF($R16="Fermer","",$J16-$K16-$S16))</f>
      </c>
      <c r="U16" s="74">
        <f>IF(OR($C16="",COUNT($H16:$Q16)=0),"",IF($R16="Fermer",-$L16,0))</f>
      </c>
      <c r="V16" s="76">
        <f>IF(OR($C16="",COUNT($H16:$Q16)=0),"",IF($R16="Fermer","Fermer = perdre "&amp;TEXT($L16,"#,##0")&amp;" € de contribution. Le fixe, lui, reste.",IF(AND($O16&gt;=0,$T16&lt;0),"BASCULE : saine avant, en déficit à cause d'une fermeture voisine.",IF(AND($O16&lt;0,$L16&gt;0),"Déficit au coût complet mais contribution positive : ne pas fermer, c'est un artefact d'allocation.",IF($O16&lt;0,"Contribution négative : vrai point dur.","Rentable. Point mort "&amp;TEXT($P16,"#,##0")&amp;" étudiants, marge de sécurité "&amp;TEXT($Q16,"0%")&amp;".")))))</f>
      </c>
    </row>
    <row r="17" ht="14.25" customHeight="1">
      <c r="C17" s="73" t="s">
        <v>107</v>
      </c>
      <c r="D17" s="73" t="s">
        <v>119</v>
      </c>
      <c r="E17" s="73" t="s">
        <v>109</v>
      </c>
      <c r="F17" s="73" t="s">
        <v>114</v>
      </c>
      <c r="G17" s="73" t="s">
        <v>111</v>
      </c>
      <c r="H17" s="73">
        <v>48.25</v>
      </c>
      <c r="I17" s="73">
        <v>2</v>
      </c>
      <c r="J17" s="73">
        <v>338680.50125</v>
      </c>
      <c r="K17" s="73">
        <v>42574.655944</v>
      </c>
      <c r="L17" s="73">
        <v>296105.845306</v>
      </c>
      <c r="M17" s="73">
        <v>251610.866464</v>
      </c>
      <c r="N17" s="73">
        <v>294185.522408</v>
      </c>
      <c r="O17" s="73">
        <v>44494.978842</v>
      </c>
      <c r="P17" s="73">
        <v>41</v>
      </c>
      <c r="Q17" s="73">
        <v>0.150268</v>
      </c>
      <c r="R17" s="73" t="s">
        <v>115</v>
      </c>
      <c r="S17" s="74">
        <f>IF(OR($C17="",COUNT($H17:$Q17)=0),"",IF($R17="Fermer","",IF(SUMPRODUCT(($C$13:$C$72=$C17)*($D$13:$D$72=$D17)*($R$13:$R$72&lt;&gt;"Fermer"),$M$13:$M$72)=0,$M17,$M17*SUMPRODUCT(($C$13:$C$72=$C17)*($D$13:$D$72=$D17),$M$13:$M$72)/SUMPRODUCT(($C$13:$C$72=$C17)*($D$13:$D$72=$D17)*($R$13:$R$72&lt;&gt;"Fermer"),$M$13:$M$72))))</f>
      </c>
      <c r="T17" s="75">
        <f>IF(OR($C17="",COUNT($H17:$Q17)=0),"",IF($R17="Fermer","",$J17-$K17-$S17))</f>
      </c>
      <c r="U17" s="74">
        <f>IF(OR($C17="",COUNT($H17:$Q17)=0),"",IF($R17="Fermer",-$L17,0))</f>
      </c>
      <c r="V17" s="76">
        <f>IF(OR($C17="",COUNT($H17:$Q17)=0),"",IF($R17="Fermer","Fermer = perdre "&amp;TEXT($L17,"#,##0")&amp;" € de contribution. Le fixe, lui, reste.",IF(AND($O17&gt;=0,$T17&lt;0),"BASCULE : saine avant, en déficit à cause d'une fermeture voisine.",IF(AND($O17&lt;0,$L17&gt;0),"Déficit au coût complet mais contribution positive : ne pas fermer, c'est un artefact d'allocation.",IF($O17&lt;0,"Contribution négative : vrai point dur.","Rentable. Point mort "&amp;TEXT($P17,"#,##0")&amp;" étudiants, marge de sécurité "&amp;TEXT($Q17,"0%")&amp;".")))))</f>
      </c>
    </row>
    <row r="18" ht="14.25" customHeight="1">
      <c r="C18" s="73" t="s">
        <v>107</v>
      </c>
      <c r="D18" s="73" t="s">
        <v>119</v>
      </c>
      <c r="E18" s="73" t="s">
        <v>109</v>
      </c>
      <c r="F18" s="73" t="s">
        <v>117</v>
      </c>
      <c r="G18" s="73" t="s">
        <v>111</v>
      </c>
      <c r="H18" s="73">
        <v>47.24</v>
      </c>
      <c r="I18" s="73">
        <v>2</v>
      </c>
      <c r="J18" s="73">
        <v>331591.0234</v>
      </c>
      <c r="K18" s="73">
        <v>42203.842025</v>
      </c>
      <c r="L18" s="73">
        <v>289387.181375</v>
      </c>
      <c r="M18" s="73">
        <v>251610.866464</v>
      </c>
      <c r="N18" s="73">
        <v>293814.708489</v>
      </c>
      <c r="O18" s="73">
        <v>37776.314911</v>
      </c>
      <c r="P18" s="73">
        <v>42</v>
      </c>
      <c r="Q18" s="73">
        <v>0.13054</v>
      </c>
      <c r="R18" s="73" t="s">
        <v>115</v>
      </c>
      <c r="S18" s="74">
        <f>IF(OR($C18="",COUNT($H18:$Q18)=0),"",IF($R18="Fermer","",IF(SUMPRODUCT(($C$13:$C$72=$C18)*($D$13:$D$72=$D18)*($R$13:$R$72&lt;&gt;"Fermer"),$M$13:$M$72)=0,$M18,$M18*SUMPRODUCT(($C$13:$C$72=$C18)*($D$13:$D$72=$D18),$M$13:$M$72)/SUMPRODUCT(($C$13:$C$72=$C18)*($D$13:$D$72=$D18)*($R$13:$R$72&lt;&gt;"Fermer"),$M$13:$M$72))))</f>
      </c>
      <c r="T18" s="75">
        <f>IF(OR($C18="",COUNT($H18:$Q18)=0),"",IF($R18="Fermer","",$J18-$K18-$S18))</f>
      </c>
      <c r="U18" s="74">
        <f>IF(OR($C18="",COUNT($H18:$Q18)=0),"",IF($R18="Fermer",-$L18,0))</f>
      </c>
      <c r="V18" s="76">
        <f>IF(OR($C18="",COUNT($H18:$Q18)=0),"",IF($R18="Fermer","Fermer = perdre "&amp;TEXT($L18,"#,##0")&amp;" € de contribution. Le fixe, lui, reste.",IF(AND($O18&gt;=0,$T18&lt;0),"BASCULE : saine avant, en déficit à cause d'une fermeture voisine.",IF(AND($O18&lt;0,$L18&gt;0),"Déficit au coût complet mais contribution positive : ne pas fermer, c'est un artefact d'allocation.",IF($O18&lt;0,"Contribution négative : vrai point dur.","Rentable. Point mort "&amp;TEXT($P18,"#,##0")&amp;" étudiants, marge de sécurité "&amp;TEXT($Q18,"0%")&amp;".")))))</f>
      </c>
    </row>
    <row r="19" ht="14.25" customHeight="1">
      <c r="C19" s="73" t="s">
        <v>107</v>
      </c>
      <c r="D19" s="73" t="s">
        <v>123</v>
      </c>
      <c r="E19" s="73" t="s">
        <v>109</v>
      </c>
      <c r="F19" s="73" t="s">
        <v>110</v>
      </c>
      <c r="G19" s="73" t="s">
        <v>111</v>
      </c>
      <c r="H19" s="73">
        <v>44.726592</v>
      </c>
      <c r="I19" s="73">
        <v>2</v>
      </c>
      <c r="J19" s="73">
        <v>302276.65479</v>
      </c>
      <c r="K19" s="73">
        <v>57406.009448</v>
      </c>
      <c r="L19" s="73">
        <v>244870.645342</v>
      </c>
      <c r="M19" s="73">
        <v>189150.526019</v>
      </c>
      <c r="N19" s="73">
        <v>246556.535467</v>
      </c>
      <c r="O19" s="73">
        <v>55720.119323</v>
      </c>
      <c r="P19" s="73">
        <v>35</v>
      </c>
      <c r="Q19" s="73">
        <v>0.22755</v>
      </c>
      <c r="R19" s="73" t="s">
        <v>112</v>
      </c>
      <c r="S19" s="74">
        <f>IF(OR($C19="",COUNT($H19:$Q19)=0),"",IF($R19="Fermer","",IF(SUMPRODUCT(($C$13:$C$72=$C19)*($D$13:$D$72=$D19)*($R$13:$R$72&lt;&gt;"Fermer"),$M$13:$M$72)=0,$M19,$M19*SUMPRODUCT(($C$13:$C$72=$C19)*($D$13:$D$72=$D19),$M$13:$M$72)/SUMPRODUCT(($C$13:$C$72=$C19)*($D$13:$D$72=$D19)*($R$13:$R$72&lt;&gt;"Fermer"),$M$13:$M$72))))</f>
      </c>
      <c r="T19" s="75">
        <f>IF(OR($C19="",COUNT($H19:$Q19)=0),"",IF($R19="Fermer","",$J19-$K19-$S19))</f>
      </c>
      <c r="U19" s="74">
        <f>IF(OR($C19="",COUNT($H19:$Q19)=0),"",IF($R19="Fermer",-$L19,0))</f>
      </c>
      <c r="V19" s="76">
        <f>IF(OR($C19="",COUNT($H19:$Q19)=0),"",IF($R19="Fermer","Fermer = perdre "&amp;TEXT($L19,"#,##0")&amp;" € de contribution. Le fixe, lui, reste.",IF(AND($O19&gt;=0,$T19&lt;0),"BASCULE : saine avant, en déficit à cause d'une fermeture voisine.",IF(AND($O19&lt;0,$L19&gt;0),"Déficit au coût complet mais contribution positive : ne pas fermer, c'est un artefact d'allocation.",IF($O19&lt;0,"Contribution négative : vrai point dur.","Rentable. Point mort "&amp;TEXT($P19,"#,##0")&amp;" étudiants, marge de sécurité "&amp;TEXT($Q19,"0%")&amp;".")))))</f>
      </c>
    </row>
    <row r="20" ht="14.25" customHeight="1">
      <c r="C20" s="73" t="s">
        <v>107</v>
      </c>
      <c r="D20" s="73" t="s">
        <v>123</v>
      </c>
      <c r="E20" s="73" t="s">
        <v>109</v>
      </c>
      <c r="F20" s="73" t="s">
        <v>114</v>
      </c>
      <c r="G20" s="73" t="s">
        <v>111</v>
      </c>
      <c r="H20" s="73">
        <v>39.2</v>
      </c>
      <c r="I20" s="73">
        <v>2</v>
      </c>
      <c r="J20" s="73">
        <v>261398.1734</v>
      </c>
      <c r="K20" s="73">
        <v>39249.817059</v>
      </c>
      <c r="L20" s="73">
        <v>222148.356341</v>
      </c>
      <c r="M20" s="73">
        <v>189150.526019</v>
      </c>
      <c r="N20" s="73">
        <v>228400.343078</v>
      </c>
      <c r="O20" s="73">
        <v>32997.830322</v>
      </c>
      <c r="P20" s="73">
        <v>34</v>
      </c>
      <c r="Q20" s="73">
        <v>0.14854</v>
      </c>
      <c r="R20" s="73" t="s">
        <v>115</v>
      </c>
      <c r="S20" s="74">
        <f>IF(OR($C20="",COUNT($H20:$Q20)=0),"",IF($R20="Fermer","",IF(SUMPRODUCT(($C$13:$C$72=$C20)*($D$13:$D$72=$D20)*($R$13:$R$72&lt;&gt;"Fermer"),$M$13:$M$72)=0,$M20,$M20*SUMPRODUCT(($C$13:$C$72=$C20)*($D$13:$D$72=$D20),$M$13:$M$72)/SUMPRODUCT(($C$13:$C$72=$C20)*($D$13:$D$72=$D20)*($R$13:$R$72&lt;&gt;"Fermer"),$M$13:$M$72))))</f>
      </c>
      <c r="T20" s="75">
        <f>IF(OR($C20="",COUNT($H20:$Q20)=0),"",IF($R20="Fermer","",$J20-$K20-$S20))</f>
      </c>
      <c r="U20" s="74">
        <f>IF(OR($C20="",COUNT($H20:$Q20)=0),"",IF($R20="Fermer",-$L20,0))</f>
      </c>
      <c r="V20" s="76">
        <f>IF(OR($C20="",COUNT($H20:$Q20)=0),"",IF($R20="Fermer","Fermer = perdre "&amp;TEXT($L20,"#,##0")&amp;" € de contribution. Le fixe, lui, reste.",IF(AND($O20&gt;=0,$T20&lt;0),"BASCULE : saine avant, en déficit à cause d'une fermeture voisine.",IF(AND($O20&lt;0,$L20&gt;0),"Déficit au coût complet mais contribution positive : ne pas fermer, c'est un artefact d'allocation.",IF($O20&lt;0,"Contribution négative : vrai point dur.","Rentable. Point mort "&amp;TEXT($P20,"#,##0")&amp;" étudiants, marge de sécurité "&amp;TEXT($Q20,"0%")&amp;".")))))</f>
      </c>
    </row>
    <row r="21" ht="14.25" customHeight="1">
      <c r="C21" s="73" t="s">
        <v>107</v>
      </c>
      <c r="D21" s="73" t="s">
        <v>123</v>
      </c>
      <c r="E21" s="73" t="s">
        <v>109</v>
      </c>
      <c r="F21" s="73" t="s">
        <v>117</v>
      </c>
      <c r="G21" s="73" t="s">
        <v>111</v>
      </c>
      <c r="H21" s="73">
        <v>38.195</v>
      </c>
      <c r="I21" s="73">
        <v>2</v>
      </c>
      <c r="J21" s="73">
        <v>254696.511046</v>
      </c>
      <c r="K21" s="73">
        <v>38880.952677</v>
      </c>
      <c r="L21" s="73">
        <v>215815.558369</v>
      </c>
      <c r="M21" s="73">
        <v>189150.526019</v>
      </c>
      <c r="N21" s="73">
        <v>228031.478696</v>
      </c>
      <c r="O21" s="73">
        <v>26665.03235</v>
      </c>
      <c r="P21" s="73">
        <v>34</v>
      </c>
      <c r="Q21" s="73">
        <v>0.123555</v>
      </c>
      <c r="R21" s="73" t="s">
        <v>115</v>
      </c>
      <c r="S21" s="74">
        <f>IF(OR($C21="",COUNT($H21:$Q21)=0),"",IF($R21="Fermer","",IF(SUMPRODUCT(($C$13:$C$72=$C21)*($D$13:$D$72=$D21)*($R$13:$R$72&lt;&gt;"Fermer"),$M$13:$M$72)=0,$M21,$M21*SUMPRODUCT(($C$13:$C$72=$C21)*($D$13:$D$72=$D21),$M$13:$M$72)/SUMPRODUCT(($C$13:$C$72=$C21)*($D$13:$D$72=$D21)*($R$13:$R$72&lt;&gt;"Fermer"),$M$13:$M$72))))</f>
      </c>
      <c r="T21" s="75">
        <f>IF(OR($C21="",COUNT($H21:$Q21)=0),"",IF($R21="Fermer","",$J21-$K21-$S21))</f>
      </c>
      <c r="U21" s="74">
        <f>IF(OR($C21="",COUNT($H21:$Q21)=0),"",IF($R21="Fermer",-$L21,0))</f>
      </c>
      <c r="V21" s="76">
        <f>IF(OR($C21="",COUNT($H21:$Q21)=0),"",IF($R21="Fermer","Fermer = perdre "&amp;TEXT($L21,"#,##0")&amp;" € de contribution. Le fixe, lui, reste.",IF(AND($O21&gt;=0,$T21&lt;0),"BASCULE : saine avant, en déficit à cause d'une fermeture voisine.",IF(AND($O21&lt;0,$L21&gt;0),"Déficit au coût complet mais contribution positive : ne pas fermer, c'est un artefact d'allocation.",IF($O21&lt;0,"Contribution négative : vrai point dur.","Rentable. Point mort "&amp;TEXT($P21,"#,##0")&amp;" étudiants, marge de sécurité "&amp;TEXT($Q21,"0%")&amp;".")))))</f>
      </c>
    </row>
    <row r="22" ht="14.25" customHeight="1">
      <c r="C22" s="73" t="s">
        <v>35</v>
      </c>
      <c r="D22" s="73" t="s">
        <v>124</v>
      </c>
      <c r="E22" s="73" t="s">
        <v>125</v>
      </c>
      <c r="F22" s="73" t="s">
        <v>110</v>
      </c>
      <c r="G22" s="73" t="s">
        <v>126</v>
      </c>
      <c r="H22" s="73">
        <v>54.601406</v>
      </c>
      <c r="I22" s="73">
        <v>2</v>
      </c>
      <c r="J22" s="73">
        <v>407572.863954</v>
      </c>
      <c r="K22" s="73">
        <v>64563.805878</v>
      </c>
      <c r="L22" s="73">
        <v>343009.058076</v>
      </c>
      <c r="M22" s="73">
        <v>272607.80798</v>
      </c>
      <c r="N22" s="73">
        <v>337171.613858</v>
      </c>
      <c r="O22" s="73">
        <v>70401.250096</v>
      </c>
      <c r="P22" s="73">
        <v>44</v>
      </c>
      <c r="Q22" s="73">
        <v>0.205247</v>
      </c>
      <c r="R22" s="73" t="s">
        <v>112</v>
      </c>
      <c r="S22" s="74">
        <f>IF(OR($C22="",COUNT($H22:$Q22)=0),"",IF($R22="Fermer","",IF(SUMPRODUCT(($C$13:$C$72=$C22)*($D$13:$D$72=$D22)*($R$13:$R$72&lt;&gt;"Fermer"),$M$13:$M$72)=0,$M22,$M22*SUMPRODUCT(($C$13:$C$72=$C22)*($D$13:$D$72=$D22),$M$13:$M$72)/SUMPRODUCT(($C$13:$C$72=$C22)*($D$13:$D$72=$D22)*($R$13:$R$72&lt;&gt;"Fermer"),$M$13:$M$72))))</f>
      </c>
      <c r="T22" s="75">
        <f>IF(OR($C22="",COUNT($H22:$Q22)=0),"",IF($R22="Fermer","",$J22-$K22-$S22))</f>
      </c>
      <c r="U22" s="74">
        <f>IF(OR($C22="",COUNT($H22:$Q22)=0),"",IF($R22="Fermer",-$L22,0))</f>
      </c>
      <c r="V22" s="76">
        <f>IF(OR($C22="",COUNT($H22:$Q22)=0),"",IF($R22="Fermer","Fermer = perdre "&amp;TEXT($L22,"#,##0")&amp;" € de contribution. Le fixe, lui, reste.",IF(AND($O22&gt;=0,$T22&lt;0),"BASCULE : saine avant, en déficit à cause d'une fermeture voisine.",IF(AND($O22&lt;0,$L22&gt;0),"Déficit au coût complet mais contribution positive : ne pas fermer, c'est un artefact d'allocation.",IF($O22&lt;0,"Contribution négative : vrai point dur.","Rentable. Point mort "&amp;TEXT($P22,"#,##0")&amp;" étudiants, marge de sécurité "&amp;TEXT($Q22,"0%")&amp;".")))))</f>
      </c>
    </row>
    <row r="23" ht="14.25" customHeight="1">
      <c r="C23" s="73" t="s">
        <v>35</v>
      </c>
      <c r="D23" s="73" t="s">
        <v>124</v>
      </c>
      <c r="E23" s="73" t="s">
        <v>125</v>
      </c>
      <c r="F23" s="73" t="s">
        <v>114</v>
      </c>
      <c r="G23" s="73" t="s">
        <v>111</v>
      </c>
      <c r="H23" s="73">
        <v>48.25</v>
      </c>
      <c r="I23" s="73">
        <v>2</v>
      </c>
      <c r="J23" s="73">
        <v>332098.868325</v>
      </c>
      <c r="K23" s="73">
        <v>42543.283038</v>
      </c>
      <c r="L23" s="73">
        <v>289555.585287</v>
      </c>
      <c r="M23" s="73">
        <v>257434.941219</v>
      </c>
      <c r="N23" s="73">
        <v>299978.224257</v>
      </c>
      <c r="O23" s="73">
        <v>32120.644068</v>
      </c>
      <c r="P23" s="73">
        <v>43</v>
      </c>
      <c r="Q23" s="73">
        <v>0.110931</v>
      </c>
      <c r="R23" s="73" t="s">
        <v>115</v>
      </c>
      <c r="S23" s="74">
        <f>IF(OR($C23="",COUNT($H23:$Q23)=0),"",IF($R23="Fermer","",IF(SUMPRODUCT(($C$13:$C$72=$C23)*($D$13:$D$72=$D23)*($R$13:$R$72&lt;&gt;"Fermer"),$M$13:$M$72)=0,$M23,$M23*SUMPRODUCT(($C$13:$C$72=$C23)*($D$13:$D$72=$D23),$M$13:$M$72)/SUMPRODUCT(($C$13:$C$72=$C23)*($D$13:$D$72=$D23)*($R$13:$R$72&lt;&gt;"Fermer"),$M$13:$M$72))))</f>
      </c>
      <c r="T23" s="75">
        <f>IF(OR($C23="",COUNT($H23:$Q23)=0),"",IF($R23="Fermer","",$J23-$K23-$S23))</f>
      </c>
      <c r="U23" s="74">
        <f>IF(OR($C23="",COUNT($H23:$Q23)=0),"",IF($R23="Fermer",-$L23,0))</f>
      </c>
      <c r="V23" s="76">
        <f>IF(OR($C23="",COUNT($H23:$Q23)=0),"",IF($R23="Fermer","Fermer = perdre "&amp;TEXT($L23,"#,##0")&amp;" € de contribution. Le fixe, lui, reste.",IF(AND($O23&gt;=0,$T23&lt;0),"BASCULE : saine avant, en déficit à cause d'une fermeture voisine.",IF(AND($O23&lt;0,$L23&gt;0),"Déficit au coût complet mais contribution positive : ne pas fermer, c'est un artefact d'allocation.",IF($O23&lt;0,"Contribution négative : vrai point dur.","Rentable. Point mort "&amp;TEXT($P23,"#,##0")&amp;" étudiants, marge de sécurité "&amp;TEXT($Q23,"0%")&amp;".")))))</f>
      </c>
    </row>
    <row r="24" ht="14.25" customHeight="1">
      <c r="C24" s="73" t="s">
        <v>35</v>
      </c>
      <c r="D24" s="73" t="s">
        <v>124</v>
      </c>
      <c r="E24" s="73" t="s">
        <v>125</v>
      </c>
      <c r="F24" s="73" t="s">
        <v>117</v>
      </c>
      <c r="G24" s="73" t="s">
        <v>111</v>
      </c>
      <c r="H24" s="73">
        <v>47.24</v>
      </c>
      <c r="I24" s="73">
        <v>2</v>
      </c>
      <c r="J24" s="73">
        <v>325147.161444</v>
      </c>
      <c r="K24" s="73">
        <v>42173.0978</v>
      </c>
      <c r="L24" s="73">
        <v>282974.063644</v>
      </c>
      <c r="M24" s="73">
        <v>257434.941219</v>
      </c>
      <c r="N24" s="73">
        <v>299608.039019</v>
      </c>
      <c r="O24" s="73">
        <v>25539.122425</v>
      </c>
      <c r="P24" s="73">
        <v>43</v>
      </c>
      <c r="Q24" s="73">
        <v>0.090253</v>
      </c>
      <c r="R24" s="73" t="s">
        <v>115</v>
      </c>
      <c r="S24" s="74">
        <f>IF(OR($C24="",COUNT($H24:$Q24)=0),"",IF($R24="Fermer","",IF(SUMPRODUCT(($C$13:$C$72=$C24)*($D$13:$D$72=$D24)*($R$13:$R$72&lt;&gt;"Fermer"),$M$13:$M$72)=0,$M24,$M24*SUMPRODUCT(($C$13:$C$72=$C24)*($D$13:$D$72=$D24),$M$13:$M$72)/SUMPRODUCT(($C$13:$C$72=$C24)*($D$13:$D$72=$D24)*($R$13:$R$72&lt;&gt;"Fermer"),$M$13:$M$72))))</f>
      </c>
      <c r="T24" s="75">
        <f>IF(OR($C24="",COUNT($H24:$Q24)=0),"",IF($R24="Fermer","",$J24-$K24-$S24))</f>
      </c>
      <c r="U24" s="74">
        <f>IF(OR($C24="",COUNT($H24:$Q24)=0),"",IF($R24="Fermer",-$L24,0))</f>
      </c>
      <c r="V24" s="76">
        <f>IF(OR($C24="",COUNT($H24:$Q24)=0),"",IF($R24="Fermer","Fermer = perdre "&amp;TEXT($L24,"#,##0")&amp;" € de contribution. Le fixe, lui, reste.",IF(AND($O24&gt;=0,$T24&lt;0),"BASCULE : saine avant, en déficit à cause d'une fermeture voisine.",IF(AND($O24&lt;0,$L24&gt;0),"Déficit au coût complet mais contribution positive : ne pas fermer, c'est un artefact d'allocation.",IF($O24&lt;0,"Contribution négative : vrai point dur.","Rentable. Point mort "&amp;TEXT($P24,"#,##0")&amp;" étudiants, marge de sécurité "&amp;TEXT($Q24,"0%")&amp;".")))))</f>
      </c>
    </row>
    <row r="25" ht="14.25" customHeight="1">
      <c r="C25" s="73" t="s">
        <v>35</v>
      </c>
      <c r="D25" s="73" t="s">
        <v>124</v>
      </c>
      <c r="E25" s="73" t="s">
        <v>130</v>
      </c>
      <c r="F25" s="73" t="s">
        <v>131</v>
      </c>
      <c r="G25" s="73" t="s">
        <v>111</v>
      </c>
      <c r="H25" s="73">
        <v>55.745236</v>
      </c>
      <c r="I25" s="73">
        <v>2</v>
      </c>
      <c r="J25" s="73">
        <v>416110.997001</v>
      </c>
      <c r="K25" s="73">
        <v>55942.329597</v>
      </c>
      <c r="L25" s="73">
        <v>360168.667404</v>
      </c>
      <c r="M25" s="73">
        <v>249848.507839</v>
      </c>
      <c r="N25" s="73">
        <v>305790.837436</v>
      </c>
      <c r="O25" s="73">
        <v>110320.159565</v>
      </c>
      <c r="P25" s="73">
        <v>39</v>
      </c>
      <c r="Q25" s="73">
        <v>0.306302</v>
      </c>
      <c r="R25" s="73" t="s">
        <v>112</v>
      </c>
      <c r="S25" s="74">
        <f>IF(OR($C25="",COUNT($H25:$Q25)=0),"",IF($R25="Fermer","",IF(SUMPRODUCT(($C$13:$C$72=$C25)*($D$13:$D$72=$D25)*($R$13:$R$72&lt;&gt;"Fermer"),$M$13:$M$72)=0,$M25,$M25*SUMPRODUCT(($C$13:$C$72=$C25)*($D$13:$D$72=$D25),$M$13:$M$72)/SUMPRODUCT(($C$13:$C$72=$C25)*($D$13:$D$72=$D25)*($R$13:$R$72&lt;&gt;"Fermer"),$M$13:$M$72))))</f>
      </c>
      <c r="T25" s="75">
        <f>IF(OR($C25="",COUNT($H25:$Q25)=0),"",IF($R25="Fermer","",$J25-$K25-$S25))</f>
      </c>
      <c r="U25" s="74">
        <f>IF(OR($C25="",COUNT($H25:$Q25)=0),"",IF($R25="Fermer",-$L25,0))</f>
      </c>
      <c r="V25" s="76">
        <f>IF(OR($C25="",COUNT($H25:$Q25)=0),"",IF($R25="Fermer","Fermer = perdre "&amp;TEXT($L25,"#,##0")&amp;" € de contribution. Le fixe, lui, reste.",IF(AND($O25&gt;=0,$T25&lt;0),"BASCULE : saine avant, en déficit à cause d'une fermeture voisine.",IF(AND($O25&lt;0,$L25&gt;0),"Déficit au coût complet mais contribution positive : ne pas fermer, c'est un artefact d'allocation.",IF($O25&lt;0,"Contribution négative : vrai point dur.","Rentable. Point mort "&amp;TEXT($P25,"#,##0")&amp;" étudiants, marge de sécurité "&amp;TEXT($Q25,"0%")&amp;".")))))</f>
      </c>
    </row>
    <row r="26" ht="14.25" customHeight="1">
      <c r="C26" s="73" t="s">
        <v>35</v>
      </c>
      <c r="D26" s="73" t="s">
        <v>124</v>
      </c>
      <c r="E26" s="73" t="s">
        <v>130</v>
      </c>
      <c r="F26" s="73" t="s">
        <v>133</v>
      </c>
      <c r="G26" s="73" t="s">
        <v>111</v>
      </c>
      <c r="H26" s="73">
        <v>49.25</v>
      </c>
      <c r="I26" s="73">
        <v>2</v>
      </c>
      <c r="J26" s="73">
        <v>363194.728313</v>
      </c>
      <c r="K26" s="73">
        <v>39802.07458</v>
      </c>
      <c r="L26" s="73">
        <v>323392.653733</v>
      </c>
      <c r="M26" s="73">
        <v>249848.507839</v>
      </c>
      <c r="N26" s="73">
        <v>289650.582419</v>
      </c>
      <c r="O26" s="73">
        <v>73544.145894</v>
      </c>
      <c r="P26" s="73">
        <v>39</v>
      </c>
      <c r="Q26" s="73">
        <v>0.227415</v>
      </c>
      <c r="R26" s="73" t="s">
        <v>115</v>
      </c>
      <c r="S26" s="74">
        <f>IF(OR($C26="",COUNT($H26:$Q26)=0),"",IF($R26="Fermer","",IF(SUMPRODUCT(($C$13:$C$72=$C26)*($D$13:$D$72=$D26)*($R$13:$R$72&lt;&gt;"Fermer"),$M$13:$M$72)=0,$M26,$M26*SUMPRODUCT(($C$13:$C$72=$C26)*($D$13:$D$72=$D26),$M$13:$M$72)/SUMPRODUCT(($C$13:$C$72=$C26)*($D$13:$D$72=$D26)*($R$13:$R$72&lt;&gt;"Fermer"),$M$13:$M$72))))</f>
      </c>
      <c r="T26" s="75">
        <f>IF(OR($C26="",COUNT($H26:$Q26)=0),"",IF($R26="Fermer","",$J26-$K26-$S26))</f>
      </c>
      <c r="U26" s="74">
        <f>IF(OR($C26="",COUNT($H26:$Q26)=0),"",IF($R26="Fermer",-$L26,0))</f>
      </c>
      <c r="V26" s="76">
        <f>IF(OR($C26="",COUNT($H26:$Q26)=0),"",IF($R26="Fermer","Fermer = perdre "&amp;TEXT($L26,"#,##0")&amp;" € de contribution. Le fixe, lui, reste.",IF(AND($O26&gt;=0,$T26&lt;0),"BASCULE : saine avant, en déficit à cause d'une fermeture voisine.",IF(AND($O26&lt;0,$L26&gt;0),"Déficit au coût complet mais contribution positive : ne pas fermer, c'est un artefact d'allocation.",IF($O26&lt;0,"Contribution négative : vrai point dur.","Rentable. Point mort "&amp;TEXT($P26,"#,##0")&amp;" étudiants, marge de sécurité "&amp;TEXT($Q26,"0%")&amp;".")))))</f>
      </c>
    </row>
    <row r="27" ht="14.25" customHeight="1">
      <c r="C27" s="73" t="s">
        <v>35</v>
      </c>
      <c r="D27" s="73" t="s">
        <v>135</v>
      </c>
      <c r="E27" s="73" t="s">
        <v>125</v>
      </c>
      <c r="F27" s="73" t="s">
        <v>110</v>
      </c>
      <c r="G27" s="73" t="s">
        <v>126</v>
      </c>
      <c r="H27" s="73">
        <v>78.323408</v>
      </c>
      <c r="I27" s="73">
        <v>3</v>
      </c>
      <c r="J27" s="73">
        <v>667159.885872</v>
      </c>
      <c r="K27" s="73">
        <v>107867.733052</v>
      </c>
      <c r="L27" s="73">
        <v>559292.15282</v>
      </c>
      <c r="M27" s="73">
        <v>446438.83384</v>
      </c>
      <c r="N27" s="73">
        <v>554306.566892</v>
      </c>
      <c r="O27" s="73">
        <v>112853.31898</v>
      </c>
      <c r="P27" s="73">
        <v>63</v>
      </c>
      <c r="Q27" s="73">
        <v>0.201779</v>
      </c>
      <c r="R27" s="73" t="s">
        <v>112</v>
      </c>
      <c r="S27" s="74">
        <f>IF(OR($C27="",COUNT($H27:$Q27)=0),"",IF($R27="Fermer","",IF(SUMPRODUCT(($C$13:$C$72=$C27)*($D$13:$D$72=$D27)*($R$13:$R$72&lt;&gt;"Fermer"),$M$13:$M$72)=0,$M27,$M27*SUMPRODUCT(($C$13:$C$72=$C27)*($D$13:$D$72=$D27),$M$13:$M$72)/SUMPRODUCT(($C$13:$C$72=$C27)*($D$13:$D$72=$D27)*($R$13:$R$72&lt;&gt;"Fermer"),$M$13:$M$72))))</f>
      </c>
      <c r="T27" s="75">
        <f>IF(OR($C27="",COUNT($H27:$Q27)=0),"",IF($R27="Fermer","",$J27-$K27-$S27))</f>
      </c>
      <c r="U27" s="74">
        <f>IF(OR($C27="",COUNT($H27:$Q27)=0),"",IF($R27="Fermer",-$L27,0))</f>
      </c>
      <c r="V27" s="76">
        <f>IF(OR($C27="",COUNT($H27:$Q27)=0),"",IF($R27="Fermer","Fermer = perdre "&amp;TEXT($L27,"#,##0")&amp;" € de contribution. Le fixe, lui, reste.",IF(AND($O27&gt;=0,$T27&lt;0),"BASCULE : saine avant, en déficit à cause d'une fermeture voisine.",IF(AND($O27&lt;0,$L27&gt;0),"Déficit au coût complet mais contribution positive : ne pas fermer, c'est un artefact d'allocation.",IF($O27&lt;0,"Contribution négative : vrai point dur.","Rentable. Point mort "&amp;TEXT($P27,"#,##0")&amp;" étudiants, marge de sécurité "&amp;TEXT($Q27,"0%")&amp;".")))))</f>
      </c>
    </row>
    <row r="28" ht="14.25" customHeight="1">
      <c r="C28" s="73" t="s">
        <v>35</v>
      </c>
      <c r="D28" s="73" t="s">
        <v>135</v>
      </c>
      <c r="E28" s="73" t="s">
        <v>125</v>
      </c>
      <c r="F28" s="73" t="s">
        <v>114</v>
      </c>
      <c r="G28" s="73" t="s">
        <v>111</v>
      </c>
      <c r="H28" s="73">
        <v>70.36</v>
      </c>
      <c r="I28" s="73">
        <v>3</v>
      </c>
      <c r="J28" s="73">
        <v>553462.060704</v>
      </c>
      <c r="K28" s="73">
        <v>63127.821413</v>
      </c>
      <c r="L28" s="73">
        <v>490334.239291</v>
      </c>
      <c r="M28" s="73">
        <v>420425.743256</v>
      </c>
      <c r="N28" s="73">
        <v>483553.564669</v>
      </c>
      <c r="O28" s="73">
        <v>69908.496035</v>
      </c>
      <c r="P28" s="73">
        <v>61</v>
      </c>
      <c r="Q28" s="73">
        <v>0.142574</v>
      </c>
      <c r="R28" s="73" t="s">
        <v>115</v>
      </c>
      <c r="S28" s="74">
        <f>IF(OR($C28="",COUNT($H28:$Q28)=0),"",IF($R28="Fermer","",IF(SUMPRODUCT(($C$13:$C$72=$C28)*($D$13:$D$72=$D28)*($R$13:$R$72&lt;&gt;"Fermer"),$M$13:$M$72)=0,$M28,$M28*SUMPRODUCT(($C$13:$C$72=$C28)*($D$13:$D$72=$D28),$M$13:$M$72)/SUMPRODUCT(($C$13:$C$72=$C28)*($D$13:$D$72=$D28)*($R$13:$R$72&lt;&gt;"Fermer"),$M$13:$M$72))))</f>
      </c>
      <c r="T28" s="75">
        <f>IF(OR($C28="",COUNT($H28:$Q28)=0),"",IF($R28="Fermer","",$J28-$K28-$S28))</f>
      </c>
      <c r="U28" s="74">
        <f>IF(OR($C28="",COUNT($H28:$Q28)=0),"",IF($R28="Fermer",-$L28,0))</f>
      </c>
      <c r="V28" s="76">
        <f>IF(OR($C28="",COUNT($H28:$Q28)=0),"",IF($R28="Fermer","Fermer = perdre "&amp;TEXT($L28,"#,##0")&amp;" € de contribution. Le fixe, lui, reste.",IF(AND($O28&gt;=0,$T28&lt;0),"BASCULE : saine avant, en déficit à cause d'une fermeture voisine.",IF(AND($O28&lt;0,$L28&gt;0),"Déficit au coût complet mais contribution positive : ne pas fermer, c'est un artefact d'allocation.",IF($O28&lt;0,"Contribution négative : vrai point dur.","Rentable. Point mort "&amp;TEXT($P28,"#,##0")&amp;" étudiants, marge de sécurité "&amp;TEXT($Q28,"0%")&amp;".")))))</f>
      </c>
    </row>
    <row r="29" ht="14.25" customHeight="1">
      <c r="C29" s="73" t="s">
        <v>35</v>
      </c>
      <c r="D29" s="73" t="s">
        <v>135</v>
      </c>
      <c r="E29" s="73" t="s">
        <v>125</v>
      </c>
      <c r="F29" s="73" t="s">
        <v>117</v>
      </c>
      <c r="G29" s="73" t="s">
        <v>111</v>
      </c>
      <c r="H29" s="73">
        <v>69.35</v>
      </c>
      <c r="I29" s="73">
        <v>3</v>
      </c>
      <c r="J29" s="73">
        <v>545517.25284</v>
      </c>
      <c r="K29" s="73">
        <v>62757.02294</v>
      </c>
      <c r="L29" s="73">
        <v>482760.2299</v>
      </c>
      <c r="M29" s="73">
        <v>420425.743256</v>
      </c>
      <c r="N29" s="73">
        <v>483182.766196</v>
      </c>
      <c r="O29" s="73">
        <v>62334.486644</v>
      </c>
      <c r="P29" s="73">
        <v>61</v>
      </c>
      <c r="Q29" s="73">
        <v>0.129122</v>
      </c>
      <c r="R29" s="73" t="s">
        <v>115</v>
      </c>
      <c r="S29" s="74">
        <f>IF(OR($C29="",COUNT($H29:$Q29)=0),"",IF($R29="Fermer","",IF(SUMPRODUCT(($C$13:$C$72=$C29)*($D$13:$D$72=$D29)*($R$13:$R$72&lt;&gt;"Fermer"),$M$13:$M$72)=0,$M29,$M29*SUMPRODUCT(($C$13:$C$72=$C29)*($D$13:$D$72=$D29),$M$13:$M$72)/SUMPRODUCT(($C$13:$C$72=$C29)*($D$13:$D$72=$D29)*($R$13:$R$72&lt;&gt;"Fermer"),$M$13:$M$72))))</f>
      </c>
      <c r="T29" s="75">
        <f>IF(OR($C29="",COUNT($H29:$Q29)=0),"",IF($R29="Fermer","",$J29-$K29-$S29))</f>
      </c>
      <c r="U29" s="74">
        <f>IF(OR($C29="",COUNT($H29:$Q29)=0),"",IF($R29="Fermer",-$L29,0))</f>
      </c>
      <c r="V29" s="76">
        <f>IF(OR($C29="",COUNT($H29:$Q29)=0),"",IF($R29="Fermer","Fermer = perdre "&amp;TEXT($L29,"#,##0")&amp;" € de contribution. Le fixe, lui, reste.",IF(AND($O29&gt;=0,$T29&lt;0),"BASCULE : saine avant, en déficit à cause d'une fermeture voisine.",IF(AND($O29&lt;0,$L29&gt;0),"Déficit au coût complet mais contribution positive : ne pas fermer, c'est un artefact d'allocation.",IF($O29&lt;0,"Contribution négative : vrai point dur.","Rentable. Point mort "&amp;TEXT($P29,"#,##0")&amp;" étudiants, marge de sécurité "&amp;TEXT($Q29,"0%")&amp;".")))))</f>
      </c>
    </row>
    <row r="30" ht="14.25" customHeight="1">
      <c r="C30" s="73" t="s">
        <v>35</v>
      </c>
      <c r="D30" s="73" t="s">
        <v>135</v>
      </c>
      <c r="E30" s="73" t="s">
        <v>130</v>
      </c>
      <c r="F30" s="73" t="s">
        <v>131</v>
      </c>
      <c r="G30" s="73" t="s">
        <v>111</v>
      </c>
      <c r="H30" s="73">
        <v>79.958935</v>
      </c>
      <c r="I30" s="73">
        <v>3</v>
      </c>
      <c r="J30" s="73">
        <v>681091.327755</v>
      </c>
      <c r="K30" s="73">
        <v>95162.302579</v>
      </c>
      <c r="L30" s="73">
        <v>585929.025176</v>
      </c>
      <c r="M30" s="73">
        <v>407419.197964</v>
      </c>
      <c r="N30" s="73">
        <v>502581.500543</v>
      </c>
      <c r="O30" s="73">
        <v>178509.827212</v>
      </c>
      <c r="P30" s="73">
        <v>56</v>
      </c>
      <c r="Q30" s="73">
        <v>0.304662</v>
      </c>
      <c r="R30" s="73" t="s">
        <v>112</v>
      </c>
      <c r="S30" s="74">
        <f>IF(OR($C30="",COUNT($H30:$Q30)=0),"",IF($R30="Fermer","",IF(SUMPRODUCT(($C$13:$C$72=$C30)*($D$13:$D$72=$D30)*($R$13:$R$72&lt;&gt;"Fermer"),$M$13:$M$72)=0,$M30,$M30*SUMPRODUCT(($C$13:$C$72=$C30)*($D$13:$D$72=$D30),$M$13:$M$72)/SUMPRODUCT(($C$13:$C$72=$C30)*($D$13:$D$72=$D30)*($R$13:$R$72&lt;&gt;"Fermer"),$M$13:$M$72))))</f>
      </c>
      <c r="T30" s="75">
        <f>IF(OR($C30="",COUNT($H30:$Q30)=0),"",IF($R30="Fermer","",$J30-$K30-$S30))</f>
      </c>
      <c r="U30" s="74">
        <f>IF(OR($C30="",COUNT($H30:$Q30)=0),"",IF($R30="Fermer",-$L30,0))</f>
      </c>
      <c r="V30" s="76">
        <f>IF(OR($C30="",COUNT($H30:$Q30)=0),"",IF($R30="Fermer","Fermer = perdre "&amp;TEXT($L30,"#,##0")&amp;" € de contribution. Le fixe, lui, reste.",IF(AND($O30&gt;=0,$T30&lt;0),"BASCULE : saine avant, en déficit à cause d'une fermeture voisine.",IF(AND($O30&lt;0,$L30&gt;0),"Déficit au coût complet mais contribution positive : ne pas fermer, c'est un artefact d'allocation.",IF($O30&lt;0,"Contribution négative : vrai point dur.","Rentable. Point mort "&amp;TEXT($P30,"#,##0")&amp;" étudiants, marge de sécurité "&amp;TEXT($Q30,"0%")&amp;".")))))</f>
      </c>
    </row>
    <row r="31" ht="14.25" customHeight="1">
      <c r="C31" s="73" t="s">
        <v>35</v>
      </c>
      <c r="D31" s="73" t="s">
        <v>135</v>
      </c>
      <c r="E31" s="73" t="s">
        <v>130</v>
      </c>
      <c r="F31" s="73" t="s">
        <v>133</v>
      </c>
      <c r="G31" s="73" t="s">
        <v>111</v>
      </c>
      <c r="H31" s="73">
        <v>71.36</v>
      </c>
      <c r="I31" s="73">
        <v>3</v>
      </c>
      <c r="J31" s="73">
        <v>601423.07904</v>
      </c>
      <c r="K31" s="73">
        <v>58833.599092</v>
      </c>
      <c r="L31" s="73">
        <v>542589.479948</v>
      </c>
      <c r="M31" s="73">
        <v>407419.197964</v>
      </c>
      <c r="N31" s="73">
        <v>466252.797056</v>
      </c>
      <c r="O31" s="73">
        <v>135170.281984</v>
      </c>
      <c r="P31" s="73">
        <v>54</v>
      </c>
      <c r="Q31" s="73">
        <v>0.249121</v>
      </c>
      <c r="R31" s="73" t="s">
        <v>115</v>
      </c>
      <c r="S31" s="74">
        <f>IF(OR($C31="",COUNT($H31:$Q31)=0),"",IF($R31="Fermer","",IF(SUMPRODUCT(($C$13:$C$72=$C31)*($D$13:$D$72=$D31)*($R$13:$R$72&lt;&gt;"Fermer"),$M$13:$M$72)=0,$M31,$M31*SUMPRODUCT(($C$13:$C$72=$C31)*($D$13:$D$72=$D31),$M$13:$M$72)/SUMPRODUCT(($C$13:$C$72=$C31)*($D$13:$D$72=$D31)*($R$13:$R$72&lt;&gt;"Fermer"),$M$13:$M$72))))</f>
      </c>
      <c r="T31" s="75">
        <f>IF(OR($C31="",COUNT($H31:$Q31)=0),"",IF($R31="Fermer","",$J31-$K31-$S31))</f>
      </c>
      <c r="U31" s="74">
        <f>IF(OR($C31="",COUNT($H31:$Q31)=0),"",IF($R31="Fermer",-$L31,0))</f>
      </c>
      <c r="V31" s="76">
        <f>IF(OR($C31="",COUNT($H31:$Q31)=0),"",IF($R31="Fermer","Fermer = perdre "&amp;TEXT($L31,"#,##0")&amp;" € de contribution. Le fixe, lui, reste.",IF(AND($O31&gt;=0,$T31&lt;0),"BASCULE : saine avant, en déficit à cause d'une fermeture voisine.",IF(AND($O31&lt;0,$L31&gt;0),"Déficit au coût complet mais contribution positive : ne pas fermer, c'est un artefact d'allocation.",IF($O31&lt;0,"Contribution négative : vrai point dur.","Rentable. Point mort "&amp;TEXT($P31,"#,##0")&amp;" étudiants, marge de sécurité "&amp;TEXT($Q31,"0%")&amp;".")))))</f>
      </c>
    </row>
    <row r="32" ht="14.25" customHeight="1">
      <c r="C32" s="73" t="s">
        <v>35</v>
      </c>
      <c r="D32" s="73" t="s">
        <v>141</v>
      </c>
      <c r="E32" s="73" t="s">
        <v>125</v>
      </c>
      <c r="F32" s="73" t="s">
        <v>110</v>
      </c>
      <c r="G32" s="73" t="s">
        <v>126</v>
      </c>
      <c r="H32" s="73">
        <v>51.351967</v>
      </c>
      <c r="I32" s="73">
        <v>2</v>
      </c>
      <c r="J32" s="73">
        <v>375588.902862</v>
      </c>
      <c r="K32" s="73">
        <v>61697.521888</v>
      </c>
      <c r="L32" s="73">
        <v>313891.380974</v>
      </c>
      <c r="M32" s="73">
        <v>251976.225278</v>
      </c>
      <c r="N32" s="73">
        <v>313673.747166</v>
      </c>
      <c r="O32" s="73">
        <v>61915.155696</v>
      </c>
      <c r="P32" s="73">
        <v>42</v>
      </c>
      <c r="Q32" s="73">
        <v>0.197251</v>
      </c>
      <c r="R32" s="73" t="s">
        <v>112</v>
      </c>
      <c r="S32" s="74">
        <f>IF(OR($C32="",COUNT($H32:$Q32)=0),"",IF($R32="Fermer","",IF(SUMPRODUCT(($C$13:$C$72=$C32)*($D$13:$D$72=$D32)*($R$13:$R$72&lt;&gt;"Fermer"),$M$13:$M$72)=0,$M32,$M32*SUMPRODUCT(($C$13:$C$72=$C32)*($D$13:$D$72=$D32),$M$13:$M$72)/SUMPRODUCT(($C$13:$C$72=$C32)*($D$13:$D$72=$D32)*($R$13:$R$72&lt;&gt;"Fermer"),$M$13:$M$72))))</f>
      </c>
      <c r="T32" s="75">
        <f>IF(OR($C32="",COUNT($H32:$Q32)=0),"",IF($R32="Fermer","",$J32-$K32-$S32))</f>
      </c>
      <c r="U32" s="74">
        <f>IF(OR($C32="",COUNT($H32:$Q32)=0),"",IF($R32="Fermer",-$L32,0))</f>
      </c>
      <c r="V32" s="76">
        <f>IF(OR($C32="",COUNT($H32:$Q32)=0),"",IF($R32="Fermer","Fermer = perdre "&amp;TEXT($L32,"#,##0")&amp;" € de contribution. Le fixe, lui, reste.",IF(AND($O32&gt;=0,$T32&lt;0),"BASCULE : saine avant, en déficit à cause d'une fermeture voisine.",IF(AND($O32&lt;0,$L32&gt;0),"Déficit au coût complet mais contribution positive : ne pas fermer, c'est un artefact d'allocation.",IF($O32&lt;0,"Contribution négative : vrai point dur.","Rentable. Point mort "&amp;TEXT($P32,"#,##0")&amp;" étudiants, marge de sécurité "&amp;TEXT($Q32,"0%")&amp;".")))))</f>
      </c>
    </row>
    <row r="33" ht="14.25" customHeight="1">
      <c r="C33" s="73" t="s">
        <v>35</v>
      </c>
      <c r="D33" s="73" t="s">
        <v>141</v>
      </c>
      <c r="E33" s="73" t="s">
        <v>125</v>
      </c>
      <c r="F33" s="73" t="s">
        <v>114</v>
      </c>
      <c r="G33" s="73" t="s">
        <v>111</v>
      </c>
      <c r="H33" s="73">
        <v>46.235</v>
      </c>
      <c r="I33" s="73">
        <v>2</v>
      </c>
      <c r="J33" s="73">
        <v>311735.381832</v>
      </c>
      <c r="K33" s="73">
        <v>41805.952993</v>
      </c>
      <c r="L33" s="73">
        <v>269929.428839</v>
      </c>
      <c r="M33" s="73">
        <v>237708.675007</v>
      </c>
      <c r="N33" s="73">
        <v>279514.628</v>
      </c>
      <c r="O33" s="73">
        <v>32220.753832</v>
      </c>
      <c r="P33" s="73">
        <v>41</v>
      </c>
      <c r="Q33" s="73">
        <v>0.119368</v>
      </c>
      <c r="R33" s="73" t="s">
        <v>115</v>
      </c>
      <c r="S33" s="74">
        <f>IF(OR($C33="",COUNT($H33:$Q33)=0),"",IF($R33="Fermer","",IF(SUMPRODUCT(($C$13:$C$72=$C33)*($D$13:$D$72=$D33)*($R$13:$R$72&lt;&gt;"Fermer"),$M$13:$M$72)=0,$M33,$M33*SUMPRODUCT(($C$13:$C$72=$C33)*($D$13:$D$72=$D33),$M$13:$M$72)/SUMPRODUCT(($C$13:$C$72=$C33)*($D$13:$D$72=$D33)*($R$13:$R$72&lt;&gt;"Fermer"),$M$13:$M$72))))</f>
      </c>
      <c r="T33" s="75">
        <f>IF(OR($C33="",COUNT($H33:$Q33)=0),"",IF($R33="Fermer","",$J33-$K33-$S33))</f>
      </c>
      <c r="U33" s="74">
        <f>IF(OR($C33="",COUNT($H33:$Q33)=0),"",IF($R33="Fermer",-$L33,0))</f>
      </c>
      <c r="V33" s="76">
        <f>IF(OR($C33="",COUNT($H33:$Q33)=0),"",IF($R33="Fermer","Fermer = perdre "&amp;TEXT($L33,"#,##0")&amp;" € de contribution. Le fixe, lui, reste.",IF(AND($O33&gt;=0,$T33&lt;0),"BASCULE : saine avant, en déficit à cause d'une fermeture voisine.",IF(AND($O33&lt;0,$L33&gt;0),"Déficit au coût complet mais contribution positive : ne pas fermer, c'est un artefact d'allocation.",IF($O33&lt;0,"Contribution négative : vrai point dur.","Rentable. Point mort "&amp;TEXT($P33,"#,##0")&amp;" étudiants, marge de sécurité "&amp;TEXT($Q33,"0%")&amp;".")))))</f>
      </c>
    </row>
    <row r="34" ht="14.25" customHeight="1">
      <c r="C34" s="73" t="s">
        <v>35</v>
      </c>
      <c r="D34" s="73" t="s">
        <v>141</v>
      </c>
      <c r="E34" s="73" t="s">
        <v>125</v>
      </c>
      <c r="F34" s="73" t="s">
        <v>117</v>
      </c>
      <c r="G34" s="73" t="s">
        <v>111</v>
      </c>
      <c r="H34" s="73">
        <v>45.23</v>
      </c>
      <c r="I34" s="73">
        <v>2</v>
      </c>
      <c r="J34" s="73">
        <v>304959.258576</v>
      </c>
      <c r="K34" s="73">
        <v>41437.612658</v>
      </c>
      <c r="L34" s="73">
        <v>263521.645918</v>
      </c>
      <c r="M34" s="73">
        <v>237708.675007</v>
      </c>
      <c r="N34" s="73">
        <v>279146.287665</v>
      </c>
      <c r="O34" s="73">
        <v>25812.970911</v>
      </c>
      <c r="P34" s="73">
        <v>41</v>
      </c>
      <c r="Q34" s="73">
        <v>0.097954</v>
      </c>
      <c r="R34" s="73" t="s">
        <v>115</v>
      </c>
      <c r="S34" s="74">
        <f>IF(OR($C34="",COUNT($H34:$Q34)=0),"",IF($R34="Fermer","",IF(SUMPRODUCT(($C$13:$C$72=$C34)*($D$13:$D$72=$D34)*($R$13:$R$72&lt;&gt;"Fermer"),$M$13:$M$72)=0,$M34,$M34*SUMPRODUCT(($C$13:$C$72=$C34)*($D$13:$D$72=$D34),$M$13:$M$72)/SUMPRODUCT(($C$13:$C$72=$C34)*($D$13:$D$72=$D34)*($R$13:$R$72&lt;&gt;"Fermer"),$M$13:$M$72))))</f>
      </c>
      <c r="T34" s="75">
        <f>IF(OR($C34="",COUNT($H34:$Q34)=0),"",IF($R34="Fermer","",$J34-$K34-$S34))</f>
      </c>
      <c r="U34" s="74">
        <f>IF(OR($C34="",COUNT($H34:$Q34)=0),"",IF($R34="Fermer",-$L34,0))</f>
      </c>
      <c r="V34" s="76">
        <f>IF(OR($C34="",COUNT($H34:$Q34)=0),"",IF($R34="Fermer","Fermer = perdre "&amp;TEXT($L34,"#,##0")&amp;" € de contribution. Le fixe, lui, reste.",IF(AND($O34&gt;=0,$T34&lt;0),"BASCULE : saine avant, en déficit à cause d'une fermeture voisine.",IF(AND($O34&lt;0,$L34&gt;0),"Déficit au coût complet mais contribution positive : ne pas fermer, c'est un artefact d'allocation.",IF($O34&lt;0,"Contribution négative : vrai point dur.","Rentable. Point mort "&amp;TEXT($P34,"#,##0")&amp;" étudiants, marge de sécurité "&amp;TEXT($Q34,"0%")&amp;".")))))</f>
      </c>
    </row>
    <row r="35" ht="14.25" customHeight="1">
      <c r="C35" s="73" t="s">
        <v>35</v>
      </c>
      <c r="D35" s="73" t="s">
        <v>141</v>
      </c>
      <c r="E35" s="73" t="s">
        <v>130</v>
      </c>
      <c r="F35" s="73" t="s">
        <v>131</v>
      </c>
      <c r="G35" s="73" t="s">
        <v>111</v>
      </c>
      <c r="H35" s="73">
        <v>52.42939</v>
      </c>
      <c r="I35" s="73">
        <v>2</v>
      </c>
      <c r="J35" s="73">
        <v>383469.187613</v>
      </c>
      <c r="K35" s="73">
        <v>53017.032225</v>
      </c>
      <c r="L35" s="73">
        <v>330452.155388</v>
      </c>
      <c r="M35" s="73">
        <v>230574.899872</v>
      </c>
      <c r="N35" s="73">
        <v>283591.932097</v>
      </c>
      <c r="O35" s="73">
        <v>99877.255516</v>
      </c>
      <c r="P35" s="73">
        <v>37</v>
      </c>
      <c r="Q35" s="73">
        <v>0.302245</v>
      </c>
      <c r="R35" s="73" t="s">
        <v>112</v>
      </c>
      <c r="S35" s="74">
        <f>IF(OR($C35="",COUNT($H35:$Q35)=0),"",IF($R35="Fermer","",IF(SUMPRODUCT(($C$13:$C$72=$C35)*($D$13:$D$72=$D35)*($R$13:$R$72&lt;&gt;"Fermer"),$M$13:$M$72)=0,$M35,$M35*SUMPRODUCT(($C$13:$C$72=$C35)*($D$13:$D$72=$D35),$M$13:$M$72)/SUMPRODUCT(($C$13:$C$72=$C35)*($D$13:$D$72=$D35)*($R$13:$R$72&lt;&gt;"Fermer"),$M$13:$M$72))))</f>
      </c>
      <c r="T35" s="75">
        <f>IF(OR($C35="",COUNT($H35:$Q35)=0),"",IF($R35="Fermer","",$J35-$K35-$S35))</f>
      </c>
      <c r="U35" s="74">
        <f>IF(OR($C35="",COUNT($H35:$Q35)=0),"",IF($R35="Fermer",-$L35,0))</f>
      </c>
      <c r="V35" s="76">
        <f>IF(OR($C35="",COUNT($H35:$Q35)=0),"",IF($R35="Fermer","Fermer = perdre "&amp;TEXT($L35,"#,##0")&amp;" € de contribution. Le fixe, lui, reste.",IF(AND($O35&gt;=0,$T35&lt;0),"BASCULE : saine avant, en déficit à cause d'une fermeture voisine.",IF(AND($O35&lt;0,$L35&gt;0),"Déficit au coût complet mais contribution positive : ne pas fermer, c'est un artefact d'allocation.",IF($O35&lt;0,"Contribution négative : vrai point dur.","Rentable. Point mort "&amp;TEXT($P35,"#,##0")&amp;" étudiants, marge de sécurité "&amp;TEXT($Q35,"0%")&amp;".")))))</f>
      </c>
    </row>
    <row r="36" ht="14.25" customHeight="1">
      <c r="C36" s="73" t="s">
        <v>35</v>
      </c>
      <c r="D36" s="73" t="s">
        <v>141</v>
      </c>
      <c r="E36" s="73" t="s">
        <v>130</v>
      </c>
      <c r="F36" s="73" t="s">
        <v>133</v>
      </c>
      <c r="G36" s="73" t="s">
        <v>111</v>
      </c>
      <c r="H36" s="73">
        <v>46.235</v>
      </c>
      <c r="I36" s="73">
        <v>2</v>
      </c>
      <c r="J36" s="73">
        <v>334002.19482</v>
      </c>
      <c r="K36" s="73">
        <v>38698.298543</v>
      </c>
      <c r="L36" s="73">
        <v>295303.896277</v>
      </c>
      <c r="M36" s="73">
        <v>230574.899872</v>
      </c>
      <c r="N36" s="73">
        <v>269273.198415</v>
      </c>
      <c r="O36" s="73">
        <v>64728.996405</v>
      </c>
      <c r="P36" s="73">
        <v>37</v>
      </c>
      <c r="Q36" s="73">
        <v>0.219195</v>
      </c>
      <c r="R36" s="73" t="s">
        <v>115</v>
      </c>
      <c r="S36" s="74">
        <f>IF(OR($C36="",COUNT($H36:$Q36)=0),"",IF($R36="Fermer","",IF(SUMPRODUCT(($C$13:$C$72=$C36)*($D$13:$D$72=$D36)*($R$13:$R$72&lt;&gt;"Fermer"),$M$13:$M$72)=0,$M36,$M36*SUMPRODUCT(($C$13:$C$72=$C36)*($D$13:$D$72=$D36),$M$13:$M$72)/SUMPRODUCT(($C$13:$C$72=$C36)*($D$13:$D$72=$D36)*($R$13:$R$72&lt;&gt;"Fermer"),$M$13:$M$72))))</f>
      </c>
      <c r="T36" s="75">
        <f>IF(OR($C36="",COUNT($H36:$Q36)=0),"",IF($R36="Fermer","",$J36-$K36-$S36))</f>
      </c>
      <c r="U36" s="74">
        <f>IF(OR($C36="",COUNT($H36:$Q36)=0),"",IF($R36="Fermer",-$L36,0))</f>
      </c>
      <c r="V36" s="76">
        <f>IF(OR($C36="",COUNT($H36:$Q36)=0),"",IF($R36="Fermer","Fermer = perdre "&amp;TEXT($L36,"#,##0")&amp;" € de contribution. Le fixe, lui, reste.",IF(AND($O36&gt;=0,$T36&lt;0),"BASCULE : saine avant, en déficit à cause d'une fermeture voisine.",IF(AND($O36&lt;0,$L36&gt;0),"Déficit au coût complet mais contribution positive : ne pas fermer, c'est un artefact d'allocation.",IF($O36&lt;0,"Contribution négative : vrai point dur.","Rentable. Point mort "&amp;TEXT($P36,"#,##0")&amp;" étudiants, marge de sécurité "&amp;TEXT($Q36,"0%")&amp;".")))))</f>
      </c>
    </row>
    <row r="37" ht="14.25" customHeight="1">
      <c r="C37" s="73" t="s">
        <v>147</v>
      </c>
      <c r="D37" s="73" t="s">
        <v>148</v>
      </c>
      <c r="E37" s="73" t="s">
        <v>149</v>
      </c>
      <c r="F37" s="73" t="s">
        <v>110</v>
      </c>
      <c r="G37" s="73" t="s">
        <v>126</v>
      </c>
      <c r="H37" s="73">
        <v>55.74675</v>
      </c>
      <c r="I37" s="73">
        <v>2</v>
      </c>
      <c r="J37" s="73">
        <v>411986.15422</v>
      </c>
      <c r="K37" s="73">
        <v>64817.753139</v>
      </c>
      <c r="L37" s="73">
        <v>347168.401081</v>
      </c>
      <c r="M37" s="73">
        <v>272596.591357</v>
      </c>
      <c r="N37" s="73">
        <v>337414.344496</v>
      </c>
      <c r="O37" s="73">
        <v>74571.809724</v>
      </c>
      <c r="P37" s="73">
        <v>44</v>
      </c>
      <c r="Q37" s="73">
        <v>0.214801</v>
      </c>
      <c r="R37" s="73" t="s">
        <v>112</v>
      </c>
      <c r="S37" s="74">
        <f>IF(OR($C37="",COUNT($H37:$Q37)=0),"",IF($R37="Fermer","",IF(SUMPRODUCT(($C$13:$C$72=$C37)*($D$13:$D$72=$D37)*($R$13:$R$72&lt;&gt;"Fermer"),$M$13:$M$72)=0,$M37,$M37*SUMPRODUCT(($C$13:$C$72=$C37)*($D$13:$D$72=$D37),$M$13:$M$72)/SUMPRODUCT(($C$13:$C$72=$C37)*($D$13:$D$72=$D37)*($R$13:$R$72&lt;&gt;"Fermer"),$M$13:$M$72))))</f>
      </c>
      <c r="T37" s="75">
        <f>IF(OR($C37="",COUNT($H37:$Q37)=0),"",IF($R37="Fermer","",$J37-$K37-$S37))</f>
      </c>
      <c r="U37" s="74">
        <f>IF(OR($C37="",COUNT($H37:$Q37)=0),"",IF($R37="Fermer",-$L37,0))</f>
      </c>
      <c r="V37" s="76">
        <f>IF(OR($C37="",COUNT($H37:$Q37)=0),"",IF($R37="Fermer","Fermer = perdre "&amp;TEXT($L37,"#,##0")&amp;" € de contribution. Le fixe, lui, reste.",IF(AND($O37&gt;=0,$T37&lt;0),"BASCULE : saine avant, en déficit à cause d'une fermeture voisine.",IF(AND($O37&lt;0,$L37&gt;0),"Déficit au coût complet mais contribution positive : ne pas fermer, c'est un artefact d'allocation.",IF($O37&lt;0,"Contribution négative : vrai point dur.","Rentable. Point mort "&amp;TEXT($P37,"#,##0")&amp;" étudiants, marge de sécurité "&amp;TEXT($Q37,"0%")&amp;".")))))</f>
      </c>
    </row>
    <row r="38" ht="14.25" customHeight="1">
      <c r="B38" s="78"/>
      <c r="C38" s="73" t="s">
        <v>147</v>
      </c>
      <c r="D38" s="73" t="s">
        <v>148</v>
      </c>
      <c r="E38" s="73" t="s">
        <v>149</v>
      </c>
      <c r="F38" s="73" t="s">
        <v>114</v>
      </c>
      <c r="G38" s="73" t="s">
        <v>111</v>
      </c>
      <c r="H38" s="73">
        <v>49.255</v>
      </c>
      <c r="I38" s="73">
        <v>2</v>
      </c>
      <c r="J38" s="73">
        <v>335605.306246</v>
      </c>
      <c r="K38" s="73">
        <v>42904.864465</v>
      </c>
      <c r="L38" s="73">
        <v>292700.441781</v>
      </c>
      <c r="M38" s="73">
        <v>257654.62446</v>
      </c>
      <c r="N38" s="73">
        <v>300559.488925</v>
      </c>
      <c r="O38" s="73">
        <v>35045.817321</v>
      </c>
      <c r="P38" s="73">
        <v>44</v>
      </c>
      <c r="Q38" s="73">
        <v>0.119733</v>
      </c>
      <c r="R38" s="73" t="s">
        <v>115</v>
      </c>
      <c r="S38" s="74">
        <f>IF(OR($C38="",COUNT($H38:$Q38)=0),"",IF($R38="Fermer","",IF(SUMPRODUCT(($C$13:$C$72=$C38)*($D$13:$D$72=$D38)*($R$13:$R$72&lt;&gt;"Fermer"),$M$13:$M$72)=0,$M38,$M38*SUMPRODUCT(($C$13:$C$72=$C38)*($D$13:$D$72=$D38),$M$13:$M$72)/SUMPRODUCT(($C$13:$C$72=$C38)*($D$13:$D$72=$D38)*($R$13:$R$72&lt;&gt;"Fermer"),$M$13:$M$72))))</f>
      </c>
      <c r="T38" s="75">
        <f>IF(OR($C38="",COUNT($H38:$Q38)=0),"",IF($R38="Fermer","",$J38-$K38-$S38))</f>
      </c>
      <c r="U38" s="74">
        <f>IF(OR($C38="",COUNT($H38:$Q38)=0),"",IF($R38="Fermer",-$L38,0))</f>
      </c>
      <c r="V38" s="76">
        <f>IF(OR($C38="",COUNT($H38:$Q38)=0),"",IF($R38="Fermer","Fermer = perdre "&amp;TEXT($L38,"#,##0")&amp;" € de contribution. Le fixe, lui, reste.",IF(AND($O38&gt;=0,$T38&lt;0),"BASCULE : saine avant, en déficit à cause d'une fermeture voisine.",IF(AND($O38&lt;0,$L38&gt;0),"Déficit au coût complet mais contribution positive : ne pas fermer, c'est un artefact d'allocation.",IF($O38&lt;0,"Contribution négative : vrai point dur.","Rentable. Point mort "&amp;TEXT($P38,"#,##0")&amp;" étudiants, marge de sécurité "&amp;TEXT($Q38,"0%")&amp;".")))))</f>
      </c>
      <c r="W38" s="47"/>
      <c r="X38" s="47"/>
      <c r="Y38" s="47"/>
      <c r="Z38" s="47"/>
      <c r="AA38" s="47"/>
      <c r="AB38" s="47"/>
      <c r="AC38" s="47"/>
      <c r="AD38" s="47"/>
      <c r="AE38" s="47"/>
    </row>
    <row r="39" ht="14.25" customHeight="1">
      <c r="B39" s="78"/>
      <c r="C39" s="73" t="s">
        <v>147</v>
      </c>
      <c r="D39" s="73" t="s">
        <v>148</v>
      </c>
      <c r="E39" s="73" t="s">
        <v>149</v>
      </c>
      <c r="F39" s="73" t="s">
        <v>117</v>
      </c>
      <c r="G39" s="73" t="s">
        <v>111</v>
      </c>
      <c r="H39" s="73">
        <v>48.245</v>
      </c>
      <c r="I39" s="73">
        <v>2</v>
      </c>
      <c r="J39" s="73">
        <v>328723.540754</v>
      </c>
      <c r="K39" s="73">
        <v>42534.913884</v>
      </c>
      <c r="L39" s="73">
        <v>286188.62687</v>
      </c>
      <c r="M39" s="73">
        <v>257654.62446</v>
      </c>
      <c r="N39" s="73">
        <v>300189.538344</v>
      </c>
      <c r="O39" s="73">
        <v>28534.00241</v>
      </c>
      <c r="P39" s="73">
        <v>44</v>
      </c>
      <c r="Q39" s="73">
        <v>0.099704</v>
      </c>
      <c r="R39" s="73" t="s">
        <v>115</v>
      </c>
      <c r="S39" s="74">
        <f>IF(OR($C39="",COUNT($H39:$Q39)=0),"",IF($R39="Fermer","",IF(SUMPRODUCT(($C$13:$C$72=$C39)*($D$13:$D$72=$D39)*($R$13:$R$72&lt;&gt;"Fermer"),$M$13:$M$72)=0,$M39,$M39*SUMPRODUCT(($C$13:$C$72=$C39)*($D$13:$D$72=$D39),$M$13:$M$72)/SUMPRODUCT(($C$13:$C$72=$C39)*($D$13:$D$72=$D39)*($R$13:$R$72&lt;&gt;"Fermer"),$M$13:$M$72))))</f>
      </c>
      <c r="T39" s="75">
        <f>IF(OR($C39="",COUNT($H39:$Q39)=0),"",IF($R39="Fermer","",$J39-$K39-$S39))</f>
      </c>
      <c r="U39" s="74">
        <f>IF(OR($C39="",COUNT($H39:$Q39)=0),"",IF($R39="Fermer",-$L39,0))</f>
      </c>
      <c r="V39" s="76">
        <f>IF(OR($C39="",COUNT($H39:$Q39)=0),"",IF($R39="Fermer","Fermer = perdre "&amp;TEXT($L39,"#,##0")&amp;" € de contribution. Le fixe, lui, reste.",IF(AND($O39&gt;=0,$T39&lt;0),"BASCULE : saine avant, en déficit à cause d'une fermeture voisine.",IF(AND($O39&lt;0,$L39&gt;0),"Déficit au coût complet mais contribution positive : ne pas fermer, c'est un artefact d'allocation.",IF($O39&lt;0,"Contribution négative : vrai point dur.","Rentable. Point mort "&amp;TEXT($P39,"#,##0")&amp;" étudiants, marge de sécurité "&amp;TEXT($Q39,"0%")&amp;".")))))</f>
      </c>
      <c r="W39" s="47"/>
      <c r="X39" s="47"/>
      <c r="Y39" s="47"/>
      <c r="Z39" s="47"/>
      <c r="AA39" s="47"/>
      <c r="AB39" s="47"/>
      <c r="AC39" s="47"/>
      <c r="AD39" s="47"/>
      <c r="AE39" s="47"/>
    </row>
    <row r="40" ht="14.25" customHeight="1">
      <c r="B40" s="78"/>
      <c r="C40" s="73" t="s">
        <v>147</v>
      </c>
      <c r="D40" s="73" t="s">
        <v>148</v>
      </c>
      <c r="E40" s="73" t="s">
        <v>152</v>
      </c>
      <c r="F40" s="73" t="s">
        <v>131</v>
      </c>
      <c r="G40" s="73" t="s">
        <v>111</v>
      </c>
      <c r="H40" s="73">
        <v>56.91006</v>
      </c>
      <c r="I40" s="73">
        <v>2</v>
      </c>
      <c r="J40" s="73">
        <v>420583.383889</v>
      </c>
      <c r="K40" s="73">
        <v>56198.899564</v>
      </c>
      <c r="L40" s="73">
        <v>364384.484325</v>
      </c>
      <c r="M40" s="73">
        <v>250183.641012</v>
      </c>
      <c r="N40" s="73">
        <v>306382.540576</v>
      </c>
      <c r="O40" s="73">
        <v>114200.843313</v>
      </c>
      <c r="P40" s="73">
        <v>40</v>
      </c>
      <c r="Q40" s="73">
        <v>0.313408</v>
      </c>
      <c r="R40" s="73" t="s">
        <v>112</v>
      </c>
      <c r="S40" s="74">
        <f>IF(OR($C40="",COUNT($H40:$Q40)=0),"",IF($R40="Fermer","",IF(SUMPRODUCT(($C$13:$C$72=$C40)*($D$13:$D$72=$D40)*($R$13:$R$72&lt;&gt;"Fermer"),$M$13:$M$72)=0,$M40,$M40*SUMPRODUCT(($C$13:$C$72=$C40)*($D$13:$D$72=$D40),$M$13:$M$72)/SUMPRODUCT(($C$13:$C$72=$C40)*($D$13:$D$72=$D40)*($R$13:$R$72&lt;&gt;"Fermer"),$M$13:$M$72))))</f>
      </c>
      <c r="T40" s="75">
        <f>IF(OR($C40="",COUNT($H40:$Q40)=0),"",IF($R40="Fermer","",$J40-$K40-$S40))</f>
      </c>
      <c r="U40" s="74">
        <f>IF(OR($C40="",COUNT($H40:$Q40)=0),"",IF($R40="Fermer",-$L40,0))</f>
      </c>
      <c r="V40" s="76">
        <f>IF(OR($C40="",COUNT($H40:$Q40)=0),"",IF($R40="Fermer","Fermer = perdre "&amp;TEXT($L40,"#,##0")&amp;" € de contribution. Le fixe, lui, reste.",IF(AND($O40&gt;=0,$T40&lt;0),"BASCULE : saine avant, en déficit à cause d'une fermeture voisine.",IF(AND($O40&lt;0,$L40&gt;0),"Déficit au coût complet mais contribution positive : ne pas fermer, c'est un artefact d'allocation.",IF($O40&lt;0,"Contribution négative : vrai point dur.","Rentable. Point mort "&amp;TEXT($P40,"#,##0")&amp;" étudiants, marge de sécurité "&amp;TEXT($Q40,"0%")&amp;".")))))</f>
      </c>
      <c r="W40" s="47"/>
      <c r="X40" s="47"/>
      <c r="Y40" s="47"/>
      <c r="Z40" s="47"/>
      <c r="AA40" s="47"/>
      <c r="AB40" s="47"/>
      <c r="AC40" s="47"/>
      <c r="AD40" s="47"/>
      <c r="AE40" s="47"/>
    </row>
    <row r="41" ht="14.25" customHeight="1">
      <c r="B41" s="78"/>
      <c r="C41" s="73" t="s">
        <v>147</v>
      </c>
      <c r="D41" s="73" t="s">
        <v>148</v>
      </c>
      <c r="E41" s="73" t="s">
        <v>152</v>
      </c>
      <c r="F41" s="73" t="s">
        <v>133</v>
      </c>
      <c r="G41" s="73" t="s">
        <v>111</v>
      </c>
      <c r="H41" s="73">
        <v>50.255</v>
      </c>
      <c r="I41" s="73">
        <v>2</v>
      </c>
      <c r="J41" s="73">
        <v>366877.430835</v>
      </c>
      <c r="K41" s="73">
        <v>40163.5355</v>
      </c>
      <c r="L41" s="73">
        <v>326713.895335</v>
      </c>
      <c r="M41" s="73">
        <v>250183.641012</v>
      </c>
      <c r="N41" s="73">
        <v>290347.176512</v>
      </c>
      <c r="O41" s="73">
        <v>76530.254323</v>
      </c>
      <c r="P41" s="73">
        <v>39</v>
      </c>
      <c r="Q41" s="73">
        <v>0.234243</v>
      </c>
      <c r="R41" s="73" t="s">
        <v>115</v>
      </c>
      <c r="S41" s="74">
        <f>IF(OR($C41="",COUNT($H41:$Q41)=0),"",IF($R41="Fermer","",IF(SUMPRODUCT(($C$13:$C$72=$C41)*($D$13:$D$72=$D41)*($R$13:$R$72&lt;&gt;"Fermer"),$M$13:$M$72)=0,$M41,$M41*SUMPRODUCT(($C$13:$C$72=$C41)*($D$13:$D$72=$D41),$M$13:$M$72)/SUMPRODUCT(($C$13:$C$72=$C41)*($D$13:$D$72=$D41)*($R$13:$R$72&lt;&gt;"Fermer"),$M$13:$M$72))))</f>
      </c>
      <c r="T41" s="75">
        <f>IF(OR($C41="",COUNT($H41:$Q41)=0),"",IF($R41="Fermer","",$J41-$K41-$S41))</f>
      </c>
      <c r="U41" s="74">
        <f>IF(OR($C41="",COUNT($H41:$Q41)=0),"",IF($R41="Fermer",-$L41,0))</f>
      </c>
      <c r="V41" s="76">
        <f>IF(OR($C41="",COUNT($H41:$Q41)=0),"",IF($R41="Fermer","Fermer = perdre "&amp;TEXT($L41,"#,##0")&amp;" € de contribution. Le fixe, lui, reste.",IF(AND($O41&gt;=0,$T41&lt;0),"BASCULE : saine avant, en déficit à cause d'une fermeture voisine.",IF(AND($O41&lt;0,$L41&gt;0),"Déficit au coût complet mais contribution positive : ne pas fermer, c'est un artefact d'allocation.",IF($O41&lt;0,"Contribution négative : vrai point dur.","Rentable. Point mort "&amp;TEXT($P41,"#,##0")&amp;" étudiants, marge de sécurité "&amp;TEXT($Q41,"0%")&amp;".")))))</f>
      </c>
      <c r="W41" s="47"/>
      <c r="X41" s="47"/>
      <c r="Y41" s="47"/>
      <c r="Z41" s="47"/>
      <c r="AA41" s="47"/>
      <c r="AB41" s="47"/>
      <c r="AC41" s="47"/>
      <c r="AD41" s="47"/>
      <c r="AE41" s="47"/>
    </row>
    <row r="42" ht="14.25" customHeight="1">
      <c r="B42" s="78"/>
      <c r="C42" s="73" t="s">
        <v>147</v>
      </c>
      <c r="D42" s="73" t="s">
        <v>154</v>
      </c>
      <c r="E42" s="73" t="s">
        <v>149</v>
      </c>
      <c r="F42" s="73" t="s">
        <v>110</v>
      </c>
      <c r="G42" s="73" t="s">
        <v>126</v>
      </c>
      <c r="H42" s="73">
        <v>72.005855</v>
      </c>
      <c r="I42" s="73">
        <v>3</v>
      </c>
      <c r="J42" s="73">
        <v>575499.955531</v>
      </c>
      <c r="K42" s="73">
        <v>95349.323827</v>
      </c>
      <c r="L42" s="73">
        <v>480150.631704</v>
      </c>
      <c r="M42" s="73">
        <v>440324.412785</v>
      </c>
      <c r="N42" s="73">
        <v>535673.736612</v>
      </c>
      <c r="O42" s="73">
        <v>39826.218919</v>
      </c>
      <c r="P42" s="73">
        <v>67</v>
      </c>
      <c r="Q42" s="73">
        <v>0.082946</v>
      </c>
      <c r="R42" s="73" t="s">
        <v>112</v>
      </c>
      <c r="S42" s="74">
        <f>IF(OR($C42="",COUNT($H42:$Q42)=0),"",IF($R42="Fermer","",IF(SUMPRODUCT(($C$13:$C$72=$C42)*($D$13:$D$72=$D42)*($R$13:$R$72&lt;&gt;"Fermer"),$M$13:$M$72)=0,$M42,$M42*SUMPRODUCT(($C$13:$C$72=$C42)*($D$13:$D$72=$D42),$M$13:$M$72)/SUMPRODUCT(($C$13:$C$72=$C42)*($D$13:$D$72=$D42)*($R$13:$R$72&lt;&gt;"Fermer"),$M$13:$M$72))))</f>
      </c>
      <c r="T42" s="75">
        <f>IF(OR($C42="",COUNT($H42:$Q42)=0),"",IF($R42="Fermer","",$J42-$K42-$S42))</f>
      </c>
      <c r="U42" s="74">
        <f>IF(OR($C42="",COUNT($H42:$Q42)=0),"",IF($R42="Fermer",-$L42,0))</f>
      </c>
      <c r="V42" s="76">
        <f>IF(OR($C42="",COUNT($H42:$Q42)=0),"",IF($R42="Fermer","Fermer = perdre "&amp;TEXT($L42,"#,##0")&amp;" € de contribution. Le fixe, lui, reste.",IF(AND($O42&gt;=0,$T42&lt;0),"BASCULE : saine avant, en déficit à cause d'une fermeture voisine.",IF(AND($O42&lt;0,$L42&gt;0),"Déficit au coût complet mais contribution positive : ne pas fermer, c'est un artefact d'allocation.",IF($O42&lt;0,"Contribution négative : vrai point dur.","Rentable. Point mort "&amp;TEXT($P42,"#,##0")&amp;" étudiants, marge de sécurité "&amp;TEXT($Q42,"0%")&amp;".")))))</f>
      </c>
      <c r="W42" s="47"/>
      <c r="X42" s="47"/>
      <c r="Y42" s="47"/>
      <c r="Z42" s="47"/>
      <c r="AA42" s="47"/>
      <c r="AB42" s="47"/>
      <c r="AC42" s="47"/>
      <c r="AD42" s="47"/>
      <c r="AE42" s="47"/>
    </row>
    <row r="43" ht="14.25" customHeight="1">
      <c r="B43" s="78"/>
      <c r="C43" s="73" t="s">
        <v>147</v>
      </c>
      <c r="D43" s="73" t="s">
        <v>154</v>
      </c>
      <c r="E43" s="73" t="s">
        <v>149</v>
      </c>
      <c r="F43" s="73" t="s">
        <v>114</v>
      </c>
      <c r="G43" s="73" t="s">
        <v>111</v>
      </c>
      <c r="H43" s="73">
        <v>64.33</v>
      </c>
      <c r="I43" s="73">
        <v>2</v>
      </c>
      <c r="J43" s="73">
        <v>474470.93274</v>
      </c>
      <c r="K43" s="73">
        <v>48451.760936</v>
      </c>
      <c r="L43" s="73">
        <v>426019.171804</v>
      </c>
      <c r="M43" s="73">
        <v>277141.791231</v>
      </c>
      <c r="N43" s="73">
        <v>325593.552167</v>
      </c>
      <c r="O43" s="73">
        <v>148877.380573</v>
      </c>
      <c r="P43" s="73">
        <v>42</v>
      </c>
      <c r="Q43" s="73">
        <v>0.349462</v>
      </c>
      <c r="R43" s="73" t="s">
        <v>115</v>
      </c>
      <c r="S43" s="74">
        <f>IF(OR($C43="",COUNT($H43:$Q43)=0),"",IF($R43="Fermer","",IF(SUMPRODUCT(($C$13:$C$72=$C43)*($D$13:$D$72=$D43)*($R$13:$R$72&lt;&gt;"Fermer"),$M$13:$M$72)=0,$M43,$M43*SUMPRODUCT(($C$13:$C$72=$C43)*($D$13:$D$72=$D43),$M$13:$M$72)/SUMPRODUCT(($C$13:$C$72=$C43)*($D$13:$D$72=$D43)*($R$13:$R$72&lt;&gt;"Fermer"),$M$13:$M$72))))</f>
      </c>
      <c r="T43" s="75">
        <f>IF(OR($C43="",COUNT($H43:$Q43)=0),"",IF($R43="Fermer","",$J43-$K43-$S43))</f>
      </c>
      <c r="U43" s="74">
        <f>IF(OR($C43="",COUNT($H43:$Q43)=0),"",IF($R43="Fermer",-$L43,0))</f>
      </c>
      <c r="V43" s="76">
        <f>IF(OR($C43="",COUNT($H43:$Q43)=0),"",IF($R43="Fermer","Fermer = perdre "&amp;TEXT($L43,"#,##0")&amp;" € de contribution. Le fixe, lui, reste.",IF(AND($O43&gt;=0,$T43&lt;0),"BASCULE : saine avant, en déficit à cause d'une fermeture voisine.",IF(AND($O43&lt;0,$L43&gt;0),"Déficit au coût complet mais contribution positive : ne pas fermer, c'est un artefact d'allocation.",IF($O43&lt;0,"Contribution négative : vrai point dur.","Rentable. Point mort "&amp;TEXT($P43,"#,##0")&amp;" étudiants, marge de sécurité "&amp;TEXT($Q43,"0%")&amp;".")))))</f>
      </c>
      <c r="W43" s="47"/>
      <c r="X43" s="47"/>
      <c r="Y43" s="47"/>
      <c r="Z43" s="47"/>
      <c r="AA43" s="47"/>
      <c r="AB43" s="47"/>
      <c r="AC43" s="47"/>
      <c r="AD43" s="47"/>
      <c r="AE43" s="47"/>
    </row>
    <row r="44" ht="14.25" customHeight="1">
      <c r="B44" s="78"/>
      <c r="C44" s="73" t="s">
        <v>147</v>
      </c>
      <c r="D44" s="73" t="s">
        <v>154</v>
      </c>
      <c r="E44" s="73" t="s">
        <v>149</v>
      </c>
      <c r="F44" s="73" t="s">
        <v>117</v>
      </c>
      <c r="G44" s="73" t="s">
        <v>111</v>
      </c>
      <c r="H44" s="73">
        <v>63.32</v>
      </c>
      <c r="I44" s="73">
        <v>2</v>
      </c>
      <c r="J44" s="73">
        <v>467021.59896</v>
      </c>
      <c r="K44" s="73">
        <v>48081.353612</v>
      </c>
      <c r="L44" s="73">
        <v>418940.245348</v>
      </c>
      <c r="M44" s="73">
        <v>277141.791231</v>
      </c>
      <c r="N44" s="73">
        <v>325223.144843</v>
      </c>
      <c r="O44" s="73">
        <v>141798.454117</v>
      </c>
      <c r="P44" s="73">
        <v>42</v>
      </c>
      <c r="Q44" s="73">
        <v>0.33847</v>
      </c>
      <c r="R44" s="73" t="s">
        <v>115</v>
      </c>
      <c r="S44" s="74">
        <f>IF(OR($C44="",COUNT($H44:$Q44)=0),"",IF($R44="Fermer","",IF(SUMPRODUCT(($C$13:$C$72=$C44)*($D$13:$D$72=$D44)*($R$13:$R$72&lt;&gt;"Fermer"),$M$13:$M$72)=0,$M44,$M44*SUMPRODUCT(($C$13:$C$72=$C44)*($D$13:$D$72=$D44),$M$13:$M$72)/SUMPRODUCT(($C$13:$C$72=$C44)*($D$13:$D$72=$D44)*($R$13:$R$72&lt;&gt;"Fermer"),$M$13:$M$72))))</f>
      </c>
      <c r="T44" s="75">
        <f>IF(OR($C44="",COUNT($H44:$Q44)=0),"",IF($R44="Fermer","",$J44-$K44-$S44))</f>
      </c>
      <c r="U44" s="74">
        <f>IF(OR($C44="",COUNT($H44:$Q44)=0),"",IF($R44="Fermer",-$L44,0))</f>
      </c>
      <c r="V44" s="76">
        <f>IF(OR($C44="",COUNT($H44:$Q44)=0),"",IF($R44="Fermer","Fermer = perdre "&amp;TEXT($L44,"#,##0")&amp;" € de contribution. Le fixe, lui, reste.",IF(AND($O44&gt;=0,$T44&lt;0),"BASCULE : saine avant, en déficit à cause d'une fermeture voisine.",IF(AND($O44&lt;0,$L44&gt;0),"Déficit au coût complet mais contribution positive : ne pas fermer, c'est un artefact d'allocation.",IF($O44&lt;0,"Contribution négative : vrai point dur.","Rentable. Point mort "&amp;TEXT($P44,"#,##0")&amp;" étudiants, marge de sécurité "&amp;TEXT($Q44,"0%")&amp;".")))))</f>
      </c>
      <c r="W44" s="47"/>
      <c r="X44" s="47"/>
      <c r="Y44" s="47"/>
      <c r="Z44" s="47"/>
      <c r="AA44" s="47"/>
      <c r="AB44" s="47"/>
      <c r="AC44" s="47"/>
      <c r="AD44" s="47"/>
      <c r="AE44" s="47"/>
    </row>
    <row r="45" ht="14.25" customHeight="1">
      <c r="B45" s="78"/>
      <c r="C45" s="73" t="s">
        <v>147</v>
      </c>
      <c r="D45" s="73" t="s">
        <v>154</v>
      </c>
      <c r="E45" s="73" t="s">
        <v>152</v>
      </c>
      <c r="F45" s="73" t="s">
        <v>131</v>
      </c>
      <c r="G45" s="73" t="s">
        <v>111</v>
      </c>
      <c r="H45" s="73">
        <v>73.512347</v>
      </c>
      <c r="I45" s="73">
        <v>3</v>
      </c>
      <c r="J45" s="73">
        <v>587540.449725</v>
      </c>
      <c r="K45" s="73">
        <v>82384.620115</v>
      </c>
      <c r="L45" s="73">
        <v>505155.82961</v>
      </c>
      <c r="M45" s="73">
        <v>403406.82388</v>
      </c>
      <c r="N45" s="73">
        <v>485791.443995</v>
      </c>
      <c r="O45" s="73">
        <v>101749.00573</v>
      </c>
      <c r="P45" s="73">
        <v>59</v>
      </c>
      <c r="Q45" s="73">
        <v>0.201422</v>
      </c>
      <c r="R45" s="73" t="s">
        <v>112</v>
      </c>
      <c r="S45" s="74">
        <f>IF(OR($C45="",COUNT($H45:$Q45)=0),"",IF($R45="Fermer","",IF(SUMPRODUCT(($C$13:$C$72=$C45)*($D$13:$D$72=$D45)*($R$13:$R$72&lt;&gt;"Fermer"),$M$13:$M$72)=0,$M45,$M45*SUMPRODUCT(($C$13:$C$72=$C45)*($D$13:$D$72=$D45),$M$13:$M$72)/SUMPRODUCT(($C$13:$C$72=$C45)*($D$13:$D$72=$D45)*($R$13:$R$72&lt;&gt;"Fermer"),$M$13:$M$72))))</f>
      </c>
      <c r="T45" s="75">
        <f>IF(OR($C45="",COUNT($H45:$Q45)=0),"",IF($R45="Fermer","",$J45-$K45-$S45))</f>
      </c>
      <c r="U45" s="74">
        <f>IF(OR($C45="",COUNT($H45:$Q45)=0),"",IF($R45="Fermer",-$L45,0))</f>
      </c>
      <c r="V45" s="76">
        <f>IF(OR($C45="",COUNT($H45:$Q45)=0),"",IF($R45="Fermer","Fermer = perdre "&amp;TEXT($L45,"#,##0")&amp;" € de contribution. Le fixe, lui, reste.",IF(AND($O45&gt;=0,$T45&lt;0),"BASCULE : saine avant, en déficit à cause d'une fermeture voisine.",IF(AND($O45&lt;0,$L45&gt;0),"Déficit au coût complet mais contribution positive : ne pas fermer, c'est un artefact d'allocation.",IF($O45&lt;0,"Contribution négative : vrai point dur.","Rentable. Point mort "&amp;TEXT($P45,"#,##0")&amp;" étudiants, marge de sécurité "&amp;TEXT($Q45,"0%")&amp;".")))))</f>
      </c>
      <c r="W45" s="47"/>
      <c r="X45" s="47"/>
      <c r="Y45" s="47"/>
      <c r="Z45" s="47"/>
      <c r="AA45" s="47"/>
      <c r="AB45" s="47"/>
      <c r="AC45" s="47"/>
      <c r="AD45" s="47"/>
      <c r="AE45" s="47"/>
    </row>
    <row r="46" ht="14.25" customHeight="1">
      <c r="B46" s="78"/>
      <c r="C46" s="73" t="s">
        <v>147</v>
      </c>
      <c r="D46" s="73" t="s">
        <v>154</v>
      </c>
      <c r="E46" s="73" t="s">
        <v>152</v>
      </c>
      <c r="F46" s="73" t="s">
        <v>133</v>
      </c>
      <c r="G46" s="73" t="s">
        <v>111</v>
      </c>
      <c r="H46" s="73">
        <v>65.33</v>
      </c>
      <c r="I46" s="73">
        <v>3</v>
      </c>
      <c r="J46" s="73">
        <v>516264.11865</v>
      </c>
      <c r="K46" s="73">
        <v>56587.607733</v>
      </c>
      <c r="L46" s="73">
        <v>459676.510917</v>
      </c>
      <c r="M46" s="73">
        <v>403406.82388</v>
      </c>
      <c r="N46" s="73">
        <v>459994.431613</v>
      </c>
      <c r="O46" s="73">
        <v>56269.687037</v>
      </c>
      <c r="P46" s="73">
        <v>58</v>
      </c>
      <c r="Q46" s="73">
        <v>0.122412</v>
      </c>
      <c r="R46" s="73" t="s">
        <v>115</v>
      </c>
      <c r="S46" s="74">
        <f>IF(OR($C46="",COUNT($H46:$Q46)=0),"",IF($R46="Fermer","",IF(SUMPRODUCT(($C$13:$C$72=$C46)*($D$13:$D$72=$D46)*($R$13:$R$72&lt;&gt;"Fermer"),$M$13:$M$72)=0,$M46,$M46*SUMPRODUCT(($C$13:$C$72=$C46)*($D$13:$D$72=$D46),$M$13:$M$72)/SUMPRODUCT(($C$13:$C$72=$C46)*($D$13:$D$72=$D46)*($R$13:$R$72&lt;&gt;"Fermer"),$M$13:$M$72))))</f>
      </c>
      <c r="T46" s="75">
        <f>IF(OR($C46="",COUNT($H46:$Q46)=0),"",IF($R46="Fermer","",$J46-$K46-$S46))</f>
      </c>
      <c r="U46" s="74">
        <f>IF(OR($C46="",COUNT($H46:$Q46)=0),"",IF($R46="Fermer",-$L46,0))</f>
      </c>
      <c r="V46" s="76">
        <f>IF(OR($C46="",COUNT($H46:$Q46)=0),"",IF($R46="Fermer","Fermer = perdre "&amp;TEXT($L46,"#,##0")&amp;" € de contribution. Le fixe, lui, reste.",IF(AND($O46&gt;=0,$T46&lt;0),"BASCULE : saine avant, en déficit à cause d'une fermeture voisine.",IF(AND($O46&lt;0,$L46&gt;0),"Déficit au coût complet mais contribution positive : ne pas fermer, c'est un artefact d'allocation.",IF($O46&lt;0,"Contribution négative : vrai point dur.","Rentable. Point mort "&amp;TEXT($P46,"#,##0")&amp;" étudiants, marge de sécurité "&amp;TEXT($Q46,"0%")&amp;".")))))</f>
      </c>
      <c r="W46" s="47"/>
      <c r="X46" s="47"/>
      <c r="Y46" s="47"/>
      <c r="Z46" s="47"/>
      <c r="AA46" s="47"/>
      <c r="AB46" s="47"/>
      <c r="AC46" s="47"/>
      <c r="AD46" s="47"/>
      <c r="AE46" s="47"/>
    </row>
    <row r="47" ht="14.25" customHeight="1">
      <c r="B47" s="78"/>
      <c r="C47" s="73" t="s">
        <v>147</v>
      </c>
      <c r="D47" s="73" t="s">
        <v>119</v>
      </c>
      <c r="E47" s="73" t="s">
        <v>149</v>
      </c>
      <c r="F47" s="73" t="s">
        <v>110</v>
      </c>
      <c r="G47" s="73" t="s">
        <v>126</v>
      </c>
      <c r="H47" s="73">
        <v>65.539302</v>
      </c>
      <c r="I47" s="73">
        <v>2</v>
      </c>
      <c r="J47" s="73">
        <v>499153.877962</v>
      </c>
      <c r="K47" s="73">
        <v>72608.000015</v>
      </c>
      <c r="L47" s="73">
        <v>426545.877947</v>
      </c>
      <c r="M47" s="73">
        <v>276632.92947</v>
      </c>
      <c r="N47" s="73">
        <v>349240.929485</v>
      </c>
      <c r="O47" s="73">
        <v>149912.948477</v>
      </c>
      <c r="P47" s="73">
        <v>43</v>
      </c>
      <c r="Q47" s="73">
        <v>0.351458</v>
      </c>
      <c r="R47" s="73" t="s">
        <v>112</v>
      </c>
      <c r="S47" s="74">
        <f>IF(OR($C47="",COUNT($H47:$Q47)=0),"",IF($R47="Fermer","",IF(SUMPRODUCT(($C$13:$C$72=$C47)*($D$13:$D$72=$D47)*($R$13:$R$72&lt;&gt;"Fermer"),$M$13:$M$72)=0,$M47,$M47*SUMPRODUCT(($C$13:$C$72=$C47)*($D$13:$D$72=$D47),$M$13:$M$72)/SUMPRODUCT(($C$13:$C$72=$C47)*($D$13:$D$72=$D47)*($R$13:$R$72&lt;&gt;"Fermer"),$M$13:$M$72))))</f>
      </c>
      <c r="T47" s="75">
        <f>IF(OR($C47="",COUNT($H47:$Q47)=0),"",IF($R47="Fermer","",$J47-$K47-$S47))</f>
      </c>
      <c r="U47" s="74">
        <f>IF(OR($C47="",COUNT($H47:$Q47)=0),"",IF($R47="Fermer",-$L47,0))</f>
      </c>
      <c r="V47" s="76">
        <f>IF(OR($C47="",COUNT($H47:$Q47)=0),"",IF($R47="Fermer","Fermer = perdre "&amp;TEXT($L47,"#,##0")&amp;" € de contribution. Le fixe, lui, reste.",IF(AND($O47&gt;=0,$T47&lt;0),"BASCULE : saine avant, en déficit à cause d'une fermeture voisine.",IF(AND($O47&lt;0,$L47&gt;0),"Déficit au coût complet mais contribution positive : ne pas fermer, c'est un artefact d'allocation.",IF($O47&lt;0,"Contribution négative : vrai point dur.","Rentable. Point mort "&amp;TEXT($P47,"#,##0")&amp;" étudiants, marge de sécurité "&amp;TEXT($Q47,"0%")&amp;".")))))</f>
      </c>
      <c r="W47" s="47"/>
      <c r="X47" s="47"/>
      <c r="Y47" s="47"/>
      <c r="Z47" s="47"/>
      <c r="AA47" s="47"/>
      <c r="AB47" s="47"/>
      <c r="AC47" s="47"/>
      <c r="AD47" s="47"/>
      <c r="AE47" s="47"/>
    </row>
    <row r="48" ht="14.25" customHeight="1">
      <c r="B48" s="78"/>
      <c r="C48" s="73" t="s">
        <v>147</v>
      </c>
      <c r="D48" s="73" t="s">
        <v>119</v>
      </c>
      <c r="E48" s="73" t="s">
        <v>149</v>
      </c>
      <c r="F48" s="73" t="s">
        <v>114</v>
      </c>
      <c r="G48" s="73" t="s">
        <v>111</v>
      </c>
      <c r="H48" s="73">
        <v>58.3</v>
      </c>
      <c r="I48" s="73">
        <v>2</v>
      </c>
      <c r="J48" s="73">
        <v>409520.188</v>
      </c>
      <c r="K48" s="73">
        <v>46756.304092</v>
      </c>
      <c r="L48" s="73">
        <v>362763.883908</v>
      </c>
      <c r="M48" s="73">
        <v>261017.124916</v>
      </c>
      <c r="N48" s="73">
        <v>307773.429008</v>
      </c>
      <c r="O48" s="73">
        <v>101746.758992</v>
      </c>
      <c r="P48" s="73">
        <v>42</v>
      </c>
      <c r="Q48" s="73">
        <v>0.280477</v>
      </c>
      <c r="R48" s="73" t="s">
        <v>115</v>
      </c>
      <c r="S48" s="74">
        <f>IF(OR($C48="",COUNT($H48:$Q48)=0),"",IF($R48="Fermer","",IF(SUMPRODUCT(($C$13:$C$72=$C48)*($D$13:$D$72=$D48)*($R$13:$R$72&lt;&gt;"Fermer"),$M$13:$M$72)=0,$M48,$M48*SUMPRODUCT(($C$13:$C$72=$C48)*($D$13:$D$72=$D48),$M$13:$M$72)/SUMPRODUCT(($C$13:$C$72=$C48)*($D$13:$D$72=$D48)*($R$13:$R$72&lt;&gt;"Fermer"),$M$13:$M$72))))</f>
      </c>
      <c r="T48" s="75">
        <f>IF(OR($C48="",COUNT($H48:$Q48)=0),"",IF($R48="Fermer","",$J48-$K48-$S48))</f>
      </c>
      <c r="U48" s="74">
        <f>IF(OR($C48="",COUNT($H48:$Q48)=0),"",IF($R48="Fermer",-$L48,0))</f>
      </c>
      <c r="V48" s="76">
        <f>IF(OR($C48="",COUNT($H48:$Q48)=0),"",IF($R48="Fermer","Fermer = perdre "&amp;TEXT($L48,"#,##0")&amp;" € de contribution. Le fixe, lui, reste.",IF(AND($O48&gt;=0,$T48&lt;0),"BASCULE : saine avant, en déficit à cause d'une fermeture voisine.",IF(AND($O48&lt;0,$L48&gt;0),"Déficit au coût complet mais contribution positive : ne pas fermer, c'est un artefact d'allocation.",IF($O48&lt;0,"Contribution négative : vrai point dur.","Rentable. Point mort "&amp;TEXT($P48,"#,##0")&amp;" étudiants, marge de sécurité "&amp;TEXT($Q48,"0%")&amp;".")))))</f>
      </c>
      <c r="W48" s="47"/>
      <c r="X48" s="47"/>
      <c r="Y48" s="47"/>
      <c r="Z48" s="47"/>
      <c r="AA48" s="47"/>
      <c r="AB48" s="47"/>
      <c r="AC48" s="47"/>
      <c r="AD48" s="47"/>
      <c r="AE48" s="47"/>
    </row>
    <row r="49" ht="14.25" customHeight="1">
      <c r="B49" s="78"/>
      <c r="C49" s="73" t="s">
        <v>147</v>
      </c>
      <c r="D49" s="73" t="s">
        <v>119</v>
      </c>
      <c r="E49" s="73" t="s">
        <v>149</v>
      </c>
      <c r="F49" s="73" t="s">
        <v>117</v>
      </c>
      <c r="G49" s="73" t="s">
        <v>111</v>
      </c>
      <c r="H49" s="73">
        <v>57.29</v>
      </c>
      <c r="I49" s="73">
        <v>2</v>
      </c>
      <c r="J49" s="73">
        <v>402425.5844</v>
      </c>
      <c r="K49" s="73">
        <v>46386.17765</v>
      </c>
      <c r="L49" s="73">
        <v>356039.40675</v>
      </c>
      <c r="M49" s="73">
        <v>261017.124916</v>
      </c>
      <c r="N49" s="73">
        <v>307403.302566</v>
      </c>
      <c r="O49" s="73">
        <v>95022.281834</v>
      </c>
      <c r="P49" s="73">
        <v>43</v>
      </c>
      <c r="Q49" s="73">
        <v>0.266887</v>
      </c>
      <c r="R49" s="73" t="s">
        <v>115</v>
      </c>
      <c r="S49" s="74">
        <f>IF(OR($C49="",COUNT($H49:$Q49)=0),"",IF($R49="Fermer","",IF(SUMPRODUCT(($C$13:$C$72=$C49)*($D$13:$D$72=$D49)*($R$13:$R$72&lt;&gt;"Fermer"),$M$13:$M$72)=0,$M49,$M49*SUMPRODUCT(($C$13:$C$72=$C49)*($D$13:$D$72=$D49),$M$13:$M$72)/SUMPRODUCT(($C$13:$C$72=$C49)*($D$13:$D$72=$D49)*($R$13:$R$72&lt;&gt;"Fermer"),$M$13:$M$72))))</f>
      </c>
      <c r="T49" s="75">
        <f>IF(OR($C49="",COUNT($H49:$Q49)=0),"",IF($R49="Fermer","",$J49-$K49-$S49))</f>
      </c>
      <c r="U49" s="74">
        <f>IF(OR($C49="",COUNT($H49:$Q49)=0),"",IF($R49="Fermer",-$L49,0))</f>
      </c>
      <c r="V49" s="76">
        <f>IF(OR($C49="",COUNT($H49:$Q49)=0),"",IF($R49="Fermer","Fermer = perdre "&amp;TEXT($L49,"#,##0")&amp;" € de contribution. Le fixe, lui, reste.",IF(AND($O49&gt;=0,$T49&lt;0),"BASCULE : saine avant, en déficit à cause d'une fermeture voisine.",IF(AND($O49&lt;0,$L49&gt;0),"Déficit au coût complet mais contribution positive : ne pas fermer, c'est un artefact d'allocation.",IF($O49&lt;0,"Contribution négative : vrai point dur.","Rentable. Point mort "&amp;TEXT($P49,"#,##0")&amp;" étudiants, marge de sécurité "&amp;TEXT($Q49,"0%")&amp;".")))))</f>
      </c>
      <c r="W49" s="47"/>
      <c r="X49" s="47"/>
      <c r="Y49" s="47"/>
      <c r="Z49" s="47"/>
      <c r="AA49" s="47"/>
      <c r="AB49" s="47"/>
      <c r="AC49" s="47"/>
      <c r="AD49" s="47"/>
      <c r="AE49" s="47"/>
    </row>
    <row r="50" ht="14.25" customHeight="1">
      <c r="B50" s="78"/>
      <c r="C50" s="73" t="s">
        <v>147</v>
      </c>
      <c r="D50" s="73" t="s">
        <v>119</v>
      </c>
      <c r="E50" s="73" t="s">
        <v>152</v>
      </c>
      <c r="F50" s="73" t="s">
        <v>131</v>
      </c>
      <c r="G50" s="73" t="s">
        <v>111</v>
      </c>
      <c r="H50" s="73">
        <v>66.913655</v>
      </c>
      <c r="I50" s="73">
        <v>3</v>
      </c>
      <c r="J50" s="73">
        <v>509621.087846</v>
      </c>
      <c r="K50" s="73">
        <v>75052.104073</v>
      </c>
      <c r="L50" s="73">
        <v>434568.983773</v>
      </c>
      <c r="M50" s="73">
        <v>379815.300518</v>
      </c>
      <c r="N50" s="73">
        <v>454867.404591</v>
      </c>
      <c r="O50" s="73">
        <v>54753.683255</v>
      </c>
      <c r="P50" s="73">
        <v>59</v>
      </c>
      <c r="Q50" s="73">
        <v>0.125996</v>
      </c>
      <c r="R50" s="73" t="s">
        <v>112</v>
      </c>
      <c r="S50" s="74">
        <f>IF(OR($C50="",COUNT($H50:$Q50)=0),"",IF($R50="Fermer","",IF(SUMPRODUCT(($C$13:$C$72=$C50)*($D$13:$D$72=$D50)*($R$13:$R$72&lt;&gt;"Fermer"),$M$13:$M$72)=0,$M50,$M50*SUMPRODUCT(($C$13:$C$72=$C50)*($D$13:$D$72=$D50),$M$13:$M$72)/SUMPRODUCT(($C$13:$C$72=$C50)*($D$13:$D$72=$D50)*($R$13:$R$72&lt;&gt;"Fermer"),$M$13:$M$72))))</f>
      </c>
      <c r="T50" s="75">
        <f>IF(OR($C50="",COUNT($H50:$Q50)=0),"",IF($R50="Fermer","",$J50-$K50-$S50))</f>
      </c>
      <c r="U50" s="74">
        <f>IF(OR($C50="",COUNT($H50:$Q50)=0),"",IF($R50="Fermer",-$L50,0))</f>
      </c>
      <c r="V50" s="76">
        <f>IF(OR($C50="",COUNT($H50:$Q50)=0),"",IF($R50="Fermer","Fermer = perdre "&amp;TEXT($L50,"#,##0")&amp;" € de contribution. Le fixe, lui, reste.",IF(AND($O50&gt;=0,$T50&lt;0),"BASCULE : saine avant, en déficit à cause d'une fermeture voisine.",IF(AND($O50&lt;0,$L50&gt;0),"Déficit au coût complet mais contribution positive : ne pas fermer, c'est un artefact d'allocation.",IF($O50&lt;0,"Contribution négative : vrai point dur.","Rentable. Point mort "&amp;TEXT($P50,"#,##0")&amp;" étudiants, marge de sécurité "&amp;TEXT($Q50,"0%")&amp;".")))))</f>
      </c>
      <c r="W50" s="47"/>
      <c r="X50" s="47"/>
      <c r="Y50" s="47"/>
      <c r="Z50" s="47"/>
      <c r="AA50" s="47"/>
      <c r="AB50" s="47"/>
      <c r="AC50" s="47"/>
      <c r="AD50" s="47"/>
      <c r="AE50" s="47"/>
    </row>
    <row r="51" ht="14.25" customHeight="1">
      <c r="B51" s="78"/>
      <c r="C51" s="73" t="s">
        <v>147</v>
      </c>
      <c r="D51" s="73" t="s">
        <v>119</v>
      </c>
      <c r="E51" s="73" t="s">
        <v>152</v>
      </c>
      <c r="F51" s="73" t="s">
        <v>133</v>
      </c>
      <c r="G51" s="73" t="s">
        <v>111</v>
      </c>
      <c r="H51" s="73">
        <v>59.3</v>
      </c>
      <c r="I51" s="73">
        <v>3</v>
      </c>
      <c r="J51" s="73">
        <v>446297.73</v>
      </c>
      <c r="K51" s="73">
        <v>55057.350154</v>
      </c>
      <c r="L51" s="73">
        <v>391240.379846</v>
      </c>
      <c r="M51" s="73">
        <v>379815.300518</v>
      </c>
      <c r="N51" s="73">
        <v>434872.650672</v>
      </c>
      <c r="O51" s="73">
        <v>11425.079328</v>
      </c>
      <c r="P51" s="73">
        <v>58</v>
      </c>
      <c r="Q51" s="73">
        <v>0.029203</v>
      </c>
      <c r="R51" s="73" t="s">
        <v>115</v>
      </c>
      <c r="S51" s="74">
        <f>IF(OR($C51="",COUNT($H51:$Q51)=0),"",IF($R51="Fermer","",IF(SUMPRODUCT(($C$13:$C$72=$C51)*($D$13:$D$72=$D51)*($R$13:$R$72&lt;&gt;"Fermer"),$M$13:$M$72)=0,$M51,$M51*SUMPRODUCT(($C$13:$C$72=$C51)*($D$13:$D$72=$D51),$M$13:$M$72)/SUMPRODUCT(($C$13:$C$72=$C51)*($D$13:$D$72=$D51)*($R$13:$R$72&lt;&gt;"Fermer"),$M$13:$M$72))))</f>
      </c>
      <c r="T51" s="75">
        <f>IF(OR($C51="",COUNT($H51:$Q51)=0),"",IF($R51="Fermer","",$J51-$K51-$S51))</f>
      </c>
      <c r="U51" s="74">
        <f>IF(OR($C51="",COUNT($H51:$Q51)=0),"",IF($R51="Fermer",-$L51,0))</f>
      </c>
      <c r="V51" s="76">
        <f>IF(OR($C51="",COUNT($H51:$Q51)=0),"",IF($R51="Fermer","Fermer = perdre "&amp;TEXT($L51,"#,##0")&amp;" € de contribution. Le fixe, lui, reste.",IF(AND($O51&gt;=0,$T51&lt;0),"BASCULE : saine avant, en déficit à cause d'une fermeture voisine.",IF(AND($O51&lt;0,$L51&gt;0),"Déficit au coût complet mais contribution positive : ne pas fermer, c'est un artefact d'allocation.",IF($O51&lt;0,"Contribution négative : vrai point dur.","Rentable. Point mort "&amp;TEXT($P51,"#,##0")&amp;" étudiants, marge de sécurité "&amp;TEXT($Q51,"0%")&amp;".")))))</f>
      </c>
      <c r="W51" s="47"/>
      <c r="X51" s="47"/>
      <c r="Y51" s="47"/>
      <c r="Z51" s="47"/>
      <c r="AA51" s="47"/>
      <c r="AB51" s="47"/>
      <c r="AC51" s="47"/>
      <c r="AD51" s="47"/>
      <c r="AE51" s="47"/>
    </row>
    <row r="52" ht="14.25" customHeight="1">
      <c r="B52" s="78"/>
      <c r="C52" s="73" t="s">
        <v>147</v>
      </c>
      <c r="D52" s="73" t="s">
        <v>135</v>
      </c>
      <c r="E52" s="73" t="s">
        <v>149</v>
      </c>
      <c r="F52" s="73" t="s">
        <v>110</v>
      </c>
      <c r="G52" s="73" t="s">
        <v>126</v>
      </c>
      <c r="H52" s="73">
        <v>84.920597</v>
      </c>
      <c r="I52" s="73">
        <v>3</v>
      </c>
      <c r="J52" s="73">
        <v>723458.267422</v>
      </c>
      <c r="K52" s="73">
        <v>114274.723769</v>
      </c>
      <c r="L52" s="73">
        <v>609183.543653</v>
      </c>
      <c r="M52" s="73">
        <v>476513.680803</v>
      </c>
      <c r="N52" s="73">
        <v>590788.404572</v>
      </c>
      <c r="O52" s="73">
        <v>132669.86285</v>
      </c>
      <c r="P52" s="73">
        <v>67</v>
      </c>
      <c r="Q52" s="73">
        <v>0.217784</v>
      </c>
      <c r="R52" s="73" t="s">
        <v>112</v>
      </c>
      <c r="S52" s="74">
        <f>IF(OR($C52="",COUNT($H52:$Q52)=0),"",IF($R52="Fermer","",IF(SUMPRODUCT(($C$13:$C$72=$C52)*($D$13:$D$72=$D52)*($R$13:$R$72&lt;&gt;"Fermer"),$M$13:$M$72)=0,$M52,$M52*SUMPRODUCT(($C$13:$C$72=$C52)*($D$13:$D$72=$D52),$M$13:$M$72)/SUMPRODUCT(($C$13:$C$72=$C52)*($D$13:$D$72=$D52)*($R$13:$R$72&lt;&gt;"Fermer"),$M$13:$M$72))))</f>
      </c>
      <c r="T52" s="75">
        <f>IF(OR($C52="",COUNT($H52:$Q52)=0),"",IF($R52="Fermer","",$J52-$K52-$S52))</f>
      </c>
      <c r="U52" s="74">
        <f>IF(OR($C52="",COUNT($H52:$Q52)=0),"",IF($R52="Fermer",-$L52,0))</f>
      </c>
      <c r="V52" s="76">
        <f>IF(OR($C52="",COUNT($H52:$Q52)=0),"",IF($R52="Fermer","Fermer = perdre "&amp;TEXT($L52,"#,##0")&amp;" € de contribution. Le fixe, lui, reste.",IF(AND($O52&gt;=0,$T52&lt;0),"BASCULE : saine avant, en déficit à cause d'une fermeture voisine.",IF(AND($O52&lt;0,$L52&gt;0),"Déficit au coût complet mais contribution positive : ne pas fermer, c'est un artefact d'allocation.",IF($O52&lt;0,"Contribution négative : vrai point dur.","Rentable. Point mort "&amp;TEXT($P52,"#,##0")&amp;" étudiants, marge de sécurité "&amp;TEXT($Q52,"0%")&amp;".")))))</f>
      </c>
      <c r="W52" s="47"/>
      <c r="X52" s="47"/>
      <c r="Y52" s="47"/>
      <c r="Z52" s="47"/>
      <c r="AA52" s="47"/>
      <c r="AB52" s="47"/>
      <c r="AC52" s="47"/>
      <c r="AD52" s="47"/>
      <c r="AE52" s="47"/>
    </row>
    <row r="53" ht="14.25" customHeight="1">
      <c r="B53" s="78"/>
      <c r="C53" s="73" t="s">
        <v>147</v>
      </c>
      <c r="D53" s="73" t="s">
        <v>135</v>
      </c>
      <c r="E53" s="73" t="s">
        <v>149</v>
      </c>
      <c r="F53" s="73" t="s">
        <v>114</v>
      </c>
      <c r="G53" s="73" t="s">
        <v>111</v>
      </c>
      <c r="H53" s="73">
        <v>76.39</v>
      </c>
      <c r="I53" s="73">
        <v>3</v>
      </c>
      <c r="J53" s="73">
        <v>600981.763648</v>
      </c>
      <c r="K53" s="73">
        <v>65326.772702</v>
      </c>
      <c r="L53" s="73">
        <v>535654.990946</v>
      </c>
      <c r="M53" s="73">
        <v>449753.725035</v>
      </c>
      <c r="N53" s="73">
        <v>515080.497737</v>
      </c>
      <c r="O53" s="73">
        <v>85901.265911</v>
      </c>
      <c r="P53" s="73">
        <v>65</v>
      </c>
      <c r="Q53" s="73">
        <v>0.160367</v>
      </c>
      <c r="R53" s="73" t="s">
        <v>115</v>
      </c>
      <c r="S53" s="74">
        <f>IF(OR($C53="",COUNT($H53:$Q53)=0),"",IF($R53="Fermer","",IF(SUMPRODUCT(($C$13:$C$72=$C53)*($D$13:$D$72=$D53)*($R$13:$R$72&lt;&gt;"Fermer"),$M$13:$M$72)=0,$M53,$M53*SUMPRODUCT(($C$13:$C$72=$C53)*($D$13:$D$72=$D53),$M$13:$M$72)/SUMPRODUCT(($C$13:$C$72=$C53)*($D$13:$D$72=$D53)*($R$13:$R$72&lt;&gt;"Fermer"),$M$13:$M$72))))</f>
      </c>
      <c r="T53" s="75">
        <f>IF(OR($C53="",COUNT($H53:$Q53)=0),"",IF($R53="Fermer","",$J53-$K53-$S53))</f>
      </c>
      <c r="U53" s="74">
        <f>IF(OR($C53="",COUNT($H53:$Q53)=0),"",IF($R53="Fermer",-$L53,0))</f>
      </c>
      <c r="V53" s="76">
        <f>IF(OR($C53="",COUNT($H53:$Q53)=0),"",IF($R53="Fermer","Fermer = perdre "&amp;TEXT($L53,"#,##0")&amp;" € de contribution. Le fixe, lui, reste.",IF(AND($O53&gt;=0,$T53&lt;0),"BASCULE : saine avant, en déficit à cause d'une fermeture voisine.",IF(AND($O53&lt;0,$L53&gt;0),"Déficit au coût complet mais contribution positive : ne pas fermer, c'est un artefact d'allocation.",IF($O53&lt;0,"Contribution négative : vrai point dur.","Rentable. Point mort "&amp;TEXT($P53,"#,##0")&amp;" étudiants, marge de sécurité "&amp;TEXT($Q53,"0%")&amp;".")))))</f>
      </c>
      <c r="W53" s="47"/>
      <c r="X53" s="47"/>
      <c r="Y53" s="47"/>
      <c r="Z53" s="47"/>
      <c r="AA53" s="47"/>
      <c r="AB53" s="47"/>
      <c r="AC53" s="47"/>
      <c r="AD53" s="47"/>
      <c r="AE53" s="47"/>
    </row>
    <row r="54" ht="14.25" customHeight="1">
      <c r="B54" s="78"/>
      <c r="C54" s="73" t="s">
        <v>147</v>
      </c>
      <c r="D54" s="73" t="s">
        <v>135</v>
      </c>
      <c r="E54" s="73" t="s">
        <v>149</v>
      </c>
      <c r="F54" s="73" t="s">
        <v>117</v>
      </c>
      <c r="G54" s="73" t="s">
        <v>111</v>
      </c>
      <c r="H54" s="73">
        <v>74.38</v>
      </c>
      <c r="I54" s="73">
        <v>3</v>
      </c>
      <c r="J54" s="73">
        <v>585168.524416</v>
      </c>
      <c r="K54" s="73">
        <v>64589.014377</v>
      </c>
      <c r="L54" s="73">
        <v>520579.510039</v>
      </c>
      <c r="M54" s="73">
        <v>449753.725035</v>
      </c>
      <c r="N54" s="73">
        <v>514342.739412</v>
      </c>
      <c r="O54" s="73">
        <v>70825.785004</v>
      </c>
      <c r="P54" s="73">
        <v>65</v>
      </c>
      <c r="Q54" s="73">
        <v>0.136052</v>
      </c>
      <c r="R54" s="73" t="s">
        <v>115</v>
      </c>
      <c r="S54" s="74">
        <f>IF(OR($C54="",COUNT($H54:$Q54)=0),"",IF($R54="Fermer","",IF(SUMPRODUCT(($C$13:$C$72=$C54)*($D$13:$D$72=$D54)*($R$13:$R$72&lt;&gt;"Fermer"),$M$13:$M$72)=0,$M54,$M54*SUMPRODUCT(($C$13:$C$72=$C54)*($D$13:$D$72=$D54),$M$13:$M$72)/SUMPRODUCT(($C$13:$C$72=$C54)*($D$13:$D$72=$D54)*($R$13:$R$72&lt;&gt;"Fermer"),$M$13:$M$72))))</f>
      </c>
      <c r="T54" s="75">
        <f>IF(OR($C54="",COUNT($H54:$Q54)=0),"",IF($R54="Fermer","",$J54-$K54-$S54))</f>
      </c>
      <c r="U54" s="74">
        <f>IF(OR($C54="",COUNT($H54:$Q54)=0),"",IF($R54="Fermer",-$L54,0))</f>
      </c>
      <c r="V54" s="76">
        <f>IF(OR($C54="",COUNT($H54:$Q54)=0),"",IF($R54="Fermer","Fermer = perdre "&amp;TEXT($L54,"#,##0")&amp;" € de contribution. Le fixe, lui, reste.",IF(AND($O54&gt;=0,$T54&lt;0),"BASCULE : saine avant, en déficit à cause d'une fermeture voisine.",IF(AND($O54&lt;0,$L54&gt;0),"Déficit au coût complet mais contribution positive : ne pas fermer, c'est un artefact d'allocation.",IF($O54&lt;0,"Contribution négative : vrai point dur.","Rentable. Point mort "&amp;TEXT($P54,"#,##0")&amp;" étudiants, marge de sécurité "&amp;TEXT($Q54,"0%")&amp;".")))))</f>
      </c>
      <c r="W54" s="47"/>
      <c r="X54" s="47"/>
      <c r="Y54" s="47"/>
      <c r="Z54" s="47"/>
      <c r="AA54" s="47"/>
      <c r="AB54" s="47"/>
      <c r="AC54" s="47"/>
      <c r="AD54" s="47"/>
      <c r="AE54" s="47"/>
    </row>
    <row r="55" ht="14.25" customHeight="1">
      <c r="B55" s="78"/>
      <c r="C55" s="73" t="s">
        <v>147</v>
      </c>
      <c r="D55" s="73" t="s">
        <v>135</v>
      </c>
      <c r="E55" s="73" t="s">
        <v>152</v>
      </c>
      <c r="F55" s="73" t="s">
        <v>131</v>
      </c>
      <c r="G55" s="73" t="s">
        <v>111</v>
      </c>
      <c r="H55" s="73">
        <v>86.70186</v>
      </c>
      <c r="I55" s="73">
        <v>3</v>
      </c>
      <c r="J55" s="73">
        <v>738633.260172</v>
      </c>
      <c r="K55" s="73">
        <v>101709.488322</v>
      </c>
      <c r="L55" s="73">
        <v>636923.77185</v>
      </c>
      <c r="M55" s="73">
        <v>436373.747151</v>
      </c>
      <c r="N55" s="73">
        <v>538083.235473</v>
      </c>
      <c r="O55" s="73">
        <v>200550.024699</v>
      </c>
      <c r="P55" s="73">
        <v>60</v>
      </c>
      <c r="Q55" s="73">
        <v>0.314873</v>
      </c>
      <c r="R55" s="73" t="s">
        <v>112</v>
      </c>
      <c r="S55" s="74">
        <f>IF(OR($C55="",COUNT($H55:$Q55)=0),"",IF($R55="Fermer","",IF(SUMPRODUCT(($C$13:$C$72=$C55)*($D$13:$D$72=$D55)*($R$13:$R$72&lt;&gt;"Fermer"),$M$13:$M$72)=0,$M55,$M55*SUMPRODUCT(($C$13:$C$72=$C55)*($D$13:$D$72=$D55),$M$13:$M$72)/SUMPRODUCT(($C$13:$C$72=$C55)*($D$13:$D$72=$D55)*($R$13:$R$72&lt;&gt;"Fermer"),$M$13:$M$72))))</f>
      </c>
      <c r="T55" s="75">
        <f>IF(OR($C55="",COUNT($H55:$Q55)=0),"",IF($R55="Fermer","",$J55-$K55-$S55))</f>
      </c>
      <c r="U55" s="74">
        <f>IF(OR($C55="",COUNT($H55:$Q55)=0),"",IF($R55="Fermer",-$L55,0))</f>
      </c>
      <c r="V55" s="76">
        <f>IF(OR($C55="",COUNT($H55:$Q55)=0),"",IF($R55="Fermer","Fermer = perdre "&amp;TEXT($L55,"#,##0")&amp;" € de contribution. Le fixe, lui, reste.",IF(AND($O55&gt;=0,$T55&lt;0),"BASCULE : saine avant, en déficit à cause d'une fermeture voisine.",IF(AND($O55&lt;0,$L55&gt;0),"Déficit au coût complet mais contribution positive : ne pas fermer, c'est un artefact d'allocation.",IF($O55&lt;0,"Contribution négative : vrai point dur.","Rentable. Point mort "&amp;TEXT($P55,"#,##0")&amp;" étudiants, marge de sécurité "&amp;TEXT($Q55,"0%")&amp;".")))))</f>
      </c>
      <c r="W55" s="47"/>
      <c r="X55" s="47"/>
      <c r="Y55" s="47"/>
      <c r="Z55" s="47"/>
      <c r="AA55" s="47"/>
      <c r="AB55" s="47"/>
      <c r="AC55" s="47"/>
      <c r="AD55" s="47"/>
      <c r="AE55" s="47"/>
    </row>
    <row r="56" ht="14.25" customHeight="1">
      <c r="B56" s="78"/>
      <c r="C56" s="73" t="s">
        <v>147</v>
      </c>
      <c r="D56" s="73" t="s">
        <v>135</v>
      </c>
      <c r="E56" s="73" t="s">
        <v>152</v>
      </c>
      <c r="F56" s="73" t="s">
        <v>133</v>
      </c>
      <c r="G56" s="73" t="s">
        <v>111</v>
      </c>
      <c r="H56" s="73">
        <v>76.39</v>
      </c>
      <c r="I56" s="73">
        <v>3</v>
      </c>
      <c r="J56" s="73">
        <v>643909.03248</v>
      </c>
      <c r="K56" s="73">
        <v>60665.278156</v>
      </c>
      <c r="L56" s="73">
        <v>583243.754324</v>
      </c>
      <c r="M56" s="73">
        <v>436373.747151</v>
      </c>
      <c r="N56" s="73">
        <v>497039.025307</v>
      </c>
      <c r="O56" s="73">
        <v>146870.007173</v>
      </c>
      <c r="P56" s="73">
        <v>58</v>
      </c>
      <c r="Q56" s="73">
        <v>0.251816</v>
      </c>
      <c r="R56" s="73" t="s">
        <v>115</v>
      </c>
      <c r="S56" s="74">
        <f>IF(OR($C56="",COUNT($H56:$Q56)=0),"",IF($R56="Fermer","",IF(SUMPRODUCT(($C$13:$C$72=$C56)*($D$13:$D$72=$D56)*($R$13:$R$72&lt;&gt;"Fermer"),$M$13:$M$72)=0,$M56,$M56*SUMPRODUCT(($C$13:$C$72=$C56)*($D$13:$D$72=$D56),$M$13:$M$72)/SUMPRODUCT(($C$13:$C$72=$C56)*($D$13:$D$72=$D56)*($R$13:$R$72&lt;&gt;"Fermer"),$M$13:$M$72))))</f>
      </c>
      <c r="T56" s="75">
        <f>IF(OR($C56="",COUNT($H56:$Q56)=0),"",IF($R56="Fermer","",$J56-$K56-$S56))</f>
      </c>
      <c r="U56" s="74">
        <f>IF(OR($C56="",COUNT($H56:$Q56)=0),"",IF($R56="Fermer",-$L56,0))</f>
      </c>
      <c r="V56" s="76">
        <f>IF(OR($C56="",COUNT($H56:$Q56)=0),"",IF($R56="Fermer","Fermer = perdre "&amp;TEXT($L56,"#,##0")&amp;" € de contribution. Le fixe, lui, reste.",IF(AND($O56&gt;=0,$T56&lt;0),"BASCULE : saine avant, en déficit à cause d'une fermeture voisine.",IF(AND($O56&lt;0,$L56&gt;0),"Déficit au coût complet mais contribution positive : ne pas fermer, c'est un artefact d'allocation.",IF($O56&lt;0,"Contribution négative : vrai point dur.","Rentable. Point mort "&amp;TEXT($P56,"#,##0")&amp;" étudiants, marge de sécurité "&amp;TEXT($Q56,"0%")&amp;".")))))</f>
      </c>
      <c r="W56" s="47"/>
      <c r="X56" s="47"/>
      <c r="Y56" s="47"/>
      <c r="Z56" s="47"/>
      <c r="AA56" s="47"/>
      <c r="AB56" s="47"/>
      <c r="AC56" s="47"/>
      <c r="AD56" s="47"/>
      <c r="AE56" s="47"/>
    </row>
    <row r="57" ht="14.25" customHeight="1">
      <c r="B57" s="63"/>
      <c r="C57" s="73" t="s">
        <v>170</v>
      </c>
      <c r="D57" s="73" t="s">
        <v>148</v>
      </c>
      <c r="E57" s="73" t="s">
        <v>171</v>
      </c>
      <c r="F57" s="73" t="s">
        <v>172</v>
      </c>
      <c r="G57" s="73" t="s">
        <v>111</v>
      </c>
      <c r="H57" s="73">
        <v>40.09082</v>
      </c>
      <c r="I57" s="73">
        <v>2</v>
      </c>
      <c r="J57" s="73">
        <v>237545.733774</v>
      </c>
      <c r="K57" s="73">
        <v>48181.358397</v>
      </c>
      <c r="L57" s="73">
        <v>189364.375377</v>
      </c>
      <c r="M57" s="73">
        <v>161601.857626</v>
      </c>
      <c r="N57" s="73">
        <v>209783.216023</v>
      </c>
      <c r="O57" s="73">
        <v>27762.517751</v>
      </c>
      <c r="P57" s="73">
        <v>35</v>
      </c>
      <c r="Q57" s="73">
        <v>0.146609</v>
      </c>
      <c r="R57" s="73" t="s">
        <v>112</v>
      </c>
      <c r="S57" s="74">
        <f>IF(OR($C57="",COUNT($H57:$Q57)=0),"",IF($R57="Fermer","",IF(SUMPRODUCT(($C$13:$C$72=$C57)*($D$13:$D$72=$D57)*($R$13:$R$72&lt;&gt;"Fermer"),$M$13:$M$72)=0,$M57,$M57*SUMPRODUCT(($C$13:$C$72=$C57)*($D$13:$D$72=$D57),$M$13:$M$72)/SUMPRODUCT(($C$13:$C$72=$C57)*($D$13:$D$72=$D57)*($R$13:$R$72&lt;&gt;"Fermer"),$M$13:$M$72))))</f>
      </c>
      <c r="T57" s="75">
        <f>IF(OR($C57="",COUNT($H57:$Q57)=0),"",IF($R57="Fermer","",$J57-$K57-$S57))</f>
      </c>
      <c r="U57" s="74">
        <f>IF(OR($C57="",COUNT($H57:$Q57)=0),"",IF($R57="Fermer",-$L57,0))</f>
      </c>
      <c r="V57" s="76">
        <f>IF(OR($C57="",COUNT($H57:$Q57)=0),"",IF($R57="Fermer","Fermer = perdre "&amp;TEXT($L57,"#,##0")&amp;" € de contribution. Le fixe, lui, reste.",IF(AND($O57&gt;=0,$T57&lt;0),"BASCULE : saine avant, en déficit à cause d'une fermeture voisine.",IF(AND($O57&lt;0,$L57&gt;0),"Déficit au coût complet mais contribution positive : ne pas fermer, c'est un artefact d'allocation.",IF($O57&lt;0,"Contribution négative : vrai point dur.","Rentable. Point mort "&amp;TEXT($P57,"#,##0")&amp;" étudiants, marge de sécurité "&amp;TEXT($Q57,"0%")&amp;".")))))</f>
      </c>
      <c r="W57" s="47"/>
      <c r="X57" s="47"/>
      <c r="Y57" s="47"/>
      <c r="Z57" s="47"/>
      <c r="AA57" s="47"/>
      <c r="AB57" s="47"/>
      <c r="AC57" s="47"/>
      <c r="AD57" s="47"/>
      <c r="AE57" s="47"/>
    </row>
    <row r="58" ht="14.25" customHeight="1">
      <c r="B58" s="63"/>
      <c r="C58" s="73" t="s">
        <v>170</v>
      </c>
      <c r="D58" s="73" t="s">
        <v>148</v>
      </c>
      <c r="E58" s="73" t="s">
        <v>171</v>
      </c>
      <c r="F58" s="73" t="s">
        <v>174</v>
      </c>
      <c r="G58" s="73" t="s">
        <v>111</v>
      </c>
      <c r="H58" s="73">
        <v>35.18</v>
      </c>
      <c r="I58" s="73">
        <v>2</v>
      </c>
      <c r="J58" s="73">
        <v>205281.991236</v>
      </c>
      <c r="K58" s="73">
        <v>34872.264814</v>
      </c>
      <c r="L58" s="73">
        <v>170409.726422</v>
      </c>
      <c r="M58" s="73">
        <v>161601.857626</v>
      </c>
      <c r="N58" s="73">
        <v>196474.12244</v>
      </c>
      <c r="O58" s="73">
        <v>8807.868796</v>
      </c>
      <c r="P58" s="73">
        <v>34</v>
      </c>
      <c r="Q58" s="73">
        <v>0.051687</v>
      </c>
      <c r="R58" s="73" t="s">
        <v>115</v>
      </c>
      <c r="S58" s="74">
        <f>IF(OR($C58="",COUNT($H58:$Q58)=0),"",IF($R58="Fermer","",IF(SUMPRODUCT(($C$13:$C$72=$C58)*($D$13:$D$72=$D58)*($R$13:$R$72&lt;&gt;"Fermer"),$M$13:$M$72)=0,$M58,$M58*SUMPRODUCT(($C$13:$C$72=$C58)*($D$13:$D$72=$D58),$M$13:$M$72)/SUMPRODUCT(($C$13:$C$72=$C58)*($D$13:$D$72=$D58)*($R$13:$R$72&lt;&gt;"Fermer"),$M$13:$M$72))))</f>
      </c>
      <c r="T58" s="75">
        <f>IF(OR($C58="",COUNT($H58:$Q58)=0),"",IF($R58="Fermer","",$J58-$K58-$S58))</f>
      </c>
      <c r="U58" s="74">
        <f>IF(OR($C58="",COUNT($H58:$Q58)=0),"",IF($R58="Fermer",-$L58,0))</f>
      </c>
      <c r="V58" s="76">
        <f>IF(OR($C58="",COUNT($H58:$Q58)=0),"",IF($R58="Fermer","Fermer = perdre "&amp;TEXT($L58,"#,##0")&amp;" € de contribution. Le fixe, lui, reste.",IF(AND($O58&gt;=0,$T58&lt;0),"BASCULE : saine avant, en déficit à cause d'une fermeture voisine.",IF(AND($O58&lt;0,$L58&gt;0),"Déficit au coût complet mais contribution positive : ne pas fermer, c'est un artefact d'allocation.",IF($O58&lt;0,"Contribution négative : vrai point dur.","Rentable. Point mort "&amp;TEXT($P58,"#,##0")&amp;" étudiants, marge de sécurité "&amp;TEXT($Q58,"0%")&amp;".")))))</f>
      </c>
      <c r="W58" s="47"/>
      <c r="X58" s="47"/>
      <c r="Y58" s="47"/>
      <c r="Z58" s="47"/>
      <c r="AA58" s="47"/>
      <c r="AB58" s="47"/>
      <c r="AC58" s="47"/>
      <c r="AD58" s="47"/>
      <c r="AE58" s="47"/>
    </row>
    <row r="59" ht="14.25" customHeight="1">
      <c r="B59" s="63"/>
      <c r="C59" s="73" t="s">
        <v>170</v>
      </c>
      <c r="D59" s="73" t="s">
        <v>148</v>
      </c>
      <c r="E59" s="73" t="s">
        <v>176</v>
      </c>
      <c r="F59" s="73" t="s">
        <v>110</v>
      </c>
      <c r="G59" s="73" t="s">
        <v>111</v>
      </c>
      <c r="H59" s="73">
        <v>40.09082</v>
      </c>
      <c r="I59" s="73">
        <v>2</v>
      </c>
      <c r="J59" s="73">
        <v>276535.327103</v>
      </c>
      <c r="K59" s="73">
        <v>40477.971331</v>
      </c>
      <c r="L59" s="73">
        <v>236057.355772</v>
      </c>
      <c r="M59" s="73">
        <v>146510.455229</v>
      </c>
      <c r="N59" s="73">
        <v>186988.42656</v>
      </c>
      <c r="O59" s="73">
        <v>89546.900543</v>
      </c>
      <c r="P59" s="73">
        <v>25</v>
      </c>
      <c r="Q59" s="73">
        <v>0.379344</v>
      </c>
      <c r="R59" s="73" t="s">
        <v>112</v>
      </c>
      <c r="S59" s="74">
        <f>IF(OR($C59="",COUNT($H59:$Q59)=0),"",IF($R59="Fermer","",IF(SUMPRODUCT(($C$13:$C$72=$C59)*($D$13:$D$72=$D59)*($R$13:$R$72&lt;&gt;"Fermer"),$M$13:$M$72)=0,$M59,$M59*SUMPRODUCT(($C$13:$C$72=$C59)*($D$13:$D$72=$D59),$M$13:$M$72)/SUMPRODUCT(($C$13:$C$72=$C59)*($D$13:$D$72=$D59)*($R$13:$R$72&lt;&gt;"Fermer"),$M$13:$M$72))))</f>
      </c>
      <c r="T59" s="75">
        <f>IF(OR($C59="",COUNT($H59:$Q59)=0),"",IF($R59="Fermer","",$J59-$K59-$S59))</f>
      </c>
      <c r="U59" s="74">
        <f>IF(OR($C59="",COUNT($H59:$Q59)=0),"",IF($R59="Fermer",-$L59,0))</f>
      </c>
      <c r="V59" s="76">
        <f>IF(OR($C59="",COUNT($H59:$Q59)=0),"",IF($R59="Fermer","Fermer = perdre "&amp;TEXT($L59,"#,##0")&amp;" € de contribution. Le fixe, lui, reste.",IF(AND($O59&gt;=0,$T59&lt;0),"BASCULE : saine avant, en déficit à cause d'une fermeture voisine.",IF(AND($O59&lt;0,$L59&gt;0),"Déficit au coût complet mais contribution positive : ne pas fermer, c'est un artefact d'allocation.",IF($O59&lt;0,"Contribution négative : vrai point dur.","Rentable. Point mort "&amp;TEXT($P59,"#,##0")&amp;" étudiants, marge de sécurité "&amp;TEXT($Q59,"0%")&amp;".")))))</f>
      </c>
      <c r="W59" s="47"/>
      <c r="X59" s="47"/>
      <c r="Y59" s="47"/>
      <c r="Z59" s="47"/>
      <c r="AA59" s="47"/>
      <c r="AB59" s="47"/>
      <c r="AC59" s="47"/>
      <c r="AD59" s="47"/>
      <c r="AE59" s="47"/>
    </row>
    <row r="60" ht="14.25" customHeight="1">
      <c r="B60" s="63"/>
      <c r="C60" s="73" t="s">
        <v>170</v>
      </c>
      <c r="D60" s="73" t="s">
        <v>148</v>
      </c>
      <c r="E60" s="73" t="s">
        <v>176</v>
      </c>
      <c r="F60" s="73" t="s">
        <v>114</v>
      </c>
      <c r="G60" s="73" t="s">
        <v>111</v>
      </c>
      <c r="H60" s="73">
        <v>35.18</v>
      </c>
      <c r="I60" s="73">
        <v>2</v>
      </c>
      <c r="J60" s="73">
        <v>239495.656442</v>
      </c>
      <c r="K60" s="73">
        <v>27168.877748</v>
      </c>
      <c r="L60" s="73">
        <v>212326.778694</v>
      </c>
      <c r="M60" s="73">
        <v>146510.455229</v>
      </c>
      <c r="N60" s="73">
        <v>173679.332977</v>
      </c>
      <c r="O60" s="73">
        <v>65816.323465</v>
      </c>
      <c r="P60" s="73">
        <v>25</v>
      </c>
      <c r="Q60" s="73">
        <v>0.309977</v>
      </c>
      <c r="R60" s="73" t="s">
        <v>115</v>
      </c>
      <c r="S60" s="74">
        <f>IF(OR($C60="",COUNT($H60:$Q60)=0),"",IF($R60="Fermer","",IF(SUMPRODUCT(($C$13:$C$72=$C60)*($D$13:$D$72=$D60)*($R$13:$R$72&lt;&gt;"Fermer"),$M$13:$M$72)=0,$M60,$M60*SUMPRODUCT(($C$13:$C$72=$C60)*($D$13:$D$72=$D60),$M$13:$M$72)/SUMPRODUCT(($C$13:$C$72=$C60)*($D$13:$D$72=$D60)*($R$13:$R$72&lt;&gt;"Fermer"),$M$13:$M$72))))</f>
      </c>
      <c r="T60" s="75">
        <f>IF(OR($C60="",COUNT($H60:$Q60)=0),"",IF($R60="Fermer","",$J60-$K60-$S60))</f>
      </c>
      <c r="U60" s="74">
        <f>IF(OR($C60="",COUNT($H60:$Q60)=0),"",IF($R60="Fermer",-$L60,0))</f>
      </c>
      <c r="V60" s="76">
        <f>IF(OR($C60="",COUNT($H60:$Q60)=0),"",IF($R60="Fermer","Fermer = perdre "&amp;TEXT($L60,"#,##0")&amp;" € de contribution. Le fixe, lui, reste.",IF(AND($O60&gt;=0,$T60&lt;0),"BASCULE : saine avant, en déficit à cause d'une fermeture voisine.",IF(AND($O60&lt;0,$L60&gt;0),"Déficit au coût complet mais contribution positive : ne pas fermer, c'est un artefact d'allocation.",IF($O60&lt;0,"Contribution négative : vrai point dur.","Rentable. Point mort "&amp;TEXT($P60,"#,##0")&amp;" étudiants, marge de sécurité "&amp;TEXT($Q60,"0%")&amp;".")))))</f>
      </c>
    </row>
    <row r="61" ht="14.25" customHeight="1">
      <c r="B61" s="63"/>
      <c r="C61" s="73" t="s">
        <v>170</v>
      </c>
      <c r="D61" s="73" t="s">
        <v>148</v>
      </c>
      <c r="E61" s="73" t="s">
        <v>176</v>
      </c>
      <c r="F61" s="73" t="s">
        <v>117</v>
      </c>
      <c r="G61" s="73" t="s">
        <v>111</v>
      </c>
      <c r="H61" s="73">
        <v>34.175</v>
      </c>
      <c r="I61" s="73">
        <v>2</v>
      </c>
      <c r="J61" s="73">
        <v>232653.895933</v>
      </c>
      <c r="K61" s="73">
        <v>26872.922272</v>
      </c>
      <c r="L61" s="73">
        <v>205780.973661</v>
      </c>
      <c r="M61" s="73">
        <v>146510.455229</v>
      </c>
      <c r="N61" s="73">
        <v>173383.377501</v>
      </c>
      <c r="O61" s="73">
        <v>59270.518432</v>
      </c>
      <c r="P61" s="73">
        <v>25</v>
      </c>
      <c r="Q61" s="73">
        <v>0.288028</v>
      </c>
      <c r="R61" s="73" t="s">
        <v>115</v>
      </c>
      <c r="S61" s="74">
        <f>IF(OR($C61="",COUNT($H61:$Q61)=0),"",IF($R61="Fermer","",IF(SUMPRODUCT(($C$13:$C$72=$C61)*($D$13:$D$72=$D61)*($R$13:$R$72&lt;&gt;"Fermer"),$M$13:$M$72)=0,$M61,$M61*SUMPRODUCT(($C$13:$C$72=$C61)*($D$13:$D$72=$D61),$M$13:$M$72)/SUMPRODUCT(($C$13:$C$72=$C61)*($D$13:$D$72=$D61)*($R$13:$R$72&lt;&gt;"Fermer"),$M$13:$M$72))))</f>
      </c>
      <c r="T61" s="75">
        <f>IF(OR($C61="",COUNT($H61:$Q61)=0),"",IF($R61="Fermer","",$J61-$K61-$S61))</f>
      </c>
      <c r="U61" s="74">
        <f>IF(OR($C61="",COUNT($H61:$Q61)=0),"",IF($R61="Fermer",-$L61,0))</f>
      </c>
      <c r="V61" s="76">
        <f>IF(OR($C61="",COUNT($H61:$Q61)=0),"",IF($R61="Fermer","Fermer = perdre "&amp;TEXT($L61,"#,##0")&amp;" € de contribution. Le fixe, lui, reste.",IF(AND($O61&gt;=0,$T61&lt;0),"BASCULE : saine avant, en déficit à cause d'une fermeture voisine.",IF(AND($O61&lt;0,$L61&gt;0),"Déficit au coût complet mais contribution positive : ne pas fermer, c'est un artefact d'allocation.",IF($O61&lt;0,"Contribution négative : vrai point dur.","Rentable. Point mort "&amp;TEXT($P61,"#,##0")&amp;" étudiants, marge de sécurité "&amp;TEXT($Q61,"0%")&amp;".")))))</f>
      </c>
    </row>
    <row r="62" ht="14.25" customHeight="1">
      <c r="B62" s="63"/>
      <c r="C62" s="73" t="s">
        <v>170</v>
      </c>
      <c r="D62" s="73" t="s">
        <v>154</v>
      </c>
      <c r="E62" s="73" t="s">
        <v>176</v>
      </c>
      <c r="F62" s="73" t="s">
        <v>117</v>
      </c>
      <c r="G62" s="73" t="s">
        <v>111</v>
      </c>
      <c r="H62" s="73">
        <v>44.225</v>
      </c>
      <c r="I62" s="73">
        <v>2</v>
      </c>
      <c r="J62" s="73">
        <v>325902.140288</v>
      </c>
      <c r="K62" s="73">
        <v>29821.97571</v>
      </c>
      <c r="L62" s="73">
        <v>296080.164578</v>
      </c>
      <c r="M62" s="73">
        <v>208315.564802</v>
      </c>
      <c r="N62" s="73">
        <v>238137.540512</v>
      </c>
      <c r="O62" s="73">
        <v>87764.599776</v>
      </c>
      <c r="P62" s="73">
        <v>32</v>
      </c>
      <c r="Q62" s="73">
        <v>0.296422</v>
      </c>
      <c r="R62" s="73" t="s">
        <v>115</v>
      </c>
      <c r="S62" s="74">
        <f>IF(OR($C62="",COUNT($H62:$Q62)=0),"",IF($R62="Fermer","",IF(SUMPRODUCT(($C$13:$C$72=$C62)*($D$13:$D$72=$D62)*($R$13:$R$72&lt;&gt;"Fermer"),$M$13:$M$72)=0,$M62,$M62*SUMPRODUCT(($C$13:$C$72=$C62)*($D$13:$D$72=$D62),$M$13:$M$72)/SUMPRODUCT(($C$13:$C$72=$C62)*($D$13:$D$72=$D62)*($R$13:$R$72&lt;&gt;"Fermer"),$M$13:$M$72))))</f>
      </c>
      <c r="T62" s="75">
        <f>IF(OR($C62="",COUNT($H62:$Q62)=0),"",IF($R62="Fermer","",$J62-$K62-$S62))</f>
      </c>
      <c r="U62" s="74">
        <f>IF(OR($C62="",COUNT($H62:$Q62)=0),"",IF($R62="Fermer",-$L62,0))</f>
      </c>
      <c r="V62" s="76">
        <f>IF(OR($C62="",COUNT($H62:$Q62)=0),"",IF($R62="Fermer","Fermer = perdre "&amp;TEXT($L62,"#,##0")&amp;" € de contribution. Le fixe, lui, reste.",IF(AND($O62&gt;=0,$T62&lt;0),"BASCULE : saine avant, en déficit à cause d'une fermeture voisine.",IF(AND($O62&lt;0,$L62&gt;0),"Déficit au coût complet mais contribution positive : ne pas fermer, c'est un artefact d'allocation.",IF($O62&lt;0,"Contribution négative : vrai point dur.","Rentable. Point mort "&amp;TEXT($P62,"#,##0")&amp;" étudiants, marge de sécurité "&amp;TEXT($Q62,"0%")&amp;".")))))</f>
      </c>
    </row>
    <row r="63" ht="14.25" customHeight="1">
      <c r="B63" s="63"/>
      <c r="C63" s="73" t="s">
        <v>170</v>
      </c>
      <c r="D63" s="73" t="s">
        <v>154</v>
      </c>
      <c r="E63" s="73" t="s">
        <v>176</v>
      </c>
      <c r="F63" s="73" t="s">
        <v>114</v>
      </c>
      <c r="G63" s="73" t="s">
        <v>111</v>
      </c>
      <c r="H63" s="73">
        <v>45.23</v>
      </c>
      <c r="I63" s="73">
        <v>2</v>
      </c>
      <c r="J63" s="73">
        <v>333308.169705</v>
      </c>
      <c r="K63" s="73">
        <v>30117.76439</v>
      </c>
      <c r="L63" s="73">
        <v>303190.405315</v>
      </c>
      <c r="M63" s="73">
        <v>208315.564802</v>
      </c>
      <c r="N63" s="73">
        <v>238433.329192</v>
      </c>
      <c r="O63" s="73">
        <v>94874.840513</v>
      </c>
      <c r="P63" s="73">
        <v>32</v>
      </c>
      <c r="Q63" s="73">
        <v>0.312922</v>
      </c>
      <c r="R63" s="73" t="s">
        <v>115</v>
      </c>
      <c r="S63" s="74">
        <f>IF(OR($C63="",COUNT($H63:$Q63)=0),"",IF($R63="Fermer","",IF(SUMPRODUCT(($C$13:$C$72=$C63)*($D$13:$D$72=$D63)*($R$13:$R$72&lt;&gt;"Fermer"),$M$13:$M$72)=0,$M63,$M63*SUMPRODUCT(($C$13:$C$72=$C63)*($D$13:$D$72=$D63),$M$13:$M$72)/SUMPRODUCT(($C$13:$C$72=$C63)*($D$13:$D$72=$D63)*($R$13:$R$72&lt;&gt;"Fermer"),$M$13:$M$72))))</f>
      </c>
      <c r="T63" s="75">
        <f>IF(OR($C63="",COUNT($H63:$Q63)=0),"",IF($R63="Fermer","",$J63-$K63-$S63))</f>
      </c>
      <c r="U63" s="74">
        <f>IF(OR($C63="",COUNT($H63:$Q63)=0),"",IF($R63="Fermer",-$L63,0))</f>
      </c>
      <c r="V63" s="76">
        <f>IF(OR($C63="",COUNT($H63:$Q63)=0),"",IF($R63="Fermer","Fermer = perdre "&amp;TEXT($L63,"#,##0")&amp;" € de contribution. Le fixe, lui, reste.",IF(AND($O63&gt;=0,$T63&lt;0),"BASCULE : saine avant, en déficit à cause d'une fermeture voisine.",IF(AND($O63&lt;0,$L63&gt;0),"Déficit au coût complet mais contribution positive : ne pas fermer, c'est un artefact d'allocation.",IF($O63&lt;0,"Contribution négative : vrai point dur.","Rentable. Point mort "&amp;TEXT($P63,"#,##0")&amp;" étudiants, marge de sécurité "&amp;TEXT($Q63,"0%")&amp;".")))))</f>
      </c>
    </row>
    <row r="64" ht="14.25" customHeight="1">
      <c r="B64" s="63"/>
      <c r="C64" s="73" t="s">
        <v>170</v>
      </c>
      <c r="D64" s="73" t="s">
        <v>154</v>
      </c>
      <c r="E64" s="73" t="s">
        <v>171</v>
      </c>
      <c r="F64" s="73" t="s">
        <v>172</v>
      </c>
      <c r="G64" s="73" t="s">
        <v>111</v>
      </c>
      <c r="H64" s="73">
        <v>51.131266</v>
      </c>
      <c r="I64" s="73">
        <v>2</v>
      </c>
      <c r="J64" s="73">
        <v>327569.541147</v>
      </c>
      <c r="K64" s="73">
        <v>59328.221999</v>
      </c>
      <c r="L64" s="73">
        <v>268241.319148</v>
      </c>
      <c r="M64" s="73">
        <v>228242.02259</v>
      </c>
      <c r="N64" s="73">
        <v>287570.244589</v>
      </c>
      <c r="O64" s="73">
        <v>39999.296558</v>
      </c>
      <c r="P64" s="73">
        <v>44</v>
      </c>
      <c r="Q64" s="73">
        <v>0.149117</v>
      </c>
      <c r="R64" s="73" t="s">
        <v>112</v>
      </c>
      <c r="S64" s="74">
        <f>IF(OR($C64="",COUNT($H64:$Q64)=0),"",IF($R64="Fermer","",IF(SUMPRODUCT(($C$13:$C$72=$C64)*($D$13:$D$72=$D64)*($R$13:$R$72&lt;&gt;"Fermer"),$M$13:$M$72)=0,$M64,$M64*SUMPRODUCT(($C$13:$C$72=$C64)*($D$13:$D$72=$D64),$M$13:$M$72)/SUMPRODUCT(($C$13:$C$72=$C64)*($D$13:$D$72=$D64)*($R$13:$R$72&lt;&gt;"Fermer"),$M$13:$M$72))))</f>
      </c>
      <c r="T64" s="75">
        <f>IF(OR($C64="",COUNT($H64:$Q64)=0),"",IF($R64="Fermer","",$J64-$K64-$S64))</f>
      </c>
      <c r="U64" s="74">
        <f>IF(OR($C64="",COUNT($H64:$Q64)=0),"",IF($R64="Fermer",-$L64,0))</f>
      </c>
      <c r="V64" s="76">
        <f>IF(OR($C64="",COUNT($H64:$Q64)=0),"",IF($R64="Fermer","Fermer = perdre "&amp;TEXT($L64,"#,##0")&amp;" € de contribution. Le fixe, lui, reste.",IF(AND($O64&gt;=0,$T64&lt;0),"BASCULE : saine avant, en déficit à cause d'une fermeture voisine.",IF(AND($O64&lt;0,$L64&gt;0),"Déficit au coût complet mais contribution positive : ne pas fermer, c'est un artefact d'allocation.",IF($O64&lt;0,"Contribution négative : vrai point dur.","Rentable. Point mort "&amp;TEXT($P64,"#,##0")&amp;" étudiants, marge de sécurité "&amp;TEXT($Q64,"0%")&amp;".")))))</f>
      </c>
    </row>
    <row r="65" ht="14.25" customHeight="1">
      <c r="B65" s="63"/>
      <c r="C65" s="73" t="s">
        <v>170</v>
      </c>
      <c r="D65" s="73" t="s">
        <v>154</v>
      </c>
      <c r="E65" s="73" t="s">
        <v>171</v>
      </c>
      <c r="F65" s="73" t="s">
        <v>174</v>
      </c>
      <c r="G65" s="73" t="s">
        <v>111</v>
      </c>
      <c r="H65" s="73">
        <v>45.23</v>
      </c>
      <c r="I65" s="73">
        <v>2</v>
      </c>
      <c r="J65" s="73">
        <v>285692.71689</v>
      </c>
      <c r="K65" s="73">
        <v>37821.151456</v>
      </c>
      <c r="L65" s="73">
        <v>247871.565434</v>
      </c>
      <c r="M65" s="73">
        <v>228242.02259</v>
      </c>
      <c r="N65" s="73">
        <v>266063.174046</v>
      </c>
      <c r="O65" s="73">
        <v>19629.542844</v>
      </c>
      <c r="P65" s="73">
        <v>42</v>
      </c>
      <c r="Q65" s="73">
        <v>0.079193</v>
      </c>
      <c r="R65" s="73" t="s">
        <v>115</v>
      </c>
      <c r="S65" s="74">
        <f>IF(OR($C65="",COUNT($H65:$Q65)=0),"",IF($R65="Fermer","",IF(SUMPRODUCT(($C$13:$C$72=$C65)*($D$13:$D$72=$D65)*($R$13:$R$72&lt;&gt;"Fermer"),$M$13:$M$72)=0,$M65,$M65*SUMPRODUCT(($C$13:$C$72=$C65)*($D$13:$D$72=$D65),$M$13:$M$72)/SUMPRODUCT(($C$13:$C$72=$C65)*($D$13:$D$72=$D65)*($R$13:$R$72&lt;&gt;"Fermer"),$M$13:$M$72))))</f>
      </c>
      <c r="T65" s="75">
        <f>IF(OR($C65="",COUNT($H65:$Q65)=0),"",IF($R65="Fermer","",$J65-$K65-$S65))</f>
      </c>
      <c r="U65" s="74">
        <f>IF(OR($C65="",COUNT($H65:$Q65)=0),"",IF($R65="Fermer",-$L65,0))</f>
      </c>
      <c r="V65" s="76">
        <f>IF(OR($C65="",COUNT($H65:$Q65)=0),"",IF($R65="Fermer","Fermer = perdre "&amp;TEXT($L65,"#,##0")&amp;" € de contribution. Le fixe, lui, reste.",IF(AND($O65&gt;=0,$T65&lt;0),"BASCULE : saine avant, en déficit à cause d'une fermeture voisine.",IF(AND($O65&lt;0,$L65&gt;0),"Déficit au coût complet mais contribution positive : ne pas fermer, c'est un artefact d'allocation.",IF($O65&lt;0,"Contribution négative : vrai point dur.","Rentable. Point mort "&amp;TEXT($P65,"#,##0")&amp;" étudiants, marge de sécurité "&amp;TEXT($Q65,"0%")&amp;".")))))</f>
      </c>
    </row>
    <row r="66" ht="14.25" customHeight="1">
      <c r="B66" s="63"/>
      <c r="C66" s="73" t="s">
        <v>170</v>
      </c>
      <c r="D66" s="73" t="s">
        <v>154</v>
      </c>
      <c r="E66" s="73" t="s">
        <v>176</v>
      </c>
      <c r="F66" s="73" t="s">
        <v>110</v>
      </c>
      <c r="G66" s="73" t="s">
        <v>111</v>
      </c>
      <c r="H66" s="73">
        <v>51.131266</v>
      </c>
      <c r="I66" s="73">
        <v>2</v>
      </c>
      <c r="J66" s="73">
        <v>381397.495681</v>
      </c>
      <c r="K66" s="73">
        <v>51624.834933</v>
      </c>
      <c r="L66" s="73">
        <v>329772.660748</v>
      </c>
      <c r="M66" s="73">
        <v>208315.564802</v>
      </c>
      <c r="N66" s="73">
        <v>259940.399735</v>
      </c>
      <c r="O66" s="73">
        <v>121457.095946</v>
      </c>
      <c r="P66" s="73">
        <v>33</v>
      </c>
      <c r="Q66" s="73">
        <v>0.368306</v>
      </c>
      <c r="R66" s="73" t="s">
        <v>112</v>
      </c>
      <c r="S66" s="74">
        <f>IF(OR($C66="",COUNT($H66:$Q66)=0),"",IF($R66="Fermer","",IF(SUMPRODUCT(($C$13:$C$72=$C66)*($D$13:$D$72=$D66)*($R$13:$R$72&lt;&gt;"Fermer"),$M$13:$M$72)=0,$M66,$M66*SUMPRODUCT(($C$13:$C$72=$C66)*($D$13:$D$72=$D66),$M$13:$M$72)/SUMPRODUCT(($C$13:$C$72=$C66)*($D$13:$D$72=$D66)*($R$13:$R$72&lt;&gt;"Fermer"),$M$13:$M$72))))</f>
      </c>
      <c r="T66" s="75">
        <f>IF(OR($C66="",COUNT($H66:$Q66)=0),"",IF($R66="Fermer","",$J66-$K66-$S66))</f>
      </c>
      <c r="U66" s="74">
        <f>IF(OR($C66="",COUNT($H66:$Q66)=0),"",IF($R66="Fermer",-$L66,0))</f>
      </c>
      <c r="V66" s="76">
        <f>IF(OR($C66="",COUNT($H66:$Q66)=0),"",IF($R66="Fermer","Fermer = perdre "&amp;TEXT($L66,"#,##0")&amp;" € de contribution. Le fixe, lui, reste.",IF(AND($O66&gt;=0,$T66&lt;0),"BASCULE : saine avant, en déficit à cause d'une fermeture voisine.",IF(AND($O66&lt;0,$L66&gt;0),"Déficit au coût complet mais contribution positive : ne pas fermer, c'est un artefact d'allocation.",IF($O66&lt;0,"Contribution négative : vrai point dur.","Rentable. Point mort "&amp;TEXT($P66,"#,##0")&amp;" étudiants, marge de sécurité "&amp;TEXT($Q66,"0%")&amp;".")))))</f>
      </c>
    </row>
    <row r="67" ht="14.25" customHeight="1">
      <c r="B67" s="63"/>
      <c r="C67" s="73" t="s">
        <v>185</v>
      </c>
      <c r="D67" s="73" t="s">
        <v>154</v>
      </c>
      <c r="E67" s="73" t="s">
        <v>186</v>
      </c>
      <c r="F67" s="73" t="s">
        <v>110</v>
      </c>
      <c r="G67" s="73" t="s">
        <v>111</v>
      </c>
      <c r="H67" s="73">
        <v>44.464881</v>
      </c>
      <c r="I67" s="73">
        <v>2</v>
      </c>
      <c r="J67" s="73">
        <v>331813.872025</v>
      </c>
      <c r="K67" s="73">
        <v>61575.362713</v>
      </c>
      <c r="L67" s="73">
        <v>270238.509312</v>
      </c>
      <c r="M67" s="73">
        <v>242508.271652</v>
      </c>
      <c r="N67" s="73">
        <v>304083.634365</v>
      </c>
      <c r="O67" s="73">
        <v>27730.23766</v>
      </c>
      <c r="P67" s="73">
        <v>40</v>
      </c>
      <c r="Q67" s="73">
        <v>0.102614</v>
      </c>
      <c r="R67" s="73" t="s">
        <v>112</v>
      </c>
      <c r="S67" s="74">
        <f>IF(OR($C67="",COUNT($H67:$Q67)=0),"",IF($R67="Fermer","",IF(SUMPRODUCT(($C$13:$C$72=$C67)*($D$13:$D$72=$D67)*($R$13:$R$72&lt;&gt;"Fermer"),$M$13:$M$72)=0,$M67,$M67*SUMPRODUCT(($C$13:$C$72=$C67)*($D$13:$D$72=$D67),$M$13:$M$72)/SUMPRODUCT(($C$13:$C$72=$C67)*($D$13:$D$72=$D67)*($R$13:$R$72&lt;&gt;"Fermer"),$M$13:$M$72))))</f>
      </c>
      <c r="T67" s="75">
        <f>IF(OR($C67="",COUNT($H67:$Q67)=0),"",IF($R67="Fermer","",$J67-$K67-$S67))</f>
      </c>
      <c r="U67" s="74">
        <f>IF(OR($C67="",COUNT($H67:$Q67)=0),"",IF($R67="Fermer",-$L67,0))</f>
      </c>
      <c r="V67" s="76">
        <f>IF(OR($C67="",COUNT($H67:$Q67)=0),"",IF($R67="Fermer","Fermer = perdre "&amp;TEXT($L67,"#,##0")&amp;" € de contribution. Le fixe, lui, reste.",IF(AND($O67&gt;=0,$T67&lt;0),"BASCULE : saine avant, en déficit à cause d'une fermeture voisine.",IF(AND($O67&lt;0,$L67&gt;0),"Déficit au coût complet mais contribution positive : ne pas fermer, c'est un artefact d'allocation.",IF($O67&lt;0,"Contribution négative : vrai point dur.","Rentable. Point mort "&amp;TEXT($P67,"#,##0")&amp;" étudiants, marge de sécurité "&amp;TEXT($Q67,"0%")&amp;".")))))</f>
      </c>
    </row>
    <row r="68" ht="14.25" customHeight="1">
      <c r="B68" s="63"/>
      <c r="C68" s="73" t="s">
        <v>185</v>
      </c>
      <c r="D68" s="73" t="s">
        <v>154</v>
      </c>
      <c r="E68" s="73" t="s">
        <v>186</v>
      </c>
      <c r="F68" s="73" t="s">
        <v>114</v>
      </c>
      <c r="G68" s="73" t="s">
        <v>111</v>
      </c>
      <c r="H68" s="73">
        <v>39.2</v>
      </c>
      <c r="I68" s="73">
        <v>2</v>
      </c>
      <c r="J68" s="73">
        <v>288997.3254</v>
      </c>
      <c r="K68" s="73">
        <v>39280.701439</v>
      </c>
      <c r="L68" s="73">
        <v>249716.623961</v>
      </c>
      <c r="M68" s="73">
        <v>242508.271652</v>
      </c>
      <c r="N68" s="73">
        <v>281788.973091</v>
      </c>
      <c r="O68" s="73">
        <v>7208.352309</v>
      </c>
      <c r="P68" s="73">
        <v>39</v>
      </c>
      <c r="Q68" s="73">
        <v>0.028867</v>
      </c>
      <c r="R68" s="73" t="s">
        <v>115</v>
      </c>
      <c r="S68" s="74">
        <f>IF(OR($C68="",COUNT($H68:$Q68)=0),"",IF($R68="Fermer","",IF(SUMPRODUCT(($C$13:$C$72=$C68)*($D$13:$D$72=$D68)*($R$13:$R$72&lt;&gt;"Fermer"),$M$13:$M$72)=0,$M68,$M68*SUMPRODUCT(($C$13:$C$72=$C68)*($D$13:$D$72=$D68),$M$13:$M$72)/SUMPRODUCT(($C$13:$C$72=$C68)*($D$13:$D$72=$D68)*($R$13:$R$72&lt;&gt;"Fermer"),$M$13:$M$72))))</f>
      </c>
      <c r="T68" s="75">
        <f>IF(OR($C68="",COUNT($H68:$Q68)=0),"",IF($R68="Fermer","",$J68-$K68-$S68))</f>
      </c>
      <c r="U68" s="74">
        <f>IF(OR($C68="",COUNT($H68:$Q68)=0),"",IF($R68="Fermer",-$L68,0))</f>
      </c>
      <c r="V68" s="76">
        <f>IF(OR($C68="",COUNT($H68:$Q68)=0),"",IF($R68="Fermer","Fermer = perdre "&amp;TEXT($L68,"#,##0")&amp;" € de contribution. Le fixe, lui, reste.",IF(AND($O68&gt;=0,$T68&lt;0),"BASCULE : saine avant, en déficit à cause d'une fermeture voisine.",IF(AND($O68&lt;0,$L68&gt;0),"Déficit au coût complet mais contribution positive : ne pas fermer, c'est un artefact d'allocation.",IF($O68&lt;0,"Contribution négative : vrai point dur.","Rentable. Point mort "&amp;TEXT($P68,"#,##0")&amp;" étudiants, marge de sécurité "&amp;TEXT($Q68,"0%")&amp;".")))))</f>
      </c>
    </row>
    <row r="69" ht="14.25" customHeight="1">
      <c r="B69" s="63"/>
      <c r="C69" s="73" t="s">
        <v>185</v>
      </c>
      <c r="D69" s="73" t="s">
        <v>154</v>
      </c>
      <c r="E69" s="73" t="s">
        <v>186</v>
      </c>
      <c r="F69" s="73" t="s">
        <v>117</v>
      </c>
      <c r="G69" s="73" t="s">
        <v>111</v>
      </c>
      <c r="H69" s="73">
        <v>38.195</v>
      </c>
      <c r="I69" s="73">
        <v>2</v>
      </c>
      <c r="J69" s="73">
        <v>281588.082746</v>
      </c>
      <c r="K69" s="73">
        <v>38911.030208</v>
      </c>
      <c r="L69" s="73">
        <v>242677.052538</v>
      </c>
      <c r="M69" s="73">
        <v>242508.271652</v>
      </c>
      <c r="N69" s="73">
        <v>281419.30186</v>
      </c>
      <c r="O69" s="73">
        <v>168.780886</v>
      </c>
      <c r="P69" s="73">
        <v>39</v>
      </c>
      <c r="Q69" s="73">
        <v>0.000696</v>
      </c>
      <c r="R69" s="73" t="s">
        <v>115</v>
      </c>
      <c r="S69" s="74">
        <f>IF(OR($C69="",COUNT($H69:$Q69)=0),"",IF($R69="Fermer","",IF(SUMPRODUCT(($C$13:$C$72=$C69)*($D$13:$D$72=$D69)*($R$13:$R$72&lt;&gt;"Fermer"),$M$13:$M$72)=0,$M69,$M69*SUMPRODUCT(($C$13:$C$72=$C69)*($D$13:$D$72=$D69),$M$13:$M$72)/SUMPRODUCT(($C$13:$C$72=$C69)*($D$13:$D$72=$D69)*($R$13:$R$72&lt;&gt;"Fermer"),$M$13:$M$72))))</f>
      </c>
      <c r="T69" s="75">
        <f>IF(OR($C69="",COUNT($H69:$Q69)=0),"",IF($R69="Fermer","",$J69-$K69-$S69))</f>
      </c>
      <c r="U69" s="74">
        <f>IF(OR($C69="",COUNT($H69:$Q69)=0),"",IF($R69="Fermer",-$L69,0))</f>
      </c>
      <c r="V69" s="76">
        <f>IF(OR($C69="",COUNT($H69:$Q69)=0),"",IF($R69="Fermer","Fermer = perdre "&amp;TEXT($L69,"#,##0")&amp;" € de contribution. Le fixe, lui, reste.",IF(AND($O69&gt;=0,$T69&lt;0),"BASCULE : saine avant, en déficit à cause d'une fermeture voisine.",IF(AND($O69&lt;0,$L69&gt;0),"Déficit au coût complet mais contribution positive : ne pas fermer, c'est un artefact d'allocation.",IF($O69&lt;0,"Contribution négative : vrai point dur.","Rentable. Point mort "&amp;TEXT($P69,"#,##0")&amp;" étudiants, marge de sécurité "&amp;TEXT($Q69,"0%")&amp;".")))))</f>
      </c>
    </row>
    <row r="70" ht="14.25" customHeight="1">
      <c r="B70" s="63"/>
      <c r="C70" s="73" t="s">
        <v>185</v>
      </c>
      <c r="D70" s="73" t="s">
        <v>135</v>
      </c>
      <c r="E70" s="73" t="s">
        <v>186</v>
      </c>
      <c r="F70" s="73" t="s">
        <v>110</v>
      </c>
      <c r="G70" s="73" t="s">
        <v>111</v>
      </c>
      <c r="H70" s="73">
        <v>52.095305</v>
      </c>
      <c r="I70" s="73">
        <v>2</v>
      </c>
      <c r="J70" s="73">
        <v>414359.429447</v>
      </c>
      <c r="K70" s="73">
        <v>76706.249695</v>
      </c>
      <c r="L70" s="73">
        <v>337653.179752</v>
      </c>
      <c r="M70" s="73">
        <v>307967.047765</v>
      </c>
      <c r="N70" s="73">
        <v>384673.29746</v>
      </c>
      <c r="O70" s="73">
        <v>29686.131987</v>
      </c>
      <c r="P70" s="73">
        <v>48</v>
      </c>
      <c r="Q70" s="73">
        <v>0.08792</v>
      </c>
      <c r="R70" s="73" t="s">
        <v>112</v>
      </c>
      <c r="S70" s="74">
        <f>IF(OR($C70="",COUNT($H70:$Q70)=0),"",IF($R70="Fermer","",IF(SUMPRODUCT(($C$13:$C$72=$C70)*($D$13:$D$72=$D70)*($R$13:$R$72&lt;&gt;"Fermer"),$M$13:$M$72)=0,$M70,$M70*SUMPRODUCT(($C$13:$C$72=$C70)*($D$13:$D$72=$D70),$M$13:$M$72)/SUMPRODUCT(($C$13:$C$72=$C70)*($D$13:$D$72=$D70)*($R$13:$R$72&lt;&gt;"Fermer"),$M$13:$M$72))))</f>
      </c>
      <c r="T70" s="75">
        <f>IF(OR($C70="",COUNT($H70:$Q70)=0),"",IF($R70="Fermer","",$J70-$K70-$S70))</f>
      </c>
      <c r="U70" s="74">
        <f>IF(OR($C70="",COUNT($H70:$Q70)=0),"",IF($R70="Fermer",-$L70,0))</f>
      </c>
      <c r="V70" s="76">
        <f>IF(OR($C70="",COUNT($H70:$Q70)=0),"",IF($R70="Fermer","Fermer = perdre "&amp;TEXT($L70,"#,##0")&amp;" € de contribution. Le fixe, lui, reste.",IF(AND($O70&gt;=0,$T70&lt;0),"BASCULE : saine avant, en déficit à cause d'une fermeture voisine.",IF(AND($O70&lt;0,$L70&gt;0),"Déficit au coût complet mais contribution positive : ne pas fermer, c'est un artefact d'allocation.",IF($O70&lt;0,"Contribution négative : vrai point dur.","Rentable. Point mort "&amp;TEXT($P70,"#,##0")&amp;" étudiants, marge de sécurité "&amp;TEXT($Q70,"0%")&amp;".")))))</f>
      </c>
    </row>
    <row r="71" ht="14.25" customHeight="1">
      <c r="B71" s="63"/>
      <c r="C71" s="73" t="s">
        <v>185</v>
      </c>
      <c r="D71" s="73" t="s">
        <v>135</v>
      </c>
      <c r="E71" s="73" t="s">
        <v>186</v>
      </c>
      <c r="F71" s="73" t="s">
        <v>114</v>
      </c>
      <c r="G71" s="73" t="s">
        <v>111</v>
      </c>
      <c r="H71" s="73">
        <v>46.235</v>
      </c>
      <c r="I71" s="73">
        <v>2</v>
      </c>
      <c r="J71" s="73">
        <v>363586.158908</v>
      </c>
      <c r="K71" s="73">
        <v>41888.824591</v>
      </c>
      <c r="L71" s="73">
        <v>321697.334317</v>
      </c>
      <c r="M71" s="73">
        <v>307967.047765</v>
      </c>
      <c r="N71" s="73">
        <v>349855.872356</v>
      </c>
      <c r="O71" s="73">
        <v>13730.286552</v>
      </c>
      <c r="P71" s="73">
        <v>45</v>
      </c>
      <c r="Q71" s="73">
        <v>0.042681</v>
      </c>
      <c r="R71" s="73" t="s">
        <v>115</v>
      </c>
      <c r="S71" s="74">
        <f>IF(OR($C71="",COUNT($H71:$Q71)=0),"",IF($R71="Fermer","",IF(SUMPRODUCT(($C$13:$C$72=$C71)*($D$13:$D$72=$D71)*($R$13:$R$72&lt;&gt;"Fermer"),$M$13:$M$72)=0,$M71,$M71*SUMPRODUCT(($C$13:$C$72=$C71)*($D$13:$D$72=$D71),$M$13:$M$72)/SUMPRODUCT(($C$13:$C$72=$C71)*($D$13:$D$72=$D71)*($R$13:$R$72&lt;&gt;"Fermer"),$M$13:$M$72))))</f>
      </c>
      <c r="T71" s="75">
        <f>IF(OR($C71="",COUNT($H71:$Q71)=0),"",IF($R71="Fermer","",$J71-$K71-$S71))</f>
      </c>
      <c r="U71" s="74">
        <f>IF(OR($C71="",COUNT($H71:$Q71)=0),"",IF($R71="Fermer",-$L71,0))</f>
      </c>
      <c r="V71" s="76">
        <f>IF(OR($C71="",COUNT($H71:$Q71)=0),"",IF($R71="Fermer","Fermer = perdre "&amp;TEXT($L71,"#,##0")&amp;" € de contribution. Le fixe, lui, reste.",IF(AND($O71&gt;=0,$T71&lt;0),"BASCULE : saine avant, en déficit à cause d'une fermeture voisine.",IF(AND($O71&lt;0,$L71&gt;0),"Déficit au coût complet mais contribution positive : ne pas fermer, c'est un artefact d'allocation.",IF($O71&lt;0,"Contribution négative : vrai point dur.","Rentable. Point mort "&amp;TEXT($P71,"#,##0")&amp;" étudiants, marge de sécurité "&amp;TEXT($Q71,"0%")&amp;".")))))</f>
      </c>
    </row>
    <row r="72" ht="14.25" customHeight="1">
      <c r="B72" s="63"/>
      <c r="C72" s="73" t="s">
        <v>185</v>
      </c>
      <c r="D72" s="73" t="s">
        <v>135</v>
      </c>
      <c r="E72" s="73" t="s">
        <v>186</v>
      </c>
      <c r="F72" s="73" t="s">
        <v>117</v>
      </c>
      <c r="G72" s="73" t="s">
        <v>111</v>
      </c>
      <c r="H72" s="73">
        <v>45.23</v>
      </c>
      <c r="I72" s="73">
        <v>2</v>
      </c>
      <c r="J72" s="73">
        <v>355682.966744</v>
      </c>
      <c r="K72" s="73">
        <v>41518.731361</v>
      </c>
      <c r="L72" s="73">
        <v>314164.235383</v>
      </c>
      <c r="M72" s="73">
        <v>307967.047765</v>
      </c>
      <c r="N72" s="73">
        <v>349485.779126</v>
      </c>
      <c r="O72" s="73">
        <v>6197.187618</v>
      </c>
      <c r="P72" s="73">
        <v>45</v>
      </c>
      <c r="Q72" s="73">
        <v>0.019726</v>
      </c>
      <c r="R72" s="73" t="s">
        <v>115</v>
      </c>
      <c r="S72" s="74">
        <f>IF(OR($C72="",COUNT($H72:$Q72)=0),"",IF($R72="Fermer","",IF(SUMPRODUCT(($C$13:$C$72=$C72)*($D$13:$D$72=$D72)*($R$13:$R$72&lt;&gt;"Fermer"),$M$13:$M$72)=0,$M72,$M72*SUMPRODUCT(($C$13:$C$72=$C72)*($D$13:$D$72=$D72),$M$13:$M$72)/SUMPRODUCT(($C$13:$C$72=$C72)*($D$13:$D$72=$D72)*($R$13:$R$72&lt;&gt;"Fermer"),$M$13:$M$72))))</f>
      </c>
      <c r="T72" s="75">
        <f>IF(OR($C72="",COUNT($H72:$Q72)=0),"",IF($R72="Fermer","",$J72-$K72-$S72))</f>
      </c>
      <c r="U72" s="74">
        <f>IF(OR($C72="",COUNT($H72:$Q72)=0),"",IF($R72="Fermer",-$L72,0))</f>
      </c>
      <c r="V72" s="76">
        <f>IF(OR($C72="",COUNT($H72:$Q72)=0),"",IF($R72="Fermer","Fermer = perdre "&amp;TEXT($L72,"#,##0")&amp;" € de contribution. Le fixe, lui, reste.",IF(AND($O72&gt;=0,$T72&lt;0),"BASCULE : saine avant, en déficit à cause d'une fermeture voisine.",IF(AND($O72&lt;0,$L72&gt;0),"Déficit au coût complet mais contribution positive : ne pas fermer, c'est un artefact d'allocation.",IF($O72&lt;0,"Contribution négative : vrai point dur.","Rentable. Point mort "&amp;TEXT($P72,"#,##0")&amp;" étudiants, marge de sécurité "&amp;TEXT($Q72,"0%")&amp;".")))))</f>
      </c>
    </row>
    <row r="73" ht="14.25" customHeight="1">
      <c r="B73" s="63"/>
      <c r="C73" s="64"/>
      <c r="D73" s="65"/>
      <c r="E73" s="65"/>
      <c r="F73" s="56"/>
      <c r="G73" s="57"/>
      <c r="H73" s="56"/>
      <c r="I73" s="57"/>
      <c r="J73" s="58"/>
      <c r="K73" s="58"/>
      <c r="L73" s="59"/>
      <c r="M73" s="56"/>
      <c r="N73" s="58"/>
      <c r="O73" s="58"/>
      <c r="P73" s="56"/>
      <c r="Q73" s="56"/>
      <c r="R73" s="56"/>
    </row>
    <row r="74" ht="14.25" customHeight="1">
      <c r="B74" s="63"/>
      <c r="C74" s="64"/>
      <c r="D74" s="65"/>
      <c r="E74" s="65"/>
      <c r="F74" s="56"/>
      <c r="G74" s="57"/>
      <c r="H74" s="56"/>
      <c r="I74" s="57"/>
      <c r="J74" s="58"/>
      <c r="K74" s="58"/>
      <c r="L74" s="59"/>
      <c r="M74" s="56"/>
      <c r="N74" s="58"/>
      <c r="O74" s="58"/>
      <c r="P74" s="56"/>
      <c r="Q74" s="56"/>
      <c r="R74" s="56"/>
    </row>
    <row r="75" ht="14.25" customHeight="1">
      <c r="B75" s="63"/>
      <c r="C75" s="64"/>
      <c r="D75" s="65"/>
      <c r="E75" s="65"/>
      <c r="F75" s="56"/>
      <c r="G75" s="57"/>
      <c r="H75" s="56"/>
      <c r="I75" s="57"/>
      <c r="J75" s="58"/>
      <c r="K75" s="58"/>
      <c r="L75" s="59"/>
      <c r="M75" s="56"/>
      <c r="N75" s="58"/>
      <c r="O75" s="58"/>
      <c r="P75" s="56"/>
      <c r="Q75" s="56"/>
      <c r="R75" s="56"/>
    </row>
    <row r="76" ht="14.25" customHeight="1">
      <c r="B76" s="63"/>
      <c r="C76" s="64"/>
      <c r="D76" s="65"/>
      <c r="E76" s="65"/>
      <c r="F76" s="56"/>
      <c r="G76" s="57"/>
      <c r="H76" s="56"/>
      <c r="I76" s="57"/>
      <c r="J76" s="58"/>
      <c r="K76" s="58"/>
      <c r="L76" s="59"/>
      <c r="M76" s="56"/>
      <c r="N76" s="58"/>
      <c r="O76" s="58"/>
      <c r="P76" s="56"/>
      <c r="Q76" s="56"/>
      <c r="R76" s="56"/>
    </row>
    <row r="77" ht="14.25" customHeight="1">
      <c r="B77" s="63"/>
      <c r="C77" s="64"/>
      <c r="D77" s="65"/>
      <c r="E77" s="65"/>
      <c r="F77" s="56"/>
      <c r="G77" s="57"/>
      <c r="H77" s="56"/>
      <c r="I77" s="57"/>
      <c r="J77" s="58"/>
      <c r="K77" s="58"/>
      <c r="L77" s="59"/>
      <c r="M77" s="56"/>
      <c r="N77" s="58"/>
      <c r="O77" s="58"/>
      <c r="P77" s="56"/>
      <c r="Q77" s="56"/>
      <c r="R77" s="56"/>
    </row>
    <row r="78" ht="14.25" customHeight="1">
      <c r="B78" s="63"/>
      <c r="C78" s="64"/>
      <c r="D78" s="65"/>
      <c r="E78" s="65"/>
      <c r="F78" s="56"/>
      <c r="G78" s="57"/>
      <c r="H78" s="56"/>
      <c r="I78" s="57"/>
      <c r="J78" s="58"/>
      <c r="K78" s="58"/>
      <c r="L78" s="59"/>
      <c r="M78" s="56"/>
      <c r="N78" s="58"/>
      <c r="O78" s="58"/>
      <c r="P78" s="56"/>
      <c r="Q78" s="56"/>
      <c r="R78" s="56"/>
    </row>
    <row r="79" ht="14.25" customHeight="1">
      <c r="B79" s="63"/>
      <c r="C79" s="64"/>
      <c r="D79" s="65"/>
      <c r="E79" s="65"/>
      <c r="F79" s="56"/>
      <c r="G79" s="57"/>
      <c r="H79" s="56"/>
      <c r="I79" s="57"/>
      <c r="J79" s="58"/>
      <c r="K79" s="58"/>
      <c r="L79" s="59"/>
      <c r="M79" s="56"/>
      <c r="N79" s="58"/>
      <c r="O79" s="58"/>
      <c r="P79" s="56"/>
      <c r="Q79" s="56"/>
      <c r="R79" s="56"/>
    </row>
    <row r="80" ht="14.25" customHeight="1">
      <c r="B80" s="63"/>
      <c r="C80" s="64"/>
      <c r="D80" s="65"/>
      <c r="E80" s="65"/>
      <c r="F80" s="56"/>
      <c r="G80" s="57"/>
      <c r="H80" s="56"/>
      <c r="I80" s="57"/>
      <c r="J80" s="58"/>
      <c r="K80" s="58"/>
      <c r="L80" s="59"/>
      <c r="M80" s="56"/>
      <c r="N80" s="58"/>
      <c r="O80" s="58"/>
      <c r="P80" s="56"/>
      <c r="Q80" s="56"/>
      <c r="R80" s="56"/>
    </row>
    <row r="81" ht="14.25" customHeight="1">
      <c r="B81" s="63"/>
      <c r="C81" s="64"/>
      <c r="D81" s="65"/>
      <c r="E81" s="65"/>
      <c r="F81" s="56"/>
      <c r="G81" s="57"/>
      <c r="H81" s="56"/>
      <c r="I81" s="57"/>
      <c r="J81" s="58"/>
      <c r="K81" s="58"/>
      <c r="L81" s="59"/>
      <c r="M81" s="56"/>
      <c r="N81" s="58"/>
      <c r="O81" s="58"/>
      <c r="P81" s="56"/>
      <c r="Q81" s="56"/>
      <c r="R81" s="56"/>
    </row>
    <row r="82" ht="14.25" customHeight="1">
      <c r="B82" s="63"/>
      <c r="C82" s="64"/>
      <c r="D82" s="65"/>
      <c r="E82" s="65"/>
      <c r="F82" s="56"/>
      <c r="G82" s="57"/>
      <c r="H82" s="56"/>
      <c r="I82" s="57"/>
      <c r="J82" s="58"/>
      <c r="K82" s="58"/>
      <c r="L82" s="59"/>
      <c r="M82" s="56"/>
      <c r="N82" s="58"/>
      <c r="O82" s="58"/>
      <c r="P82" s="56"/>
      <c r="Q82" s="56"/>
      <c r="R82" s="56"/>
    </row>
    <row r="83" ht="14.25" customHeight="1">
      <c r="B83" s="63"/>
      <c r="C83" s="64"/>
      <c r="D83" s="65"/>
      <c r="E83" s="65"/>
      <c r="F83" s="56"/>
      <c r="G83" s="57"/>
      <c r="H83" s="56"/>
      <c r="I83" s="57"/>
      <c r="J83" s="58"/>
      <c r="K83" s="58"/>
      <c r="L83" s="59"/>
      <c r="M83" s="56"/>
      <c r="N83" s="58"/>
      <c r="O83" s="58"/>
      <c r="P83" s="56"/>
      <c r="Q83" s="56"/>
      <c r="R83" s="56"/>
    </row>
    <row r="84" ht="14.25" customHeight="1">
      <c r="B84" s="63"/>
      <c r="C84" s="64"/>
      <c r="D84" s="65"/>
      <c r="E84" s="65"/>
      <c r="F84" s="56"/>
      <c r="G84" s="57"/>
      <c r="H84" s="56"/>
      <c r="I84" s="57"/>
      <c r="J84" s="58"/>
      <c r="K84" s="58"/>
      <c r="L84" s="59"/>
      <c r="M84" s="56"/>
      <c r="N84" s="58"/>
      <c r="O84" s="58"/>
      <c r="P84" s="56"/>
      <c r="Q84" s="56"/>
      <c r="R84" s="56"/>
    </row>
    <row r="85" ht="14.25" customHeight="1">
      <c r="B85" s="63"/>
      <c r="C85" s="64"/>
      <c r="D85" s="65"/>
      <c r="E85" s="65"/>
      <c r="F85" s="56"/>
      <c r="G85" s="57"/>
      <c r="H85" s="56"/>
      <c r="I85" s="57"/>
      <c r="J85" s="58"/>
      <c r="K85" s="58"/>
      <c r="L85" s="59"/>
      <c r="M85" s="56"/>
      <c r="N85" s="58"/>
      <c r="O85" s="58"/>
      <c r="P85" s="56"/>
      <c r="Q85" s="56"/>
      <c r="R85" s="56"/>
    </row>
    <row r="86" ht="14.25" customHeight="1">
      <c r="B86" s="63"/>
      <c r="C86" s="64"/>
      <c r="D86" s="65"/>
      <c r="E86" s="65"/>
      <c r="F86" s="56"/>
      <c r="G86" s="57"/>
      <c r="H86" s="56"/>
      <c r="I86" s="57"/>
      <c r="J86" s="58"/>
      <c r="K86" s="58"/>
      <c r="L86" s="59"/>
      <c r="M86" s="56"/>
      <c r="N86" s="58"/>
      <c r="O86" s="58"/>
      <c r="P86" s="56"/>
      <c r="Q86" s="56"/>
      <c r="R86" s="56"/>
    </row>
  </sheetData>
  <sheetProtection sort="1" autoFilter="0"/>
  <conditionalFormatting sqref="T13:T72">
    <cfRule type="colorScale" priority="1">
      <colorScale>
        <cfvo type="num" val="0"/>
        <cfvo type="num" val="0"/>
        <cfvo type="max"/>
        <color rgb="FFF8696B"/>
        <color rgb="FFFFEB84"/>
        <color rgb="FF63BE7B"/>
      </colorScale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CFE5413-7818-E732-F7E9-209BE4300A8A}" mc:Ignorable="x14ac xr xr2 xr3">
  <dimension ref="A1:CE82"/>
  <sheetViews>
    <sheetView topLeftCell="A1" workbookViewId="0">
      <selection activeCell="B10" sqref="B10"/>
    </sheetView>
  </sheetViews>
  <sheetFormatPr defaultRowHeight="14.25" defaultColWidth="9.00390625" customHeight="1"/>
  <cols>
    <col min="1" max="1" width="2.421875" customWidth="1"/>
    <col min="2" max="2" width="26.00390625" customWidth="1"/>
    <col min="3" max="4" width="11.00390625" customWidth="1"/>
    <col min="5" max="5" width="12.00390625" customWidth="1"/>
    <col min="6" max="7" width="13.00390625" customWidth="1"/>
    <col min="8" max="9" width="15.00390625" customWidth="1"/>
    <col min="10" max="10" width="19.00390625" customWidth="1"/>
    <col min="11" max="12" width="14.00390625" customWidth="1"/>
    <col min="13" max="14" width="12.00390625" customWidth="1"/>
    <col min="15" max="16" width="13.00390625" customWidth="1"/>
    <col min="18" max="18" width="3.00390625" customWidth="1"/>
    <col min="19" max="23" width="15.00390625" customWidth="1"/>
  </cols>
  <sheetData>
    <row r="1" ht="8.25" customHeight="1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79"/>
      <c r="BT1" s="79"/>
      <c r="BU1" s="79"/>
      <c r="BV1" s="79"/>
      <c r="BW1" s="79"/>
      <c r="BX1" s="79"/>
      <c r="BY1" s="79"/>
      <c r="BZ1" s="79"/>
      <c r="CA1" s="79"/>
      <c r="CB1" s="79"/>
      <c r="CC1" s="79"/>
      <c r="CD1" s="79"/>
    </row>
    <row r="2" ht="8.25" customHeight="1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9"/>
      <c r="BB2" s="79"/>
      <c r="BC2" s="79"/>
      <c r="BD2" s="79"/>
      <c r="BE2" s="79"/>
      <c r="BF2" s="79"/>
      <c r="BG2" s="79"/>
      <c r="BH2" s="79"/>
      <c r="BI2" s="79"/>
      <c r="BJ2" s="79"/>
      <c r="BK2" s="79"/>
      <c r="BL2" s="79"/>
      <c r="BM2" s="79"/>
      <c r="BN2" s="79"/>
      <c r="BO2" s="79"/>
      <c r="BP2" s="79"/>
      <c r="BQ2" s="79"/>
      <c r="BR2" s="79"/>
      <c r="BS2" s="79"/>
      <c r="BT2" s="79"/>
      <c r="BU2" s="79"/>
      <c r="BV2" s="79"/>
      <c r="BW2" s="79"/>
      <c r="BX2" s="79"/>
      <c r="BY2" s="79"/>
      <c r="BZ2" s="79"/>
      <c r="CA2" s="79"/>
      <c r="CB2" s="79"/>
      <c r="CC2" s="79"/>
      <c r="CD2" s="79"/>
    </row>
    <row r="3" ht="26.25" customHeight="1">
      <c r="A3" s="80"/>
      <c r="B3" s="80"/>
      <c r="C3" s="80" t="s">
        <v>193</v>
      </c>
      <c r="D3" s="81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  <c r="BK3" s="79"/>
      <c r="BL3" s="79"/>
      <c r="BM3" s="79"/>
      <c r="BN3" s="79"/>
      <c r="BO3" s="79"/>
      <c r="BP3" s="79"/>
      <c r="BQ3" s="79"/>
      <c r="BR3" s="79"/>
      <c r="BS3" s="79"/>
      <c r="BT3" s="79"/>
      <c r="BU3" s="79"/>
      <c r="BV3" s="79"/>
      <c r="BW3" s="79"/>
      <c r="BX3" s="79"/>
      <c r="BY3" s="79"/>
      <c r="BZ3" s="79"/>
      <c r="CA3" s="79"/>
      <c r="CB3" s="79"/>
      <c r="CC3" s="79"/>
      <c r="CD3" s="79"/>
    </row>
    <row r="4" ht="15" customHeight="1" s="82" customFormat="1">
      <c r="A4" s="83"/>
      <c r="B4" s="83"/>
      <c r="C4" s="83" t="s">
        <v>194</v>
      </c>
      <c r="D4" s="84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85"/>
      <c r="BQ4" s="85"/>
      <c r="BR4" s="85"/>
      <c r="BS4" s="85"/>
      <c r="BT4" s="85"/>
      <c r="BU4" s="85"/>
      <c r="BV4" s="85"/>
      <c r="BW4" s="85"/>
      <c r="BX4" s="85"/>
      <c r="BY4" s="85"/>
      <c r="BZ4" s="85"/>
      <c r="CA4" s="85"/>
      <c r="CB4" s="85"/>
      <c r="CC4" s="85"/>
      <c r="CD4" s="85"/>
    </row>
    <row r="5" ht="9.7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</row>
    <row r="6" ht="24" customHeight="1">
      <c r="A6" s="10"/>
      <c r="B6" s="86" t="e">
        <f>"L'EBITDA passe de "&amp;TEXT(C12,"#,##0 €")&amp;" à "&amp;TEXT(C18,"#,##0 €")&amp;", soit "&amp;TEXT(C18-C12,"+#,##0 €;-#,##0 €")&amp;"  ("&amp;TEXT(C18/C12-1,"+0.0%;-0.0%")&amp;")"</f>
        <v>#DIV/0!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</row>
    <row r="7" ht="14.25" customHeight="1">
      <c r="A7" s="10"/>
      <c r="B7" s="87" t="s">
        <v>195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</row>
    <row r="8" ht="8.2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</row>
    <row r="9" ht="1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</row>
    <row r="10" ht="15" customHeight="1">
      <c r="A10" s="10"/>
      <c r="B10" s="88" t="s">
        <v>196</v>
      </c>
      <c r="C10" s="10"/>
      <c r="D10" s="89" t="s">
        <v>197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</row>
    <row r="11" ht="22.5" customHeight="1">
      <c r="A11" s="10"/>
      <c r="B11" s="90" t="s">
        <v>198</v>
      </c>
      <c r="C11" s="91" t="s">
        <v>199</v>
      </c>
      <c r="D11" s="91" t="s">
        <v>200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</row>
    <row r="12" ht="15" customHeight="1">
      <c r="A12" s="10"/>
      <c r="B12" s="92" t="s">
        <v>25</v>
      </c>
      <c r="C12" s="93">
        <f>O43</f>
        <v>0</v>
      </c>
      <c r="D12" s="9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</row>
    <row r="13" ht="15" customHeight="1">
      <c r="A13" s="10"/>
      <c r="B13" s="95" t="s">
        <v>201</v>
      </c>
      <c r="C13" s="96">
        <f>S43</f>
        <v>0</v>
      </c>
      <c r="D13" s="97" t="str">
        <f>_xlfn.IFERROR(IF(C13&gt;0,C13/SUMIF(C13:C17,"&gt;0"),C13/SUMIF(C13:C17,"&lt;0")),"")</f>
        <v/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</row>
    <row r="14" ht="15" customHeight="1">
      <c r="A14" s="10"/>
      <c r="B14" s="95" t="s">
        <v>202</v>
      </c>
      <c r="C14" s="96">
        <f>T43</f>
        <v>0</v>
      </c>
      <c r="D14" s="97" t="str">
        <f>_xlfn.IFERROR(IF(C14&gt;0,C14/SUMIF(C13:C17,"&gt;0"),C14/SUMIF(C13:C17,"&lt;0")),"")</f>
        <v/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</row>
    <row r="15" ht="15" customHeight="1">
      <c r="A15" s="10"/>
      <c r="B15" s="95" t="s">
        <v>203</v>
      </c>
      <c r="C15" s="96">
        <f>U43</f>
        <v>0</v>
      </c>
      <c r="D15" s="97" t="str">
        <f>_xlfn.IFERROR(IF(C15&gt;0,C15/SUMIF(C13:C17,"&gt;0"),C15/SUMIF(C13:C17,"&lt;0")),"")</f>
        <v/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</row>
    <row r="16" ht="15" customHeight="1">
      <c r="A16" s="10"/>
      <c r="B16" s="95" t="s">
        <v>204</v>
      </c>
      <c r="C16" s="96">
        <f>V43</f>
        <v>0</v>
      </c>
      <c r="D16" s="97" t="str">
        <f>_xlfn.IFERROR(IF(C16&gt;0,C16/SUMIF(C13:C17,"&gt;0"),C16/SUMIF(C13:C17,"&lt;0")),"")</f>
        <v/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</row>
    <row r="17" ht="15" customHeight="1">
      <c r="A17" s="10"/>
      <c r="B17" s="95" t="s">
        <v>205</v>
      </c>
      <c r="C17" s="96">
        <f>W43</f>
        <v>0</v>
      </c>
      <c r="D17" s="97" t="str">
        <f>_xlfn.IFERROR(IF(C17&gt;0,C17/SUMIF(C13:C17,"&gt;0"),C17/SUMIF(C13:C17,"&lt;0")),"")</f>
        <v/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</row>
    <row r="18" ht="15" customHeight="1">
      <c r="A18" s="10"/>
      <c r="B18" s="92" t="s">
        <v>42</v>
      </c>
      <c r="C18" s="93">
        <f>P43</f>
        <v>0</v>
      </c>
      <c r="D18" s="9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</row>
    <row r="19" ht="15" customHeight="1">
      <c r="A19" s="10"/>
      <c r="B19" s="98" t="s">
        <v>206</v>
      </c>
      <c r="C19" s="99">
        <f>SUMIF($C$13:$C$17,"&gt;0")</f>
        <v>0</v>
      </c>
      <c r="D19" s="100">
        <f>SUMIF(C13:C17,"&lt;0")</f>
        <v>0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</row>
    <row r="20" ht="1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</row>
    <row r="21" ht="15" customHeight="1">
      <c r="A21" s="10"/>
      <c r="B21" s="101" t="s">
        <v>207</v>
      </c>
      <c r="C21" s="102">
        <f>SUM(C13:C17)-(C18-C12)</f>
        <v>0</v>
      </c>
      <c r="D21" s="103" t="s">
        <v>208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</row>
    <row r="22" ht="1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</row>
    <row r="23" ht="1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</row>
    <row r="24" ht="1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</row>
    <row r="25" ht="1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</row>
    <row r="26" ht="1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</row>
    <row r="27" ht="1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</row>
    <row r="28" ht="14.2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</row>
    <row r="29" ht="20.25" customHeight="1" hidden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</row>
    <row r="30" ht="14.25" customHeight="1" hidden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 t="s">
        <v>25</v>
      </c>
      <c r="Z30" s="10">
        <v>0</v>
      </c>
      <c r="AA30" s="10">
        <f t="shared" si="2" ref="AA30:AA36">C12</f>
        <v>0</v>
      </c>
      <c r="AB30" s="10">
        <v>0</v>
      </c>
      <c r="AC30" s="10">
        <v>0</v>
      </c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</row>
    <row r="31" ht="14.25" customHeight="1" hidden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 t="s">
        <v>201</v>
      </c>
      <c r="Z31" s="10">
        <f>MIN(C12,C12+SUM(C13:C13))</f>
        <v>0</v>
      </c>
      <c r="AA31" s="10">
        <v>0</v>
      </c>
      <c r="AB31" s="10">
        <f t="shared" si="0" ref="AB31:AB35">MAX(C13,0)</f>
        <v>0</v>
      </c>
      <c r="AC31" s="10">
        <f t="shared" si="1" ref="AC31:AC35">MAX(-C13,0)</f>
        <v>0</v>
      </c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</row>
    <row r="32" ht="14.25" customHeight="1" hidden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 t="s">
        <v>202</v>
      </c>
      <c r="Z32" s="10">
        <f>MIN(C12+SUM(C13:C13),C12+SUM(C13:C14))</f>
        <v>0</v>
      </c>
      <c r="AA32" s="10">
        <v>0</v>
      </c>
      <c r="AB32" s="10">
        <f t="shared" si="0"/>
        <v>0</v>
      </c>
      <c r="AC32" s="10">
        <f t="shared" si="1"/>
        <v>0</v>
      </c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</row>
    <row r="33" ht="14.25" customHeight="1" hidden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 t="s">
        <v>203</v>
      </c>
      <c r="Z33" s="10">
        <f>MIN(C12+SUM(C13:C14),C12+SUM(C13:C15))</f>
        <v>0</v>
      </c>
      <c r="AA33" s="10">
        <v>0</v>
      </c>
      <c r="AB33" s="10">
        <f t="shared" si="0"/>
        <v>0</v>
      </c>
      <c r="AC33" s="10">
        <f t="shared" si="1"/>
        <v>0</v>
      </c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</row>
    <row r="34" ht="14.25" customHeight="1" hidden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 t="s">
        <v>204</v>
      </c>
      <c r="Z34" s="10">
        <f>MIN(C12+SUM(C13:C15),C12+SUM(C13:C16))</f>
        <v>0</v>
      </c>
      <c r="AA34" s="10">
        <v>0</v>
      </c>
      <c r="AB34" s="10">
        <f t="shared" si="0"/>
        <v>0</v>
      </c>
      <c r="AC34" s="10">
        <f t="shared" si="1"/>
        <v>0</v>
      </c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</row>
    <row r="35" ht="14.25" customHeight="1" hidden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 t="s">
        <v>205</v>
      </c>
      <c r="Z35" s="10">
        <f>MIN(C12+SUM(C13:C16),C12+SUM(C13:C17))</f>
        <v>0</v>
      </c>
      <c r="AA35" s="10">
        <v>0</v>
      </c>
      <c r="AB35" s="10">
        <f t="shared" si="0"/>
        <v>0</v>
      </c>
      <c r="AC35" s="10">
        <f t="shared" si="1"/>
        <v>0</v>
      </c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</row>
    <row r="36" ht="14.25" customHeight="1" hidden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 t="s">
        <v>42</v>
      </c>
      <c r="Z36" s="10">
        <v>0</v>
      </c>
      <c r="AA36" s="10">
        <f t="shared" si="2"/>
        <v>0</v>
      </c>
      <c r="AB36" s="10">
        <v>0</v>
      </c>
      <c r="AC36" s="10">
        <v>0</v>
      </c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</row>
    <row r="37" ht="14.25" customHeight="1" hidden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</row>
    <row r="38" ht="14.25" customHeight="1" hidden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</row>
    <row r="39" ht="14.2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</row>
    <row r="40" ht="14.2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</row>
    <row r="41" ht="14.25" customHeight="1">
      <c r="A41" s="10"/>
      <c r="B41" s="88" t="s">
        <v>209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89" t="s">
        <v>210</v>
      </c>
      <c r="Q41" s="10"/>
      <c r="R41" s="10"/>
      <c r="S41" s="88" t="s">
        <v>211</v>
      </c>
      <c r="T41" s="10"/>
      <c r="U41" s="10"/>
      <c r="V41" s="10"/>
      <c r="W41" s="89" t="s">
        <v>212</v>
      </c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</row>
    <row r="42" ht="20.25" customHeight="1">
      <c r="A42" s="10"/>
      <c r="B42" s="90" t="s">
        <v>213</v>
      </c>
      <c r="C42" s="91" t="s">
        <v>214</v>
      </c>
      <c r="D42" s="91" t="s">
        <v>215</v>
      </c>
      <c r="E42" s="91" t="s">
        <v>216</v>
      </c>
      <c r="F42" s="91" t="s">
        <v>217</v>
      </c>
      <c r="G42" s="91" t="s">
        <v>218</v>
      </c>
      <c r="H42" s="91" t="s">
        <v>219</v>
      </c>
      <c r="I42" s="91" t="s">
        <v>220</v>
      </c>
      <c r="J42" s="91" t="s">
        <v>221</v>
      </c>
      <c r="K42" s="91" t="s">
        <v>222</v>
      </c>
      <c r="L42" s="91" t="s">
        <v>223</v>
      </c>
      <c r="M42" s="91" t="s">
        <v>224</v>
      </c>
      <c r="N42" s="91" t="s">
        <v>225</v>
      </c>
      <c r="O42" s="91" t="s">
        <v>25</v>
      </c>
      <c r="P42" s="91" t="s">
        <v>42</v>
      </c>
      <c r="Q42" s="10"/>
      <c r="R42" s="10"/>
      <c r="S42" s="90" t="s">
        <v>201</v>
      </c>
      <c r="T42" s="91" t="s">
        <v>202</v>
      </c>
      <c r="U42" s="91" t="s">
        <v>203</v>
      </c>
      <c r="V42" s="91" t="s">
        <v>204</v>
      </c>
      <c r="W42" s="91" t="s">
        <v>205</v>
      </c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</row>
    <row r="43" ht="14.25" customHeight="1">
      <c r="A43" s="10"/>
      <c r="B43" s="104" t="s">
        <v>226</v>
      </c>
      <c r="C43" s="105">
        <f t="shared" si="3" ref="C43:W43">SUM(C44:C73)</f>
        <v>0</v>
      </c>
      <c r="D43" s="105">
        <f t="shared" si="3"/>
        <v>0</v>
      </c>
      <c r="E43" s="105">
        <f t="shared" si="3"/>
        <v>0</v>
      </c>
      <c r="F43" s="106" t="s">
        <v>227</v>
      </c>
      <c r="G43" s="107"/>
      <c r="H43" s="107"/>
      <c r="I43" s="107"/>
      <c r="J43" s="107"/>
      <c r="K43" s="105">
        <f t="shared" si="3"/>
        <v>0</v>
      </c>
      <c r="L43" s="105">
        <f t="shared" si="3"/>
        <v>0</v>
      </c>
      <c r="M43" s="105">
        <f t="shared" si="3"/>
        <v>0</v>
      </c>
      <c r="N43" s="105">
        <f t="shared" si="3"/>
        <v>0</v>
      </c>
      <c r="O43" s="105">
        <f t="shared" si="3"/>
        <v>0</v>
      </c>
      <c r="P43" s="105">
        <f t="shared" si="3"/>
        <v>0</v>
      </c>
      <c r="Q43" s="10"/>
      <c r="R43" s="10"/>
      <c r="S43" s="105">
        <f t="shared" si="3"/>
        <v>0</v>
      </c>
      <c r="T43" s="105">
        <f t="shared" si="3"/>
        <v>0</v>
      </c>
      <c r="U43" s="105">
        <f t="shared" si="3"/>
        <v>0</v>
      </c>
      <c r="V43" s="105">
        <f t="shared" si="3"/>
        <v>0</v>
      </c>
      <c r="W43" s="105">
        <f t="shared" si="3"/>
        <v>0</v>
      </c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</row>
    <row r="44" ht="15.75" customHeight="1">
      <c r="A44" s="10"/>
      <c r="B44" s="108"/>
      <c r="C44" s="56"/>
      <c r="D44" s="56"/>
      <c r="E44" s="56"/>
      <c r="F44" s="109"/>
      <c r="G44" s="109"/>
      <c r="H44" s="109"/>
      <c r="I44" s="109"/>
      <c r="J44" s="109"/>
      <c r="K44" s="56"/>
      <c r="L44" s="56"/>
      <c r="M44" s="56"/>
      <c r="N44" s="56"/>
      <c r="O44" s="56"/>
      <c r="P44" s="56"/>
      <c r="Q44" s="10"/>
      <c r="R44" s="10"/>
      <c r="S44" s="56" t="str">
        <f t="shared" si="4" ref="S44:S57">IF(OR(E44="",J44=""),"",E44*J44)</f>
        <v/>
      </c>
      <c r="T44" s="56" t="str">
        <f t="shared" si="5" ref="T44:T57">IF(OR(G44="",F44="",D44=""),"",(G44-F44)*D44)</f>
        <v/>
      </c>
      <c r="U44" s="56" t="str">
        <f t="shared" si="6" ref="U44:U57">IF(OR(I44="",H44="",D44=""),"",-(I44-H44)*D44)</f>
        <v/>
      </c>
      <c r="V44" s="56" t="str">
        <f t="shared" si="7" ref="V44:V57">IF(OR(L44="",K44=""),"",-(L44-K44))</f>
        <v/>
      </c>
      <c r="W44" s="56" t="str">
        <f t="shared" si="8" ref="W44:W57">IF(OR(N44="",M44=""),"",-(N44-M44))</f>
        <v/>
      </c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</row>
    <row r="45" ht="15.75" customHeight="1">
      <c r="A45" s="10"/>
      <c r="B45" s="108"/>
      <c r="C45" s="56"/>
      <c r="D45" s="56"/>
      <c r="E45" s="56"/>
      <c r="F45" s="109"/>
      <c r="G45" s="109"/>
      <c r="H45" s="109"/>
      <c r="I45" s="109"/>
      <c r="J45" s="109"/>
      <c r="K45" s="56"/>
      <c r="L45" s="56"/>
      <c r="M45" s="56"/>
      <c r="N45" s="56"/>
      <c r="O45" s="56"/>
      <c r="P45" s="56"/>
      <c r="Q45" s="10"/>
      <c r="R45" s="10"/>
      <c r="S45" s="56" t="str">
        <f t="shared" si="4"/>
        <v/>
      </c>
      <c r="T45" s="56" t="str">
        <f t="shared" si="5"/>
        <v/>
      </c>
      <c r="U45" s="56" t="str">
        <f t="shared" si="6"/>
        <v/>
      </c>
      <c r="V45" s="56" t="str">
        <f t="shared" si="7"/>
        <v/>
      </c>
      <c r="W45" s="56" t="str">
        <f t="shared" si="8"/>
        <v/>
      </c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</row>
    <row r="46" ht="15.75" customHeight="1">
      <c r="A46" s="10"/>
      <c r="B46" s="108"/>
      <c r="C46" s="56"/>
      <c r="D46" s="56"/>
      <c r="E46" s="56"/>
      <c r="F46" s="109"/>
      <c r="G46" s="109"/>
      <c r="H46" s="109"/>
      <c r="I46" s="109"/>
      <c r="J46" s="109"/>
      <c r="K46" s="56"/>
      <c r="L46" s="56"/>
      <c r="M46" s="56"/>
      <c r="N46" s="56"/>
      <c r="O46" s="56"/>
      <c r="P46" s="56"/>
      <c r="Q46" s="10"/>
      <c r="R46" s="10"/>
      <c r="S46" s="56" t="str">
        <f t="shared" si="4"/>
        <v/>
      </c>
      <c r="T46" s="56" t="str">
        <f t="shared" si="5"/>
        <v/>
      </c>
      <c r="U46" s="56" t="str">
        <f t="shared" si="6"/>
        <v/>
      </c>
      <c r="V46" s="56" t="str">
        <f t="shared" si="7"/>
        <v/>
      </c>
      <c r="W46" s="56" t="str">
        <f t="shared" si="8"/>
        <v/>
      </c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</row>
    <row r="47" ht="15.75" customHeight="1">
      <c r="A47" s="10"/>
      <c r="B47" s="108"/>
      <c r="C47" s="56"/>
      <c r="D47" s="56"/>
      <c r="E47" s="56"/>
      <c r="F47" s="109"/>
      <c r="G47" s="109"/>
      <c r="H47" s="109"/>
      <c r="I47" s="109"/>
      <c r="J47" s="109"/>
      <c r="K47" s="56"/>
      <c r="L47" s="56"/>
      <c r="M47" s="56"/>
      <c r="N47" s="56"/>
      <c r="O47" s="56"/>
      <c r="P47" s="56"/>
      <c r="Q47" s="10"/>
      <c r="R47" s="10"/>
      <c r="S47" s="56" t="str">
        <f t="shared" si="4"/>
        <v/>
      </c>
      <c r="T47" s="56" t="str">
        <f t="shared" si="5"/>
        <v/>
      </c>
      <c r="U47" s="56" t="str">
        <f t="shared" si="6"/>
        <v/>
      </c>
      <c r="V47" s="56" t="str">
        <f t="shared" si="7"/>
        <v/>
      </c>
      <c r="W47" s="56" t="str">
        <f t="shared" si="8"/>
        <v/>
      </c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</row>
    <row r="48" ht="15.75" customHeight="1">
      <c r="A48" s="10"/>
      <c r="B48" s="108"/>
      <c r="C48" s="56"/>
      <c r="D48" s="56"/>
      <c r="E48" s="56"/>
      <c r="F48" s="109"/>
      <c r="G48" s="109"/>
      <c r="H48" s="109"/>
      <c r="I48" s="109"/>
      <c r="J48" s="109"/>
      <c r="K48" s="56"/>
      <c r="L48" s="56"/>
      <c r="M48" s="56"/>
      <c r="N48" s="56"/>
      <c r="O48" s="56"/>
      <c r="P48" s="56"/>
      <c r="Q48" s="10"/>
      <c r="R48" s="10"/>
      <c r="S48" s="56" t="str">
        <f t="shared" si="4"/>
        <v/>
      </c>
      <c r="T48" s="56" t="str">
        <f t="shared" si="5"/>
        <v/>
      </c>
      <c r="U48" s="56" t="str">
        <f t="shared" si="6"/>
        <v/>
      </c>
      <c r="V48" s="56" t="str">
        <f t="shared" si="7"/>
        <v/>
      </c>
      <c r="W48" s="56" t="str">
        <f t="shared" si="8"/>
        <v/>
      </c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</row>
    <row r="49" ht="15.75" customHeight="1">
      <c r="A49" s="10"/>
      <c r="B49" s="108"/>
      <c r="C49" s="56"/>
      <c r="D49" s="56"/>
      <c r="E49" s="56"/>
      <c r="F49" s="109"/>
      <c r="G49" s="109"/>
      <c r="H49" s="109"/>
      <c r="I49" s="109"/>
      <c r="J49" s="109"/>
      <c r="K49" s="56"/>
      <c r="L49" s="56"/>
      <c r="M49" s="56"/>
      <c r="N49" s="56"/>
      <c r="O49" s="56"/>
      <c r="P49" s="56"/>
      <c r="Q49" s="10"/>
      <c r="R49" s="10"/>
      <c r="S49" s="56" t="str">
        <f t="shared" si="4"/>
        <v/>
      </c>
      <c r="T49" s="56" t="str">
        <f t="shared" si="5"/>
        <v/>
      </c>
      <c r="U49" s="56" t="str">
        <f t="shared" si="6"/>
        <v/>
      </c>
      <c r="V49" s="56" t="str">
        <f t="shared" si="7"/>
        <v/>
      </c>
      <c r="W49" s="56" t="str">
        <f t="shared" si="8"/>
        <v/>
      </c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</row>
    <row r="50" ht="15.75" customHeight="1">
      <c r="A50" s="10"/>
      <c r="B50" s="108"/>
      <c r="C50" s="56"/>
      <c r="D50" s="56"/>
      <c r="E50" s="56"/>
      <c r="F50" s="109"/>
      <c r="G50" s="109"/>
      <c r="H50" s="109"/>
      <c r="I50" s="109"/>
      <c r="J50" s="109"/>
      <c r="K50" s="56"/>
      <c r="L50" s="56"/>
      <c r="M50" s="56"/>
      <c r="N50" s="56"/>
      <c r="O50" s="56"/>
      <c r="P50" s="56"/>
      <c r="Q50" s="10"/>
      <c r="R50" s="10"/>
      <c r="S50" s="56" t="str">
        <f t="shared" si="4"/>
        <v/>
      </c>
      <c r="T50" s="56" t="str">
        <f t="shared" si="5"/>
        <v/>
      </c>
      <c r="U50" s="56" t="str">
        <f t="shared" si="6"/>
        <v/>
      </c>
      <c r="V50" s="56" t="str">
        <f t="shared" si="7"/>
        <v/>
      </c>
      <c r="W50" s="56" t="str">
        <f t="shared" si="8"/>
        <v/>
      </c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</row>
    <row r="51" ht="15.75" customHeight="1">
      <c r="A51" s="10"/>
      <c r="B51" s="108"/>
      <c r="C51" s="56"/>
      <c r="D51" s="56"/>
      <c r="E51" s="56"/>
      <c r="F51" s="109"/>
      <c r="G51" s="109"/>
      <c r="H51" s="109"/>
      <c r="I51" s="109"/>
      <c r="J51" s="109"/>
      <c r="K51" s="56"/>
      <c r="L51" s="56"/>
      <c r="M51" s="56"/>
      <c r="N51" s="56"/>
      <c r="O51" s="56"/>
      <c r="P51" s="56"/>
      <c r="Q51" s="10"/>
      <c r="R51" s="10"/>
      <c r="S51" s="56" t="str">
        <f t="shared" si="4"/>
        <v/>
      </c>
      <c r="T51" s="56" t="str">
        <f t="shared" si="5"/>
        <v/>
      </c>
      <c r="U51" s="56" t="str">
        <f t="shared" si="6"/>
        <v/>
      </c>
      <c r="V51" s="56" t="str">
        <f t="shared" si="7"/>
        <v/>
      </c>
      <c r="W51" s="56" t="str">
        <f t="shared" si="8"/>
        <v/>
      </c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</row>
    <row r="52" ht="15.75" customHeight="1">
      <c r="A52" s="10"/>
      <c r="B52" s="108"/>
      <c r="C52" s="56"/>
      <c r="D52" s="56"/>
      <c r="E52" s="56"/>
      <c r="F52" s="109"/>
      <c r="G52" s="109"/>
      <c r="H52" s="109"/>
      <c r="I52" s="109"/>
      <c r="J52" s="109"/>
      <c r="K52" s="56"/>
      <c r="L52" s="56"/>
      <c r="M52" s="56"/>
      <c r="N52" s="56"/>
      <c r="O52" s="56"/>
      <c r="P52" s="56"/>
      <c r="Q52" s="10"/>
      <c r="R52" s="10"/>
      <c r="S52" s="56" t="str">
        <f t="shared" si="4"/>
        <v/>
      </c>
      <c r="T52" s="56" t="str">
        <f t="shared" si="5"/>
        <v/>
      </c>
      <c r="U52" s="56" t="str">
        <f t="shared" si="6"/>
        <v/>
      </c>
      <c r="V52" s="56" t="str">
        <f t="shared" si="7"/>
        <v/>
      </c>
      <c r="W52" s="56" t="str">
        <f t="shared" si="8"/>
        <v/>
      </c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</row>
    <row r="53" ht="15.75" customHeight="1">
      <c r="A53" s="10"/>
      <c r="B53" s="108"/>
      <c r="C53" s="56"/>
      <c r="D53" s="56"/>
      <c r="E53" s="56"/>
      <c r="F53" s="109"/>
      <c r="G53" s="109"/>
      <c r="H53" s="109"/>
      <c r="I53" s="109"/>
      <c r="J53" s="109"/>
      <c r="K53" s="56"/>
      <c r="L53" s="56"/>
      <c r="M53" s="56"/>
      <c r="N53" s="56"/>
      <c r="O53" s="56"/>
      <c r="P53" s="56"/>
      <c r="Q53" s="10"/>
      <c r="R53" s="10"/>
      <c r="S53" s="56" t="str">
        <f t="shared" si="4"/>
        <v/>
      </c>
      <c r="T53" s="56" t="str">
        <f t="shared" si="5"/>
        <v/>
      </c>
      <c r="U53" s="56" t="str">
        <f t="shared" si="6"/>
        <v/>
      </c>
      <c r="V53" s="56" t="str">
        <f t="shared" si="7"/>
        <v/>
      </c>
      <c r="W53" s="56" t="str">
        <f t="shared" si="8"/>
        <v/>
      </c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</row>
    <row r="54" ht="15.75" customHeight="1">
      <c r="A54" s="10"/>
      <c r="B54" s="108"/>
      <c r="C54" s="56"/>
      <c r="D54" s="56"/>
      <c r="E54" s="56"/>
      <c r="F54" s="109"/>
      <c r="G54" s="109"/>
      <c r="H54" s="109"/>
      <c r="I54" s="109"/>
      <c r="J54" s="109"/>
      <c r="K54" s="56"/>
      <c r="L54" s="56"/>
      <c r="M54" s="56"/>
      <c r="N54" s="56"/>
      <c r="O54" s="56"/>
      <c r="P54" s="56"/>
      <c r="Q54" s="10"/>
      <c r="R54" s="10"/>
      <c r="S54" s="56" t="str">
        <f t="shared" si="4"/>
        <v/>
      </c>
      <c r="T54" s="56" t="str">
        <f t="shared" si="5"/>
        <v/>
      </c>
      <c r="U54" s="56" t="str">
        <f t="shared" si="6"/>
        <v/>
      </c>
      <c r="V54" s="56" t="str">
        <f t="shared" si="7"/>
        <v/>
      </c>
      <c r="W54" s="56" t="str">
        <f t="shared" si="8"/>
        <v/>
      </c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</row>
    <row r="55" ht="15.75" customHeight="1">
      <c r="A55" s="10"/>
      <c r="B55" s="108"/>
      <c r="C55" s="56"/>
      <c r="D55" s="56"/>
      <c r="E55" s="56"/>
      <c r="F55" s="109"/>
      <c r="G55" s="109"/>
      <c r="H55" s="109"/>
      <c r="I55" s="109"/>
      <c r="J55" s="109"/>
      <c r="K55" s="56"/>
      <c r="L55" s="56"/>
      <c r="M55" s="56"/>
      <c r="N55" s="56"/>
      <c r="O55" s="56"/>
      <c r="P55" s="56"/>
      <c r="Q55" s="10"/>
      <c r="R55" s="10"/>
      <c r="S55" s="56" t="str">
        <f t="shared" si="4"/>
        <v/>
      </c>
      <c r="T55" s="56" t="str">
        <f t="shared" si="5"/>
        <v/>
      </c>
      <c r="U55" s="56" t="str">
        <f t="shared" si="6"/>
        <v/>
      </c>
      <c r="V55" s="56" t="str">
        <f t="shared" si="7"/>
        <v/>
      </c>
      <c r="W55" s="56" t="str">
        <f t="shared" si="8"/>
        <v/>
      </c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</row>
    <row r="56" ht="15.75" customHeight="1">
      <c r="A56" s="10"/>
      <c r="B56" s="108"/>
      <c r="C56" s="56"/>
      <c r="D56" s="56"/>
      <c r="E56" s="56"/>
      <c r="F56" s="109"/>
      <c r="G56" s="109"/>
      <c r="H56" s="109"/>
      <c r="I56" s="109"/>
      <c r="J56" s="109"/>
      <c r="K56" s="56"/>
      <c r="L56" s="56"/>
      <c r="M56" s="56"/>
      <c r="N56" s="56"/>
      <c r="O56" s="56"/>
      <c r="P56" s="56"/>
      <c r="Q56" s="10"/>
      <c r="R56" s="10"/>
      <c r="S56" s="56" t="str">
        <f t="shared" si="4"/>
        <v/>
      </c>
      <c r="T56" s="56" t="str">
        <f t="shared" si="5"/>
        <v/>
      </c>
      <c r="U56" s="56" t="str">
        <f t="shared" si="6"/>
        <v/>
      </c>
      <c r="V56" s="56" t="str">
        <f t="shared" si="7"/>
        <v/>
      </c>
      <c r="W56" s="56" t="str">
        <f t="shared" si="8"/>
        <v/>
      </c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</row>
    <row r="57" ht="15.75" customHeight="1">
      <c r="A57" s="10"/>
      <c r="B57" s="108"/>
      <c r="C57" s="56"/>
      <c r="D57" s="56"/>
      <c r="E57" s="56"/>
      <c r="F57" s="109"/>
      <c r="G57" s="109"/>
      <c r="H57" s="109"/>
      <c r="I57" s="109"/>
      <c r="J57" s="109"/>
      <c r="K57" s="56"/>
      <c r="L57" s="56"/>
      <c r="M57" s="56"/>
      <c r="N57" s="56"/>
      <c r="O57" s="56"/>
      <c r="P57" s="56"/>
      <c r="Q57" s="10"/>
      <c r="R57" s="10"/>
      <c r="S57" s="56" t="str">
        <f t="shared" si="4"/>
        <v/>
      </c>
      <c r="T57" s="56" t="str">
        <f t="shared" si="5"/>
        <v/>
      </c>
      <c r="U57" s="56" t="str">
        <f t="shared" si="6"/>
        <v/>
      </c>
      <c r="V57" s="56" t="str">
        <f t="shared" si="7"/>
        <v/>
      </c>
      <c r="W57" s="56" t="str">
        <f t="shared" si="8"/>
        <v/>
      </c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</row>
    <row r="58" ht="15.75" customHeight="1">
      <c r="A58" s="10"/>
      <c r="B58" s="108"/>
      <c r="C58" s="56"/>
      <c r="D58" s="56"/>
      <c r="E58" s="56"/>
      <c r="F58" s="109"/>
      <c r="G58" s="109"/>
      <c r="H58" s="109"/>
      <c r="I58" s="109"/>
      <c r="J58" s="109"/>
      <c r="K58" s="56"/>
      <c r="L58" s="56"/>
      <c r="M58" s="56"/>
      <c r="N58" s="56"/>
      <c r="O58" s="56"/>
      <c r="P58" s="56"/>
      <c r="Q58" s="10"/>
      <c r="R58" s="10"/>
      <c r="S58" s="56"/>
      <c r="T58" s="56"/>
      <c r="U58" s="56"/>
      <c r="V58" s="56"/>
      <c r="W58" s="56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</row>
    <row r="59" ht="15.75" customHeight="1">
      <c r="A59" s="10"/>
      <c r="B59" s="108"/>
      <c r="C59" s="56"/>
      <c r="D59" s="56"/>
      <c r="E59" s="56"/>
      <c r="F59" s="109"/>
      <c r="G59" s="109"/>
      <c r="H59" s="109"/>
      <c r="I59" s="109"/>
      <c r="J59" s="109"/>
      <c r="K59" s="56"/>
      <c r="L59" s="56"/>
      <c r="M59" s="56"/>
      <c r="N59" s="56"/>
      <c r="O59" s="56"/>
      <c r="P59" s="56"/>
      <c r="Q59" s="10"/>
      <c r="R59" s="10"/>
      <c r="S59" s="56"/>
      <c r="T59" s="56"/>
      <c r="U59" s="56"/>
      <c r="V59" s="56"/>
      <c r="W59" s="56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</row>
    <row r="60" ht="15.75" customHeight="1">
      <c r="A60" s="10"/>
      <c r="B60" s="108"/>
      <c r="C60" s="56"/>
      <c r="D60" s="56"/>
      <c r="E60" s="56"/>
      <c r="F60" s="109"/>
      <c r="G60" s="109"/>
      <c r="H60" s="109"/>
      <c r="I60" s="109"/>
      <c r="J60" s="109"/>
      <c r="K60" s="56"/>
      <c r="L60" s="56"/>
      <c r="M60" s="56"/>
      <c r="N60" s="56"/>
      <c r="O60" s="56"/>
      <c r="P60" s="56"/>
      <c r="Q60" s="10"/>
      <c r="R60" s="10"/>
      <c r="S60" s="56"/>
      <c r="T60" s="56"/>
      <c r="U60" s="56"/>
      <c r="V60" s="56"/>
      <c r="W60" s="56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</row>
    <row r="61" ht="15.75" customHeight="1">
      <c r="A61" s="10"/>
      <c r="B61" s="108"/>
      <c r="C61" s="56"/>
      <c r="D61" s="56"/>
      <c r="E61" s="56"/>
      <c r="F61" s="109"/>
      <c r="G61" s="109"/>
      <c r="H61" s="109"/>
      <c r="I61" s="109"/>
      <c r="J61" s="109"/>
      <c r="K61" s="56"/>
      <c r="L61" s="56"/>
      <c r="M61" s="56"/>
      <c r="N61" s="56"/>
      <c r="O61" s="56"/>
      <c r="P61" s="56"/>
      <c r="Q61" s="10"/>
      <c r="R61" s="10"/>
      <c r="S61" s="56"/>
      <c r="T61" s="56"/>
      <c r="U61" s="56"/>
      <c r="V61" s="56"/>
      <c r="W61" s="56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</row>
    <row r="62" ht="15.75" customHeight="1">
      <c r="A62" s="10"/>
      <c r="B62" s="108"/>
      <c r="C62" s="56"/>
      <c r="D62" s="56"/>
      <c r="E62" s="56"/>
      <c r="F62" s="109"/>
      <c r="G62" s="109"/>
      <c r="H62" s="109"/>
      <c r="I62" s="109"/>
      <c r="J62" s="109"/>
      <c r="K62" s="56"/>
      <c r="L62" s="56"/>
      <c r="M62" s="56"/>
      <c r="N62" s="56"/>
      <c r="O62" s="56"/>
      <c r="P62" s="56"/>
      <c r="Q62" s="10"/>
      <c r="R62" s="10"/>
      <c r="S62" s="56"/>
      <c r="T62" s="56"/>
      <c r="U62" s="56"/>
      <c r="V62" s="56"/>
      <c r="W62" s="56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</row>
    <row r="63" ht="15.75" customHeight="1">
      <c r="A63" s="10"/>
      <c r="B63" s="108"/>
      <c r="C63" s="56"/>
      <c r="D63" s="56"/>
      <c r="E63" s="56"/>
      <c r="F63" s="109"/>
      <c r="G63" s="109"/>
      <c r="H63" s="109"/>
      <c r="I63" s="109"/>
      <c r="J63" s="109"/>
      <c r="K63" s="56"/>
      <c r="L63" s="56"/>
      <c r="M63" s="56"/>
      <c r="N63" s="56"/>
      <c r="O63" s="56"/>
      <c r="P63" s="56"/>
      <c r="Q63" s="10"/>
      <c r="R63" s="10"/>
      <c r="S63" s="56"/>
      <c r="T63" s="56"/>
      <c r="U63" s="56"/>
      <c r="V63" s="56"/>
      <c r="W63" s="56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</row>
    <row r="64" ht="15.75" customHeight="1">
      <c r="A64" s="10"/>
      <c r="B64" s="108"/>
      <c r="C64" s="56"/>
      <c r="D64" s="56"/>
      <c r="E64" s="56"/>
      <c r="F64" s="109"/>
      <c r="G64" s="109"/>
      <c r="H64" s="109"/>
      <c r="I64" s="109"/>
      <c r="J64" s="109"/>
      <c r="K64" s="56"/>
      <c r="L64" s="56"/>
      <c r="M64" s="56"/>
      <c r="N64" s="56"/>
      <c r="O64" s="56"/>
      <c r="P64" s="56"/>
      <c r="Q64" s="10"/>
      <c r="R64" s="10"/>
      <c r="S64" s="56"/>
      <c r="T64" s="56"/>
      <c r="U64" s="56"/>
      <c r="V64" s="56"/>
      <c r="W64" s="56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</row>
    <row r="65" ht="15.75" customHeight="1">
      <c r="A65" s="10"/>
      <c r="B65" s="108"/>
      <c r="C65" s="56"/>
      <c r="D65" s="56"/>
      <c r="E65" s="56"/>
      <c r="F65" s="109"/>
      <c r="G65" s="109"/>
      <c r="H65" s="109"/>
      <c r="I65" s="109"/>
      <c r="J65" s="109"/>
      <c r="K65" s="56"/>
      <c r="L65" s="56"/>
      <c r="M65" s="56"/>
      <c r="N65" s="56"/>
      <c r="O65" s="56"/>
      <c r="P65" s="56"/>
      <c r="Q65" s="10"/>
      <c r="R65" s="10"/>
      <c r="S65" s="56"/>
      <c r="T65" s="56"/>
      <c r="U65" s="56"/>
      <c r="V65" s="56"/>
      <c r="W65" s="56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</row>
    <row r="66" ht="15.75" customHeight="1">
      <c r="A66" s="10"/>
      <c r="B66" s="108"/>
      <c r="C66" s="56"/>
      <c r="D66" s="56"/>
      <c r="E66" s="56"/>
      <c r="F66" s="109"/>
      <c r="G66" s="109"/>
      <c r="H66" s="109"/>
      <c r="I66" s="109"/>
      <c r="J66" s="109"/>
      <c r="K66" s="56"/>
      <c r="L66" s="56"/>
      <c r="M66" s="56"/>
      <c r="N66" s="56"/>
      <c r="O66" s="56"/>
      <c r="P66" s="56"/>
      <c r="Q66" s="10"/>
      <c r="R66" s="10"/>
      <c r="S66" s="56"/>
      <c r="T66" s="56"/>
      <c r="U66" s="56"/>
      <c r="V66" s="56"/>
      <c r="W66" s="56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</row>
    <row r="67" ht="15.75" customHeight="1">
      <c r="A67" s="10"/>
      <c r="B67" s="108"/>
      <c r="C67" s="56"/>
      <c r="D67" s="56"/>
      <c r="E67" s="56"/>
      <c r="F67" s="109"/>
      <c r="G67" s="109"/>
      <c r="H67" s="109"/>
      <c r="I67" s="109"/>
      <c r="J67" s="109"/>
      <c r="K67" s="56"/>
      <c r="L67" s="56"/>
      <c r="M67" s="56"/>
      <c r="N67" s="56"/>
      <c r="O67" s="56"/>
      <c r="P67" s="56"/>
      <c r="Q67" s="10"/>
      <c r="R67" s="10"/>
      <c r="S67" s="56"/>
      <c r="T67" s="56"/>
      <c r="U67" s="56"/>
      <c r="V67" s="56"/>
      <c r="W67" s="56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</row>
    <row r="68" ht="15.75" customHeight="1">
      <c r="A68" s="10"/>
      <c r="B68" s="108"/>
      <c r="C68" s="56"/>
      <c r="D68" s="56"/>
      <c r="E68" s="56"/>
      <c r="F68" s="109"/>
      <c r="G68" s="109"/>
      <c r="H68" s="109"/>
      <c r="I68" s="109"/>
      <c r="J68" s="109"/>
      <c r="K68" s="56"/>
      <c r="L68" s="56"/>
      <c r="M68" s="56"/>
      <c r="N68" s="56"/>
      <c r="O68" s="56"/>
      <c r="P68" s="56"/>
      <c r="Q68" s="10"/>
      <c r="R68" s="10"/>
      <c r="S68" s="56"/>
      <c r="T68" s="56"/>
      <c r="U68" s="56"/>
      <c r="V68" s="56"/>
      <c r="W68" s="56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</row>
    <row r="69" ht="15.75" customHeight="1">
      <c r="A69" s="10"/>
      <c r="B69" s="108"/>
      <c r="C69" s="56"/>
      <c r="D69" s="56"/>
      <c r="E69" s="56"/>
      <c r="F69" s="109"/>
      <c r="G69" s="109"/>
      <c r="H69" s="109"/>
      <c r="I69" s="109"/>
      <c r="J69" s="109"/>
      <c r="K69" s="56"/>
      <c r="L69" s="56"/>
      <c r="M69" s="56"/>
      <c r="N69" s="56"/>
      <c r="O69" s="56"/>
      <c r="P69" s="56"/>
      <c r="Q69" s="10"/>
      <c r="R69" s="10"/>
      <c r="S69" s="56"/>
      <c r="T69" s="56"/>
      <c r="U69" s="56"/>
      <c r="V69" s="56"/>
      <c r="W69" s="56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</row>
    <row r="70" ht="15.75" customHeight="1">
      <c r="A70" s="10"/>
      <c r="B70" s="108"/>
      <c r="C70" s="56"/>
      <c r="D70" s="56"/>
      <c r="E70" s="56"/>
      <c r="F70" s="109"/>
      <c r="G70" s="109"/>
      <c r="H70" s="109"/>
      <c r="I70" s="109"/>
      <c r="J70" s="109"/>
      <c r="K70" s="56"/>
      <c r="L70" s="56"/>
      <c r="M70" s="56"/>
      <c r="N70" s="56"/>
      <c r="O70" s="56"/>
      <c r="P70" s="56"/>
      <c r="Q70" s="10"/>
      <c r="R70" s="10"/>
      <c r="S70" s="56"/>
      <c r="T70" s="56"/>
      <c r="U70" s="56"/>
      <c r="V70" s="56"/>
      <c r="W70" s="56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</row>
    <row r="71" ht="15.75" customHeight="1">
      <c r="A71" s="10"/>
      <c r="B71" s="108"/>
      <c r="C71" s="56"/>
      <c r="D71" s="56"/>
      <c r="E71" s="56"/>
      <c r="F71" s="109"/>
      <c r="G71" s="109"/>
      <c r="H71" s="109"/>
      <c r="I71" s="109"/>
      <c r="J71" s="109"/>
      <c r="K71" s="56"/>
      <c r="L71" s="56"/>
      <c r="M71" s="56"/>
      <c r="N71" s="56"/>
      <c r="O71" s="56"/>
      <c r="P71" s="56"/>
      <c r="Q71" s="10"/>
      <c r="R71" s="10"/>
      <c r="S71" s="56"/>
      <c r="T71" s="56"/>
      <c r="U71" s="56"/>
      <c r="V71" s="56"/>
      <c r="W71" s="56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</row>
    <row r="72" ht="15.75" customHeight="1">
      <c r="A72" s="10"/>
      <c r="B72" s="108"/>
      <c r="C72" s="56"/>
      <c r="D72" s="56"/>
      <c r="E72" s="56"/>
      <c r="F72" s="109"/>
      <c r="G72" s="109"/>
      <c r="H72" s="109"/>
      <c r="I72" s="109"/>
      <c r="J72" s="109"/>
      <c r="K72" s="56"/>
      <c r="L72" s="56"/>
      <c r="M72" s="56"/>
      <c r="N72" s="56"/>
      <c r="O72" s="56"/>
      <c r="P72" s="56"/>
      <c r="Q72" s="10"/>
      <c r="R72" s="10"/>
      <c r="S72" s="56"/>
      <c r="T72" s="56"/>
      <c r="U72" s="56"/>
      <c r="V72" s="56"/>
      <c r="W72" s="56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</row>
    <row r="73" ht="15.75" customHeight="1">
      <c r="A73" s="10"/>
      <c r="B73" s="108"/>
      <c r="C73" s="56"/>
      <c r="D73" s="56"/>
      <c r="E73" s="56"/>
      <c r="F73" s="109"/>
      <c r="G73" s="109"/>
      <c r="H73" s="109"/>
      <c r="I73" s="109"/>
      <c r="J73" s="109"/>
      <c r="K73" s="56"/>
      <c r="L73" s="56"/>
      <c r="M73" s="56"/>
      <c r="N73" s="56"/>
      <c r="O73" s="56"/>
      <c r="P73" s="56"/>
      <c r="Q73" s="10"/>
      <c r="R73" s="10"/>
      <c r="S73" s="56"/>
      <c r="T73" s="56"/>
      <c r="U73" s="56"/>
      <c r="V73" s="56"/>
      <c r="W73" s="56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</row>
    <row r="74" ht="14.25" customHeight="1">
      <c r="A74" s="10"/>
      <c r="B74" s="108"/>
      <c r="C74" s="56"/>
      <c r="D74" s="56"/>
      <c r="E74" s="56"/>
      <c r="F74" s="109"/>
      <c r="G74" s="109"/>
      <c r="H74" s="109"/>
      <c r="I74" s="109"/>
      <c r="J74" s="109"/>
      <c r="K74" s="56"/>
      <c r="L74" s="56"/>
      <c r="M74" s="56"/>
      <c r="N74" s="56"/>
      <c r="O74" s="56"/>
      <c r="P74" s="56"/>
      <c r="Q74" s="10"/>
      <c r="R74" s="10"/>
      <c r="S74" s="56"/>
      <c r="T74" s="56"/>
      <c r="U74" s="56"/>
      <c r="V74" s="56"/>
      <c r="W74" s="56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</row>
    <row r="75" ht="14.25" customHeight="1">
      <c r="A75" s="10"/>
      <c r="B75" s="108"/>
      <c r="C75" s="56"/>
      <c r="D75" s="56"/>
      <c r="E75" s="56"/>
      <c r="F75" s="109"/>
      <c r="G75" s="109"/>
      <c r="H75" s="109"/>
      <c r="I75" s="109"/>
      <c r="J75" s="109"/>
      <c r="K75" s="56"/>
      <c r="L75" s="56"/>
      <c r="M75" s="56"/>
      <c r="N75" s="56"/>
      <c r="O75" s="56"/>
      <c r="P75" s="56"/>
      <c r="Q75" s="10"/>
      <c r="R75" s="10"/>
      <c r="S75" s="56"/>
      <c r="T75" s="56"/>
      <c r="U75" s="56"/>
      <c r="V75" s="56"/>
      <c r="W75" s="56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</row>
    <row r="76" ht="14.25" customHeight="1">
      <c r="A76" s="10"/>
      <c r="B76" s="108"/>
      <c r="C76" s="56"/>
      <c r="D76" s="56"/>
      <c r="E76" s="56"/>
      <c r="F76" s="109"/>
      <c r="G76" s="109"/>
      <c r="H76" s="109"/>
      <c r="I76" s="109"/>
      <c r="J76" s="109"/>
      <c r="K76" s="56"/>
      <c r="L76" s="56"/>
      <c r="M76" s="56"/>
      <c r="N76" s="56"/>
      <c r="O76" s="56"/>
      <c r="P76" s="56"/>
      <c r="Q76" s="10"/>
      <c r="R76" s="10"/>
      <c r="S76" s="56"/>
      <c r="T76" s="56"/>
      <c r="U76" s="56"/>
      <c r="V76" s="56"/>
      <c r="W76" s="56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</row>
    <row r="77" ht="14.25" customHeight="1">
      <c r="S77" s="56"/>
      <c r="T77" s="56"/>
      <c r="U77" s="56"/>
      <c r="V77" s="56"/>
      <c r="W77" s="56"/>
    </row>
    <row r="78" ht="14.25" customHeight="1">
      <c r="S78" s="56"/>
      <c r="T78" s="56"/>
      <c r="U78" s="56"/>
      <c r="V78" s="56"/>
      <c r="W78" s="56"/>
    </row>
    <row r="79" ht="14.25" customHeight="1">
      <c r="S79" s="56"/>
      <c r="T79" s="56"/>
      <c r="U79" s="56"/>
      <c r="V79" s="56"/>
      <c r="W79" s="56"/>
    </row>
    <row r="80" ht="14.25" customHeight="1">
      <c r="S80" s="56"/>
      <c r="T80" s="56"/>
      <c r="U80" s="56"/>
      <c r="V80" s="56"/>
      <c r="W80" s="56"/>
    </row>
    <row r="81" ht="14.25" customHeight="1">
      <c r="S81" s="56"/>
      <c r="T81" s="56"/>
      <c r="U81" s="56"/>
      <c r="V81" s="56"/>
      <c r="W81" s="56"/>
    </row>
    <row r="82" ht="14.25" customHeight="1">
      <c r="S82" s="56"/>
      <c r="T82" s="56"/>
      <c r="U82" s="56"/>
      <c r="V82" s="56"/>
      <c r="W82" s="56"/>
    </row>
  </sheetData>
  <sheetProtection sort="1" autoFilter="0"/>
  <conditionalFormatting sqref="B44:P76">
    <cfRule type="expression" dxfId="7" priority="9" text="null">
      <formula>$B44&lt;&gt;""</formula>
    </cfRule>
  </conditionalFormatting>
  <conditionalFormatting sqref="C13:C17">
    <cfRule type="cellIs" dxfId="8" priority="1" operator="greaterThan" text="null">
      <formula>0</formula>
    </cfRule>
  </conditionalFormatting>
  <conditionalFormatting sqref="C13:C17">
    <cfRule type="cellIs" dxfId="9" priority="2" operator="lessThan" text="null">
      <formula>0</formula>
    </cfRule>
  </conditionalFormatting>
  <conditionalFormatting sqref="S44:W82">
    <cfRule type="expression" dxfId="10" priority="10" text="null">
      <formula>$B44&lt;&gt;""</formula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C25B498-9ECC-0D5F-C52D-E508D543029E}" mc:Ignorable="x14ac xr xr2 xr3">
  <dimension ref="A1:Z56"/>
  <sheetViews>
    <sheetView topLeftCell="A22" workbookViewId="0">
      <selection activeCell="X13" sqref="X13"/>
    </sheetView>
  </sheetViews>
  <sheetFormatPr defaultRowHeight="14.25" defaultColWidth="9.00390625" customHeight="1"/>
  <cols>
    <col min="1" max="1" width="2.421875" customWidth="1"/>
    <col min="2" max="2" width="9.00390625" customWidth="1"/>
    <col min="3" max="3" width="16.00390625" customWidth="1"/>
    <col min="4" max="4" width="36.00390625" customWidth="1"/>
    <col min="5" max="6" width="15.00390625" customWidth="1"/>
    <col min="7" max="7" width="14.00390625" customWidth="1"/>
    <col min="8" max="8" width="15.00390625" customWidth="1"/>
    <col min="14" max="19" width="13.00390625" customWidth="1"/>
    <col min="22" max="22" width="8.7109375" customWidth="1"/>
    <col min="23" max="23" width="6.28125" customWidth="1"/>
    <col min="24" max="25" width="13.421875" customWidth="1"/>
  </cols>
  <sheetData>
    <row r="1" ht="14.25" customHeight="1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</row>
    <row r="2" ht="26.25" customHeight="1">
      <c r="A2" s="79"/>
      <c r="B2" s="81"/>
      <c r="C2" s="81"/>
      <c r="D2" s="81" t="s">
        <v>228</v>
      </c>
      <c r="E2" s="79"/>
      <c r="F2" s="79"/>
      <c r="G2" s="79"/>
      <c r="H2" s="79"/>
      <c r="I2" s="79"/>
      <c r="J2" s="79"/>
      <c r="K2" s="79"/>
      <c r="L2" s="79"/>
      <c r="M2" s="79"/>
    </row>
    <row r="3" ht="23.25" customHeight="1">
      <c r="A3" s="79"/>
      <c r="B3" s="110"/>
      <c r="C3" s="110"/>
      <c r="D3" s="110" t="s">
        <v>229</v>
      </c>
      <c r="E3" s="79"/>
      <c r="F3" s="79"/>
      <c r="G3" s="79"/>
      <c r="H3" s="79"/>
      <c r="I3" s="79"/>
      <c r="J3" s="79"/>
      <c r="K3" s="79"/>
      <c r="L3" s="79"/>
      <c r="M3" s="79"/>
    </row>
    <row r="4" ht="9.7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ht="24" customHeight="1">
      <c r="A5" s="10"/>
      <c r="B5" s="111" t="e">
        <f>"Sur "&amp;TEXT(F34,"#,##0 €")&amp;" de chiffre d'affaires, "&amp;TEXT(-SUM(F35:F47),"#,##0 €")&amp;" partent en charges. Il reste "&amp;TEXT(SUM(F34:F47),"#,##0 €")&amp;" d'EBITDA, soit "&amp;TEXT(SUM(F34:F47)/F34,"0.0%")&amp;" du chiffre d'affaires."</f>
        <v>#DIV/0!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ht="14.25" customHeight="1">
      <c r="A6" s="10"/>
      <c r="B6" s="87" t="s">
        <v>230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2" t="s">
        <v>231</v>
      </c>
      <c r="O6" s="112" t="s">
        <v>232</v>
      </c>
      <c r="P6" s="112" t="s">
        <v>233</v>
      </c>
      <c r="Q6" s="112" t="s">
        <v>234</v>
      </c>
      <c r="R6" s="112" t="s">
        <v>235</v>
      </c>
      <c r="S6" s="112" t="s">
        <v>236</v>
      </c>
    </row>
    <row r="7" ht="8.2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ht="1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ht="1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ht="1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ht="1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ht="1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ht="1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V13" s="113"/>
      <c r="W13" s="114"/>
      <c r="X13" s="114"/>
      <c r="Y13" s="114"/>
    </row>
    <row r="14" ht="1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V14" s="114"/>
      <c r="W14" s="114"/>
      <c r="X14" s="114"/>
      <c r="Y14" s="114"/>
    </row>
    <row r="15" ht="1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ht="1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ht="1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ht="1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ht="1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ht="1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ht="1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ht="1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ht="1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ht="1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ht="1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ht="1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ht="1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ht="1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ht="1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ht="1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ht="1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ht="20.25" customHeight="1">
      <c r="A32" s="10"/>
      <c r="B32" s="88" t="s">
        <v>237</v>
      </c>
      <c r="C32" s="10"/>
      <c r="D32" s="10"/>
      <c r="E32" s="10"/>
      <c r="F32" s="10"/>
      <c r="G32" s="10"/>
      <c r="H32" s="89"/>
      <c r="I32" s="10"/>
      <c r="J32" s="10"/>
      <c r="K32" s="10"/>
      <c r="L32" s="10"/>
      <c r="M32" s="10"/>
    </row>
    <row r="33" ht="26.25" customHeight="1">
      <c r="A33" s="10"/>
      <c r="B33" s="90" t="s">
        <v>231</v>
      </c>
      <c r="C33" s="90" t="s">
        <v>232</v>
      </c>
      <c r="D33" s="90" t="s">
        <v>233</v>
      </c>
      <c r="E33" s="91" t="s">
        <v>235</v>
      </c>
      <c r="F33" s="91" t="s">
        <v>236</v>
      </c>
      <c r="G33" s="91" t="s">
        <v>238</v>
      </c>
      <c r="H33" s="91" t="s">
        <v>239</v>
      </c>
      <c r="I33" s="10"/>
      <c r="K33" t="s">
        <v>36</v>
      </c>
      <c r="L33" t="s">
        <v>39</v>
      </c>
      <c r="M33" s="10"/>
    </row>
    <row r="34" ht="15.75" customHeight="1">
      <c r="A34" s="10"/>
      <c r="B34" s="115" t="s">
        <v>240</v>
      </c>
      <c r="C34" s="116" t="str">
        <f t="shared" si="0" ref="C34:C49">_xlfn.IFERROR(VLOOKUP($B34,$N$7:$S$28,2,FALSE),"")</f>
        <v/>
      </c>
      <c r="D34" s="108" t="str">
        <f t="shared" si="1" ref="D34:D49">_xlfn.IFERROR(VLOOKUP($B34,$N$7:$S$28,3,FALSE),"")</f>
        <v/>
      </c>
      <c r="E34" s="117">
        <f t="shared" si="2" ref="E34:E49">_xlfn.IFERROR(VLOOKUP($B34,$N$7:$S$28,5,FALSE),0)</f>
        <v>0</v>
      </c>
      <c r="F34" s="117">
        <f t="shared" si="3" ref="F34:F49">_xlfn.IFERROR(VLOOKUP($B34,$N$7:$S$28,6,FALSE),0)</f>
        <v>0</v>
      </c>
      <c r="G34" s="118">
        <f t="shared" si="4" ref="G34:G49">F34-E34</f>
        <v>0</v>
      </c>
      <c r="H34" s="58" t="e">
        <f>IF($C34="Produits","",-F34/SUM(F37:F49))</f>
        <v>#DIV/0!</v>
      </c>
      <c r="I34" s="10"/>
      <c r="J34" t="str">
        <f t="shared" si="5" ref="J34:J49">_xlfn.IFERROR(VLOOKUP($B34,$N$7:$S$28,4,FALSE),"")</f>
        <v/>
      </c>
      <c r="M34" s="10"/>
    </row>
    <row r="35" ht="15.75" customHeight="1">
      <c r="A35" s="10"/>
      <c r="B35" s="115" t="s">
        <v>241</v>
      </c>
      <c r="C35" s="116" t="str">
        <f t="shared" si="0"/>
        <v/>
      </c>
      <c r="D35" s="108" t="str">
        <f t="shared" si="1"/>
        <v/>
      </c>
      <c r="E35" s="117">
        <f t="shared" si="2"/>
        <v>0</v>
      </c>
      <c r="F35" s="117">
        <f t="shared" si="3"/>
        <v>0</v>
      </c>
      <c r="G35" s="118">
        <f t="shared" si="4"/>
        <v>0</v>
      </c>
      <c r="H35" s="58" t="e">
        <f>IF($C35="Produits","",-F35/SUM(F37:F49))</f>
        <v>#DIV/0!</v>
      </c>
      <c r="I35" s="10"/>
      <c r="J35" t="str">
        <f t="shared" si="5"/>
        <v/>
      </c>
      <c r="M35" s="10"/>
    </row>
    <row r="36" ht="15.75" customHeight="1">
      <c r="A36" s="10"/>
      <c r="B36" s="115" t="s">
        <v>242</v>
      </c>
      <c r="C36" s="116" t="str">
        <f t="shared" si="0"/>
        <v/>
      </c>
      <c r="D36" s="108" t="str">
        <f t="shared" si="1"/>
        <v/>
      </c>
      <c r="E36" s="117">
        <f t="shared" si="2"/>
        <v>0</v>
      </c>
      <c r="F36" s="117">
        <f t="shared" si="3"/>
        <v>0</v>
      </c>
      <c r="G36" s="118">
        <f t="shared" si="4"/>
        <v>0</v>
      </c>
      <c r="H36" s="58" t="e">
        <f>IF($C36="Produits","",-F36/SUM(F37:F49))</f>
        <v>#DIV/0!</v>
      </c>
      <c r="I36" s="10"/>
      <c r="J36" t="str">
        <f t="shared" si="5"/>
        <v/>
      </c>
      <c r="M36" s="10"/>
    </row>
    <row r="37" ht="15.75" customHeight="1">
      <c r="A37" s="10"/>
      <c r="B37" s="115" t="s">
        <v>243</v>
      </c>
      <c r="C37" s="116" t="str">
        <f t="shared" si="0"/>
        <v/>
      </c>
      <c r="D37" s="108" t="str">
        <f t="shared" si="1"/>
        <v/>
      </c>
      <c r="E37" s="117">
        <f t="shared" si="2"/>
        <v>0</v>
      </c>
      <c r="F37" s="117">
        <f t="shared" si="3"/>
        <v>0</v>
      </c>
      <c r="G37" s="118">
        <f t="shared" si="4"/>
        <v>0</v>
      </c>
      <c r="H37" s="58" t="e">
        <f>IF($C37="Produits","",-F37/SUM(F37:F49))</f>
        <v>#DIV/0!</v>
      </c>
      <c r="I37" s="10"/>
      <c r="J37" t="str">
        <f t="shared" si="5"/>
        <v/>
      </c>
      <c r="K37">
        <f t="shared" si="6" ref="K37:L49">-E37</f>
        <v>0</v>
      </c>
      <c r="L37">
        <f t="shared" si="6"/>
        <v>0</v>
      </c>
      <c r="M37" s="10"/>
    </row>
    <row r="38" ht="15.75" customHeight="1">
      <c r="A38" s="10"/>
      <c r="B38" s="115" t="s">
        <v>244</v>
      </c>
      <c r="C38" s="116" t="str">
        <f t="shared" si="0"/>
        <v/>
      </c>
      <c r="D38" s="108" t="str">
        <f t="shared" si="1"/>
        <v/>
      </c>
      <c r="E38" s="117">
        <f t="shared" si="2"/>
        <v>0</v>
      </c>
      <c r="F38" s="117">
        <f t="shared" si="3"/>
        <v>0</v>
      </c>
      <c r="G38" s="118">
        <f t="shared" si="4"/>
        <v>0</v>
      </c>
      <c r="H38" s="58" t="e">
        <f>IF($C38="Produits","",-F38/SUM(F37:F49))</f>
        <v>#DIV/0!</v>
      </c>
      <c r="I38" s="10"/>
      <c r="J38" t="str">
        <f t="shared" si="5"/>
        <v/>
      </c>
      <c r="K38">
        <f t="shared" si="6"/>
        <v>0</v>
      </c>
      <c r="L38">
        <f t="shared" si="6"/>
        <v>0</v>
      </c>
      <c r="M38" s="10"/>
    </row>
    <row r="39" ht="15.75" customHeight="1">
      <c r="A39" s="10"/>
      <c r="B39" s="115" t="s">
        <v>245</v>
      </c>
      <c r="C39" s="116" t="str">
        <f t="shared" si="0"/>
        <v/>
      </c>
      <c r="D39" s="108" t="str">
        <f t="shared" si="1"/>
        <v/>
      </c>
      <c r="E39" s="117">
        <f t="shared" si="2"/>
        <v>0</v>
      </c>
      <c r="F39" s="117">
        <f t="shared" si="3"/>
        <v>0</v>
      </c>
      <c r="G39" s="118">
        <f t="shared" si="4"/>
        <v>0</v>
      </c>
      <c r="H39" s="58" t="e">
        <f>IF($C39="Produits","",-F39/SUM(F37:F49))</f>
        <v>#DIV/0!</v>
      </c>
      <c r="I39" s="10"/>
      <c r="J39" t="str">
        <f t="shared" si="5"/>
        <v/>
      </c>
      <c r="K39">
        <f t="shared" si="6"/>
        <v>0</v>
      </c>
      <c r="L39">
        <f t="shared" si="6"/>
        <v>0</v>
      </c>
      <c r="M39" s="10"/>
    </row>
    <row r="40" ht="15.75" customHeight="1">
      <c r="A40" s="10"/>
      <c r="B40" s="115" t="s">
        <v>246</v>
      </c>
      <c r="C40" s="116" t="str">
        <f t="shared" si="0"/>
        <v/>
      </c>
      <c r="D40" s="108" t="str">
        <f t="shared" si="1"/>
        <v/>
      </c>
      <c r="E40" s="117">
        <f t="shared" si="2"/>
        <v>0</v>
      </c>
      <c r="F40" s="117">
        <f t="shared" si="3"/>
        <v>0</v>
      </c>
      <c r="G40" s="118">
        <f t="shared" si="4"/>
        <v>0</v>
      </c>
      <c r="H40" s="58" t="e">
        <f>IF($C40="Produits","",-F40/SUM(F37:F49))</f>
        <v>#DIV/0!</v>
      </c>
      <c r="I40" s="10"/>
      <c r="J40" t="str">
        <f t="shared" si="5"/>
        <v/>
      </c>
      <c r="K40">
        <f t="shared" si="6"/>
        <v>0</v>
      </c>
      <c r="L40">
        <f t="shared" si="6"/>
        <v>0</v>
      </c>
      <c r="M40" s="10"/>
    </row>
    <row r="41" ht="15.75" customHeight="1">
      <c r="A41" s="10"/>
      <c r="B41" s="115" t="s">
        <v>247</v>
      </c>
      <c r="C41" s="116" t="str">
        <f t="shared" si="0"/>
        <v/>
      </c>
      <c r="D41" s="108" t="str">
        <f t="shared" si="1"/>
        <v/>
      </c>
      <c r="E41" s="117">
        <f t="shared" si="2"/>
        <v>0</v>
      </c>
      <c r="F41" s="117">
        <f t="shared" si="3"/>
        <v>0</v>
      </c>
      <c r="G41" s="118">
        <f t="shared" si="4"/>
        <v>0</v>
      </c>
      <c r="H41" s="58" t="e">
        <f>IF($C41="Produits","",-F41/SUM(F37:F49))</f>
        <v>#DIV/0!</v>
      </c>
      <c r="I41" s="10"/>
      <c r="J41" t="str">
        <f t="shared" si="5"/>
        <v/>
      </c>
      <c r="K41">
        <f t="shared" si="6"/>
        <v>0</v>
      </c>
      <c r="L41">
        <f t="shared" si="6"/>
        <v>0</v>
      </c>
      <c r="M41" s="10"/>
    </row>
    <row r="42" ht="15.75" customHeight="1">
      <c r="A42" s="10"/>
      <c r="B42" s="115" t="s">
        <v>248</v>
      </c>
      <c r="C42" s="116" t="str">
        <f t="shared" si="0"/>
        <v/>
      </c>
      <c r="D42" s="108" t="str">
        <f t="shared" si="1"/>
        <v/>
      </c>
      <c r="E42" s="117">
        <f t="shared" si="2"/>
        <v>0</v>
      </c>
      <c r="F42" s="117">
        <f t="shared" si="3"/>
        <v>0</v>
      </c>
      <c r="G42" s="118">
        <f t="shared" si="4"/>
        <v>0</v>
      </c>
      <c r="H42" s="58" t="e">
        <f>IF($C42="Produits","",-F42/SUM(F37:F49))</f>
        <v>#DIV/0!</v>
      </c>
      <c r="I42" s="10"/>
      <c r="J42" t="str">
        <f t="shared" si="5"/>
        <v/>
      </c>
      <c r="K42">
        <f t="shared" si="6"/>
        <v>0</v>
      </c>
      <c r="L42">
        <f t="shared" si="6"/>
        <v>0</v>
      </c>
      <c r="M42" s="10"/>
    </row>
    <row r="43" ht="15.75" customHeight="1">
      <c r="A43" s="10"/>
      <c r="B43" s="115" t="s">
        <v>249</v>
      </c>
      <c r="C43" s="116" t="str">
        <f t="shared" si="0"/>
        <v/>
      </c>
      <c r="D43" s="108" t="str">
        <f t="shared" si="1"/>
        <v/>
      </c>
      <c r="E43" s="117">
        <f t="shared" si="2"/>
        <v>0</v>
      </c>
      <c r="F43" s="117">
        <f t="shared" si="3"/>
        <v>0</v>
      </c>
      <c r="G43" s="118">
        <f t="shared" si="4"/>
        <v>0</v>
      </c>
      <c r="H43" s="58" t="e">
        <f>IF($C43="Produits","",-F43/SUM(F37:F49))</f>
        <v>#DIV/0!</v>
      </c>
      <c r="I43" s="10"/>
      <c r="J43" t="str">
        <f t="shared" si="5"/>
        <v/>
      </c>
      <c r="K43">
        <f t="shared" si="6"/>
        <v>0</v>
      </c>
      <c r="L43">
        <f t="shared" si="6"/>
        <v>0</v>
      </c>
      <c r="M43" s="10"/>
    </row>
    <row r="44" ht="15.75" customHeight="1">
      <c r="A44" s="10"/>
      <c r="B44" s="115" t="s">
        <v>250</v>
      </c>
      <c r="C44" s="116" t="str">
        <f t="shared" si="0"/>
        <v/>
      </c>
      <c r="D44" s="108" t="str">
        <f t="shared" si="1"/>
        <v/>
      </c>
      <c r="E44" s="117">
        <f t="shared" si="2"/>
        <v>0</v>
      </c>
      <c r="F44" s="117">
        <f t="shared" si="3"/>
        <v>0</v>
      </c>
      <c r="G44" s="118">
        <f t="shared" si="4"/>
        <v>0</v>
      </c>
      <c r="H44" s="58" t="e">
        <f>IF($C44="Produits","",-F44/SUM(F37:F49))</f>
        <v>#DIV/0!</v>
      </c>
      <c r="I44" s="10"/>
      <c r="J44" t="str">
        <f t="shared" si="5"/>
        <v/>
      </c>
      <c r="K44">
        <f t="shared" si="6"/>
        <v>0</v>
      </c>
      <c r="L44">
        <f t="shared" si="6"/>
        <v>0</v>
      </c>
      <c r="M44" s="10"/>
    </row>
    <row r="45" ht="15.75" customHeight="1">
      <c r="A45" s="10"/>
      <c r="B45" s="115" t="s">
        <v>251</v>
      </c>
      <c r="C45" s="116" t="str">
        <f t="shared" si="0"/>
        <v/>
      </c>
      <c r="D45" s="108" t="str">
        <f t="shared" si="1"/>
        <v/>
      </c>
      <c r="E45" s="117">
        <f t="shared" si="2"/>
        <v>0</v>
      </c>
      <c r="F45" s="117">
        <f t="shared" si="3"/>
        <v>0</v>
      </c>
      <c r="G45" s="118">
        <f t="shared" si="4"/>
        <v>0</v>
      </c>
      <c r="H45" s="58" t="e">
        <f>IF($C45="Produits","",-F45/SUM(F37:F49))</f>
        <v>#DIV/0!</v>
      </c>
      <c r="I45" s="10"/>
      <c r="J45" t="str">
        <f t="shared" si="5"/>
        <v/>
      </c>
      <c r="K45">
        <f t="shared" si="6"/>
        <v>0</v>
      </c>
      <c r="L45">
        <f t="shared" si="6"/>
        <v>0</v>
      </c>
      <c r="M45" s="10"/>
    </row>
    <row r="46" ht="15.75" customHeight="1">
      <c r="A46" s="10"/>
      <c r="B46" s="115" t="s">
        <v>252</v>
      </c>
      <c r="C46" s="116" t="str">
        <f t="shared" si="0"/>
        <v/>
      </c>
      <c r="D46" s="108" t="str">
        <f t="shared" si="1"/>
        <v/>
      </c>
      <c r="E46" s="117">
        <f t="shared" si="2"/>
        <v>0</v>
      </c>
      <c r="F46" s="117">
        <f t="shared" si="3"/>
        <v>0</v>
      </c>
      <c r="G46" s="118">
        <f t="shared" si="4"/>
        <v>0</v>
      </c>
      <c r="H46" s="58" t="e">
        <f>IF($C46="Produits","",-F46/SUM(F37:F49))</f>
        <v>#DIV/0!</v>
      </c>
      <c r="I46" s="10"/>
      <c r="J46" t="str">
        <f t="shared" si="5"/>
        <v/>
      </c>
      <c r="K46">
        <f t="shared" si="6"/>
        <v>0</v>
      </c>
      <c r="L46">
        <f t="shared" si="6"/>
        <v>0</v>
      </c>
      <c r="M46" s="10"/>
    </row>
    <row r="47" ht="15.75" customHeight="1">
      <c r="A47" s="10"/>
      <c r="B47" s="115" t="s">
        <v>253</v>
      </c>
      <c r="C47" s="116" t="str">
        <f t="shared" si="0"/>
        <v/>
      </c>
      <c r="D47" s="108" t="str">
        <f t="shared" si="1"/>
        <v/>
      </c>
      <c r="E47" s="117">
        <f t="shared" si="2"/>
        <v>0</v>
      </c>
      <c r="F47" s="117">
        <f t="shared" si="3"/>
        <v>0</v>
      </c>
      <c r="G47" s="118">
        <f t="shared" si="4"/>
        <v>0</v>
      </c>
      <c r="H47" s="58" t="e">
        <f>IF($C47="Produits","",-F47/SUM(F37:F49))</f>
        <v>#DIV/0!</v>
      </c>
      <c r="I47" s="10"/>
      <c r="J47" t="str">
        <f t="shared" si="5"/>
        <v/>
      </c>
      <c r="K47">
        <f t="shared" si="6"/>
        <v>0</v>
      </c>
      <c r="L47">
        <f t="shared" si="6"/>
        <v>0</v>
      </c>
      <c r="M47" s="10"/>
    </row>
    <row r="48" ht="14.25" customHeight="1">
      <c r="A48" s="10"/>
      <c r="B48" s="115" t="s">
        <v>254</v>
      </c>
      <c r="C48" s="116" t="str">
        <f t="shared" si="0"/>
        <v/>
      </c>
      <c r="D48" s="108" t="str">
        <f t="shared" si="1"/>
        <v/>
      </c>
      <c r="E48" s="117">
        <f t="shared" si="2"/>
        <v>0</v>
      </c>
      <c r="F48" s="117">
        <f t="shared" si="3"/>
        <v>0</v>
      </c>
      <c r="G48" s="118">
        <f t="shared" si="4"/>
        <v>0</v>
      </c>
      <c r="H48" s="58" t="e">
        <f>IF($C48="Produits","",-F48/SUM(F37:F49))</f>
        <v>#DIV/0!</v>
      </c>
      <c r="I48" s="10"/>
      <c r="J48" t="str">
        <f t="shared" si="5"/>
        <v/>
      </c>
      <c r="K48">
        <f t="shared" si="6"/>
        <v>0</v>
      </c>
      <c r="L48">
        <f t="shared" si="6"/>
        <v>0</v>
      </c>
      <c r="M48" s="10"/>
    </row>
    <row r="49" ht="14.25" customHeight="1">
      <c r="A49" s="10"/>
      <c r="B49" s="115" t="s">
        <v>255</v>
      </c>
      <c r="C49" s="116" t="str">
        <f t="shared" si="0"/>
        <v/>
      </c>
      <c r="D49" s="108" t="str">
        <f t="shared" si="1"/>
        <v/>
      </c>
      <c r="E49" s="117">
        <f t="shared" si="2"/>
        <v>0</v>
      </c>
      <c r="F49" s="117">
        <f t="shared" si="3"/>
        <v>0</v>
      </c>
      <c r="G49" s="118">
        <f t="shared" si="4"/>
        <v>0</v>
      </c>
      <c r="H49" s="58" t="e">
        <f>IF($C49="Produits","",-F49/SUM(F37:F49))</f>
        <v>#DIV/0!</v>
      </c>
      <c r="I49" s="10"/>
      <c r="J49" t="str">
        <f t="shared" si="5"/>
        <v/>
      </c>
      <c r="K49">
        <f t="shared" si="6"/>
        <v>0</v>
      </c>
      <c r="L49">
        <f t="shared" si="6"/>
        <v>0</v>
      </c>
      <c r="M49" s="10"/>
    </row>
    <row r="50" ht="1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ht="15" customHeight="1">
      <c r="A51" s="10"/>
      <c r="B51" s="101" t="s">
        <v>256</v>
      </c>
      <c r="C51" s="119"/>
      <c r="D51" s="101" t="s">
        <v>257</v>
      </c>
      <c r="E51" s="120">
        <f t="shared" si="7" ref="E51:F51">SUM(E34:E49)</f>
        <v>0</v>
      </c>
      <c r="F51" s="120">
        <f t="shared" si="7"/>
        <v>0</v>
      </c>
      <c r="G51" s="119"/>
      <c r="H51" s="119"/>
      <c r="I51" s="10"/>
      <c r="J51" s="10"/>
      <c r="K51" s="10"/>
      <c r="L51" s="10"/>
      <c r="M51" s="10"/>
    </row>
    <row r="52" ht="14.2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ht="14.25" customHeight="1">
      <c r="B53" s="88" t="s">
        <v>258</v>
      </c>
      <c r="C53" s="10"/>
      <c r="D53" s="10"/>
      <c r="E53" s="10"/>
      <c r="F53" s="10"/>
      <c r="G53" s="10"/>
      <c r="H53" s="10"/>
    </row>
    <row r="54" ht="14.25" customHeight="1">
      <c r="B54" s="121" t="s">
        <v>259</v>
      </c>
      <c r="C54" s="122"/>
      <c r="D54" s="122"/>
      <c r="E54" s="123">
        <f t="shared" si="8" ref="E54:F54">SUM(E34:E36)</f>
        <v>0</v>
      </c>
      <c r="F54" s="123">
        <f t="shared" si="8"/>
        <v>0</v>
      </c>
      <c r="G54" s="122"/>
      <c r="H54" s="122"/>
    </row>
    <row r="55" ht="14.25" customHeight="1">
      <c r="B55" s="121" t="s">
        <v>260</v>
      </c>
      <c r="C55" s="122"/>
      <c r="D55" s="122"/>
      <c r="E55" s="123">
        <f>SUM($X$14:$X$16)</f>
        <v>0</v>
      </c>
      <c r="F55" s="123">
        <f>SUM($Y$14:$Y$16)</f>
        <v>0</v>
      </c>
      <c r="G55" s="122"/>
      <c r="H55" s="122"/>
    </row>
    <row r="56" ht="15" customHeight="1">
      <c r="B56" s="124" t="s">
        <v>261</v>
      </c>
      <c r="C56" s="125"/>
      <c r="D56" s="125"/>
      <c r="E56" s="126">
        <f t="shared" si="9" ref="E56:F56">E54-E55</f>
        <v>0</v>
      </c>
      <c r="F56" s="126">
        <f t="shared" si="9"/>
        <v>0</v>
      </c>
      <c r="G56" s="127" t="e">
        <f t="shared" si="10" ref="G56:H56">E56/E55</f>
        <v>#DIV/0!</v>
      </c>
      <c r="H56" s="127" t="e">
        <f t="shared" si="10"/>
        <v>#DIV/0!</v>
      </c>
    </row>
  </sheetData>
  <sheetProtection sort="1" autoFilter="0"/>
  <conditionalFormatting sqref="B34:H49">
    <cfRule type="expression" dxfId="11" priority="1" text="null">
      <formula>$C34="Produits"</formula>
    </cfRule>
  </conditionalFormatting>
  <conditionalFormatting sqref="B34:H49">
    <cfRule type="expression" dxfId="12" priority="2" text="null">
      <formula>$B34="SIEGE"</formula>
    </cfRule>
  </conditionalFormatting>
  <conditionalFormatting sqref="B34:H49">
    <cfRule type="expression" dxfId="7" priority="3" text="null">
      <formula>$B34&lt;&gt;""</formula>
    </cfRule>
  </conditionalFormatting>
  <conditionalFormatting sqref="G34:G49">
    <cfRule type="cellIs" dxfId="5" priority="4" operator="greaterThan" text="null">
      <formula>0</formula>
    </cfRule>
  </conditionalFormatting>
  <conditionalFormatting sqref="G34:G49">
    <cfRule type="cellIs" dxfId="13" priority="5" operator="lessThan" text="null">
      <formula>0</formula>
    </cfRule>
  </conditionalFormatting>
  <conditionalFormatting sqref="H34:H49">
    <cfRule type="dataBar" priority="6">
      <dataBar>
        <cfvo type="num" val="0"/>
        <cfvo type="max"/>
        <color rgb="FFB8CFEC"/>
      </dataBar>
      <extLst>
        <ext xmlns:x14="http://schemas.microsoft.com/office/spreadsheetml/2009/9/main" uri="{B025F937-C7B1-47D3-B67F-A62EFF666E3E}">
          <x14:id>{e9231f15-8284-4a96-9507-256527c5f336}</x14:id>
        </ext>
      </extLst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231f15-8284-4a96-9507-256527c5f336}">
            <x14:dataBar minLength="0" maxLength="100" direction="leftToRight">
              <x14:color rgb="FFB8CFEC"/>
              <x14:cfvo type="num">
                <xm:f>0</xm:f>
              </x14:cfvo>
              <x14:cfvo type="max"/>
              <x14:negativeFillColor rgb="FFFF0000"/>
              <x14:negativeBorderColor rgb="FF000000"/>
              <x14:axisColor rgb="FF000000"/>
            </x14:dataBar>
          </x14:cfRule>
          <xm:sqref>H34:H49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6</vt:i4>
      </vt:variant>
    </vt:vector>
  </HeadingPairs>
  <TitlesOfParts>
    <vt:vector size="10" baseType="lpstr">
      <vt:lpstr>Cockpit</vt:lpstr>
      <vt:lpstr>Cockpit 2</vt:lpstr>
      <vt:lpstr>Drill EBITDA 1</vt:lpstr>
      <vt:lpstr>Drill EBITDA 2</vt:lpstr>
      <vt:lpstr>Cockpit!Query00</vt:lpstr>
      <vt:lpstr>'Cockpit 2'!Query00</vt:lpstr>
      <vt:lpstr>Cockpit!Query01</vt:lpstr>
      <vt:lpstr>'Cockpit 2'!Query01</vt:lpstr>
      <vt:lpstr>Cockpit!Query02</vt:lpstr>
      <vt:lpstr>'Cockpit 2'!Query02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2026-09-04T14:45:38Z</dcterms:created>
  <dc:creator>Saad El meziati</dc:creator>
  <cp:lastModifiedBy>Saad El meziati</cp:lastModifiedBy>
  <dcterms:modified xsi:type="dcterms:W3CDTF">2026-09-09T22:32:31Z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