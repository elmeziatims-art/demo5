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2026" sheetId="1" state="visible" r:id="rId1"/>
    <sheet name="Cadrage 20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+&quot;0.0%"/>
    <numFmt numFmtId="165" formatCode="0.0%"/>
    <numFmt numFmtId="166" formatCode="&quot;-&quot;0.0&quot; pt&quot;"/>
    <numFmt numFmtId="167" formatCode="0.00&quot; pt&quot;"/>
    <numFmt numFmtId="168" formatCode="&quot;-&quot;0.0%"/>
    <numFmt numFmtId="169" formatCode="&quot;+&quot;0.00%"/>
    <numFmt numFmtId="170" formatCode="#,##0&quot; €&quot;;-#,##0&quot; €&quot;;&quot;0 €&quot;"/>
    <numFmt numFmtId="171" formatCode="+#,##0&quot; €&quot;;-#,##0&quot; €&quot;;&quot;—&quot;"/>
    <numFmt numFmtId="172" formatCode="+0.00&quot; pt&quot;;-0.00&quot; pt&quot;;&quot;—&quot;"/>
  </numFmts>
  <fonts count="23">
    <font>
      <name val="Calibri"/>
      <family val="2"/>
      <color theme="1"/>
      <sz val="11"/>
      <scheme val="minor"/>
    </font>
    <font>
      <name val="Fira Sans Medium"/>
      <b val="1"/>
      <color rgb="00FFFFFF"/>
      <sz val="15"/>
    </font>
    <font>
      <name val="Arial"/>
      <color rgb="00B8C6DA"/>
      <sz val="8"/>
    </font>
    <font>
      <name val="Fira Sans Medium"/>
      <b val="1"/>
      <color rgb="00FFFFFF"/>
      <sz val="8"/>
    </font>
    <font>
      <name val="Arial"/>
      <color rgb="00202733"/>
      <sz val="8.5"/>
    </font>
    <font>
      <name val="Arial"/>
      <b val="1"/>
      <color rgb="00202733"/>
      <sz val="8.5"/>
    </font>
    <font>
      <name val="Arial"/>
      <b val="1"/>
      <color rgb="002A78D6"/>
      <sz val="8.5"/>
    </font>
    <font>
      <name val="Arial"/>
      <i val="1"/>
      <color rgb="0069778B"/>
      <sz val="7.5"/>
    </font>
    <font>
      <name val="Arial"/>
      <b val="1"/>
      <color rgb="00F07B32"/>
      <sz val="8.5"/>
    </font>
    <font>
      <name val="Arial"/>
      <b val="1"/>
      <color rgb="00202733"/>
      <sz val="9"/>
    </font>
    <font>
      <name val="Arial"/>
      <b val="1"/>
      <color rgb="002A78D6"/>
      <sz val="10"/>
    </font>
    <font>
      <name val="Fira Sans Medium"/>
      <b val="1"/>
      <color rgb="002A78D6"/>
      <sz val="14"/>
    </font>
    <font>
      <name val="Fira Sans Medium"/>
      <b val="1"/>
      <color rgb="00D64545"/>
      <sz val="14"/>
    </font>
    <font>
      <name val="Arial"/>
      <b val="1"/>
      <color rgb="00D64545"/>
      <sz val="10"/>
    </font>
    <font>
      <name val="Arial"/>
      <color rgb="00526071"/>
      <sz val="8"/>
    </font>
    <font>
      <name val="Fira Sans Medium"/>
      <b val="1"/>
      <color rgb="00B97800"/>
      <sz val="18"/>
    </font>
    <font>
      <name val="Arial"/>
      <b val="1"/>
      <color rgb="001E9E89"/>
      <sz val="8.5"/>
    </font>
    <font>
      <name val="Arial"/>
      <b val="1"/>
      <color rgb="001E9E89"/>
      <sz val="10"/>
    </font>
    <font>
      <name val="Fira Sans Medium"/>
      <b val="1"/>
      <color rgb="00202733"/>
      <sz val="18"/>
    </font>
    <font>
      <name val="Arial"/>
      <b val="1"/>
      <color rgb="0069778B"/>
      <sz val="8"/>
    </font>
    <font>
      <name val="Arial"/>
      <b val="1"/>
      <color rgb="00526071"/>
      <sz val="8.5"/>
    </font>
    <font>
      <name val="Arial"/>
      <b val="1"/>
      <color rgb="00202733"/>
      <sz val="10"/>
    </font>
    <font>
      <name val="Arial"/>
      <color rgb="00526071"/>
      <sz val="7.5"/>
    </font>
  </fonts>
  <fills count="8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2033"/>
      </patternFill>
    </fill>
    <fill>
      <patternFill patternType="solid">
        <fgColor rgb="00FFFFFF"/>
      </patternFill>
    </fill>
    <fill>
      <patternFill patternType="solid">
        <fgColor rgb="00526071"/>
      </patternFill>
    </fill>
    <fill>
      <patternFill patternType="solid">
        <fgColor rgb="00FFF1E8"/>
      </patternFill>
    </fill>
    <fill>
      <patternFill patternType="solid">
        <fgColor rgb="00EAF2FC"/>
      </patternFill>
    </fill>
  </fills>
  <borders count="27">
    <border>
      <left/>
      <right/>
      <top/>
      <bottom/>
      <diagonal/>
    </border>
    <border>
      <left style="thin">
        <color rgb="00E9EDF3"/>
      </left>
      <top style="thin">
        <color rgb="00E9EDF3"/>
      </top>
    </border>
    <border>
      <top style="thin">
        <color rgb="00E9EDF3"/>
      </top>
    </border>
    <border>
      <right style="thin">
        <color rgb="00E9EDF3"/>
      </right>
      <top style="thin">
        <color rgb="00E9EDF3"/>
      </top>
    </border>
    <border>
      <left style="thin">
        <color rgb="00E9EDF3"/>
      </left>
    </border>
    <border/>
    <border>
      <right style="thin">
        <color rgb="00E9EDF3"/>
      </right>
    </border>
    <border>
      <left style="thin">
        <color rgb="00E9EDF3"/>
      </left>
      <bottom style="thin">
        <color rgb="00E9EDF3"/>
      </bottom>
    </border>
    <border>
      <bottom style="thin">
        <color rgb="00E9EDF3"/>
      </bottom>
    </border>
    <border>
      <right style="thin">
        <color rgb="00E9EDF3"/>
      </right>
      <bottom style="thin">
        <color rgb="00E9EDF3"/>
      </bottom>
    </border>
    <border>
      <left style="thin">
        <color rgb="00526071"/>
      </left>
      <right style="thin">
        <color rgb="00526071"/>
      </right>
      <top style="thin">
        <color rgb="00526071"/>
      </top>
      <bottom style="thin">
        <color rgb="00526071"/>
      </bottom>
    </border>
    <border>
      <left style="thin">
        <color rgb="00F07B32"/>
      </left>
      <right style="thin">
        <color rgb="00F07B32"/>
      </right>
      <top style="thin">
        <color rgb="00F07B32"/>
      </top>
      <bottom style="thin">
        <color rgb="00F07B32"/>
      </bottom>
    </border>
    <border>
      <left style="thin">
        <color rgb="002A78D6"/>
      </left>
      <top style="thin">
        <color rgb="002A78D6"/>
      </top>
    </border>
    <border>
      <top style="thin">
        <color rgb="002A78D6"/>
      </top>
    </border>
    <border>
      <right style="thin">
        <color rgb="002A78D6"/>
      </right>
      <top style="thin">
        <color rgb="002A78D6"/>
      </top>
    </border>
    <border>
      <left style="thin">
        <color rgb="002A78D6"/>
      </left>
      <bottom style="thin">
        <color rgb="002A78D6"/>
      </bottom>
    </border>
    <border>
      <bottom style="thin">
        <color rgb="002A78D6"/>
      </bottom>
    </border>
    <border>
      <right style="thin">
        <color rgb="002A78D6"/>
      </right>
      <bottom style="thin">
        <color rgb="002A78D6"/>
      </bottom>
    </border>
    <border>
      <left style="thin">
        <color rgb="00526071"/>
      </left>
      <top style="thin">
        <color rgb="00526071"/>
      </top>
    </border>
    <border>
      <top style="thin">
        <color rgb="00526071"/>
      </top>
    </border>
    <border>
      <right style="thin">
        <color rgb="00526071"/>
      </right>
      <top style="thin">
        <color rgb="00526071"/>
      </top>
    </border>
    <border>
      <left style="thin">
        <color rgb="00526071"/>
      </left>
      <bottom style="thin">
        <color rgb="00526071"/>
      </bottom>
    </border>
    <border>
      <bottom style="thin">
        <color rgb="00526071"/>
      </bottom>
    </border>
    <border>
      <right style="thin">
        <color rgb="00526071"/>
      </right>
      <bottom style="thin">
        <color rgb="00526071"/>
      </bottom>
    </border>
    <border>
      <left style="thin">
        <color rgb="00E9EDF3"/>
      </left>
      <right style="thin">
        <color rgb="00E9EDF3"/>
      </right>
    </border>
    <border>
      <left style="thin">
        <color rgb="00E9EDF3"/>
      </left>
      <right/>
      <top/>
      <bottom/>
      <diagonal/>
    </border>
    <border>
      <left/>
      <right style="thin">
        <color rgb="00E9EDF3"/>
      </right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5" borderId="10" applyAlignment="1" pivotButton="0" quotePrefix="0" xfId="0">
      <alignment horizontal="left" vertical="center" indent="1"/>
    </xf>
    <xf numFmtId="0" fontId="3" fillId="5" borderId="10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 indent="1"/>
    </xf>
    <xf numFmtId="3" fontId="4" fillId="4" borderId="5" applyAlignment="1" pivotButton="0" quotePrefix="0" xfId="0">
      <alignment horizontal="right" vertical="center"/>
    </xf>
    <xf numFmtId="3" fontId="4" fillId="4" borderId="6" applyAlignment="1" pivotButton="0" quotePrefix="0" xfId="0">
      <alignment horizontal="right" vertical="center"/>
    </xf>
    <xf numFmtId="0" fontId="5" fillId="4" borderId="4" applyAlignment="1" pivotButton="0" quotePrefix="0" xfId="0">
      <alignment horizontal="left" vertical="center" indent="1"/>
    </xf>
    <xf numFmtId="3" fontId="6" fillId="4" borderId="5" applyAlignment="1" pivotButton="0" quotePrefix="0" xfId="0">
      <alignment horizontal="right" vertical="center"/>
    </xf>
    <xf numFmtId="3" fontId="6" fillId="4" borderId="6" applyAlignment="1" pivotButton="0" quotePrefix="0" xfId="0">
      <alignment horizontal="right" vertical="center"/>
    </xf>
    <xf numFmtId="0" fontId="7" fillId="4" borderId="7" applyAlignment="1" pivotButton="0" quotePrefix="0" xfId="0">
      <alignment horizontal="left" vertical="center" indent="1"/>
    </xf>
    <xf numFmtId="0" fontId="0" fillId="4" borderId="8" pivotButton="0" quotePrefix="0" xfId="0"/>
    <xf numFmtId="0" fontId="0" fillId="4" borderId="9" pivotButton="0" quotePrefix="0" xfId="0"/>
    <xf numFmtId="3" fontId="5" fillId="4" borderId="5" applyAlignment="1" pivotButton="0" quotePrefix="0" xfId="0">
      <alignment horizontal="right" vertical="center"/>
    </xf>
    <xf numFmtId="0" fontId="0" fillId="4" borderId="6" pivotButton="0" quotePrefix="0" xfId="0"/>
    <xf numFmtId="0" fontId="5" fillId="4" borderId="7" applyAlignment="1" pivotButton="0" quotePrefix="0" xfId="0">
      <alignment horizontal="left" vertical="center" indent="1"/>
    </xf>
    <xf numFmtId="10" fontId="6" fillId="4" borderId="8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indent="1"/>
    </xf>
    <xf numFmtId="3" fontId="8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indent="1"/>
    </xf>
    <xf numFmtId="0" fontId="0" fillId="7" borderId="3" pivotButton="0" quotePrefix="0" xfId="0"/>
    <xf numFmtId="0" fontId="7" fillId="2" borderId="0" applyAlignment="1" pivotButton="0" quotePrefix="0" xfId="0">
      <alignment horizontal="left" vertical="center"/>
    </xf>
    <xf numFmtId="0" fontId="0" fillId="7" borderId="4" pivotButton="0" quotePrefix="0" xfId="0"/>
    <xf numFmtId="0" fontId="0" fillId="7" borderId="6" pivotButton="0" quotePrefix="0" xfId="0"/>
    <xf numFmtId="0" fontId="6" fillId="7" borderId="4" applyAlignment="1" pivotButton="0" quotePrefix="0" xfId="0">
      <alignment horizontal="left" vertical="top" wrapText="1"/>
    </xf>
    <xf numFmtId="0" fontId="0" fillId="4" borderId="3" pivotButton="0" quotePrefix="0" xfId="0"/>
    <xf numFmtId="0" fontId="22" fillId="7" borderId="24" applyAlignment="1" pivotButton="0" quotePrefix="0" xfId="0">
      <alignment horizontal="left" vertical="top" wrapText="1"/>
    </xf>
    <xf numFmtId="0" fontId="0" fillId="0" borderId="26" pivotButton="0" quotePrefix="0" xfId="0"/>
    <xf numFmtId="164" fontId="8" fillId="6" borderId="11" applyAlignment="1" pivotButton="0" quotePrefix="0" xfId="0">
      <alignment horizontal="center" vertical="center"/>
    </xf>
    <xf numFmtId="0" fontId="0" fillId="0" borderId="25" pivotButton="0" quotePrefix="0" xfId="0"/>
    <xf numFmtId="0" fontId="7" fillId="4" borderId="5" applyAlignment="1" pivotButton="0" quotePrefix="0" xfId="0">
      <alignment horizontal="center" vertical="center"/>
    </xf>
    <xf numFmtId="3" fontId="5" fillId="4" borderId="8" applyAlignment="1" pivotButton="0" quotePrefix="0" xfId="0">
      <alignment horizontal="right" vertical="center"/>
    </xf>
    <xf numFmtId="3" fontId="10" fillId="4" borderId="8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1"/>
    </xf>
    <xf numFmtId="0" fontId="0" fillId="7" borderId="2" pivotButton="0" quotePrefix="0" xfId="0"/>
    <xf numFmtId="165" fontId="8" fillId="6" borderId="11" applyAlignment="1" pivotButton="0" quotePrefix="0" xfId="0">
      <alignment horizontal="center" vertical="center"/>
    </xf>
    <xf numFmtId="0" fontId="7" fillId="7" borderId="2" applyAlignment="1" pivotButton="0" quotePrefix="0" xfId="0">
      <alignment horizontal="right" vertical="center"/>
    </xf>
    <xf numFmtId="0" fontId="5" fillId="7" borderId="7" applyAlignment="1" pivotButton="0" quotePrefix="0" xfId="0">
      <alignment horizontal="left" vertical="center" indent="1"/>
    </xf>
    <xf numFmtId="0" fontId="0" fillId="7" borderId="8" pivotButton="0" quotePrefix="0" xfId="0"/>
    <xf numFmtId="3" fontId="11" fillId="7" borderId="8" applyAlignment="1" pivotButton="0" quotePrefix="0" xfId="0">
      <alignment horizontal="right" vertical="center"/>
    </xf>
    <xf numFmtId="0" fontId="0" fillId="7" borderId="9" pivotButton="0" quotePrefix="0" xfId="0"/>
    <xf numFmtId="3" fontId="7" fillId="4" borderId="5" applyAlignment="1" pivotButton="0" quotePrefix="0" xfId="0">
      <alignment horizontal="right" vertical="center"/>
    </xf>
    <xf numFmtId="165" fontId="7" fillId="4" borderId="6" applyAlignment="1" pivotButton="0" quotePrefix="0" xfId="0">
      <alignment horizontal="right" vertical="center"/>
    </xf>
    <xf numFmtId="0" fontId="0" fillId="4" borderId="5" pivotButton="0" quotePrefix="0" xfId="0"/>
    <xf numFmtId="3" fontId="12" fillId="4" borderId="8" applyAlignment="1" pivotButton="0" quotePrefix="0" xfId="0">
      <alignment horizontal="right" vertical="center"/>
    </xf>
    <xf numFmtId="10" fontId="13" fillId="4" borderId="9" applyAlignment="1" pivotButton="0" quotePrefix="0" xfId="0">
      <alignment horizontal="right" vertical="center"/>
    </xf>
    <xf numFmtId="0" fontId="0" fillId="7" borderId="7" pivotButton="0" quotePrefix="0" xfId="0"/>
    <xf numFmtId="0" fontId="9" fillId="7" borderId="12" applyAlignment="1" pivotButton="0" quotePrefix="0" xfId="0">
      <alignment horizontal="left" vertical="center"/>
    </xf>
    <xf numFmtId="0" fontId="0" fillId="7" borderId="13" pivotButton="0" quotePrefix="0" xfId="0"/>
    <xf numFmtId="3" fontId="15" fillId="7" borderId="13" applyAlignment="1" pivotButton="0" quotePrefix="0" xfId="0">
      <alignment horizontal="right" vertical="center"/>
    </xf>
    <xf numFmtId="0" fontId="0" fillId="7" borderId="14" pivotButton="0" quotePrefix="0" xfId="0"/>
    <xf numFmtId="0" fontId="14" fillId="7" borderId="15" applyAlignment="1" pivotButton="0" quotePrefix="0" xfId="0">
      <alignment horizontal="left" vertical="center"/>
    </xf>
    <xf numFmtId="0" fontId="0" fillId="7" borderId="16" pivotButton="0" quotePrefix="0" xfId="0"/>
    <xf numFmtId="0" fontId="7" fillId="7" borderId="16" applyAlignment="1" pivotButton="0" quotePrefix="0" xfId="0">
      <alignment horizontal="right" vertical="center"/>
    </xf>
    <xf numFmtId="0" fontId="0" fillId="7" borderId="17" pivotButton="0" quotePrefix="0" xfId="0"/>
    <xf numFmtId="166" fontId="8" fillId="6" borderId="11" applyAlignment="1" pivotButton="0" quotePrefix="0" xfId="0">
      <alignment horizontal="center" vertical="center"/>
    </xf>
    <xf numFmtId="3" fontId="16" fillId="4" borderId="5" applyAlignment="1" pivotButton="0" quotePrefix="0" xfId="0">
      <alignment horizontal="right" vertical="center"/>
    </xf>
    <xf numFmtId="167" fontId="4" fillId="4" borderId="5" applyAlignment="1" pivotButton="0" quotePrefix="0" xfId="0">
      <alignment horizontal="right" vertical="center"/>
    </xf>
    <xf numFmtId="9" fontId="7" fillId="4" borderId="6" applyAlignment="1" pivotButton="0" quotePrefix="0" xfId="0">
      <alignment horizontal="right" vertical="center"/>
    </xf>
    <xf numFmtId="168" fontId="8" fillId="6" borderId="11" applyAlignment="1" pivotButton="0" quotePrefix="0" xfId="0">
      <alignment horizontal="center" vertical="center"/>
    </xf>
    <xf numFmtId="169" fontId="8" fillId="6" borderId="11" applyAlignment="1" pivotButton="0" quotePrefix="0" xfId="0">
      <alignment horizontal="center" vertical="center"/>
    </xf>
    <xf numFmtId="3" fontId="17" fillId="4" borderId="5" applyAlignment="1" pivotButton="0" quotePrefix="0" xfId="0">
      <alignment horizontal="right" vertical="center"/>
    </xf>
    <xf numFmtId="167" fontId="5" fillId="4" borderId="5" applyAlignment="1" pivotButton="0" quotePrefix="0" xfId="0">
      <alignment horizontal="right" vertical="center"/>
    </xf>
    <xf numFmtId="9" fontId="5" fillId="4" borderId="6" applyAlignment="1" pivotButton="0" quotePrefix="0" xfId="0">
      <alignment horizontal="right" vertical="center"/>
    </xf>
    <xf numFmtId="0" fontId="9" fillId="4" borderId="18" applyAlignment="1" pivotButton="0" quotePrefix="0" xfId="0">
      <alignment horizontal="left" vertical="center"/>
    </xf>
    <xf numFmtId="0" fontId="0" fillId="4" borderId="19" pivotButton="0" quotePrefix="0" xfId="0"/>
    <xf numFmtId="170" fontId="18" fillId="4" borderId="19" applyAlignment="1" pivotButton="0" quotePrefix="0" xfId="0">
      <alignment horizontal="right" vertical="center"/>
    </xf>
    <xf numFmtId="0" fontId="0" fillId="4" borderId="20" pivotButton="0" quotePrefix="0" xfId="0"/>
    <xf numFmtId="0" fontId="14" fillId="4" borderId="21" applyAlignment="1" pivotButton="0" quotePrefix="0" xfId="0">
      <alignment horizontal="left" vertical="center"/>
    </xf>
    <xf numFmtId="0" fontId="0" fillId="4" borderId="22" pivotButton="0" quotePrefix="0" xfId="0"/>
    <xf numFmtId="0" fontId="19" fillId="4" borderId="22" applyAlignment="1" pivotButton="0" quotePrefix="0" xfId="0">
      <alignment horizontal="right" vertical="center"/>
    </xf>
    <xf numFmtId="0" fontId="0" fillId="4" borderId="23" pivotButton="0" quotePrefix="0" xfId="0"/>
    <xf numFmtId="0" fontId="3" fillId="4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/>
    </xf>
    <xf numFmtId="171" fontId="16" fillId="4" borderId="5" applyAlignment="1" pivotButton="0" quotePrefix="0" xfId="0">
      <alignment horizontal="right" vertical="center"/>
    </xf>
    <xf numFmtId="171" fontId="20" fillId="4" borderId="5" applyAlignment="1" pivotButton="0" quotePrefix="0" xfId="0">
      <alignment horizontal="right" vertical="center"/>
    </xf>
    <xf numFmtId="3" fontId="21" fillId="4" borderId="5" applyAlignment="1" pivotButton="0" quotePrefix="0" xfId="0">
      <alignment horizontal="right" vertical="center"/>
    </xf>
    <xf numFmtId="3" fontId="10" fillId="4" borderId="5" applyAlignment="1" pivotButton="0" quotePrefix="0" xfId="0">
      <alignment horizontal="right" vertical="center"/>
    </xf>
    <xf numFmtId="10" fontId="10" fillId="4" borderId="8" applyAlignment="1" pivotButton="0" quotePrefix="0" xfId="0">
      <alignment horizontal="right" vertical="center"/>
    </xf>
    <xf numFmtId="172" fontId="16" fillId="4" borderId="8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Fira Sans Medium"/>
        <b val="1"/>
        <color rgb="001E9E89"/>
        <sz val="18"/>
      </font>
    </dxf>
    <dxf>
      <font>
        <name val="Fira Sans Medium"/>
        <b val="1"/>
        <color rgb="00D64545"/>
        <sz val="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</row>
    <row r="2" ht="26" customHeight="1">
      <c r="A2" s="1" t="n"/>
      <c r="B2" s="3" t="inlineStr">
        <is>
          <t>LA BASE — telle qu'elle est lue en base</t>
        </is>
      </c>
      <c r="C2" s="1" t="n"/>
      <c r="D2" s="1" t="n"/>
      <c r="E2" s="1" t="n"/>
      <c r="F2" s="1" t="n"/>
      <c r="G2" s="2" t="n"/>
      <c r="H2" s="2" t="n"/>
      <c r="I2" s="2" t="n"/>
      <c r="J2" s="2" t="n"/>
      <c r="K2" s="2" t="n"/>
      <c r="L2" s="2" t="n"/>
      <c r="M2" s="2" t="n"/>
    </row>
    <row r="3" ht="15" customHeight="1">
      <c r="A3" s="1" t="n"/>
      <c r="B3" s="4" t="inlineStr">
        <is>
          <t>AW_002_000002_000001 et AW_002_000004_000001. Aucune formule ici : c'est l'extrait, pas un retraitement.</t>
        </is>
      </c>
      <c r="C3" s="1" t="n"/>
      <c r="D3" s="1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</row>
    <row r="4" ht="6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16" customHeight="1">
      <c r="A5" s="2" t="n"/>
      <c r="B5" s="5" t="inlineStr">
        <is>
          <t>Volumes et recettes</t>
        </is>
      </c>
      <c r="C5" s="6" t="inlineStr">
        <is>
          <t>2024</t>
        </is>
      </c>
      <c r="D5" s="6" t="inlineStr">
        <is>
          <t>2025</t>
        </is>
      </c>
      <c r="E5" s="6" t="inlineStr">
        <is>
          <t>2026</t>
        </is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7" t="inlineStr">
        <is>
          <t>Effectifs</t>
        </is>
      </c>
      <c r="C6" s="8" t="n">
        <v>2773</v>
      </c>
      <c r="D6" s="8" t="n">
        <v>2933</v>
      </c>
      <c r="E6" s="9" t="n">
        <v>3114</v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7" t="inlineStr">
        <is>
          <t>Inscrits de l'annee</t>
        </is>
      </c>
      <c r="C7" s="8" t="n">
        <v>1092</v>
      </c>
      <c r="D7" s="8" t="n">
        <v>1159</v>
      </c>
      <c r="E7" s="9" t="n">
        <v>1229</v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7" t="inlineStr">
        <is>
          <t>Chiffre d'affaires</t>
        </is>
      </c>
      <c r="C8" s="8" t="n">
        <v>20567210</v>
      </c>
      <c r="D8" s="8" t="n">
        <v>21758770</v>
      </c>
      <c r="E8" s="9" t="n">
        <v>23098985</v>
      </c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10" t="inlineStr">
        <is>
          <t>Chiffre d'affaires par eleve</t>
        </is>
      </c>
      <c r="C9" s="11" t="n">
        <v>7416.952758745041</v>
      </c>
      <c r="D9" s="11" t="n">
        <v>7418.605523354927</v>
      </c>
      <c r="E9" s="12" t="n">
        <v>7417.785806037251</v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13" t="inlineStr">
        <is>
          <t>strictement plat sur trois ans : la croissance est 100 % volume</t>
        </is>
      </c>
      <c r="C10" s="14" t="n"/>
      <c r="D10" s="14" t="n"/>
      <c r="E10" s="15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6" customHeight="1">
      <c r="A12" s="2" t="n"/>
      <c r="B12" s="5" t="inlineStr">
        <is>
          <t>Postes de cout</t>
        </is>
      </c>
      <c r="C12" s="6" t="inlineStr">
        <is>
          <t>2024</t>
        </is>
      </c>
      <c r="D12" s="6" t="inlineStr">
        <is>
          <t>2025</t>
        </is>
      </c>
      <c r="E12" s="6" t="inlineStr">
        <is>
          <t>2026</t>
        </is>
      </c>
      <c r="F12" s="6" t="inlineStr">
        <is>
          <t>€ / eleve 2026</t>
        </is>
      </c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7" t="inlineStr">
        <is>
          <t>Masse salariale permanents</t>
        </is>
      </c>
      <c r="C13" s="8" t="n">
        <v>8248040.599999998</v>
      </c>
      <c r="D13" s="8" t="n">
        <v>8625801.810000001</v>
      </c>
      <c r="E13" s="8" t="n">
        <v>9037358.34</v>
      </c>
      <c r="F13" s="12">
        <f>E13/E$6</f>
        <v/>
      </c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7" t="inlineStr">
        <is>
          <t>Vacataires</t>
        </is>
      </c>
      <c r="C14" s="8" t="n">
        <v>1443361</v>
      </c>
      <c r="D14" s="8" t="n">
        <v>1509499</v>
      </c>
      <c r="E14" s="8" t="n">
        <v>1581554</v>
      </c>
      <c r="F14" s="12">
        <f>E14/E$6</f>
        <v/>
      </c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7" t="inlineStr">
        <is>
          <t>Acquisition etudiants</t>
        </is>
      </c>
      <c r="C15" s="8" t="n">
        <v>358819</v>
      </c>
      <c r="D15" s="8" t="n">
        <v>394702</v>
      </c>
      <c r="E15" s="8" t="n">
        <v>434174</v>
      </c>
      <c r="F15" s="12">
        <f>E15/E$6</f>
        <v/>
      </c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7" t="inlineStr">
        <is>
          <t>Autres couts campus</t>
        </is>
      </c>
      <c r="C16" s="8" t="n">
        <v>4226736.430000001</v>
      </c>
      <c r="D16" s="8" t="n">
        <v>4420600.23</v>
      </c>
      <c r="E16" s="8" t="n">
        <v>4631781.649999999</v>
      </c>
      <c r="F16" s="12">
        <f>E16/E$6</f>
        <v/>
      </c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7" t="inlineStr">
        <is>
          <t>Couts de siege</t>
        </is>
      </c>
      <c r="C17" s="8" t="n">
        <v>3139218</v>
      </c>
      <c r="D17" s="8" t="n">
        <v>3340399</v>
      </c>
      <c r="E17" s="8" t="n">
        <v>3568327</v>
      </c>
      <c r="F17" s="12">
        <f>E17/E$6</f>
        <v/>
      </c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10" t="inlineStr">
        <is>
          <t>Cout complet</t>
        </is>
      </c>
      <c r="C18" s="16">
        <f>SUM(C13:C17)</f>
        <v/>
      </c>
      <c r="D18" s="16">
        <f>SUM(D13:D17)</f>
        <v/>
      </c>
      <c r="E18" s="16">
        <f>SUM(E13:E17)</f>
        <v/>
      </c>
      <c r="F18" s="17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10" t="inlineStr">
        <is>
          <t>EBITDA</t>
        </is>
      </c>
      <c r="C19" s="11">
        <f>C8-C18</f>
        <v/>
      </c>
      <c r="D19" s="11">
        <f>D8-D18</f>
        <v/>
      </c>
      <c r="E19" s="11">
        <f>E8-E18</f>
        <v/>
      </c>
      <c r="F19" s="17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18" t="inlineStr">
        <is>
          <t>Marge</t>
        </is>
      </c>
      <c r="C20" s="19">
        <f>C19/C8</f>
        <v/>
      </c>
      <c r="D20" s="19">
        <f>D19/D8</f>
        <v/>
      </c>
      <c r="E20" s="19">
        <f>E19/E8</f>
        <v/>
      </c>
      <c r="F20" s="15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0" t="inlineStr">
        <is>
          <t>CAF — cout d'acquisition par inscrit</t>
        </is>
      </c>
      <c r="C22" s="21" t="n">
        <v>328.5888278388279</v>
      </c>
      <c r="D22" s="21" t="n">
        <v>340.5539257981018</v>
      </c>
      <c r="E22" s="21" t="n">
        <v>353.2742066720911</v>
      </c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2" t="inlineStr">
        <is>
          <t>+7 %/an : il faut depenser de plus en plus pour recruter un eleve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6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3" customWidth="1" min="8" max="8"/>
    <col width="3" customWidth="1" min="9" max="9"/>
    <col width="30" customWidth="1" min="10" max="10"/>
    <col width="13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2" t="n"/>
    </row>
    <row r="2" ht="26" customHeight="1">
      <c r="A2" s="1" t="n"/>
      <c r="B2" s="3" t="inlineStr">
        <is>
          <t>CADRAGE 2027 — PILOTÉ PAR L'EBITDA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2" t="n"/>
    </row>
    <row r="3" ht="15" customHeight="1">
      <c r="A3" s="1" t="n"/>
      <c r="B3" s="4" t="inlineStr">
        <is>
          <t>On ne construit plus le budget pour découvrir l'EBITDA. On saisit l'EBITDA, et on cherche ce qu'il faut faire pour l'atteindre.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2" t="n"/>
    </row>
    <row r="4" ht="6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18" customHeight="1">
      <c r="A6" s="2" t="n"/>
      <c r="B6" s="23" t="inlineStr">
        <is>
          <t>①  LE CONSTAT — ce que le réseau apporte</t>
        </is>
      </c>
      <c r="C6" s="2" t="n"/>
      <c r="D6" s="2" t="n"/>
      <c r="E6" s="2" t="n"/>
      <c r="F6" s="2" t="n"/>
      <c r="G6" s="2" t="n"/>
      <c r="H6" s="2" t="n"/>
      <c r="I6" s="2" t="n"/>
      <c r="J6" s="24" t="inlineStr">
        <is>
          <t>CE QUE LE CADRAGE DIT</t>
        </is>
      </c>
      <c r="K6" s="25" t="n"/>
      <c r="L6" s="2" t="n"/>
      <c r="M6" s="2" t="n"/>
    </row>
    <row r="7" ht="12" customHeight="1">
      <c r="A7" s="2" t="n"/>
      <c r="B7" s="26" t="inlineStr">
        <is>
          <t>La rentrée est engagée. La finance ne la négocie pas : elle en hérite.</t>
        </is>
      </c>
      <c r="C7" s="2" t="n"/>
      <c r="D7" s="2" t="n"/>
      <c r="E7" s="2" t="n"/>
      <c r="F7" s="2" t="n"/>
      <c r="G7" s="2" t="n"/>
      <c r="H7" s="2" t="n"/>
      <c r="I7" s="2" t="n"/>
      <c r="J7" s="27" t="n"/>
      <c r="K7" s="28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9" t="inlineStr">
        <is>
          <t>Le CA n'est pas un levier.</t>
        </is>
      </c>
      <c r="K8" s="28" t="n"/>
      <c r="L8" s="2" t="n"/>
      <c r="M8" s="2" t="n"/>
    </row>
    <row r="9" ht="13" customHeight="1">
      <c r="A9" s="2" t="n"/>
      <c r="B9" s="5" t="inlineStr"/>
      <c r="C9" s="6" t="inlineStr">
        <is>
          <t>2026 (base)</t>
        </is>
      </c>
      <c r="D9" s="6" t="inlineStr">
        <is>
          <t>hypothèse</t>
        </is>
      </c>
      <c r="E9" s="6" t="inlineStr">
        <is>
          <t>2027 (constat)</t>
        </is>
      </c>
      <c r="F9" s="30" t="n"/>
      <c r="G9" s="2" t="n"/>
      <c r="H9" s="2" t="n"/>
      <c r="I9" s="2" t="n"/>
      <c r="J9" s="31" t="inlineStr">
        <is>
          <t>Les effectifs de la rentrée sont connus quand le cadrage s'ouvre. Le CA est un constat ; seul le prix reste discutable.</t>
        </is>
      </c>
      <c r="K9" s="32" t="n"/>
      <c r="L9" s="2" t="n"/>
      <c r="M9" s="2" t="n"/>
    </row>
    <row r="10" ht="13" customHeight="1">
      <c r="A10" s="2" t="n"/>
      <c r="B10" s="7" t="inlineStr">
        <is>
          <t>Effectifs</t>
        </is>
      </c>
      <c r="C10" s="8">
        <f>'Base 2026'!$E$6</f>
        <v/>
      </c>
      <c r="D10" s="33" t="n">
        <v>0.06</v>
      </c>
      <c r="E10" s="16">
        <f>C10*(1+D10)</f>
        <v/>
      </c>
      <c r="F10" s="17" t="n"/>
      <c r="G10" s="2" t="n"/>
      <c r="H10" s="2" t="n"/>
      <c r="I10" s="2" t="n"/>
      <c r="J10" s="34" t="n"/>
      <c r="K10" s="32" t="n"/>
      <c r="L10" s="2" t="n"/>
      <c r="M10" s="2" t="n"/>
    </row>
    <row r="11" ht="13" customHeight="1">
      <c r="A11" s="2" t="n"/>
      <c r="B11" s="7" t="inlineStr">
        <is>
          <t>Inscrits de l'année</t>
        </is>
      </c>
      <c r="C11" s="8">
        <f>'Base 2026'!$E$7</f>
        <v/>
      </c>
      <c r="D11" s="35" t="inlineStr">
        <is>
          <t>taux d'entrée maintenu</t>
        </is>
      </c>
      <c r="E11" s="16">
        <f>E10*C11/C10</f>
        <v/>
      </c>
      <c r="F11" s="17" t="n"/>
      <c r="G11" s="2" t="n"/>
      <c r="H11" s="2" t="n"/>
      <c r="I11" s="2" t="n"/>
      <c r="J11" s="34" t="n"/>
      <c r="K11" s="32" t="n"/>
      <c r="L11" s="2" t="n"/>
      <c r="M11" s="2" t="n"/>
    </row>
    <row r="12">
      <c r="A12" s="2" t="n"/>
      <c r="B12" s="7" t="inlineStr">
        <is>
          <t>Chiffre d'affaires par élève</t>
        </is>
      </c>
      <c r="C12" s="8">
        <f>'Base 2026'!$E$9</f>
        <v/>
      </c>
      <c r="D12" s="33" t="n">
        <v>0</v>
      </c>
      <c r="E12" s="16">
        <f>C12*(1+D12)</f>
        <v/>
      </c>
      <c r="F12" s="17" t="n"/>
      <c r="G12" s="2" t="n"/>
      <c r="H12" s="2" t="n"/>
      <c r="I12" s="2" t="n"/>
      <c r="J12" s="27" t="n"/>
      <c r="K12" s="28" t="n"/>
      <c r="L12" s="2" t="n"/>
      <c r="M12" s="2" t="n"/>
    </row>
    <row r="13">
      <c r="A13" s="2" t="n"/>
      <c r="B13" s="18" t="inlineStr">
        <is>
          <t>CHIFFRE D'AFFAIRES 2027</t>
        </is>
      </c>
      <c r="C13" s="36">
        <f>C10*C12</f>
        <v/>
      </c>
      <c r="D13" s="14" t="n"/>
      <c r="E13" s="37">
        <f>E10*E12</f>
        <v/>
      </c>
      <c r="F13" s="15" t="n"/>
      <c r="G13" s="2" t="n"/>
      <c r="H13" s="2" t="n"/>
      <c r="I13" s="2" t="n"/>
      <c r="J13" s="29" t="inlineStr">
        <is>
          <t>Le fil de l'eau détruit de la marge.</t>
        </is>
      </c>
      <c r="K13" s="28" t="n"/>
      <c r="L13" s="2" t="n"/>
      <c r="M13" s="2" t="n"/>
    </row>
    <row r="14" ht="13" customHeight="1">
      <c r="A14" s="2" t="n"/>
      <c r="B14" s="22" t="inlineStr">
        <is>
          <t>L'historique ne montre aucun effet prix : 7 418 € par élève en 2024 comme en 2026.</t>
        </is>
      </c>
      <c r="C14" s="2" t="n"/>
      <c r="D14" s="2" t="n"/>
      <c r="E14" s="2" t="n"/>
      <c r="F14" s="2" t="n"/>
      <c r="G14" s="2" t="n"/>
      <c r="H14" s="2" t="n"/>
      <c r="I14" s="2" t="n"/>
      <c r="J14" s="31" t="inlineStr">
        <is>
          <t>Coûts unitaires reconduits et indexés sur un volume en hausse : 16,65 % → 14,69 %. L'inaction a un coût chiffré.</t>
        </is>
      </c>
      <c r="K14" s="32" t="n"/>
      <c r="L14" s="2" t="n"/>
      <c r="M14" s="2" t="n"/>
    </row>
    <row r="15" ht="1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4" t="n"/>
      <c r="K15" s="32" t="n"/>
      <c r="L15" s="2" t="n"/>
      <c r="M15" s="2" t="n"/>
    </row>
    <row r="16" ht="6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4" t="n"/>
      <c r="K16" s="32" t="n"/>
      <c r="L16" s="2" t="n"/>
      <c r="M16" s="2" t="n"/>
    </row>
    <row r="17" ht="18" customHeight="1">
      <c r="A17" s="2" t="n"/>
      <c r="B17" s="23" t="inlineStr">
        <is>
          <t>②  LA CIBLE — la seule chose que la direction saisit</t>
        </is>
      </c>
      <c r="C17" s="2" t="n"/>
      <c r="D17" s="2" t="n"/>
      <c r="E17" s="2" t="n"/>
      <c r="F17" s="2" t="n"/>
      <c r="G17" s="2" t="n"/>
      <c r="H17" s="2" t="n"/>
      <c r="I17" s="2" t="n"/>
      <c r="J17" s="27" t="n"/>
      <c r="K17" s="28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9" t="inlineStr">
        <is>
          <t>Le poids décide de la puissance.</t>
        </is>
      </c>
      <c r="K18" s="28" t="n"/>
      <c r="L18" s="2" t="n"/>
      <c r="M18" s="2" t="n"/>
    </row>
    <row r="19" ht="13" customHeight="1">
      <c r="A19" s="2" t="n"/>
      <c r="B19" s="38" t="inlineStr">
        <is>
          <t>Marge d'EBITDA visée en 2027</t>
        </is>
      </c>
      <c r="C19" s="39" t="n"/>
      <c r="D19" s="40" t="n">
        <v>0.175</v>
      </c>
      <c r="E19" s="41">
        <f>"pour mémoire 2026 : "&amp;TEXT('Base 2026'!$E$20,"0,00 %")</f>
        <v/>
      </c>
      <c r="F19" s="25" t="n"/>
      <c r="G19" s="2" t="n"/>
      <c r="H19" s="2" t="n"/>
      <c r="I19" s="2" t="n"/>
      <c r="J19" s="31" t="inlineStr">
        <is>
          <t>La masse salariale fait 47 % des coûts, l'acquisition 2 %. Un point sur l'une vaut vingt points sur l'autre.</t>
        </is>
      </c>
      <c r="K19" s="32" t="n"/>
      <c r="L19" s="2" t="n"/>
      <c r="M19" s="2" t="n"/>
    </row>
    <row r="20" ht="13" customHeight="1">
      <c r="A20" s="2" t="n"/>
      <c r="B20" s="42" t="inlineStr">
        <is>
          <t>EBITDA cible</t>
        </is>
      </c>
      <c r="C20" s="43" t="n"/>
      <c r="D20" s="43" t="n"/>
      <c r="E20" s="44">
        <f>D19*$E$13</f>
        <v/>
      </c>
      <c r="F20" s="45" t="n"/>
      <c r="G20" s="2" t="n"/>
      <c r="H20" s="2" t="n"/>
      <c r="I20" s="2" t="n"/>
      <c r="J20" s="34" t="n"/>
      <c r="K20" s="32" t="n"/>
      <c r="L20" s="2" t="n"/>
      <c r="M20" s="2" t="n"/>
    </row>
    <row r="21" ht="1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4" t="n"/>
      <c r="K21" s="32" t="n"/>
      <c r="L21" s="2" t="n"/>
      <c r="M21" s="2" t="n"/>
    </row>
    <row r="22" ht="6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7" t="n"/>
      <c r="K22" s="28" t="n"/>
      <c r="L22" s="2" t="n"/>
      <c r="M22" s="2" t="n"/>
    </row>
    <row r="23" ht="18" customHeight="1">
      <c r="A23" s="2" t="n"/>
      <c r="B23" s="23" t="inlineStr">
        <is>
          <t>③  LE TENDANCIEL — le budget au fil de l'eau</t>
        </is>
      </c>
      <c r="C23" s="2" t="n"/>
      <c r="D23" s="2" t="n"/>
      <c r="E23" s="2" t="n"/>
      <c r="F23" s="2" t="n"/>
      <c r="G23" s="2" t="n"/>
      <c r="H23" s="2" t="n"/>
      <c r="I23" s="2" t="n"/>
      <c r="J23" s="29" t="inlineStr">
        <is>
          <t>Le siège ne se dilue pas.</t>
        </is>
      </c>
      <c r="K23" s="28" t="n"/>
      <c r="L23" s="2" t="n"/>
      <c r="M23" s="2" t="n"/>
    </row>
    <row r="24" ht="13" customHeight="1">
      <c r="A24" s="2" t="n"/>
      <c r="B24" s="26" t="inlineStr">
        <is>
          <t>Coûts unitaires 2026 reconduits, indexés de leur inflation propre, appliqués au volume 2027. Aucune décision de gestion.</t>
        </is>
      </c>
      <c r="C24" s="2" t="n"/>
      <c r="D24" s="2" t="n"/>
      <c r="E24" s="2" t="n"/>
      <c r="F24" s="2" t="n"/>
      <c r="G24" s="2" t="n"/>
      <c r="H24" s="2" t="n"/>
      <c r="I24" s="2" t="n"/>
      <c r="J24" s="31" t="inlineStr">
        <is>
          <t>1 132 € par élève en 2024, 1 146 € en 2026 : il croît plus vite que le réseau qu'il sert.</t>
        </is>
      </c>
      <c r="K24" s="32" t="n"/>
      <c r="L24" s="2" t="n"/>
      <c r="M24" s="2" t="n"/>
    </row>
    <row r="25" ht="1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4" t="n"/>
      <c r="K25" s="32" t="n"/>
      <c r="L25" s="2" t="n"/>
      <c r="M25" s="2" t="n"/>
    </row>
    <row r="26" ht="13" customHeight="1">
      <c r="A26" s="2" t="n"/>
      <c r="B26" s="5" t="inlineStr">
        <is>
          <t>Poste</t>
        </is>
      </c>
      <c r="C26" s="6" t="inlineStr">
        <is>
          <t>€ / unité 2026</t>
        </is>
      </c>
      <c r="D26" s="6" t="inlineStr">
        <is>
          <t>indexation</t>
        </is>
      </c>
      <c r="E26" s="6" t="inlineStr">
        <is>
          <t>€ / unité 2027</t>
        </is>
      </c>
      <c r="F26" s="6" t="inlineStr">
        <is>
          <t>volume 2027</t>
        </is>
      </c>
      <c r="G26" s="6" t="inlineStr">
        <is>
          <t>montant 2027</t>
        </is>
      </c>
      <c r="H26" s="6" t="inlineStr">
        <is>
          <t>% du CA</t>
        </is>
      </c>
      <c r="I26" s="2" t="n"/>
      <c r="J26" s="34" t="n"/>
      <c r="K26" s="32" t="n"/>
      <c r="L26" s="2" t="n"/>
      <c r="M26" s="2" t="n"/>
    </row>
    <row r="27">
      <c r="A27" s="2" t="n"/>
      <c r="B27" s="7" t="inlineStr">
        <is>
          <t>Masse salariale permanents</t>
        </is>
      </c>
      <c r="C27" s="8">
        <f>'Base 2026'!$F$13</f>
        <v/>
      </c>
      <c r="D27" s="33" t="n">
        <v>0.025</v>
      </c>
      <c r="E27" s="8">
        <f>C27*(1+D27)</f>
        <v/>
      </c>
      <c r="F27" s="46">
        <f>$E$10</f>
        <v/>
      </c>
      <c r="G27" s="16">
        <f>E27*F27</f>
        <v/>
      </c>
      <c r="H27" s="47">
        <f>G27/$E$13</f>
        <v/>
      </c>
      <c r="I27" s="2" t="n"/>
      <c r="J27" s="27" t="n"/>
      <c r="K27" s="28" t="n"/>
      <c r="L27" s="2" t="n"/>
      <c r="M27" s="2" t="n"/>
    </row>
    <row r="28">
      <c r="A28" s="2" t="n"/>
      <c r="B28" s="7" t="inlineStr">
        <is>
          <t>Vacataires</t>
        </is>
      </c>
      <c r="C28" s="8">
        <f>'Base 2026'!$F$14</f>
        <v/>
      </c>
      <c r="D28" s="33" t="n">
        <v>0.02</v>
      </c>
      <c r="E28" s="8">
        <f>C28*(1+D28)</f>
        <v/>
      </c>
      <c r="F28" s="46">
        <f>$E$10</f>
        <v/>
      </c>
      <c r="G28" s="16">
        <f>E28*F28</f>
        <v/>
      </c>
      <c r="H28" s="47">
        <f>G28/$E$13</f>
        <v/>
      </c>
      <c r="I28" s="2" t="n"/>
      <c r="J28" s="29" t="inlineStr">
        <is>
          <t>Le prix n'a jamais bougé.</t>
        </is>
      </c>
      <c r="K28" s="28" t="n"/>
      <c r="L28" s="2" t="n"/>
      <c r="M28" s="2" t="n"/>
    </row>
    <row r="29" ht="13" customHeight="1">
      <c r="A29" s="2" t="n"/>
      <c r="B29" s="7" t="inlineStr">
        <is>
          <t>Acquisition etudiants</t>
        </is>
      </c>
      <c r="C29" s="8">
        <f>'Base 2026'!$E$22</f>
        <v/>
      </c>
      <c r="D29" s="33" t="n">
        <v>0.07000000000000001</v>
      </c>
      <c r="E29" s="8">
        <f>C29*(1+D29)</f>
        <v/>
      </c>
      <c r="F29" s="46">
        <f>$E$11</f>
        <v/>
      </c>
      <c r="G29" s="16">
        <f>E29*F29</f>
        <v/>
      </c>
      <c r="H29" s="47">
        <f>G29/$E$13</f>
        <v/>
      </c>
      <c r="I29" s="2" t="n"/>
      <c r="J29" s="31" t="inlineStr">
        <is>
          <t>Zéro revalorisation en trois ans. C'est le levier le plus puissant et le seul jamais actionné.</t>
        </is>
      </c>
      <c r="K29" s="32" t="n"/>
      <c r="L29" s="2" t="n"/>
      <c r="M29" s="2" t="n"/>
    </row>
    <row r="30" ht="13" customHeight="1">
      <c r="A30" s="2" t="n"/>
      <c r="B30" s="7" t="inlineStr">
        <is>
          <t>Autres couts campus</t>
        </is>
      </c>
      <c r="C30" s="8">
        <f>'Base 2026'!$F$16</f>
        <v/>
      </c>
      <c r="D30" s="33" t="n">
        <v>0.02</v>
      </c>
      <c r="E30" s="8">
        <f>C30*(1+D30)</f>
        <v/>
      </c>
      <c r="F30" s="46">
        <f>$E$10</f>
        <v/>
      </c>
      <c r="G30" s="16">
        <f>E30*F30</f>
        <v/>
      </c>
      <c r="H30" s="47">
        <f>G30/$E$13</f>
        <v/>
      </c>
      <c r="I30" s="2" t="n"/>
      <c r="J30" s="34" t="n"/>
      <c r="K30" s="32" t="n"/>
      <c r="L30" s="2" t="n"/>
      <c r="M30" s="2" t="n"/>
    </row>
    <row r="31" ht="13" customHeight="1">
      <c r="A31" s="2" t="n"/>
      <c r="B31" s="7" t="inlineStr">
        <is>
          <t>Couts de siege</t>
        </is>
      </c>
      <c r="C31" s="8">
        <f>'Base 2026'!$F$17</f>
        <v/>
      </c>
      <c r="D31" s="33" t="n">
        <v>0.02</v>
      </c>
      <c r="E31" s="8">
        <f>C31*(1+D31)</f>
        <v/>
      </c>
      <c r="F31" s="46">
        <f>$E$10</f>
        <v/>
      </c>
      <c r="G31" s="16">
        <f>E31*F31</f>
        <v/>
      </c>
      <c r="H31" s="47">
        <f>G31/$E$13</f>
        <v/>
      </c>
      <c r="I31" s="2" t="n"/>
      <c r="J31" s="34" t="n"/>
      <c r="K31" s="32" t="n"/>
      <c r="L31" s="2" t="n"/>
      <c r="M31" s="2" t="n"/>
    </row>
    <row r="32">
      <c r="A32" s="2" t="n"/>
      <c r="B32" s="10" t="inlineStr">
        <is>
          <t>Coût complet</t>
        </is>
      </c>
      <c r="C32" s="48" t="n"/>
      <c r="D32" s="48" t="n"/>
      <c r="E32" s="48" t="n"/>
      <c r="F32" s="48" t="n"/>
      <c r="G32" s="16">
        <f>SUM(G27:G31)</f>
        <v/>
      </c>
      <c r="H32" s="47">
        <f>G32/$E$13</f>
        <v/>
      </c>
      <c r="I32" s="2" t="n"/>
      <c r="J32" s="27" t="n"/>
      <c r="K32" s="28" t="n"/>
      <c r="L32" s="2" t="n"/>
      <c r="M32" s="2" t="n"/>
    </row>
    <row r="33">
      <c r="A33" s="2" t="n"/>
      <c r="B33" s="18" t="inlineStr">
        <is>
          <t>EBITDA TENDANCIEL</t>
        </is>
      </c>
      <c r="C33" s="14" t="n"/>
      <c r="D33" s="14" t="n"/>
      <c r="E33" s="14" t="n"/>
      <c r="F33" s="14" t="n"/>
      <c r="G33" s="49">
        <f>$E$13-G32</f>
        <v/>
      </c>
      <c r="H33" s="50">
        <f>G33/$E$13</f>
        <v/>
      </c>
      <c r="I33" s="2" t="n"/>
      <c r="J33" s="27" t="n"/>
      <c r="K33" s="28" t="n"/>
      <c r="L33" s="2" t="n"/>
      <c r="M33" s="2" t="n"/>
    </row>
    <row r="34">
      <c r="A34" s="2" t="n"/>
      <c r="B34" s="22" t="inlineStr">
        <is>
          <t>La marge 2026 était de 16,65 %. Sans décision, elle se dégrade : le levier d'exploitation qui portait 2024-2026 ne se reconduit pas tout seul.</t>
        </is>
      </c>
      <c r="C34" s="2" t="n"/>
      <c r="D34" s="2" t="n"/>
      <c r="E34" s="2" t="n"/>
      <c r="F34" s="2" t="n"/>
      <c r="G34" s="2" t="n"/>
      <c r="H34" s="2" t="n"/>
      <c r="I34" s="2" t="n"/>
      <c r="J34" s="51" t="n"/>
      <c r="K34" s="45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52" t="inlineStr">
        <is>
          <t>④  L'ÉCART À COMBLER</t>
        </is>
      </c>
      <c r="C37" s="53" t="n"/>
      <c r="D37" s="53" t="n"/>
      <c r="E37" s="53" t="n"/>
      <c r="F37" s="53" t="n"/>
      <c r="G37" s="54">
        <f>$E$20-$G$33</f>
        <v/>
      </c>
      <c r="H37" s="55" t="n"/>
      <c r="I37" s="2" t="n"/>
      <c r="J37" s="2" t="n"/>
      <c r="K37" s="2" t="n"/>
      <c r="L37" s="2" t="n"/>
      <c r="M37" s="2" t="n"/>
    </row>
    <row r="38">
      <c r="A38" s="2" t="n"/>
      <c r="B38" s="56">
        <f>"EBITDA cible "&amp;TEXT(""&amp;$E$20,"# ##0 €")&amp;"  -  tendanciel "&amp;TEXT($G$33,"# ##0 €")</f>
        <v/>
      </c>
      <c r="C38" s="57" t="n"/>
      <c r="D38" s="57" t="n"/>
      <c r="E38" s="57" t="n"/>
      <c r="F38" s="57" t="n"/>
      <c r="G38" s="58" t="inlineStr">
        <is>
          <t>à trouver dans les coûts</t>
        </is>
      </c>
      <c r="H38" s="59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18" customHeight="1">
      <c r="A41" s="2" t="n"/>
      <c r="B41" s="23" t="inlineStr">
        <is>
          <t>⑤  LES LEVIERS — les seules décisions de gestion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 ht="12" customHeight="1">
      <c r="A42" s="2" t="n"/>
      <c r="B42" s="26" t="inlineStr">
        <is>
          <t>Chacun est assis sur une grandeur réelle. Les effets se cumulent en cascade : leur somme est exacte, sans terme croisé.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 ht="16" customHeight="1">
      <c r="A44" s="2" t="n"/>
      <c r="B44" s="5" t="inlineStr">
        <is>
          <t>Levier</t>
        </is>
      </c>
      <c r="C44" s="6" t="inlineStr">
        <is>
          <t>assiette 2027</t>
        </is>
      </c>
      <c r="D44" s="6" t="inlineStr">
        <is>
          <t>réglage</t>
        </is>
      </c>
      <c r="E44" s="6" t="inlineStr">
        <is>
          <t>effet EBITDA</t>
        </is>
      </c>
      <c r="F44" s="6" t="inlineStr">
        <is>
          <t>en points</t>
        </is>
      </c>
      <c r="G44" s="6" t="inlineStr">
        <is>
          <t>% de l'écart</t>
        </is>
      </c>
      <c r="H44" s="30" t="n"/>
      <c r="I44" s="2" t="n"/>
      <c r="J44" s="2" t="n"/>
      <c r="K44" s="2" t="n"/>
      <c r="L44" s="2" t="n"/>
      <c r="M44" s="2" t="n"/>
    </row>
    <row r="45">
      <c r="A45" s="2" t="n"/>
      <c r="B45" s="7" t="inlineStr">
        <is>
          <t>Politique salariale — points retirés à la NAO</t>
        </is>
      </c>
      <c r="C45" s="48" t="n"/>
      <c r="D45" s="60" t="n">
        <v>0.01</v>
      </c>
      <c r="E45" s="46">
        <f>G27</f>
        <v/>
      </c>
      <c r="F45" s="61">
        <f>G27-C27*(1+D27-D45)*F27</f>
        <v/>
      </c>
      <c r="G45" s="62">
        <f>F45/$E$13</f>
        <v/>
      </c>
      <c r="H45" s="63">
        <f>F45/$G$37</f>
        <v/>
      </c>
      <c r="I45" s="2" t="n"/>
      <c r="J45" s="2" t="n"/>
      <c r="K45" s="2" t="n"/>
      <c r="L45" s="2" t="n"/>
      <c r="M45" s="2" t="n"/>
    </row>
    <row r="46">
      <c r="A46" s="2" t="n"/>
      <c r="B46" s="7" t="inlineStr">
        <is>
          <t>Encadrement — % d'élèves en plus par ETP</t>
        </is>
      </c>
      <c r="C46" s="48" t="n"/>
      <c r="D46" s="33" t="n">
        <v>0.02</v>
      </c>
      <c r="E46" s="46">
        <f>G27*(1-(D27-D45)/(1+D27))</f>
        <v/>
      </c>
      <c r="F46" s="61">
        <f>E46*D46</f>
        <v/>
      </c>
      <c r="G46" s="62">
        <f>F46/$E$13</f>
        <v/>
      </c>
      <c r="H46" s="63">
        <f>F46/$G$37</f>
        <v/>
      </c>
      <c r="I46" s="2" t="n"/>
      <c r="J46" s="2" t="n"/>
      <c r="K46" s="2" t="n"/>
      <c r="L46" s="2" t="n"/>
      <c r="M46" s="2" t="n"/>
    </row>
    <row r="47">
      <c r="A47" s="2" t="n"/>
      <c r="B47" s="7" t="inlineStr">
        <is>
          <t>Vacataires — % d'heures en moins par élève</t>
        </is>
      </c>
      <c r="C47" s="48" t="n"/>
      <c r="D47" s="64" t="n">
        <v>0.03</v>
      </c>
      <c r="E47" s="46">
        <f>G28</f>
        <v/>
      </c>
      <c r="F47" s="61">
        <f>E47*D47</f>
        <v/>
      </c>
      <c r="G47" s="62">
        <f>F47/$E$13</f>
        <v/>
      </c>
      <c r="H47" s="63">
        <f>F47/$G$37</f>
        <v/>
      </c>
      <c r="I47" s="2" t="n"/>
      <c r="J47" s="2" t="n"/>
      <c r="K47" s="2" t="n"/>
      <c r="L47" s="2" t="n"/>
      <c r="M47" s="2" t="n"/>
    </row>
    <row r="48">
      <c r="A48" s="2" t="n"/>
      <c r="B48" s="7" t="inlineStr">
        <is>
          <t>Acquisition — % de CAF en moins par inscrit</t>
        </is>
      </c>
      <c r="C48" s="48" t="n"/>
      <c r="D48" s="64" t="n">
        <v>0.065</v>
      </c>
      <c r="E48" s="46">
        <f>G29</f>
        <v/>
      </c>
      <c r="F48" s="61">
        <f>E48*D48</f>
        <v/>
      </c>
      <c r="G48" s="62">
        <f>F48/$E$13</f>
        <v/>
      </c>
      <c r="H48" s="63">
        <f>F48/$G$37</f>
        <v/>
      </c>
      <c r="I48" s="2" t="n"/>
      <c r="J48" s="2" t="n"/>
      <c r="K48" s="2" t="n"/>
      <c r="L48" s="2" t="n"/>
      <c r="M48" s="2" t="n"/>
    </row>
    <row r="49">
      <c r="A49" s="2" t="n"/>
      <c r="B49" s="7" t="inlineStr">
        <is>
          <t>Siège — % de coût en moins par élève</t>
        </is>
      </c>
      <c r="C49" s="48" t="n"/>
      <c r="D49" s="64" t="n">
        <v>0.05</v>
      </c>
      <c r="E49" s="46">
        <f>G31</f>
        <v/>
      </c>
      <c r="F49" s="61">
        <f>E49*D49</f>
        <v/>
      </c>
      <c r="G49" s="62">
        <f>F49/$E$13</f>
        <v/>
      </c>
      <c r="H49" s="63">
        <f>F49/$G$37</f>
        <v/>
      </c>
      <c r="I49" s="2" t="n"/>
      <c r="J49" s="2" t="n"/>
      <c r="K49" s="2" t="n"/>
      <c r="L49" s="2" t="n"/>
      <c r="M49" s="2" t="n"/>
    </row>
    <row r="50">
      <c r="A50" s="2" t="n"/>
      <c r="B50" s="7" t="inlineStr">
        <is>
          <t>Grille tarifaire — revalorisation</t>
        </is>
      </c>
      <c r="C50" s="48" t="n"/>
      <c r="D50" s="65" t="n">
        <v>0.005</v>
      </c>
      <c r="E50" s="46">
        <f>$E$13</f>
        <v/>
      </c>
      <c r="F50" s="61">
        <f>E50*D50</f>
        <v/>
      </c>
      <c r="G50" s="62">
        <f>F50/$E$13</f>
        <v/>
      </c>
      <c r="H50" s="63">
        <f>F50/$G$37</f>
        <v/>
      </c>
      <c r="I50" s="2" t="n"/>
      <c r="J50" s="2" t="n"/>
      <c r="K50" s="2" t="n"/>
      <c r="L50" s="2" t="n"/>
      <c r="M50" s="2" t="n"/>
    </row>
    <row r="51">
      <c r="A51" s="2" t="n"/>
      <c r="B51" s="10" t="inlineStr">
        <is>
          <t>TOTAL TROUVÉ</t>
        </is>
      </c>
      <c r="C51" s="48" t="n"/>
      <c r="D51" s="48" t="n"/>
      <c r="E51" s="48" t="n"/>
      <c r="F51" s="66">
        <f>SUM(F45:F50)</f>
        <v/>
      </c>
      <c r="G51" s="67">
        <f>F51/$E$13</f>
        <v/>
      </c>
      <c r="H51" s="68">
        <f>F51/$G$37</f>
        <v/>
      </c>
      <c r="I51" s="2" t="n"/>
      <c r="J51" s="2" t="n"/>
      <c r="K51" s="2" t="n"/>
      <c r="L51" s="2" t="n"/>
      <c r="M51" s="2" t="n"/>
    </row>
    <row r="52">
      <c r="A52" s="2" t="n"/>
      <c r="B52" s="13" t="inlineStr">
        <is>
          <t>L'acquisition ne rapporte que 0,02 pt par point de CAF : le cadrage se joue sur la masse salariale, pas sur le marketing.</t>
        </is>
      </c>
      <c r="C52" s="14" t="n"/>
      <c r="D52" s="14" t="n"/>
      <c r="E52" s="14" t="n"/>
      <c r="F52" s="14" t="n"/>
      <c r="G52" s="14" t="n"/>
      <c r="H52" s="15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69" t="inlineStr">
        <is>
          <t>⑥  LE SOLDE</t>
        </is>
      </c>
      <c r="C55" s="70" t="n"/>
      <c r="D55" s="70" t="n"/>
      <c r="E55" s="70" t="n"/>
      <c r="F55" s="70" t="n"/>
      <c r="G55" s="71">
        <f>$G$37-F51</f>
        <v/>
      </c>
      <c r="H55" s="72" t="n"/>
      <c r="I55" s="2" t="n"/>
      <c r="J55" s="2" t="n"/>
      <c r="K55" s="2" t="n"/>
      <c r="L55" s="2" t="n"/>
      <c r="M55" s="2" t="n"/>
    </row>
    <row r="56">
      <c r="A56" s="2" t="n"/>
      <c r="B56" s="73" t="inlineStr">
        <is>
          <t>écart à combler - total trouvé. Le cadrage est bouclé quand il tombe à zéro.</t>
        </is>
      </c>
      <c r="C56" s="74" t="n"/>
      <c r="D56" s="74" t="n"/>
      <c r="E56" s="74" t="n"/>
      <c r="F56" s="74" t="n"/>
      <c r="G56" s="75">
        <f>IF(ABS(G55)&lt;10000,"cadrage bouclé",IF(G55&gt;0,"il manque encore","au-delà de la cible"))</f>
        <v/>
      </c>
      <c r="H56" s="76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6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18" customHeight="1">
      <c r="A59" s="2" t="n"/>
      <c r="B59" s="23" t="inlineStr">
        <is>
          <t>⑦  LE COMPTE D'EXPLOITATION RETENU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16" customHeight="1">
      <c r="A62" s="2" t="n"/>
      <c r="B62" s="77" t="inlineStr"/>
      <c r="C62" s="78" t="inlineStr">
        <is>
          <t>2026 réel</t>
        </is>
      </c>
      <c r="D62" s="78" t="inlineStr">
        <is>
          <t>tendanciel 2027</t>
        </is>
      </c>
      <c r="E62" s="78" t="inlineStr">
        <is>
          <t>retenu 2027</t>
        </is>
      </c>
      <c r="F62" s="78" t="inlineStr">
        <is>
          <t>Δ vs tendanciel</t>
        </is>
      </c>
      <c r="G62" s="30" t="n"/>
      <c r="H62" s="2" t="n"/>
      <c r="I62" s="2" t="n"/>
      <c r="J62" s="2" t="n"/>
      <c r="K62" s="2" t="n"/>
      <c r="L62" s="2" t="n"/>
      <c r="M62" s="2" t="n"/>
    </row>
    <row r="63">
      <c r="A63" s="2" t="n"/>
      <c r="B63" s="10" t="inlineStr">
        <is>
          <t>Chiffre d'affaires</t>
        </is>
      </c>
      <c r="C63" s="8">
        <f>'Base 2026'!E8</f>
        <v/>
      </c>
      <c r="D63" s="8">
        <f>$E$13</f>
        <v/>
      </c>
      <c r="E63" s="8">
        <f>$E$13+F50</f>
        <v/>
      </c>
      <c r="F63" s="79">
        <f>E63-D63</f>
        <v/>
      </c>
      <c r="G63" s="17" t="n"/>
      <c r="H63" s="2" t="n"/>
      <c r="I63" s="2" t="n"/>
      <c r="J63" s="2" t="n"/>
      <c r="K63" s="2" t="n"/>
      <c r="L63" s="2" t="n"/>
      <c r="M63" s="2" t="n"/>
    </row>
    <row r="64">
      <c r="A64" s="2" t="n"/>
      <c r="B64" s="7" t="inlineStr">
        <is>
          <t>Masse salariale permanents</t>
        </is>
      </c>
      <c r="C64" s="8">
        <f>'Base 2026'!E13</f>
        <v/>
      </c>
      <c r="D64" s="8">
        <f>G27</f>
        <v/>
      </c>
      <c r="E64" s="8">
        <f>G27-F45-F46</f>
        <v/>
      </c>
      <c r="F64" s="80">
        <f>E64-D64</f>
        <v/>
      </c>
      <c r="G64" s="17" t="n"/>
      <c r="H64" s="2" t="n"/>
      <c r="I64" s="2" t="n"/>
      <c r="J64" s="2" t="n"/>
      <c r="K64" s="2" t="n"/>
      <c r="L64" s="2" t="n"/>
      <c r="M64" s="2" t="n"/>
    </row>
    <row r="65">
      <c r="A65" s="2" t="n"/>
      <c r="B65" s="7" t="inlineStr">
        <is>
          <t>Vacataires</t>
        </is>
      </c>
      <c r="C65" s="8">
        <f>'Base 2026'!E14</f>
        <v/>
      </c>
      <c r="D65" s="8">
        <f>G28</f>
        <v/>
      </c>
      <c r="E65" s="8">
        <f>G28-F47</f>
        <v/>
      </c>
      <c r="F65" s="80">
        <f>E65-D65</f>
        <v/>
      </c>
      <c r="G65" s="17" t="n"/>
      <c r="H65" s="2" t="n"/>
      <c r="I65" s="2" t="n"/>
      <c r="J65" s="2" t="n"/>
      <c r="K65" s="2" t="n"/>
      <c r="L65" s="2" t="n"/>
      <c r="M65" s="2" t="n"/>
    </row>
    <row r="66">
      <c r="A66" s="2" t="n"/>
      <c r="B66" s="7" t="inlineStr">
        <is>
          <t>Acquisition etudiants</t>
        </is>
      </c>
      <c r="C66" s="8">
        <f>'Base 2026'!E15</f>
        <v/>
      </c>
      <c r="D66" s="8">
        <f>G29</f>
        <v/>
      </c>
      <c r="E66" s="8">
        <f>G29-F48</f>
        <v/>
      </c>
      <c r="F66" s="80">
        <f>E66-D66</f>
        <v/>
      </c>
      <c r="G66" s="17" t="n"/>
      <c r="H66" s="2" t="n"/>
      <c r="I66" s="2" t="n"/>
      <c r="J66" s="2" t="n"/>
      <c r="K66" s="2" t="n"/>
      <c r="L66" s="2" t="n"/>
      <c r="M66" s="2" t="n"/>
    </row>
    <row r="67">
      <c r="A67" s="2" t="n"/>
      <c r="B67" s="7" t="inlineStr">
        <is>
          <t>Autres couts campus</t>
        </is>
      </c>
      <c r="C67" s="8">
        <f>'Base 2026'!E16</f>
        <v/>
      </c>
      <c r="D67" s="8">
        <f>G30</f>
        <v/>
      </c>
      <c r="E67" s="8">
        <f>G30</f>
        <v/>
      </c>
      <c r="F67" s="80">
        <f>E67-D67</f>
        <v/>
      </c>
      <c r="G67" s="17" t="n"/>
      <c r="H67" s="2" t="n"/>
      <c r="I67" s="2" t="n"/>
      <c r="J67" s="2" t="n"/>
      <c r="K67" s="2" t="n"/>
      <c r="L67" s="2" t="n"/>
      <c r="M67" s="2" t="n"/>
    </row>
    <row r="68">
      <c r="A68" s="2" t="n"/>
      <c r="B68" s="7" t="inlineStr">
        <is>
          <t>Couts de siege</t>
        </is>
      </c>
      <c r="C68" s="8">
        <f>'Base 2026'!E17</f>
        <v/>
      </c>
      <c r="D68" s="8">
        <f>G31</f>
        <v/>
      </c>
      <c r="E68" s="8">
        <f>G31-F49</f>
        <v/>
      </c>
      <c r="F68" s="80">
        <f>E68-D68</f>
        <v/>
      </c>
      <c r="G68" s="17" t="n"/>
      <c r="H68" s="2" t="n"/>
      <c r="I68" s="2" t="n"/>
      <c r="J68" s="2" t="n"/>
      <c r="K68" s="2" t="n"/>
      <c r="L68" s="2" t="n"/>
      <c r="M68" s="2" t="n"/>
    </row>
    <row r="69">
      <c r="A69" s="2" t="n"/>
      <c r="B69" s="10" t="inlineStr">
        <is>
          <t>Coût complet</t>
        </is>
      </c>
      <c r="C69" s="81">
        <f>SUM(C64:C68)</f>
        <v/>
      </c>
      <c r="D69" s="81">
        <f>SUM(D64:D68)</f>
        <v/>
      </c>
      <c r="E69" s="81">
        <f>SUM(E64:E68)</f>
        <v/>
      </c>
      <c r="F69" s="80">
        <f>E69-D69</f>
        <v/>
      </c>
      <c r="G69" s="17" t="n"/>
      <c r="H69" s="2" t="n"/>
      <c r="I69" s="2" t="n"/>
      <c r="J69" s="2" t="n"/>
      <c r="K69" s="2" t="n"/>
      <c r="L69" s="2" t="n"/>
      <c r="M69" s="2" t="n"/>
    </row>
    <row r="70">
      <c r="A70" s="2" t="n"/>
      <c r="B70" s="10" t="inlineStr">
        <is>
          <t>EBITDA</t>
        </is>
      </c>
      <c r="C70" s="82">
        <f>C63-C69</f>
        <v/>
      </c>
      <c r="D70" s="82">
        <f>D63-D69</f>
        <v/>
      </c>
      <c r="E70" s="82">
        <f>E63-E69</f>
        <v/>
      </c>
      <c r="F70" s="79">
        <f>E70-D70</f>
        <v/>
      </c>
      <c r="G70" s="17" t="n"/>
      <c r="H70" s="2" t="n"/>
      <c r="I70" s="2" t="n"/>
      <c r="J70" s="2" t="n"/>
      <c r="K70" s="2" t="n"/>
      <c r="L70" s="2" t="n"/>
      <c r="M70" s="2" t="n"/>
    </row>
    <row r="71">
      <c r="A71" s="2" t="n"/>
      <c r="B71" s="18" t="inlineStr">
        <is>
          <t>Marge</t>
        </is>
      </c>
      <c r="C71" s="83">
        <f>C70/C63</f>
        <v/>
      </c>
      <c r="D71" s="83">
        <f>D70/D63</f>
        <v/>
      </c>
      <c r="E71" s="83">
        <f>E70/E63</f>
        <v/>
      </c>
      <c r="F71" s="84">
        <f>(E71-D71)*100</f>
        <v/>
      </c>
      <c r="G71" s="15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</sheetData>
  <mergeCells count="5">
    <mergeCell ref="J24:K26"/>
    <mergeCell ref="J29:K31"/>
    <mergeCell ref="J19:K21"/>
    <mergeCell ref="J14:K16"/>
    <mergeCell ref="J9:K11"/>
  </mergeCells>
  <conditionalFormatting sqref="F45:F50">
    <cfRule type="dataBar" priority="1">
      <dataBar showValue="1">
        <cfvo type="num" val="0"/>
        <cfvo type="max"/>
        <color rgb="FF1E9E89"/>
      </dataBar>
    </cfRule>
  </conditionalFormatting>
  <conditionalFormatting sqref="G55">
    <cfRule type="cellIs" priority="2" operator="between" dxfId="0">
      <formula>-10000</formula>
      <formula>10000</formula>
    </cfRule>
    <cfRule type="cellIs" priority="3" operator="greaterThan" dxfId="1">
      <formula>10000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2026-09-06T01:27:04Z</dcterms:created>
  <dcterms:modified xsi:type="dcterms:W3CDTF">2026-09-06T01:27:04Z</dcterms:modified>
</cp:coreProperties>
</file>